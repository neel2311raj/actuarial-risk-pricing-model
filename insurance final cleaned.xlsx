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it\Desktop\"/>
    </mc:Choice>
  </mc:AlternateContent>
  <xr:revisionPtr revIDLastSave="0" documentId="13_ncr:1_{2579CB53-234A-4EDF-A4A0-BE50862F9F93}" xr6:coauthVersionLast="47" xr6:coauthVersionMax="47" xr10:uidLastSave="{00000000-0000-0000-0000-000000000000}"/>
  <bookViews>
    <workbookView xWindow="-108" yWindow="-108" windowWidth="23256" windowHeight="12456" firstSheet="1" activeTab="1" xr2:uid="{2A1C9F8C-0DE7-4D70-8516-39EEDB9E2CF4}"/>
  </bookViews>
  <sheets>
    <sheet name="Sheet6" sheetId="9" state="hidden" r:id="rId1"/>
    <sheet name="insurance final cleaned" sheetId="1" r:id="rId2"/>
    <sheet name="Dashboard" sheetId="2" r:id="rId3"/>
    <sheet name="Sheet3" sheetId="4" state="hidden" r:id="rId4"/>
    <sheet name="Regression Summary" sheetId="6" r:id="rId5"/>
    <sheet name="Math Zone" sheetId="5" state="hidden" r:id="rId6"/>
  </sheets>
  <calcPr calcId="191029"/>
  <pivotCaches>
    <pivotCache cacheId="0" r:id="rId7"/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2" i="1"/>
  <c r="B974" i="5" l="1"/>
  <c r="C974" i="5"/>
  <c r="D974" i="5"/>
  <c r="E974" i="5"/>
  <c r="F974" i="5"/>
  <c r="G974" i="5"/>
  <c r="H974" i="5"/>
  <c r="I974" i="5"/>
  <c r="J974" i="5"/>
  <c r="K974" i="5"/>
  <c r="L974" i="5"/>
  <c r="M974" i="5"/>
  <c r="B1286" i="5"/>
  <c r="C1286" i="5"/>
  <c r="D1286" i="5"/>
  <c r="E1286" i="5"/>
  <c r="G1286" i="5"/>
  <c r="H1286" i="5"/>
  <c r="I1286" i="5"/>
  <c r="J1286" i="5"/>
  <c r="L1286" i="5"/>
  <c r="M1286" i="5"/>
  <c r="B708" i="5"/>
  <c r="C708" i="5"/>
  <c r="D708" i="5"/>
  <c r="E708" i="5"/>
  <c r="G708" i="5"/>
  <c r="H708" i="5"/>
  <c r="I708" i="5"/>
  <c r="J708" i="5"/>
  <c r="L708" i="5"/>
  <c r="M708" i="5"/>
  <c r="B922" i="5"/>
  <c r="C922" i="5"/>
  <c r="D922" i="5"/>
  <c r="E922" i="5"/>
  <c r="G922" i="5"/>
  <c r="H922" i="5"/>
  <c r="I922" i="5"/>
  <c r="J922" i="5"/>
  <c r="L922" i="5"/>
  <c r="M922" i="5"/>
  <c r="B1133" i="5"/>
  <c r="C1133" i="5"/>
  <c r="D1133" i="5"/>
  <c r="E1133" i="5"/>
  <c r="G1133" i="5"/>
  <c r="H1133" i="5"/>
  <c r="I1133" i="5"/>
  <c r="J1133" i="5"/>
  <c r="L1133" i="5"/>
  <c r="M1133" i="5"/>
  <c r="B945" i="5"/>
  <c r="C945" i="5"/>
  <c r="D945" i="5"/>
  <c r="E945" i="5"/>
  <c r="G945" i="5"/>
  <c r="H945" i="5"/>
  <c r="I945" i="5"/>
  <c r="J945" i="5"/>
  <c r="L945" i="5"/>
  <c r="M945" i="5"/>
  <c r="B227" i="5"/>
  <c r="C227" i="5"/>
  <c r="D227" i="5"/>
  <c r="E227" i="5"/>
  <c r="G227" i="5"/>
  <c r="H227" i="5"/>
  <c r="I227" i="5"/>
  <c r="J227" i="5"/>
  <c r="L227" i="5"/>
  <c r="M227" i="5"/>
  <c r="B948" i="5"/>
  <c r="C948" i="5"/>
  <c r="D948" i="5"/>
  <c r="E948" i="5"/>
  <c r="G948" i="5"/>
  <c r="H948" i="5"/>
  <c r="I948" i="5"/>
  <c r="J948" i="5"/>
  <c r="L948" i="5"/>
  <c r="M948" i="5"/>
  <c r="B961" i="5"/>
  <c r="C961" i="5"/>
  <c r="D961" i="5"/>
  <c r="E961" i="5"/>
  <c r="G961" i="5"/>
  <c r="H961" i="5"/>
  <c r="I961" i="5"/>
  <c r="J961" i="5"/>
  <c r="L961" i="5"/>
  <c r="M961" i="5"/>
  <c r="B364" i="5"/>
  <c r="C364" i="5"/>
  <c r="D364" i="5"/>
  <c r="E364" i="5"/>
  <c r="G364" i="5"/>
  <c r="H364" i="5"/>
  <c r="I364" i="5"/>
  <c r="J364" i="5"/>
  <c r="L364" i="5"/>
  <c r="M364" i="5"/>
  <c r="B1004" i="5"/>
  <c r="C1004" i="5"/>
  <c r="D1004" i="5"/>
  <c r="E1004" i="5"/>
  <c r="G1004" i="5"/>
  <c r="H1004" i="5"/>
  <c r="I1004" i="5"/>
  <c r="J1004" i="5"/>
  <c r="L1004" i="5"/>
  <c r="M1004" i="5"/>
  <c r="B1118" i="5"/>
  <c r="C1118" i="5"/>
  <c r="D1118" i="5"/>
  <c r="E1118" i="5"/>
  <c r="G1118" i="5"/>
  <c r="H1118" i="5"/>
  <c r="I1118" i="5"/>
  <c r="J1118" i="5"/>
  <c r="L1118" i="5"/>
  <c r="M1118" i="5"/>
  <c r="B1168" i="5"/>
  <c r="C1168" i="5"/>
  <c r="D1168" i="5"/>
  <c r="E1168" i="5"/>
  <c r="G1168" i="5"/>
  <c r="H1168" i="5"/>
  <c r="I1168" i="5"/>
  <c r="J1168" i="5"/>
  <c r="L1168" i="5"/>
  <c r="M1168" i="5"/>
  <c r="B165" i="5"/>
  <c r="C165" i="5"/>
  <c r="D165" i="5"/>
  <c r="E165" i="5"/>
  <c r="G165" i="5"/>
  <c r="H165" i="5"/>
  <c r="I165" i="5"/>
  <c r="J165" i="5"/>
  <c r="L165" i="5"/>
  <c r="M165" i="5"/>
  <c r="B640" i="5"/>
  <c r="C640" i="5"/>
  <c r="D640" i="5"/>
  <c r="E640" i="5"/>
  <c r="G640" i="5"/>
  <c r="H640" i="5"/>
  <c r="I640" i="5"/>
  <c r="J640" i="5"/>
  <c r="L640" i="5"/>
  <c r="M640" i="5"/>
  <c r="B910" i="5"/>
  <c r="C910" i="5"/>
  <c r="D910" i="5"/>
  <c r="E910" i="5"/>
  <c r="G910" i="5"/>
  <c r="H910" i="5"/>
  <c r="I910" i="5"/>
  <c r="J910" i="5"/>
  <c r="L910" i="5"/>
  <c r="M910" i="5"/>
  <c r="B969" i="5"/>
  <c r="C969" i="5"/>
  <c r="D969" i="5"/>
  <c r="E969" i="5"/>
  <c r="G969" i="5"/>
  <c r="H969" i="5"/>
  <c r="I969" i="5"/>
  <c r="J969" i="5"/>
  <c r="L969" i="5"/>
  <c r="M969" i="5"/>
  <c r="B169" i="5"/>
  <c r="C169" i="5"/>
  <c r="D169" i="5"/>
  <c r="E169" i="5"/>
  <c r="G169" i="5"/>
  <c r="H169" i="5"/>
  <c r="I169" i="5"/>
  <c r="J169" i="5"/>
  <c r="L169" i="5"/>
  <c r="M169" i="5"/>
  <c r="B1044" i="5"/>
  <c r="C1044" i="5"/>
  <c r="D1044" i="5"/>
  <c r="E1044" i="5"/>
  <c r="G1044" i="5"/>
  <c r="H1044" i="5"/>
  <c r="I1044" i="5"/>
  <c r="J1044" i="5"/>
  <c r="L1044" i="5"/>
  <c r="M1044" i="5"/>
  <c r="B866" i="5"/>
  <c r="C866" i="5"/>
  <c r="D866" i="5"/>
  <c r="E866" i="5"/>
  <c r="G866" i="5"/>
  <c r="H866" i="5"/>
  <c r="I866" i="5"/>
  <c r="J866" i="5"/>
  <c r="L866" i="5"/>
  <c r="M866" i="5"/>
  <c r="B880" i="5"/>
  <c r="C880" i="5"/>
  <c r="D880" i="5"/>
  <c r="E880" i="5"/>
  <c r="G880" i="5"/>
  <c r="H880" i="5"/>
  <c r="I880" i="5"/>
  <c r="J880" i="5"/>
  <c r="L880" i="5"/>
  <c r="M880" i="5"/>
  <c r="B1260" i="5"/>
  <c r="C1260" i="5"/>
  <c r="D1260" i="5"/>
  <c r="E1260" i="5"/>
  <c r="G1260" i="5"/>
  <c r="H1260" i="5"/>
  <c r="I1260" i="5"/>
  <c r="J1260" i="5"/>
  <c r="L1260" i="5"/>
  <c r="M1260" i="5"/>
  <c r="B1139" i="5"/>
  <c r="C1139" i="5"/>
  <c r="D1139" i="5"/>
  <c r="E1139" i="5"/>
  <c r="G1139" i="5"/>
  <c r="H1139" i="5"/>
  <c r="I1139" i="5"/>
  <c r="J1139" i="5"/>
  <c r="L1139" i="5"/>
  <c r="M1139" i="5"/>
  <c r="B362" i="5"/>
  <c r="C362" i="5"/>
  <c r="D362" i="5"/>
  <c r="E362" i="5"/>
  <c r="G362" i="5"/>
  <c r="H362" i="5"/>
  <c r="I362" i="5"/>
  <c r="J362" i="5"/>
  <c r="L362" i="5"/>
  <c r="M362" i="5"/>
  <c r="B686" i="5"/>
  <c r="C686" i="5"/>
  <c r="D686" i="5"/>
  <c r="E686" i="5"/>
  <c r="G686" i="5"/>
  <c r="H686" i="5"/>
  <c r="I686" i="5"/>
  <c r="J686" i="5"/>
  <c r="L686" i="5"/>
  <c r="M686" i="5"/>
  <c r="B1330" i="5"/>
  <c r="C1330" i="5"/>
  <c r="D1330" i="5"/>
  <c r="E1330" i="5"/>
  <c r="G1330" i="5"/>
  <c r="H1330" i="5"/>
  <c r="I1330" i="5"/>
  <c r="J1330" i="5"/>
  <c r="L1330" i="5"/>
  <c r="M1330" i="5"/>
  <c r="B376" i="5"/>
  <c r="C376" i="5"/>
  <c r="D376" i="5"/>
  <c r="E376" i="5"/>
  <c r="G376" i="5"/>
  <c r="H376" i="5"/>
  <c r="I376" i="5"/>
  <c r="J376" i="5"/>
  <c r="L376" i="5"/>
  <c r="M376" i="5"/>
  <c r="B722" i="5"/>
  <c r="C722" i="5"/>
  <c r="D722" i="5"/>
  <c r="E722" i="5"/>
  <c r="G722" i="5"/>
  <c r="H722" i="5"/>
  <c r="I722" i="5"/>
  <c r="J722" i="5"/>
  <c r="L722" i="5"/>
  <c r="M722" i="5"/>
  <c r="B325" i="5"/>
  <c r="C325" i="5"/>
  <c r="D325" i="5"/>
  <c r="E325" i="5"/>
  <c r="G325" i="5"/>
  <c r="H325" i="5"/>
  <c r="I325" i="5"/>
  <c r="J325" i="5"/>
  <c r="L325" i="5"/>
  <c r="M325" i="5"/>
  <c r="B792" i="5"/>
  <c r="C792" i="5"/>
  <c r="D792" i="5"/>
  <c r="E792" i="5"/>
  <c r="G792" i="5"/>
  <c r="H792" i="5"/>
  <c r="I792" i="5"/>
  <c r="J792" i="5"/>
  <c r="L792" i="5"/>
  <c r="M792" i="5"/>
  <c r="B1292" i="5"/>
  <c r="C1292" i="5"/>
  <c r="D1292" i="5"/>
  <c r="E1292" i="5"/>
  <c r="G1292" i="5"/>
  <c r="H1292" i="5"/>
  <c r="I1292" i="5"/>
  <c r="J1292" i="5"/>
  <c r="L1292" i="5"/>
  <c r="M1292" i="5"/>
  <c r="B837" i="5"/>
  <c r="C837" i="5"/>
  <c r="D837" i="5"/>
  <c r="E837" i="5"/>
  <c r="G837" i="5"/>
  <c r="H837" i="5"/>
  <c r="I837" i="5"/>
  <c r="J837" i="5"/>
  <c r="L837" i="5"/>
  <c r="M837" i="5"/>
  <c r="B839" i="5"/>
  <c r="C839" i="5"/>
  <c r="D839" i="5"/>
  <c r="E839" i="5"/>
  <c r="G839" i="5"/>
  <c r="H839" i="5"/>
  <c r="I839" i="5"/>
  <c r="J839" i="5"/>
  <c r="L839" i="5"/>
  <c r="M839" i="5"/>
  <c r="B525" i="5"/>
  <c r="C525" i="5"/>
  <c r="D525" i="5"/>
  <c r="E525" i="5"/>
  <c r="G525" i="5"/>
  <c r="H525" i="5"/>
  <c r="I525" i="5"/>
  <c r="J525" i="5"/>
  <c r="L525" i="5"/>
  <c r="M525" i="5"/>
  <c r="B1040" i="5"/>
  <c r="C1040" i="5"/>
  <c r="D1040" i="5"/>
  <c r="E1040" i="5"/>
  <c r="G1040" i="5"/>
  <c r="H1040" i="5"/>
  <c r="I1040" i="5"/>
  <c r="J1040" i="5"/>
  <c r="L1040" i="5"/>
  <c r="M1040" i="5"/>
  <c r="B989" i="5"/>
  <c r="C989" i="5"/>
  <c r="D989" i="5"/>
  <c r="E989" i="5"/>
  <c r="G989" i="5"/>
  <c r="H989" i="5"/>
  <c r="I989" i="5"/>
  <c r="J989" i="5"/>
  <c r="L989" i="5"/>
  <c r="M989" i="5"/>
  <c r="B30" i="5"/>
  <c r="C30" i="5"/>
  <c r="D30" i="5"/>
  <c r="E30" i="5"/>
  <c r="G30" i="5"/>
  <c r="H30" i="5"/>
  <c r="I30" i="5"/>
  <c r="J30" i="5"/>
  <c r="L30" i="5"/>
  <c r="M30" i="5"/>
  <c r="B657" i="5"/>
  <c r="C657" i="5"/>
  <c r="D657" i="5"/>
  <c r="E657" i="5"/>
  <c r="G657" i="5"/>
  <c r="H657" i="5"/>
  <c r="I657" i="5"/>
  <c r="J657" i="5"/>
  <c r="L657" i="5"/>
  <c r="M657" i="5"/>
  <c r="B289" i="5"/>
  <c r="C289" i="5"/>
  <c r="D289" i="5"/>
  <c r="E289" i="5"/>
  <c r="G289" i="5"/>
  <c r="H289" i="5"/>
  <c r="I289" i="5"/>
  <c r="J289" i="5"/>
  <c r="L289" i="5"/>
  <c r="M289" i="5"/>
  <c r="B803" i="5"/>
  <c r="C803" i="5"/>
  <c r="D803" i="5"/>
  <c r="E803" i="5"/>
  <c r="G803" i="5"/>
  <c r="H803" i="5"/>
  <c r="I803" i="5"/>
  <c r="J803" i="5"/>
  <c r="L803" i="5"/>
  <c r="M803" i="5"/>
  <c r="B772" i="5"/>
  <c r="C772" i="5"/>
  <c r="D772" i="5"/>
  <c r="E772" i="5"/>
  <c r="G772" i="5"/>
  <c r="H772" i="5"/>
  <c r="I772" i="5"/>
  <c r="J772" i="5"/>
  <c r="L772" i="5"/>
  <c r="M772" i="5"/>
  <c r="B941" i="5"/>
  <c r="C941" i="5"/>
  <c r="D941" i="5"/>
  <c r="E941" i="5"/>
  <c r="G941" i="5"/>
  <c r="H941" i="5"/>
  <c r="I941" i="5"/>
  <c r="J941" i="5"/>
  <c r="L941" i="5"/>
  <c r="M941" i="5"/>
  <c r="B561" i="5"/>
  <c r="C561" i="5"/>
  <c r="D561" i="5"/>
  <c r="E561" i="5"/>
  <c r="G561" i="5"/>
  <c r="H561" i="5"/>
  <c r="I561" i="5"/>
  <c r="J561" i="5"/>
  <c r="L561" i="5"/>
  <c r="M561" i="5"/>
  <c r="B212" i="5"/>
  <c r="C212" i="5"/>
  <c r="D212" i="5"/>
  <c r="E212" i="5"/>
  <c r="G212" i="5"/>
  <c r="H212" i="5"/>
  <c r="I212" i="5"/>
  <c r="J212" i="5"/>
  <c r="L212" i="5"/>
  <c r="M212" i="5"/>
  <c r="B78" i="5"/>
  <c r="C78" i="5"/>
  <c r="D78" i="5"/>
  <c r="E78" i="5"/>
  <c r="G78" i="5"/>
  <c r="H78" i="5"/>
  <c r="I78" i="5"/>
  <c r="J78" i="5"/>
  <c r="L78" i="5"/>
  <c r="M78" i="5"/>
  <c r="B1175" i="5"/>
  <c r="C1175" i="5"/>
  <c r="D1175" i="5"/>
  <c r="E1175" i="5"/>
  <c r="G1175" i="5"/>
  <c r="H1175" i="5"/>
  <c r="I1175" i="5"/>
  <c r="J1175" i="5"/>
  <c r="L1175" i="5"/>
  <c r="M1175" i="5"/>
  <c r="B251" i="5"/>
  <c r="C251" i="5"/>
  <c r="D251" i="5"/>
  <c r="E251" i="5"/>
  <c r="G251" i="5"/>
  <c r="H251" i="5"/>
  <c r="I251" i="5"/>
  <c r="J251" i="5"/>
  <c r="L251" i="5"/>
  <c r="M251" i="5"/>
  <c r="B182" i="5"/>
  <c r="C182" i="5"/>
  <c r="D182" i="5"/>
  <c r="E182" i="5"/>
  <c r="G182" i="5"/>
  <c r="H182" i="5"/>
  <c r="I182" i="5"/>
  <c r="J182" i="5"/>
  <c r="L182" i="5"/>
  <c r="M182" i="5"/>
  <c r="B1315" i="5"/>
  <c r="C1315" i="5"/>
  <c r="D1315" i="5"/>
  <c r="E1315" i="5"/>
  <c r="G1315" i="5"/>
  <c r="H1315" i="5"/>
  <c r="I1315" i="5"/>
  <c r="J1315" i="5"/>
  <c r="L1315" i="5"/>
  <c r="M1315" i="5"/>
  <c r="B533" i="5"/>
  <c r="C533" i="5"/>
  <c r="D533" i="5"/>
  <c r="E533" i="5"/>
  <c r="G533" i="5"/>
  <c r="H533" i="5"/>
  <c r="I533" i="5"/>
  <c r="J533" i="5"/>
  <c r="L533" i="5"/>
  <c r="M533" i="5"/>
  <c r="B363" i="5"/>
  <c r="C363" i="5"/>
  <c r="D363" i="5"/>
  <c r="E363" i="5"/>
  <c r="G363" i="5"/>
  <c r="H363" i="5"/>
  <c r="I363" i="5"/>
  <c r="J363" i="5"/>
  <c r="L363" i="5"/>
  <c r="M363" i="5"/>
  <c r="B935" i="5"/>
  <c r="C935" i="5"/>
  <c r="D935" i="5"/>
  <c r="E935" i="5"/>
  <c r="G935" i="5"/>
  <c r="H935" i="5"/>
  <c r="I935" i="5"/>
  <c r="J935" i="5"/>
  <c r="L935" i="5"/>
  <c r="M935" i="5"/>
  <c r="B473" i="5"/>
  <c r="C473" i="5"/>
  <c r="D473" i="5"/>
  <c r="E473" i="5"/>
  <c r="G473" i="5"/>
  <c r="H473" i="5"/>
  <c r="I473" i="5"/>
  <c r="J473" i="5"/>
  <c r="L473" i="5"/>
  <c r="M473" i="5"/>
  <c r="B235" i="5"/>
  <c r="C235" i="5"/>
  <c r="D235" i="5"/>
  <c r="E235" i="5"/>
  <c r="G235" i="5"/>
  <c r="H235" i="5"/>
  <c r="I235" i="5"/>
  <c r="J235" i="5"/>
  <c r="L235" i="5"/>
  <c r="M235" i="5"/>
  <c r="B1282" i="5"/>
  <c r="C1282" i="5"/>
  <c r="D1282" i="5"/>
  <c r="E1282" i="5"/>
  <c r="G1282" i="5"/>
  <c r="H1282" i="5"/>
  <c r="I1282" i="5"/>
  <c r="J1282" i="5"/>
  <c r="L1282" i="5"/>
  <c r="M1282" i="5"/>
  <c r="B1329" i="5"/>
  <c r="C1329" i="5"/>
  <c r="D1329" i="5"/>
  <c r="E1329" i="5"/>
  <c r="G1329" i="5"/>
  <c r="H1329" i="5"/>
  <c r="I1329" i="5"/>
  <c r="J1329" i="5"/>
  <c r="L1329" i="5"/>
  <c r="M1329" i="5"/>
  <c r="B1160" i="5"/>
  <c r="C1160" i="5"/>
  <c r="D1160" i="5"/>
  <c r="E1160" i="5"/>
  <c r="G1160" i="5"/>
  <c r="H1160" i="5"/>
  <c r="I1160" i="5"/>
  <c r="J1160" i="5"/>
  <c r="L1160" i="5"/>
  <c r="M1160" i="5"/>
  <c r="B1031" i="5"/>
  <c r="C1031" i="5"/>
  <c r="D1031" i="5"/>
  <c r="E1031" i="5"/>
  <c r="G1031" i="5"/>
  <c r="H1031" i="5"/>
  <c r="I1031" i="5"/>
  <c r="J1031" i="5"/>
  <c r="L1031" i="5"/>
  <c r="M1031" i="5"/>
  <c r="B26" i="5"/>
  <c r="C26" i="5"/>
  <c r="D26" i="5"/>
  <c r="E26" i="5"/>
  <c r="G26" i="5"/>
  <c r="H26" i="5"/>
  <c r="I26" i="5"/>
  <c r="J26" i="5"/>
  <c r="L26" i="5"/>
  <c r="M26" i="5"/>
  <c r="B1029" i="5"/>
  <c r="C1029" i="5"/>
  <c r="D1029" i="5"/>
  <c r="E1029" i="5"/>
  <c r="G1029" i="5"/>
  <c r="H1029" i="5"/>
  <c r="I1029" i="5"/>
  <c r="J1029" i="5"/>
  <c r="L1029" i="5"/>
  <c r="M1029" i="5"/>
  <c r="B117" i="5"/>
  <c r="C117" i="5"/>
  <c r="D117" i="5"/>
  <c r="E117" i="5"/>
  <c r="G117" i="5"/>
  <c r="H117" i="5"/>
  <c r="I117" i="5"/>
  <c r="J117" i="5"/>
  <c r="L117" i="5"/>
  <c r="M117" i="5"/>
  <c r="B23" i="5"/>
  <c r="C23" i="5"/>
  <c r="D23" i="5"/>
  <c r="E23" i="5"/>
  <c r="G23" i="5"/>
  <c r="H23" i="5"/>
  <c r="I23" i="5"/>
  <c r="J23" i="5"/>
  <c r="L23" i="5"/>
  <c r="M23" i="5"/>
  <c r="B937" i="5"/>
  <c r="C937" i="5"/>
  <c r="D937" i="5"/>
  <c r="E937" i="5"/>
  <c r="G937" i="5"/>
  <c r="H937" i="5"/>
  <c r="I937" i="5"/>
  <c r="J937" i="5"/>
  <c r="L937" i="5"/>
  <c r="M937" i="5"/>
  <c r="B1035" i="5"/>
  <c r="C1035" i="5"/>
  <c r="D1035" i="5"/>
  <c r="E1035" i="5"/>
  <c r="G1035" i="5"/>
  <c r="H1035" i="5"/>
  <c r="I1035" i="5"/>
  <c r="J1035" i="5"/>
  <c r="L1035" i="5"/>
  <c r="M1035" i="5"/>
  <c r="B914" i="5"/>
  <c r="C914" i="5"/>
  <c r="D914" i="5"/>
  <c r="E914" i="5"/>
  <c r="G914" i="5"/>
  <c r="H914" i="5"/>
  <c r="I914" i="5"/>
  <c r="J914" i="5"/>
  <c r="L914" i="5"/>
  <c r="M914" i="5"/>
  <c r="B976" i="5"/>
  <c r="C976" i="5"/>
  <c r="D976" i="5"/>
  <c r="E976" i="5"/>
  <c r="G976" i="5"/>
  <c r="H976" i="5"/>
  <c r="I976" i="5"/>
  <c r="J976" i="5"/>
  <c r="L976" i="5"/>
  <c r="M976" i="5"/>
  <c r="B764" i="5"/>
  <c r="C764" i="5"/>
  <c r="D764" i="5"/>
  <c r="E764" i="5"/>
  <c r="G764" i="5"/>
  <c r="H764" i="5"/>
  <c r="I764" i="5"/>
  <c r="J764" i="5"/>
  <c r="L764" i="5"/>
  <c r="M764" i="5"/>
  <c r="B1281" i="5"/>
  <c r="C1281" i="5"/>
  <c r="D1281" i="5"/>
  <c r="E1281" i="5"/>
  <c r="G1281" i="5"/>
  <c r="H1281" i="5"/>
  <c r="I1281" i="5"/>
  <c r="J1281" i="5"/>
  <c r="L1281" i="5"/>
  <c r="M1281" i="5"/>
  <c r="B94" i="5"/>
  <c r="C94" i="5"/>
  <c r="D94" i="5"/>
  <c r="E94" i="5"/>
  <c r="G94" i="5"/>
  <c r="H94" i="5"/>
  <c r="I94" i="5"/>
  <c r="J94" i="5"/>
  <c r="L94" i="5"/>
  <c r="M94" i="5"/>
  <c r="B270" i="5"/>
  <c r="C270" i="5"/>
  <c r="D270" i="5"/>
  <c r="E270" i="5"/>
  <c r="G270" i="5"/>
  <c r="H270" i="5"/>
  <c r="I270" i="5"/>
  <c r="J270" i="5"/>
  <c r="L270" i="5"/>
  <c r="M270" i="5"/>
  <c r="B779" i="5"/>
  <c r="C779" i="5"/>
  <c r="D779" i="5"/>
  <c r="E779" i="5"/>
  <c r="G779" i="5"/>
  <c r="H779" i="5"/>
  <c r="I779" i="5"/>
  <c r="J779" i="5"/>
  <c r="L779" i="5"/>
  <c r="M779" i="5"/>
  <c r="B224" i="5"/>
  <c r="C224" i="5"/>
  <c r="D224" i="5"/>
  <c r="E224" i="5"/>
  <c r="G224" i="5"/>
  <c r="H224" i="5"/>
  <c r="I224" i="5"/>
  <c r="J224" i="5"/>
  <c r="L224" i="5"/>
  <c r="M224" i="5"/>
  <c r="B36" i="5"/>
  <c r="C36" i="5"/>
  <c r="D36" i="5"/>
  <c r="E36" i="5"/>
  <c r="G36" i="5"/>
  <c r="H36" i="5"/>
  <c r="I36" i="5"/>
  <c r="J36" i="5"/>
  <c r="L36" i="5"/>
  <c r="M36" i="5"/>
  <c r="B986" i="5"/>
  <c r="C986" i="5"/>
  <c r="D986" i="5"/>
  <c r="E986" i="5"/>
  <c r="G986" i="5"/>
  <c r="H986" i="5"/>
  <c r="I986" i="5"/>
  <c r="J986" i="5"/>
  <c r="L986" i="5"/>
  <c r="M986" i="5"/>
  <c r="B604" i="5"/>
  <c r="C604" i="5"/>
  <c r="D604" i="5"/>
  <c r="E604" i="5"/>
  <c r="G604" i="5"/>
  <c r="H604" i="5"/>
  <c r="I604" i="5"/>
  <c r="J604" i="5"/>
  <c r="L604" i="5"/>
  <c r="M604" i="5"/>
  <c r="B787" i="5"/>
  <c r="C787" i="5"/>
  <c r="D787" i="5"/>
  <c r="E787" i="5"/>
  <c r="G787" i="5"/>
  <c r="H787" i="5"/>
  <c r="I787" i="5"/>
  <c r="J787" i="5"/>
  <c r="L787" i="5"/>
  <c r="M787" i="5"/>
  <c r="B34" i="5"/>
  <c r="C34" i="5"/>
  <c r="D34" i="5"/>
  <c r="E34" i="5"/>
  <c r="G34" i="5"/>
  <c r="H34" i="5"/>
  <c r="I34" i="5"/>
  <c r="J34" i="5"/>
  <c r="L34" i="5"/>
  <c r="M34" i="5"/>
  <c r="B1069" i="5"/>
  <c r="C1069" i="5"/>
  <c r="D1069" i="5"/>
  <c r="E1069" i="5"/>
  <c r="G1069" i="5"/>
  <c r="H1069" i="5"/>
  <c r="I1069" i="5"/>
  <c r="J1069" i="5"/>
  <c r="L1069" i="5"/>
  <c r="M1069" i="5"/>
  <c r="B1309" i="5"/>
  <c r="C1309" i="5"/>
  <c r="D1309" i="5"/>
  <c r="E1309" i="5"/>
  <c r="G1309" i="5"/>
  <c r="H1309" i="5"/>
  <c r="I1309" i="5"/>
  <c r="J1309" i="5"/>
  <c r="L1309" i="5"/>
  <c r="M1309" i="5"/>
  <c r="B1220" i="5"/>
  <c r="C1220" i="5"/>
  <c r="D1220" i="5"/>
  <c r="E1220" i="5"/>
  <c r="G1220" i="5"/>
  <c r="H1220" i="5"/>
  <c r="I1220" i="5"/>
  <c r="J1220" i="5"/>
  <c r="L1220" i="5"/>
  <c r="M1220" i="5"/>
  <c r="B205" i="5"/>
  <c r="C205" i="5"/>
  <c r="D205" i="5"/>
  <c r="E205" i="5"/>
  <c r="G205" i="5"/>
  <c r="H205" i="5"/>
  <c r="I205" i="5"/>
  <c r="J205" i="5"/>
  <c r="L205" i="5"/>
  <c r="M205" i="5"/>
  <c r="B698" i="5"/>
  <c r="C698" i="5"/>
  <c r="D698" i="5"/>
  <c r="E698" i="5"/>
  <c r="G698" i="5"/>
  <c r="H698" i="5"/>
  <c r="I698" i="5"/>
  <c r="J698" i="5"/>
  <c r="L698" i="5"/>
  <c r="M698" i="5"/>
  <c r="B399" i="5"/>
  <c r="C399" i="5"/>
  <c r="D399" i="5"/>
  <c r="E399" i="5"/>
  <c r="G399" i="5"/>
  <c r="H399" i="5"/>
  <c r="I399" i="5"/>
  <c r="J399" i="5"/>
  <c r="L399" i="5"/>
  <c r="M399" i="5"/>
  <c r="B233" i="5"/>
  <c r="C233" i="5"/>
  <c r="D233" i="5"/>
  <c r="E233" i="5"/>
  <c r="G233" i="5"/>
  <c r="H233" i="5"/>
  <c r="I233" i="5"/>
  <c r="J233" i="5"/>
  <c r="L233" i="5"/>
  <c r="M233" i="5"/>
  <c r="B338" i="5"/>
  <c r="C338" i="5"/>
  <c r="D338" i="5"/>
  <c r="E338" i="5"/>
  <c r="G338" i="5"/>
  <c r="H338" i="5"/>
  <c r="I338" i="5"/>
  <c r="J338" i="5"/>
  <c r="L338" i="5"/>
  <c r="M338" i="5"/>
  <c r="B1254" i="5"/>
  <c r="C1254" i="5"/>
  <c r="D1254" i="5"/>
  <c r="E1254" i="5"/>
  <c r="G1254" i="5"/>
  <c r="H1254" i="5"/>
  <c r="I1254" i="5"/>
  <c r="J1254" i="5"/>
  <c r="L1254" i="5"/>
  <c r="M1254" i="5"/>
  <c r="B314" i="5"/>
  <c r="C314" i="5"/>
  <c r="D314" i="5"/>
  <c r="E314" i="5"/>
  <c r="G314" i="5"/>
  <c r="H314" i="5"/>
  <c r="I314" i="5"/>
  <c r="J314" i="5"/>
  <c r="L314" i="5"/>
  <c r="M314" i="5"/>
  <c r="B306" i="5"/>
  <c r="C306" i="5"/>
  <c r="D306" i="5"/>
  <c r="E306" i="5"/>
  <c r="G306" i="5"/>
  <c r="H306" i="5"/>
  <c r="I306" i="5"/>
  <c r="J306" i="5"/>
  <c r="L306" i="5"/>
  <c r="M306" i="5"/>
  <c r="B863" i="5"/>
  <c r="C863" i="5"/>
  <c r="D863" i="5"/>
  <c r="E863" i="5"/>
  <c r="G863" i="5"/>
  <c r="H863" i="5"/>
  <c r="I863" i="5"/>
  <c r="J863" i="5"/>
  <c r="L863" i="5"/>
  <c r="M863" i="5"/>
  <c r="B784" i="5"/>
  <c r="C784" i="5"/>
  <c r="D784" i="5"/>
  <c r="E784" i="5"/>
  <c r="G784" i="5"/>
  <c r="H784" i="5"/>
  <c r="I784" i="5"/>
  <c r="J784" i="5"/>
  <c r="L784" i="5"/>
  <c r="M784" i="5"/>
  <c r="B16" i="5"/>
  <c r="C16" i="5"/>
  <c r="D16" i="5"/>
  <c r="E16" i="5"/>
  <c r="G16" i="5"/>
  <c r="H16" i="5"/>
  <c r="I16" i="5"/>
  <c r="J16" i="5"/>
  <c r="L16" i="5"/>
  <c r="M16" i="5"/>
  <c r="B1182" i="5"/>
  <c r="C1182" i="5"/>
  <c r="D1182" i="5"/>
  <c r="E1182" i="5"/>
  <c r="G1182" i="5"/>
  <c r="H1182" i="5"/>
  <c r="I1182" i="5"/>
  <c r="J1182" i="5"/>
  <c r="L1182" i="5"/>
  <c r="M1182" i="5"/>
  <c r="B380" i="5"/>
  <c r="C380" i="5"/>
  <c r="D380" i="5"/>
  <c r="E380" i="5"/>
  <c r="G380" i="5"/>
  <c r="H380" i="5"/>
  <c r="I380" i="5"/>
  <c r="J380" i="5"/>
  <c r="L380" i="5"/>
  <c r="M380" i="5"/>
  <c r="B667" i="5"/>
  <c r="C667" i="5"/>
  <c r="D667" i="5"/>
  <c r="E667" i="5"/>
  <c r="G667" i="5"/>
  <c r="H667" i="5"/>
  <c r="I667" i="5"/>
  <c r="J667" i="5"/>
  <c r="L667" i="5"/>
  <c r="M667" i="5"/>
  <c r="B1123" i="5"/>
  <c r="C1123" i="5"/>
  <c r="D1123" i="5"/>
  <c r="E1123" i="5"/>
  <c r="G1123" i="5"/>
  <c r="H1123" i="5"/>
  <c r="I1123" i="5"/>
  <c r="J1123" i="5"/>
  <c r="L1123" i="5"/>
  <c r="M1123" i="5"/>
  <c r="B423" i="5"/>
  <c r="C423" i="5"/>
  <c r="D423" i="5"/>
  <c r="E423" i="5"/>
  <c r="G423" i="5"/>
  <c r="H423" i="5"/>
  <c r="I423" i="5"/>
  <c r="J423" i="5"/>
  <c r="L423" i="5"/>
  <c r="M423" i="5"/>
  <c r="B447" i="5"/>
  <c r="C447" i="5"/>
  <c r="D447" i="5"/>
  <c r="E447" i="5"/>
  <c r="G447" i="5"/>
  <c r="H447" i="5"/>
  <c r="I447" i="5"/>
  <c r="J447" i="5"/>
  <c r="L447" i="5"/>
  <c r="M447" i="5"/>
  <c r="B222" i="5"/>
  <c r="C222" i="5"/>
  <c r="D222" i="5"/>
  <c r="E222" i="5"/>
  <c r="G222" i="5"/>
  <c r="H222" i="5"/>
  <c r="I222" i="5"/>
  <c r="J222" i="5"/>
  <c r="L222" i="5"/>
  <c r="M222" i="5"/>
  <c r="B1201" i="5"/>
  <c r="C1201" i="5"/>
  <c r="D1201" i="5"/>
  <c r="E1201" i="5"/>
  <c r="G1201" i="5"/>
  <c r="H1201" i="5"/>
  <c r="I1201" i="5"/>
  <c r="J1201" i="5"/>
  <c r="L1201" i="5"/>
  <c r="M1201" i="5"/>
  <c r="B1165" i="5"/>
  <c r="C1165" i="5"/>
  <c r="D1165" i="5"/>
  <c r="E1165" i="5"/>
  <c r="G1165" i="5"/>
  <c r="H1165" i="5"/>
  <c r="I1165" i="5"/>
  <c r="J1165" i="5"/>
  <c r="L1165" i="5"/>
  <c r="M1165" i="5"/>
  <c r="B758" i="5"/>
  <c r="C758" i="5"/>
  <c r="D758" i="5"/>
  <c r="E758" i="5"/>
  <c r="G758" i="5"/>
  <c r="H758" i="5"/>
  <c r="I758" i="5"/>
  <c r="J758" i="5"/>
  <c r="L758" i="5"/>
  <c r="M758" i="5"/>
  <c r="B1264" i="5"/>
  <c r="C1264" i="5"/>
  <c r="D1264" i="5"/>
  <c r="E1264" i="5"/>
  <c r="G1264" i="5"/>
  <c r="H1264" i="5"/>
  <c r="I1264" i="5"/>
  <c r="J1264" i="5"/>
  <c r="L1264" i="5"/>
  <c r="M1264" i="5"/>
  <c r="B402" i="5"/>
  <c r="C402" i="5"/>
  <c r="D402" i="5"/>
  <c r="E402" i="5"/>
  <c r="G402" i="5"/>
  <c r="H402" i="5"/>
  <c r="I402" i="5"/>
  <c r="J402" i="5"/>
  <c r="L402" i="5"/>
  <c r="M402" i="5"/>
  <c r="B38" i="5"/>
  <c r="C38" i="5"/>
  <c r="D38" i="5"/>
  <c r="E38" i="5"/>
  <c r="G38" i="5"/>
  <c r="H38" i="5"/>
  <c r="I38" i="5"/>
  <c r="J38" i="5"/>
  <c r="L38" i="5"/>
  <c r="M38" i="5"/>
  <c r="B1179" i="5"/>
  <c r="C1179" i="5"/>
  <c r="D1179" i="5"/>
  <c r="E1179" i="5"/>
  <c r="G1179" i="5"/>
  <c r="H1179" i="5"/>
  <c r="I1179" i="5"/>
  <c r="J1179" i="5"/>
  <c r="L1179" i="5"/>
  <c r="M1179" i="5"/>
  <c r="B479" i="5"/>
  <c r="C479" i="5"/>
  <c r="D479" i="5"/>
  <c r="E479" i="5"/>
  <c r="G479" i="5"/>
  <c r="H479" i="5"/>
  <c r="I479" i="5"/>
  <c r="J479" i="5"/>
  <c r="L479" i="5"/>
  <c r="M479" i="5"/>
  <c r="B217" i="5"/>
  <c r="C217" i="5"/>
  <c r="D217" i="5"/>
  <c r="E217" i="5"/>
  <c r="G217" i="5"/>
  <c r="H217" i="5"/>
  <c r="I217" i="5"/>
  <c r="J217" i="5"/>
  <c r="L217" i="5"/>
  <c r="M217" i="5"/>
  <c r="B1333" i="5"/>
  <c r="C1333" i="5"/>
  <c r="D1333" i="5"/>
  <c r="E1333" i="5"/>
  <c r="G1333" i="5"/>
  <c r="H1333" i="5"/>
  <c r="I1333" i="5"/>
  <c r="J1333" i="5"/>
  <c r="L1333" i="5"/>
  <c r="M1333" i="5"/>
  <c r="B991" i="5"/>
  <c r="C991" i="5"/>
  <c r="D991" i="5"/>
  <c r="E991" i="5"/>
  <c r="G991" i="5"/>
  <c r="H991" i="5"/>
  <c r="I991" i="5"/>
  <c r="J991" i="5"/>
  <c r="L991" i="5"/>
  <c r="M991" i="5"/>
  <c r="B1081" i="5"/>
  <c r="C1081" i="5"/>
  <c r="D1081" i="5"/>
  <c r="E1081" i="5"/>
  <c r="G1081" i="5"/>
  <c r="H1081" i="5"/>
  <c r="I1081" i="5"/>
  <c r="J1081" i="5"/>
  <c r="L1081" i="5"/>
  <c r="M1081" i="5"/>
  <c r="B687" i="5"/>
  <c r="C687" i="5"/>
  <c r="D687" i="5"/>
  <c r="E687" i="5"/>
  <c r="G687" i="5"/>
  <c r="H687" i="5"/>
  <c r="I687" i="5"/>
  <c r="J687" i="5"/>
  <c r="L687" i="5"/>
  <c r="M687" i="5"/>
  <c r="B855" i="5"/>
  <c r="C855" i="5"/>
  <c r="D855" i="5"/>
  <c r="E855" i="5"/>
  <c r="G855" i="5"/>
  <c r="H855" i="5"/>
  <c r="I855" i="5"/>
  <c r="J855" i="5"/>
  <c r="L855" i="5"/>
  <c r="M855" i="5"/>
  <c r="B480" i="5"/>
  <c r="C480" i="5"/>
  <c r="D480" i="5"/>
  <c r="E480" i="5"/>
  <c r="G480" i="5"/>
  <c r="H480" i="5"/>
  <c r="I480" i="5"/>
  <c r="J480" i="5"/>
  <c r="L480" i="5"/>
  <c r="M480" i="5"/>
  <c r="B1216" i="5"/>
  <c r="C1216" i="5"/>
  <c r="D1216" i="5"/>
  <c r="E1216" i="5"/>
  <c r="G1216" i="5"/>
  <c r="H1216" i="5"/>
  <c r="I1216" i="5"/>
  <c r="J1216" i="5"/>
  <c r="L1216" i="5"/>
  <c r="M1216" i="5"/>
  <c r="B996" i="5"/>
  <c r="C996" i="5"/>
  <c r="D996" i="5"/>
  <c r="E996" i="5"/>
  <c r="G996" i="5"/>
  <c r="H996" i="5"/>
  <c r="I996" i="5"/>
  <c r="J996" i="5"/>
  <c r="L996" i="5"/>
  <c r="M996" i="5"/>
  <c r="B49" i="5"/>
  <c r="C49" i="5"/>
  <c r="D49" i="5"/>
  <c r="E49" i="5"/>
  <c r="G49" i="5"/>
  <c r="H49" i="5"/>
  <c r="I49" i="5"/>
  <c r="J49" i="5"/>
  <c r="L49" i="5"/>
  <c r="M49" i="5"/>
  <c r="B80" i="5"/>
  <c r="C80" i="5"/>
  <c r="D80" i="5"/>
  <c r="E80" i="5"/>
  <c r="G80" i="5"/>
  <c r="H80" i="5"/>
  <c r="I80" i="5"/>
  <c r="J80" i="5"/>
  <c r="L80" i="5"/>
  <c r="M80" i="5"/>
  <c r="B853" i="5"/>
  <c r="C853" i="5"/>
  <c r="D853" i="5"/>
  <c r="E853" i="5"/>
  <c r="G853" i="5"/>
  <c r="H853" i="5"/>
  <c r="I853" i="5"/>
  <c r="J853" i="5"/>
  <c r="L853" i="5"/>
  <c r="M853" i="5"/>
  <c r="B43" i="5"/>
  <c r="C43" i="5"/>
  <c r="D43" i="5"/>
  <c r="E43" i="5"/>
  <c r="G43" i="5"/>
  <c r="H43" i="5"/>
  <c r="I43" i="5"/>
  <c r="J43" i="5"/>
  <c r="L43" i="5"/>
  <c r="M43" i="5"/>
  <c r="B382" i="5"/>
  <c r="C382" i="5"/>
  <c r="D382" i="5"/>
  <c r="E382" i="5"/>
  <c r="G382" i="5"/>
  <c r="H382" i="5"/>
  <c r="I382" i="5"/>
  <c r="J382" i="5"/>
  <c r="L382" i="5"/>
  <c r="M382" i="5"/>
  <c r="B675" i="5"/>
  <c r="C675" i="5"/>
  <c r="D675" i="5"/>
  <c r="E675" i="5"/>
  <c r="G675" i="5"/>
  <c r="H675" i="5"/>
  <c r="I675" i="5"/>
  <c r="J675" i="5"/>
  <c r="L675" i="5"/>
  <c r="M675" i="5"/>
  <c r="B1339" i="5"/>
  <c r="C1339" i="5"/>
  <c r="D1339" i="5"/>
  <c r="E1339" i="5"/>
  <c r="G1339" i="5"/>
  <c r="H1339" i="5"/>
  <c r="I1339" i="5"/>
  <c r="J1339" i="5"/>
  <c r="L1339" i="5"/>
  <c r="M1339" i="5"/>
  <c r="B163" i="5"/>
  <c r="C163" i="5"/>
  <c r="D163" i="5"/>
  <c r="E163" i="5"/>
  <c r="G163" i="5"/>
  <c r="H163" i="5"/>
  <c r="I163" i="5"/>
  <c r="J163" i="5"/>
  <c r="L163" i="5"/>
  <c r="M163" i="5"/>
  <c r="B174" i="5"/>
  <c r="C174" i="5"/>
  <c r="D174" i="5"/>
  <c r="E174" i="5"/>
  <c r="G174" i="5"/>
  <c r="H174" i="5"/>
  <c r="I174" i="5"/>
  <c r="J174" i="5"/>
  <c r="L174" i="5"/>
  <c r="M174" i="5"/>
  <c r="B267" i="5"/>
  <c r="C267" i="5"/>
  <c r="D267" i="5"/>
  <c r="E267" i="5"/>
  <c r="G267" i="5"/>
  <c r="H267" i="5"/>
  <c r="I267" i="5"/>
  <c r="J267" i="5"/>
  <c r="L267" i="5"/>
  <c r="M267" i="5"/>
  <c r="B462" i="5"/>
  <c r="C462" i="5"/>
  <c r="D462" i="5"/>
  <c r="E462" i="5"/>
  <c r="G462" i="5"/>
  <c r="H462" i="5"/>
  <c r="I462" i="5"/>
  <c r="J462" i="5"/>
  <c r="L462" i="5"/>
  <c r="M462" i="5"/>
  <c r="B651" i="5"/>
  <c r="C651" i="5"/>
  <c r="D651" i="5"/>
  <c r="E651" i="5"/>
  <c r="G651" i="5"/>
  <c r="H651" i="5"/>
  <c r="I651" i="5"/>
  <c r="J651" i="5"/>
  <c r="L651" i="5"/>
  <c r="M651" i="5"/>
  <c r="B1003" i="5"/>
  <c r="C1003" i="5"/>
  <c r="D1003" i="5"/>
  <c r="E1003" i="5"/>
  <c r="G1003" i="5"/>
  <c r="H1003" i="5"/>
  <c r="I1003" i="5"/>
  <c r="J1003" i="5"/>
  <c r="L1003" i="5"/>
  <c r="M1003" i="5"/>
  <c r="B953" i="5"/>
  <c r="C953" i="5"/>
  <c r="D953" i="5"/>
  <c r="E953" i="5"/>
  <c r="G953" i="5"/>
  <c r="H953" i="5"/>
  <c r="I953" i="5"/>
  <c r="J953" i="5"/>
  <c r="L953" i="5"/>
  <c r="M953" i="5"/>
  <c r="B1246" i="5"/>
  <c r="C1246" i="5"/>
  <c r="D1246" i="5"/>
  <c r="E1246" i="5"/>
  <c r="G1246" i="5"/>
  <c r="H1246" i="5"/>
  <c r="I1246" i="5"/>
  <c r="J1246" i="5"/>
  <c r="L1246" i="5"/>
  <c r="M1246" i="5"/>
  <c r="B663" i="5"/>
  <c r="C663" i="5"/>
  <c r="D663" i="5"/>
  <c r="E663" i="5"/>
  <c r="G663" i="5"/>
  <c r="H663" i="5"/>
  <c r="I663" i="5"/>
  <c r="J663" i="5"/>
  <c r="L663" i="5"/>
  <c r="M663" i="5"/>
  <c r="B1259" i="5"/>
  <c r="C1259" i="5"/>
  <c r="D1259" i="5"/>
  <c r="E1259" i="5"/>
  <c r="G1259" i="5"/>
  <c r="H1259" i="5"/>
  <c r="I1259" i="5"/>
  <c r="J1259" i="5"/>
  <c r="L1259" i="5"/>
  <c r="M1259" i="5"/>
  <c r="B598" i="5"/>
  <c r="C598" i="5"/>
  <c r="D598" i="5"/>
  <c r="E598" i="5"/>
  <c r="G598" i="5"/>
  <c r="H598" i="5"/>
  <c r="I598" i="5"/>
  <c r="J598" i="5"/>
  <c r="L598" i="5"/>
  <c r="M598" i="5"/>
  <c r="B1136" i="5"/>
  <c r="C1136" i="5"/>
  <c r="D1136" i="5"/>
  <c r="E1136" i="5"/>
  <c r="G1136" i="5"/>
  <c r="H1136" i="5"/>
  <c r="I1136" i="5"/>
  <c r="J1136" i="5"/>
  <c r="L1136" i="5"/>
  <c r="M1136" i="5"/>
  <c r="B1299" i="5"/>
  <c r="C1299" i="5"/>
  <c r="D1299" i="5"/>
  <c r="E1299" i="5"/>
  <c r="G1299" i="5"/>
  <c r="H1299" i="5"/>
  <c r="I1299" i="5"/>
  <c r="J1299" i="5"/>
  <c r="L1299" i="5"/>
  <c r="M1299" i="5"/>
  <c r="B68" i="5"/>
  <c r="C68" i="5"/>
  <c r="D68" i="5"/>
  <c r="E68" i="5"/>
  <c r="G68" i="5"/>
  <c r="H68" i="5"/>
  <c r="I68" i="5"/>
  <c r="J68" i="5"/>
  <c r="L68" i="5"/>
  <c r="M68" i="5"/>
  <c r="B114" i="5"/>
  <c r="C114" i="5"/>
  <c r="D114" i="5"/>
  <c r="E114" i="5"/>
  <c r="G114" i="5"/>
  <c r="H114" i="5"/>
  <c r="I114" i="5"/>
  <c r="J114" i="5"/>
  <c r="L114" i="5"/>
  <c r="M114" i="5"/>
  <c r="B1089" i="5"/>
  <c r="C1089" i="5"/>
  <c r="D1089" i="5"/>
  <c r="E1089" i="5"/>
  <c r="G1089" i="5"/>
  <c r="H1089" i="5"/>
  <c r="I1089" i="5"/>
  <c r="J1089" i="5"/>
  <c r="L1089" i="5"/>
  <c r="M1089" i="5"/>
  <c r="B634" i="5"/>
  <c r="C634" i="5"/>
  <c r="D634" i="5"/>
  <c r="E634" i="5"/>
  <c r="G634" i="5"/>
  <c r="H634" i="5"/>
  <c r="I634" i="5"/>
  <c r="J634" i="5"/>
  <c r="L634" i="5"/>
  <c r="M634" i="5"/>
  <c r="B745" i="5"/>
  <c r="C745" i="5"/>
  <c r="D745" i="5"/>
  <c r="E745" i="5"/>
  <c r="G745" i="5"/>
  <c r="H745" i="5"/>
  <c r="I745" i="5"/>
  <c r="J745" i="5"/>
  <c r="L745" i="5"/>
  <c r="M745" i="5"/>
  <c r="B1085" i="5"/>
  <c r="C1085" i="5"/>
  <c r="D1085" i="5"/>
  <c r="E1085" i="5"/>
  <c r="G1085" i="5"/>
  <c r="H1085" i="5"/>
  <c r="I1085" i="5"/>
  <c r="J1085" i="5"/>
  <c r="L1085" i="5"/>
  <c r="M1085" i="5"/>
  <c r="B99" i="5"/>
  <c r="C99" i="5"/>
  <c r="D99" i="5"/>
  <c r="E99" i="5"/>
  <c r="G99" i="5"/>
  <c r="H99" i="5"/>
  <c r="I99" i="5"/>
  <c r="J99" i="5"/>
  <c r="L99" i="5"/>
  <c r="M99" i="5"/>
  <c r="B748" i="5"/>
  <c r="C748" i="5"/>
  <c r="D748" i="5"/>
  <c r="E748" i="5"/>
  <c r="G748" i="5"/>
  <c r="H748" i="5"/>
  <c r="I748" i="5"/>
  <c r="J748" i="5"/>
  <c r="L748" i="5"/>
  <c r="M748" i="5"/>
  <c r="B1005" i="5"/>
  <c r="C1005" i="5"/>
  <c r="D1005" i="5"/>
  <c r="E1005" i="5"/>
  <c r="G1005" i="5"/>
  <c r="H1005" i="5"/>
  <c r="I1005" i="5"/>
  <c r="J1005" i="5"/>
  <c r="L1005" i="5"/>
  <c r="M1005" i="5"/>
  <c r="B638" i="5"/>
  <c r="C638" i="5"/>
  <c r="D638" i="5"/>
  <c r="E638" i="5"/>
  <c r="G638" i="5"/>
  <c r="H638" i="5"/>
  <c r="I638" i="5"/>
  <c r="J638" i="5"/>
  <c r="L638" i="5"/>
  <c r="M638" i="5"/>
  <c r="B459" i="5"/>
  <c r="C459" i="5"/>
  <c r="D459" i="5"/>
  <c r="E459" i="5"/>
  <c r="G459" i="5"/>
  <c r="H459" i="5"/>
  <c r="I459" i="5"/>
  <c r="J459" i="5"/>
  <c r="L459" i="5"/>
  <c r="M459" i="5"/>
  <c r="B958" i="5"/>
  <c r="C958" i="5"/>
  <c r="D958" i="5"/>
  <c r="E958" i="5"/>
  <c r="G958" i="5"/>
  <c r="H958" i="5"/>
  <c r="I958" i="5"/>
  <c r="J958" i="5"/>
  <c r="L958" i="5"/>
  <c r="M958" i="5"/>
  <c r="B191" i="5"/>
  <c r="C191" i="5"/>
  <c r="D191" i="5"/>
  <c r="E191" i="5"/>
  <c r="G191" i="5"/>
  <c r="H191" i="5"/>
  <c r="I191" i="5"/>
  <c r="J191" i="5"/>
  <c r="L191" i="5"/>
  <c r="M191" i="5"/>
  <c r="B1230" i="5"/>
  <c r="C1230" i="5"/>
  <c r="D1230" i="5"/>
  <c r="E1230" i="5"/>
  <c r="G1230" i="5"/>
  <c r="H1230" i="5"/>
  <c r="I1230" i="5"/>
  <c r="J1230" i="5"/>
  <c r="L1230" i="5"/>
  <c r="M1230" i="5"/>
  <c r="B453" i="5"/>
  <c r="C453" i="5"/>
  <c r="D453" i="5"/>
  <c r="E453" i="5"/>
  <c r="G453" i="5"/>
  <c r="H453" i="5"/>
  <c r="I453" i="5"/>
  <c r="J453" i="5"/>
  <c r="L453" i="5"/>
  <c r="M453" i="5"/>
  <c r="B873" i="5"/>
  <c r="C873" i="5"/>
  <c r="D873" i="5"/>
  <c r="E873" i="5"/>
  <c r="G873" i="5"/>
  <c r="H873" i="5"/>
  <c r="I873" i="5"/>
  <c r="J873" i="5"/>
  <c r="L873" i="5"/>
  <c r="M873" i="5"/>
  <c r="B1202" i="5"/>
  <c r="C1202" i="5"/>
  <c r="D1202" i="5"/>
  <c r="E1202" i="5"/>
  <c r="G1202" i="5"/>
  <c r="H1202" i="5"/>
  <c r="I1202" i="5"/>
  <c r="J1202" i="5"/>
  <c r="L1202" i="5"/>
  <c r="M1202" i="5"/>
  <c r="B1304" i="5"/>
  <c r="C1304" i="5"/>
  <c r="D1304" i="5"/>
  <c r="E1304" i="5"/>
  <c r="G1304" i="5"/>
  <c r="H1304" i="5"/>
  <c r="I1304" i="5"/>
  <c r="J1304" i="5"/>
  <c r="L1304" i="5"/>
  <c r="M1304" i="5"/>
  <c r="B67" i="5"/>
  <c r="C67" i="5"/>
  <c r="D67" i="5"/>
  <c r="E67" i="5"/>
  <c r="G67" i="5"/>
  <c r="H67" i="5"/>
  <c r="I67" i="5"/>
  <c r="J67" i="5"/>
  <c r="L67" i="5"/>
  <c r="M67" i="5"/>
  <c r="B590" i="5"/>
  <c r="C590" i="5"/>
  <c r="D590" i="5"/>
  <c r="E590" i="5"/>
  <c r="G590" i="5"/>
  <c r="H590" i="5"/>
  <c r="I590" i="5"/>
  <c r="J590" i="5"/>
  <c r="L590" i="5"/>
  <c r="M590" i="5"/>
  <c r="B1013" i="5"/>
  <c r="C1013" i="5"/>
  <c r="D1013" i="5"/>
  <c r="E1013" i="5"/>
  <c r="G1013" i="5"/>
  <c r="H1013" i="5"/>
  <c r="I1013" i="5"/>
  <c r="J1013" i="5"/>
  <c r="L1013" i="5"/>
  <c r="M1013" i="5"/>
  <c r="B998" i="5"/>
  <c r="C998" i="5"/>
  <c r="D998" i="5"/>
  <c r="E998" i="5"/>
  <c r="G998" i="5"/>
  <c r="H998" i="5"/>
  <c r="I998" i="5"/>
  <c r="J998" i="5"/>
  <c r="L998" i="5"/>
  <c r="M998" i="5"/>
  <c r="B661" i="5"/>
  <c r="C661" i="5"/>
  <c r="D661" i="5"/>
  <c r="E661" i="5"/>
  <c r="G661" i="5"/>
  <c r="H661" i="5"/>
  <c r="I661" i="5"/>
  <c r="J661" i="5"/>
  <c r="L661" i="5"/>
  <c r="M661" i="5"/>
  <c r="B263" i="5"/>
  <c r="C263" i="5"/>
  <c r="D263" i="5"/>
  <c r="E263" i="5"/>
  <c r="G263" i="5"/>
  <c r="H263" i="5"/>
  <c r="I263" i="5"/>
  <c r="J263" i="5"/>
  <c r="L263" i="5"/>
  <c r="M263" i="5"/>
  <c r="B216" i="5"/>
  <c r="C216" i="5"/>
  <c r="D216" i="5"/>
  <c r="E216" i="5"/>
  <c r="G216" i="5"/>
  <c r="H216" i="5"/>
  <c r="I216" i="5"/>
  <c r="J216" i="5"/>
  <c r="L216" i="5"/>
  <c r="M216" i="5"/>
  <c r="B536" i="5"/>
  <c r="C536" i="5"/>
  <c r="D536" i="5"/>
  <c r="E536" i="5"/>
  <c r="G536" i="5"/>
  <c r="H536" i="5"/>
  <c r="I536" i="5"/>
  <c r="J536" i="5"/>
  <c r="L536" i="5"/>
  <c r="M536" i="5"/>
  <c r="B848" i="5"/>
  <c r="C848" i="5"/>
  <c r="D848" i="5"/>
  <c r="E848" i="5"/>
  <c r="G848" i="5"/>
  <c r="H848" i="5"/>
  <c r="I848" i="5"/>
  <c r="J848" i="5"/>
  <c r="L848" i="5"/>
  <c r="M848" i="5"/>
  <c r="B424" i="5"/>
  <c r="C424" i="5"/>
  <c r="D424" i="5"/>
  <c r="E424" i="5"/>
  <c r="G424" i="5"/>
  <c r="H424" i="5"/>
  <c r="I424" i="5"/>
  <c r="J424" i="5"/>
  <c r="L424" i="5"/>
  <c r="M424" i="5"/>
  <c r="B768" i="5"/>
  <c r="C768" i="5"/>
  <c r="D768" i="5"/>
  <c r="E768" i="5"/>
  <c r="G768" i="5"/>
  <c r="H768" i="5"/>
  <c r="I768" i="5"/>
  <c r="J768" i="5"/>
  <c r="L768" i="5"/>
  <c r="M768" i="5"/>
  <c r="B1197" i="5"/>
  <c r="C1197" i="5"/>
  <c r="D1197" i="5"/>
  <c r="E1197" i="5"/>
  <c r="G1197" i="5"/>
  <c r="H1197" i="5"/>
  <c r="I1197" i="5"/>
  <c r="J1197" i="5"/>
  <c r="L1197" i="5"/>
  <c r="M1197" i="5"/>
  <c r="B682" i="5"/>
  <c r="C682" i="5"/>
  <c r="D682" i="5"/>
  <c r="E682" i="5"/>
  <c r="G682" i="5"/>
  <c r="H682" i="5"/>
  <c r="I682" i="5"/>
  <c r="J682" i="5"/>
  <c r="L682" i="5"/>
  <c r="M682" i="5"/>
  <c r="B949" i="5"/>
  <c r="C949" i="5"/>
  <c r="D949" i="5"/>
  <c r="E949" i="5"/>
  <c r="G949" i="5"/>
  <c r="H949" i="5"/>
  <c r="I949" i="5"/>
  <c r="J949" i="5"/>
  <c r="L949" i="5"/>
  <c r="M949" i="5"/>
  <c r="B280" i="5"/>
  <c r="C280" i="5"/>
  <c r="D280" i="5"/>
  <c r="E280" i="5"/>
  <c r="G280" i="5"/>
  <c r="H280" i="5"/>
  <c r="I280" i="5"/>
  <c r="J280" i="5"/>
  <c r="L280" i="5"/>
  <c r="M280" i="5"/>
  <c r="B127" i="5"/>
  <c r="C127" i="5"/>
  <c r="D127" i="5"/>
  <c r="E127" i="5"/>
  <c r="G127" i="5"/>
  <c r="H127" i="5"/>
  <c r="I127" i="5"/>
  <c r="J127" i="5"/>
  <c r="L127" i="5"/>
  <c r="M127" i="5"/>
  <c r="B89" i="5"/>
  <c r="C89" i="5"/>
  <c r="D89" i="5"/>
  <c r="E89" i="5"/>
  <c r="G89" i="5"/>
  <c r="H89" i="5"/>
  <c r="I89" i="5"/>
  <c r="J89" i="5"/>
  <c r="L89" i="5"/>
  <c r="M89" i="5"/>
  <c r="B1177" i="5"/>
  <c r="C1177" i="5"/>
  <c r="D1177" i="5"/>
  <c r="E1177" i="5"/>
  <c r="G1177" i="5"/>
  <c r="H1177" i="5"/>
  <c r="I1177" i="5"/>
  <c r="J1177" i="5"/>
  <c r="L1177" i="5"/>
  <c r="M1177" i="5"/>
  <c r="B365" i="5"/>
  <c r="C365" i="5"/>
  <c r="D365" i="5"/>
  <c r="E365" i="5"/>
  <c r="G365" i="5"/>
  <c r="H365" i="5"/>
  <c r="I365" i="5"/>
  <c r="J365" i="5"/>
  <c r="L365" i="5"/>
  <c r="M365" i="5"/>
  <c r="B341" i="5"/>
  <c r="C341" i="5"/>
  <c r="D341" i="5"/>
  <c r="E341" i="5"/>
  <c r="G341" i="5"/>
  <c r="H341" i="5"/>
  <c r="I341" i="5"/>
  <c r="J341" i="5"/>
  <c r="L341" i="5"/>
  <c r="M341" i="5"/>
  <c r="B384" i="5"/>
  <c r="C384" i="5"/>
  <c r="D384" i="5"/>
  <c r="E384" i="5"/>
  <c r="G384" i="5"/>
  <c r="H384" i="5"/>
  <c r="I384" i="5"/>
  <c r="J384" i="5"/>
  <c r="L384" i="5"/>
  <c r="M384" i="5"/>
  <c r="B802" i="5"/>
  <c r="C802" i="5"/>
  <c r="D802" i="5"/>
  <c r="E802" i="5"/>
  <c r="G802" i="5"/>
  <c r="H802" i="5"/>
  <c r="I802" i="5"/>
  <c r="J802" i="5"/>
  <c r="L802" i="5"/>
  <c r="M802" i="5"/>
  <c r="B337" i="5"/>
  <c r="C337" i="5"/>
  <c r="D337" i="5"/>
  <c r="E337" i="5"/>
  <c r="G337" i="5"/>
  <c r="H337" i="5"/>
  <c r="I337" i="5"/>
  <c r="J337" i="5"/>
  <c r="L337" i="5"/>
  <c r="M337" i="5"/>
  <c r="B1325" i="5"/>
  <c r="C1325" i="5"/>
  <c r="D1325" i="5"/>
  <c r="E1325" i="5"/>
  <c r="G1325" i="5"/>
  <c r="H1325" i="5"/>
  <c r="I1325" i="5"/>
  <c r="J1325" i="5"/>
  <c r="L1325" i="5"/>
  <c r="M1325" i="5"/>
  <c r="B617" i="5"/>
  <c r="C617" i="5"/>
  <c r="D617" i="5"/>
  <c r="E617" i="5"/>
  <c r="G617" i="5"/>
  <c r="H617" i="5"/>
  <c r="I617" i="5"/>
  <c r="J617" i="5"/>
  <c r="L617" i="5"/>
  <c r="M617" i="5"/>
  <c r="B861" i="5"/>
  <c r="C861" i="5"/>
  <c r="D861" i="5"/>
  <c r="E861" i="5"/>
  <c r="G861" i="5"/>
  <c r="H861" i="5"/>
  <c r="I861" i="5"/>
  <c r="J861" i="5"/>
  <c r="L861" i="5"/>
  <c r="M861" i="5"/>
  <c r="B132" i="5"/>
  <c r="C132" i="5"/>
  <c r="D132" i="5"/>
  <c r="E132" i="5"/>
  <c r="G132" i="5"/>
  <c r="H132" i="5"/>
  <c r="I132" i="5"/>
  <c r="J132" i="5"/>
  <c r="L132" i="5"/>
  <c r="M132" i="5"/>
  <c r="B800" i="5"/>
  <c r="C800" i="5"/>
  <c r="D800" i="5"/>
  <c r="E800" i="5"/>
  <c r="G800" i="5"/>
  <c r="H800" i="5"/>
  <c r="I800" i="5"/>
  <c r="J800" i="5"/>
  <c r="L800" i="5"/>
  <c r="M800" i="5"/>
  <c r="B691" i="5"/>
  <c r="C691" i="5"/>
  <c r="D691" i="5"/>
  <c r="E691" i="5"/>
  <c r="G691" i="5"/>
  <c r="H691" i="5"/>
  <c r="I691" i="5"/>
  <c r="J691" i="5"/>
  <c r="L691" i="5"/>
  <c r="M691" i="5"/>
  <c r="B641" i="5"/>
  <c r="C641" i="5"/>
  <c r="D641" i="5"/>
  <c r="E641" i="5"/>
  <c r="G641" i="5"/>
  <c r="H641" i="5"/>
  <c r="I641" i="5"/>
  <c r="J641" i="5"/>
  <c r="L641" i="5"/>
  <c r="M641" i="5"/>
  <c r="B2" i="5"/>
  <c r="C2" i="5"/>
  <c r="D2" i="5"/>
  <c r="E2" i="5"/>
  <c r="G2" i="5"/>
  <c r="H2" i="5"/>
  <c r="I2" i="5"/>
  <c r="J2" i="5"/>
  <c r="L2" i="5"/>
  <c r="M2" i="5"/>
  <c r="B404" i="5"/>
  <c r="C404" i="5"/>
  <c r="D404" i="5"/>
  <c r="E404" i="5"/>
  <c r="G404" i="5"/>
  <c r="H404" i="5"/>
  <c r="I404" i="5"/>
  <c r="J404" i="5"/>
  <c r="L404" i="5"/>
  <c r="M404" i="5"/>
  <c r="B957" i="5"/>
  <c r="C957" i="5"/>
  <c r="D957" i="5"/>
  <c r="E957" i="5"/>
  <c r="G957" i="5"/>
  <c r="H957" i="5"/>
  <c r="I957" i="5"/>
  <c r="J957" i="5"/>
  <c r="L957" i="5"/>
  <c r="M957" i="5"/>
  <c r="B526" i="5"/>
  <c r="C526" i="5"/>
  <c r="D526" i="5"/>
  <c r="E526" i="5"/>
  <c r="G526" i="5"/>
  <c r="H526" i="5"/>
  <c r="I526" i="5"/>
  <c r="J526" i="5"/>
  <c r="L526" i="5"/>
  <c r="M526" i="5"/>
  <c r="B219" i="5"/>
  <c r="C219" i="5"/>
  <c r="D219" i="5"/>
  <c r="E219" i="5"/>
  <c r="G219" i="5"/>
  <c r="H219" i="5"/>
  <c r="I219" i="5"/>
  <c r="J219" i="5"/>
  <c r="L219" i="5"/>
  <c r="M219" i="5"/>
  <c r="B1008" i="5"/>
  <c r="C1008" i="5"/>
  <c r="D1008" i="5"/>
  <c r="E1008" i="5"/>
  <c r="G1008" i="5"/>
  <c r="H1008" i="5"/>
  <c r="I1008" i="5"/>
  <c r="J1008" i="5"/>
  <c r="L1008" i="5"/>
  <c r="M1008" i="5"/>
  <c r="B154" i="5"/>
  <c r="C154" i="5"/>
  <c r="D154" i="5"/>
  <c r="E154" i="5"/>
  <c r="G154" i="5"/>
  <c r="H154" i="5"/>
  <c r="I154" i="5"/>
  <c r="J154" i="5"/>
  <c r="L154" i="5"/>
  <c r="M154" i="5"/>
  <c r="B200" i="5"/>
  <c r="C200" i="5"/>
  <c r="D200" i="5"/>
  <c r="E200" i="5"/>
  <c r="G200" i="5"/>
  <c r="H200" i="5"/>
  <c r="I200" i="5"/>
  <c r="J200" i="5"/>
  <c r="L200" i="5"/>
  <c r="M200" i="5"/>
  <c r="B888" i="5"/>
  <c r="C888" i="5"/>
  <c r="D888" i="5"/>
  <c r="E888" i="5"/>
  <c r="G888" i="5"/>
  <c r="H888" i="5"/>
  <c r="I888" i="5"/>
  <c r="J888" i="5"/>
  <c r="L888" i="5"/>
  <c r="M888" i="5"/>
  <c r="B465" i="5"/>
  <c r="C465" i="5"/>
  <c r="D465" i="5"/>
  <c r="E465" i="5"/>
  <c r="G465" i="5"/>
  <c r="H465" i="5"/>
  <c r="I465" i="5"/>
  <c r="J465" i="5"/>
  <c r="L465" i="5"/>
  <c r="M465" i="5"/>
  <c r="B21" i="5"/>
  <c r="C21" i="5"/>
  <c r="D21" i="5"/>
  <c r="E21" i="5"/>
  <c r="G21" i="5"/>
  <c r="H21" i="5"/>
  <c r="I21" i="5"/>
  <c r="J21" i="5"/>
  <c r="L21" i="5"/>
  <c r="M21" i="5"/>
  <c r="B1098" i="5"/>
  <c r="C1098" i="5"/>
  <c r="D1098" i="5"/>
  <c r="E1098" i="5"/>
  <c r="G1098" i="5"/>
  <c r="H1098" i="5"/>
  <c r="I1098" i="5"/>
  <c r="J1098" i="5"/>
  <c r="L1098" i="5"/>
  <c r="M1098" i="5"/>
  <c r="B655" i="5"/>
  <c r="C655" i="5"/>
  <c r="D655" i="5"/>
  <c r="E655" i="5"/>
  <c r="G655" i="5"/>
  <c r="H655" i="5"/>
  <c r="I655" i="5"/>
  <c r="J655" i="5"/>
  <c r="L655" i="5"/>
  <c r="M655" i="5"/>
  <c r="B437" i="5"/>
  <c r="C437" i="5"/>
  <c r="D437" i="5"/>
  <c r="E437" i="5"/>
  <c r="G437" i="5"/>
  <c r="H437" i="5"/>
  <c r="I437" i="5"/>
  <c r="J437" i="5"/>
  <c r="L437" i="5"/>
  <c r="M437" i="5"/>
  <c r="B495" i="5"/>
  <c r="C495" i="5"/>
  <c r="D495" i="5"/>
  <c r="E495" i="5"/>
  <c r="G495" i="5"/>
  <c r="H495" i="5"/>
  <c r="I495" i="5"/>
  <c r="J495" i="5"/>
  <c r="L495" i="5"/>
  <c r="M495" i="5"/>
  <c r="B1117" i="5"/>
  <c r="C1117" i="5"/>
  <c r="D1117" i="5"/>
  <c r="E1117" i="5"/>
  <c r="G1117" i="5"/>
  <c r="H1117" i="5"/>
  <c r="I1117" i="5"/>
  <c r="J1117" i="5"/>
  <c r="L1117" i="5"/>
  <c r="M1117" i="5"/>
  <c r="B1301" i="5"/>
  <c r="C1301" i="5"/>
  <c r="D1301" i="5"/>
  <c r="E1301" i="5"/>
  <c r="G1301" i="5"/>
  <c r="H1301" i="5"/>
  <c r="I1301" i="5"/>
  <c r="J1301" i="5"/>
  <c r="L1301" i="5"/>
  <c r="M1301" i="5"/>
  <c r="B806" i="5"/>
  <c r="C806" i="5"/>
  <c r="D806" i="5"/>
  <c r="E806" i="5"/>
  <c r="G806" i="5"/>
  <c r="H806" i="5"/>
  <c r="I806" i="5"/>
  <c r="J806" i="5"/>
  <c r="L806" i="5"/>
  <c r="M806" i="5"/>
  <c r="B390" i="5"/>
  <c r="C390" i="5"/>
  <c r="D390" i="5"/>
  <c r="E390" i="5"/>
  <c r="G390" i="5"/>
  <c r="H390" i="5"/>
  <c r="I390" i="5"/>
  <c r="J390" i="5"/>
  <c r="L390" i="5"/>
  <c r="M390" i="5"/>
  <c r="B588" i="5"/>
  <c r="C588" i="5"/>
  <c r="D588" i="5"/>
  <c r="E588" i="5"/>
  <c r="G588" i="5"/>
  <c r="H588" i="5"/>
  <c r="I588" i="5"/>
  <c r="J588" i="5"/>
  <c r="L588" i="5"/>
  <c r="M588" i="5"/>
  <c r="B418" i="5"/>
  <c r="C418" i="5"/>
  <c r="D418" i="5"/>
  <c r="E418" i="5"/>
  <c r="G418" i="5"/>
  <c r="H418" i="5"/>
  <c r="I418" i="5"/>
  <c r="J418" i="5"/>
  <c r="L418" i="5"/>
  <c r="M418" i="5"/>
  <c r="B1268" i="5"/>
  <c r="C1268" i="5"/>
  <c r="D1268" i="5"/>
  <c r="E1268" i="5"/>
  <c r="G1268" i="5"/>
  <c r="H1268" i="5"/>
  <c r="I1268" i="5"/>
  <c r="J1268" i="5"/>
  <c r="L1268" i="5"/>
  <c r="M1268" i="5"/>
  <c r="B133" i="5"/>
  <c r="C133" i="5"/>
  <c r="D133" i="5"/>
  <c r="E133" i="5"/>
  <c r="G133" i="5"/>
  <c r="H133" i="5"/>
  <c r="I133" i="5"/>
  <c r="J133" i="5"/>
  <c r="L133" i="5"/>
  <c r="M133" i="5"/>
  <c r="B1225" i="5"/>
  <c r="C1225" i="5"/>
  <c r="D1225" i="5"/>
  <c r="E1225" i="5"/>
  <c r="G1225" i="5"/>
  <c r="H1225" i="5"/>
  <c r="I1225" i="5"/>
  <c r="J1225" i="5"/>
  <c r="L1225" i="5"/>
  <c r="M1225" i="5"/>
  <c r="B785" i="5"/>
  <c r="C785" i="5"/>
  <c r="D785" i="5"/>
  <c r="E785" i="5"/>
  <c r="G785" i="5"/>
  <c r="H785" i="5"/>
  <c r="I785" i="5"/>
  <c r="J785" i="5"/>
  <c r="L785" i="5"/>
  <c r="M785" i="5"/>
  <c r="B1147" i="5"/>
  <c r="C1147" i="5"/>
  <c r="D1147" i="5"/>
  <c r="E1147" i="5"/>
  <c r="G1147" i="5"/>
  <c r="H1147" i="5"/>
  <c r="I1147" i="5"/>
  <c r="J1147" i="5"/>
  <c r="L1147" i="5"/>
  <c r="M1147" i="5"/>
  <c r="B356" i="5"/>
  <c r="C356" i="5"/>
  <c r="D356" i="5"/>
  <c r="E356" i="5"/>
  <c r="G356" i="5"/>
  <c r="H356" i="5"/>
  <c r="I356" i="5"/>
  <c r="J356" i="5"/>
  <c r="L356" i="5"/>
  <c r="M356" i="5"/>
  <c r="B1293" i="5"/>
  <c r="C1293" i="5"/>
  <c r="D1293" i="5"/>
  <c r="E1293" i="5"/>
  <c r="G1293" i="5"/>
  <c r="H1293" i="5"/>
  <c r="I1293" i="5"/>
  <c r="J1293" i="5"/>
  <c r="L1293" i="5"/>
  <c r="M1293" i="5"/>
  <c r="B506" i="5"/>
  <c r="C506" i="5"/>
  <c r="D506" i="5"/>
  <c r="E506" i="5"/>
  <c r="G506" i="5"/>
  <c r="H506" i="5"/>
  <c r="I506" i="5"/>
  <c r="J506" i="5"/>
  <c r="L506" i="5"/>
  <c r="M506" i="5"/>
  <c r="B1265" i="5"/>
  <c r="C1265" i="5"/>
  <c r="D1265" i="5"/>
  <c r="E1265" i="5"/>
  <c r="G1265" i="5"/>
  <c r="H1265" i="5"/>
  <c r="I1265" i="5"/>
  <c r="J1265" i="5"/>
  <c r="L1265" i="5"/>
  <c r="M1265" i="5"/>
  <c r="B82" i="5"/>
  <c r="C82" i="5"/>
  <c r="D82" i="5"/>
  <c r="E82" i="5"/>
  <c r="G82" i="5"/>
  <c r="H82" i="5"/>
  <c r="I82" i="5"/>
  <c r="J82" i="5"/>
  <c r="L82" i="5"/>
  <c r="M82" i="5"/>
  <c r="B1056" i="5"/>
  <c r="C1056" i="5"/>
  <c r="D1056" i="5"/>
  <c r="E1056" i="5"/>
  <c r="G1056" i="5"/>
  <c r="H1056" i="5"/>
  <c r="I1056" i="5"/>
  <c r="J1056" i="5"/>
  <c r="L1056" i="5"/>
  <c r="M1056" i="5"/>
  <c r="B4" i="5"/>
  <c r="C4" i="5"/>
  <c r="D4" i="5"/>
  <c r="E4" i="5"/>
  <c r="G4" i="5"/>
  <c r="H4" i="5"/>
  <c r="I4" i="5"/>
  <c r="J4" i="5"/>
  <c r="L4" i="5"/>
  <c r="M4" i="5"/>
  <c r="B440" i="5"/>
  <c r="C440" i="5"/>
  <c r="D440" i="5"/>
  <c r="E440" i="5"/>
  <c r="G440" i="5"/>
  <c r="H440" i="5"/>
  <c r="I440" i="5"/>
  <c r="J440" i="5"/>
  <c r="L440" i="5"/>
  <c r="M440" i="5"/>
  <c r="B823" i="5"/>
  <c r="C823" i="5"/>
  <c r="D823" i="5"/>
  <c r="E823" i="5"/>
  <c r="G823" i="5"/>
  <c r="H823" i="5"/>
  <c r="I823" i="5"/>
  <c r="J823" i="5"/>
  <c r="L823" i="5"/>
  <c r="M823" i="5"/>
  <c r="B243" i="5"/>
  <c r="C243" i="5"/>
  <c r="D243" i="5"/>
  <c r="E243" i="5"/>
  <c r="G243" i="5"/>
  <c r="H243" i="5"/>
  <c r="I243" i="5"/>
  <c r="J243" i="5"/>
  <c r="L243" i="5"/>
  <c r="M243" i="5"/>
  <c r="B1129" i="5"/>
  <c r="C1129" i="5"/>
  <c r="D1129" i="5"/>
  <c r="E1129" i="5"/>
  <c r="G1129" i="5"/>
  <c r="H1129" i="5"/>
  <c r="I1129" i="5"/>
  <c r="J1129" i="5"/>
  <c r="L1129" i="5"/>
  <c r="M1129" i="5"/>
  <c r="B731" i="5"/>
  <c r="C731" i="5"/>
  <c r="D731" i="5"/>
  <c r="E731" i="5"/>
  <c r="G731" i="5"/>
  <c r="H731" i="5"/>
  <c r="I731" i="5"/>
  <c r="J731" i="5"/>
  <c r="L731" i="5"/>
  <c r="M731" i="5"/>
  <c r="B241" i="5"/>
  <c r="C241" i="5"/>
  <c r="D241" i="5"/>
  <c r="E241" i="5"/>
  <c r="G241" i="5"/>
  <c r="H241" i="5"/>
  <c r="I241" i="5"/>
  <c r="J241" i="5"/>
  <c r="L241" i="5"/>
  <c r="M241" i="5"/>
  <c r="B1340" i="5"/>
  <c r="C1340" i="5"/>
  <c r="D1340" i="5"/>
  <c r="E1340" i="5"/>
  <c r="G1340" i="5"/>
  <c r="H1340" i="5"/>
  <c r="I1340" i="5"/>
  <c r="J1340" i="5"/>
  <c r="L1340" i="5"/>
  <c r="M1340" i="5"/>
  <c r="B272" i="5"/>
  <c r="C272" i="5"/>
  <c r="D272" i="5"/>
  <c r="E272" i="5"/>
  <c r="G272" i="5"/>
  <c r="H272" i="5"/>
  <c r="I272" i="5"/>
  <c r="J272" i="5"/>
  <c r="L272" i="5"/>
  <c r="M272" i="5"/>
  <c r="B261" i="5"/>
  <c r="C261" i="5"/>
  <c r="D261" i="5"/>
  <c r="E261" i="5"/>
  <c r="G261" i="5"/>
  <c r="H261" i="5"/>
  <c r="I261" i="5"/>
  <c r="J261" i="5"/>
  <c r="L261" i="5"/>
  <c r="M261" i="5"/>
  <c r="B350" i="5"/>
  <c r="C350" i="5"/>
  <c r="D350" i="5"/>
  <c r="E350" i="5"/>
  <c r="G350" i="5"/>
  <c r="H350" i="5"/>
  <c r="I350" i="5"/>
  <c r="J350" i="5"/>
  <c r="L350" i="5"/>
  <c r="M350" i="5"/>
  <c r="B349" i="5"/>
  <c r="C349" i="5"/>
  <c r="D349" i="5"/>
  <c r="E349" i="5"/>
  <c r="G349" i="5"/>
  <c r="H349" i="5"/>
  <c r="I349" i="5"/>
  <c r="J349" i="5"/>
  <c r="L349" i="5"/>
  <c r="M349" i="5"/>
  <c r="B166" i="5"/>
  <c r="C166" i="5"/>
  <c r="D166" i="5"/>
  <c r="E166" i="5"/>
  <c r="G166" i="5"/>
  <c r="H166" i="5"/>
  <c r="I166" i="5"/>
  <c r="J166" i="5"/>
  <c r="L166" i="5"/>
  <c r="M166" i="5"/>
  <c r="B1083" i="5"/>
  <c r="C1083" i="5"/>
  <c r="D1083" i="5"/>
  <c r="E1083" i="5"/>
  <c r="G1083" i="5"/>
  <c r="H1083" i="5"/>
  <c r="I1083" i="5"/>
  <c r="J1083" i="5"/>
  <c r="L1083" i="5"/>
  <c r="M1083" i="5"/>
  <c r="B33" i="5"/>
  <c r="C33" i="5"/>
  <c r="D33" i="5"/>
  <c r="E33" i="5"/>
  <c r="G33" i="5"/>
  <c r="H33" i="5"/>
  <c r="I33" i="5"/>
  <c r="J33" i="5"/>
  <c r="L33" i="5"/>
  <c r="M33" i="5"/>
  <c r="B70" i="5"/>
  <c r="C70" i="5"/>
  <c r="D70" i="5"/>
  <c r="E70" i="5"/>
  <c r="G70" i="5"/>
  <c r="H70" i="5"/>
  <c r="I70" i="5"/>
  <c r="J70" i="5"/>
  <c r="L70" i="5"/>
  <c r="M70" i="5"/>
  <c r="B601" i="5"/>
  <c r="C601" i="5"/>
  <c r="D601" i="5"/>
  <c r="E601" i="5"/>
  <c r="G601" i="5"/>
  <c r="H601" i="5"/>
  <c r="I601" i="5"/>
  <c r="J601" i="5"/>
  <c r="L601" i="5"/>
  <c r="M601" i="5"/>
  <c r="B149" i="5"/>
  <c r="C149" i="5"/>
  <c r="D149" i="5"/>
  <c r="E149" i="5"/>
  <c r="G149" i="5"/>
  <c r="H149" i="5"/>
  <c r="I149" i="5"/>
  <c r="J149" i="5"/>
  <c r="L149" i="5"/>
  <c r="M149" i="5"/>
  <c r="B277" i="5"/>
  <c r="C277" i="5"/>
  <c r="D277" i="5"/>
  <c r="E277" i="5"/>
  <c r="G277" i="5"/>
  <c r="H277" i="5"/>
  <c r="I277" i="5"/>
  <c r="J277" i="5"/>
  <c r="L277" i="5"/>
  <c r="M277" i="5"/>
  <c r="B389" i="5"/>
  <c r="C389" i="5"/>
  <c r="D389" i="5"/>
  <c r="E389" i="5"/>
  <c r="G389" i="5"/>
  <c r="H389" i="5"/>
  <c r="I389" i="5"/>
  <c r="J389" i="5"/>
  <c r="L389" i="5"/>
  <c r="M389" i="5"/>
  <c r="B709" i="5"/>
  <c r="C709" i="5"/>
  <c r="D709" i="5"/>
  <c r="E709" i="5"/>
  <c r="G709" i="5"/>
  <c r="H709" i="5"/>
  <c r="I709" i="5"/>
  <c r="J709" i="5"/>
  <c r="L709" i="5"/>
  <c r="M709" i="5"/>
  <c r="B947" i="5"/>
  <c r="C947" i="5"/>
  <c r="D947" i="5"/>
  <c r="E947" i="5"/>
  <c r="G947" i="5"/>
  <c r="H947" i="5"/>
  <c r="I947" i="5"/>
  <c r="J947" i="5"/>
  <c r="L947" i="5"/>
  <c r="M947" i="5"/>
  <c r="B1279" i="5"/>
  <c r="C1279" i="5"/>
  <c r="D1279" i="5"/>
  <c r="E1279" i="5"/>
  <c r="G1279" i="5"/>
  <c r="H1279" i="5"/>
  <c r="I1279" i="5"/>
  <c r="J1279" i="5"/>
  <c r="L1279" i="5"/>
  <c r="M1279" i="5"/>
  <c r="B821" i="5"/>
  <c r="C821" i="5"/>
  <c r="D821" i="5"/>
  <c r="E821" i="5"/>
  <c r="G821" i="5"/>
  <c r="H821" i="5"/>
  <c r="I821" i="5"/>
  <c r="J821" i="5"/>
  <c r="L821" i="5"/>
  <c r="M821" i="5"/>
  <c r="B1312" i="5"/>
  <c r="C1312" i="5"/>
  <c r="D1312" i="5"/>
  <c r="E1312" i="5"/>
  <c r="G1312" i="5"/>
  <c r="H1312" i="5"/>
  <c r="I1312" i="5"/>
  <c r="J1312" i="5"/>
  <c r="L1312" i="5"/>
  <c r="M1312" i="5"/>
  <c r="B1306" i="5"/>
  <c r="C1306" i="5"/>
  <c r="D1306" i="5"/>
  <c r="E1306" i="5"/>
  <c r="G1306" i="5"/>
  <c r="H1306" i="5"/>
  <c r="I1306" i="5"/>
  <c r="J1306" i="5"/>
  <c r="L1306" i="5"/>
  <c r="M1306" i="5"/>
  <c r="B552" i="5"/>
  <c r="C552" i="5"/>
  <c r="D552" i="5"/>
  <c r="E552" i="5"/>
  <c r="G552" i="5"/>
  <c r="H552" i="5"/>
  <c r="I552" i="5"/>
  <c r="J552" i="5"/>
  <c r="L552" i="5"/>
  <c r="M552" i="5"/>
  <c r="B925" i="5"/>
  <c r="C925" i="5"/>
  <c r="D925" i="5"/>
  <c r="E925" i="5"/>
  <c r="G925" i="5"/>
  <c r="H925" i="5"/>
  <c r="I925" i="5"/>
  <c r="J925" i="5"/>
  <c r="L925" i="5"/>
  <c r="M925" i="5"/>
  <c r="B340" i="5"/>
  <c r="C340" i="5"/>
  <c r="D340" i="5"/>
  <c r="E340" i="5"/>
  <c r="G340" i="5"/>
  <c r="H340" i="5"/>
  <c r="I340" i="5"/>
  <c r="J340" i="5"/>
  <c r="L340" i="5"/>
  <c r="M340" i="5"/>
  <c r="B1158" i="5"/>
  <c r="C1158" i="5"/>
  <c r="D1158" i="5"/>
  <c r="E1158" i="5"/>
  <c r="G1158" i="5"/>
  <c r="H1158" i="5"/>
  <c r="I1158" i="5"/>
  <c r="J1158" i="5"/>
  <c r="L1158" i="5"/>
  <c r="M1158" i="5"/>
  <c r="B1269" i="5"/>
  <c r="C1269" i="5"/>
  <c r="D1269" i="5"/>
  <c r="E1269" i="5"/>
  <c r="G1269" i="5"/>
  <c r="H1269" i="5"/>
  <c r="I1269" i="5"/>
  <c r="J1269" i="5"/>
  <c r="L1269" i="5"/>
  <c r="M1269" i="5"/>
  <c r="B896" i="5"/>
  <c r="C896" i="5"/>
  <c r="D896" i="5"/>
  <c r="E896" i="5"/>
  <c r="G896" i="5"/>
  <c r="H896" i="5"/>
  <c r="I896" i="5"/>
  <c r="J896" i="5"/>
  <c r="L896" i="5"/>
  <c r="M896" i="5"/>
  <c r="B538" i="5"/>
  <c r="C538" i="5"/>
  <c r="D538" i="5"/>
  <c r="E538" i="5"/>
  <c r="G538" i="5"/>
  <c r="H538" i="5"/>
  <c r="I538" i="5"/>
  <c r="J538" i="5"/>
  <c r="L538" i="5"/>
  <c r="M538" i="5"/>
  <c r="B196" i="5"/>
  <c r="C196" i="5"/>
  <c r="D196" i="5"/>
  <c r="E196" i="5"/>
  <c r="G196" i="5"/>
  <c r="H196" i="5"/>
  <c r="I196" i="5"/>
  <c r="J196" i="5"/>
  <c r="L196" i="5"/>
  <c r="M196" i="5"/>
  <c r="B228" i="5"/>
  <c r="C228" i="5"/>
  <c r="D228" i="5"/>
  <c r="E228" i="5"/>
  <c r="G228" i="5"/>
  <c r="H228" i="5"/>
  <c r="I228" i="5"/>
  <c r="J228" i="5"/>
  <c r="L228" i="5"/>
  <c r="M228" i="5"/>
  <c r="B7" i="5"/>
  <c r="C7" i="5"/>
  <c r="D7" i="5"/>
  <c r="E7" i="5"/>
  <c r="G7" i="5"/>
  <c r="H7" i="5"/>
  <c r="I7" i="5"/>
  <c r="J7" i="5"/>
  <c r="L7" i="5"/>
  <c r="M7" i="5"/>
  <c r="B1231" i="5"/>
  <c r="C1231" i="5"/>
  <c r="D1231" i="5"/>
  <c r="E1231" i="5"/>
  <c r="G1231" i="5"/>
  <c r="H1231" i="5"/>
  <c r="I1231" i="5"/>
  <c r="J1231" i="5"/>
  <c r="L1231" i="5"/>
  <c r="M1231" i="5"/>
  <c r="B121" i="5"/>
  <c r="C121" i="5"/>
  <c r="D121" i="5"/>
  <c r="E121" i="5"/>
  <c r="G121" i="5"/>
  <c r="H121" i="5"/>
  <c r="I121" i="5"/>
  <c r="J121" i="5"/>
  <c r="L121" i="5"/>
  <c r="M121" i="5"/>
  <c r="B1229" i="5"/>
  <c r="C1229" i="5"/>
  <c r="D1229" i="5"/>
  <c r="E1229" i="5"/>
  <c r="G1229" i="5"/>
  <c r="H1229" i="5"/>
  <c r="I1229" i="5"/>
  <c r="J1229" i="5"/>
  <c r="L1229" i="5"/>
  <c r="M1229" i="5"/>
  <c r="B773" i="5"/>
  <c r="C773" i="5"/>
  <c r="D773" i="5"/>
  <c r="E773" i="5"/>
  <c r="G773" i="5"/>
  <c r="H773" i="5"/>
  <c r="I773" i="5"/>
  <c r="J773" i="5"/>
  <c r="L773" i="5"/>
  <c r="M773" i="5"/>
  <c r="B246" i="5"/>
  <c r="C246" i="5"/>
  <c r="D246" i="5"/>
  <c r="E246" i="5"/>
  <c r="G246" i="5"/>
  <c r="H246" i="5"/>
  <c r="I246" i="5"/>
  <c r="J246" i="5"/>
  <c r="L246" i="5"/>
  <c r="M246" i="5"/>
  <c r="B1012" i="5"/>
  <c r="C1012" i="5"/>
  <c r="D1012" i="5"/>
  <c r="E1012" i="5"/>
  <c r="G1012" i="5"/>
  <c r="H1012" i="5"/>
  <c r="I1012" i="5"/>
  <c r="J1012" i="5"/>
  <c r="L1012" i="5"/>
  <c r="M1012" i="5"/>
  <c r="B234" i="5"/>
  <c r="C234" i="5"/>
  <c r="D234" i="5"/>
  <c r="E234" i="5"/>
  <c r="G234" i="5"/>
  <c r="H234" i="5"/>
  <c r="I234" i="5"/>
  <c r="J234" i="5"/>
  <c r="L234" i="5"/>
  <c r="M234" i="5"/>
  <c r="B1045" i="5"/>
  <c r="C1045" i="5"/>
  <c r="D1045" i="5"/>
  <c r="E1045" i="5"/>
  <c r="G1045" i="5"/>
  <c r="H1045" i="5"/>
  <c r="I1045" i="5"/>
  <c r="J1045" i="5"/>
  <c r="L1045" i="5"/>
  <c r="M1045" i="5"/>
  <c r="B407" i="5"/>
  <c r="C407" i="5"/>
  <c r="D407" i="5"/>
  <c r="E407" i="5"/>
  <c r="G407" i="5"/>
  <c r="H407" i="5"/>
  <c r="I407" i="5"/>
  <c r="J407" i="5"/>
  <c r="L407" i="5"/>
  <c r="M407" i="5"/>
  <c r="B1266" i="5"/>
  <c r="C1266" i="5"/>
  <c r="D1266" i="5"/>
  <c r="E1266" i="5"/>
  <c r="G1266" i="5"/>
  <c r="H1266" i="5"/>
  <c r="I1266" i="5"/>
  <c r="J1266" i="5"/>
  <c r="L1266" i="5"/>
  <c r="M1266" i="5"/>
  <c r="B860" i="5"/>
  <c r="C860" i="5"/>
  <c r="D860" i="5"/>
  <c r="E860" i="5"/>
  <c r="G860" i="5"/>
  <c r="H860" i="5"/>
  <c r="I860" i="5"/>
  <c r="J860" i="5"/>
  <c r="L860" i="5"/>
  <c r="M860" i="5"/>
  <c r="B528" i="5"/>
  <c r="C528" i="5"/>
  <c r="D528" i="5"/>
  <c r="E528" i="5"/>
  <c r="G528" i="5"/>
  <c r="H528" i="5"/>
  <c r="I528" i="5"/>
  <c r="J528" i="5"/>
  <c r="L528" i="5"/>
  <c r="M528" i="5"/>
  <c r="B1058" i="5"/>
  <c r="C1058" i="5"/>
  <c r="D1058" i="5"/>
  <c r="E1058" i="5"/>
  <c r="G1058" i="5"/>
  <c r="H1058" i="5"/>
  <c r="I1058" i="5"/>
  <c r="J1058" i="5"/>
  <c r="L1058" i="5"/>
  <c r="M1058" i="5"/>
  <c r="B783" i="5"/>
  <c r="C783" i="5"/>
  <c r="D783" i="5"/>
  <c r="E783" i="5"/>
  <c r="G783" i="5"/>
  <c r="H783" i="5"/>
  <c r="I783" i="5"/>
  <c r="J783" i="5"/>
  <c r="L783" i="5"/>
  <c r="M783" i="5"/>
  <c r="B273" i="5"/>
  <c r="C273" i="5"/>
  <c r="D273" i="5"/>
  <c r="E273" i="5"/>
  <c r="G273" i="5"/>
  <c r="H273" i="5"/>
  <c r="I273" i="5"/>
  <c r="J273" i="5"/>
  <c r="L273" i="5"/>
  <c r="M273" i="5"/>
  <c r="B59" i="5"/>
  <c r="C59" i="5"/>
  <c r="D59" i="5"/>
  <c r="E59" i="5"/>
  <c r="G59" i="5"/>
  <c r="H59" i="5"/>
  <c r="I59" i="5"/>
  <c r="J59" i="5"/>
  <c r="L59" i="5"/>
  <c r="M59" i="5"/>
  <c r="B1034" i="5"/>
  <c r="C1034" i="5"/>
  <c r="D1034" i="5"/>
  <c r="E1034" i="5"/>
  <c r="G1034" i="5"/>
  <c r="H1034" i="5"/>
  <c r="I1034" i="5"/>
  <c r="J1034" i="5"/>
  <c r="L1034" i="5"/>
  <c r="M1034" i="5"/>
  <c r="B972" i="5"/>
  <c r="C972" i="5"/>
  <c r="D972" i="5"/>
  <c r="E972" i="5"/>
  <c r="G972" i="5"/>
  <c r="H972" i="5"/>
  <c r="I972" i="5"/>
  <c r="J972" i="5"/>
  <c r="L972" i="5"/>
  <c r="M972" i="5"/>
  <c r="B1097" i="5"/>
  <c r="C1097" i="5"/>
  <c r="D1097" i="5"/>
  <c r="E1097" i="5"/>
  <c r="G1097" i="5"/>
  <c r="H1097" i="5"/>
  <c r="I1097" i="5"/>
  <c r="J1097" i="5"/>
  <c r="L1097" i="5"/>
  <c r="M1097" i="5"/>
  <c r="B1331" i="5"/>
  <c r="C1331" i="5"/>
  <c r="D1331" i="5"/>
  <c r="E1331" i="5"/>
  <c r="G1331" i="5"/>
  <c r="H1331" i="5"/>
  <c r="I1331" i="5"/>
  <c r="J1331" i="5"/>
  <c r="L1331" i="5"/>
  <c r="M1331" i="5"/>
  <c r="B1328" i="5"/>
  <c r="C1328" i="5"/>
  <c r="D1328" i="5"/>
  <c r="E1328" i="5"/>
  <c r="G1328" i="5"/>
  <c r="H1328" i="5"/>
  <c r="I1328" i="5"/>
  <c r="J1328" i="5"/>
  <c r="L1328" i="5"/>
  <c r="M1328" i="5"/>
  <c r="B1082" i="5"/>
  <c r="C1082" i="5"/>
  <c r="D1082" i="5"/>
  <c r="E1082" i="5"/>
  <c r="G1082" i="5"/>
  <c r="H1082" i="5"/>
  <c r="I1082" i="5"/>
  <c r="J1082" i="5"/>
  <c r="L1082" i="5"/>
  <c r="M1082" i="5"/>
  <c r="B583" i="5"/>
  <c r="C583" i="5"/>
  <c r="D583" i="5"/>
  <c r="E583" i="5"/>
  <c r="G583" i="5"/>
  <c r="H583" i="5"/>
  <c r="I583" i="5"/>
  <c r="J583" i="5"/>
  <c r="L583" i="5"/>
  <c r="M583" i="5"/>
  <c r="B1099" i="5"/>
  <c r="C1099" i="5"/>
  <c r="D1099" i="5"/>
  <c r="E1099" i="5"/>
  <c r="G1099" i="5"/>
  <c r="H1099" i="5"/>
  <c r="I1099" i="5"/>
  <c r="J1099" i="5"/>
  <c r="L1099" i="5"/>
  <c r="M1099" i="5"/>
  <c r="B838" i="5"/>
  <c r="C838" i="5"/>
  <c r="D838" i="5"/>
  <c r="E838" i="5"/>
  <c r="G838" i="5"/>
  <c r="H838" i="5"/>
  <c r="I838" i="5"/>
  <c r="J838" i="5"/>
  <c r="L838" i="5"/>
  <c r="M838" i="5"/>
  <c r="B1322" i="5"/>
  <c r="C1322" i="5"/>
  <c r="D1322" i="5"/>
  <c r="E1322" i="5"/>
  <c r="G1322" i="5"/>
  <c r="H1322" i="5"/>
  <c r="I1322" i="5"/>
  <c r="J1322" i="5"/>
  <c r="L1322" i="5"/>
  <c r="M1322" i="5"/>
  <c r="B264" i="5"/>
  <c r="C264" i="5"/>
  <c r="D264" i="5"/>
  <c r="E264" i="5"/>
  <c r="G264" i="5"/>
  <c r="H264" i="5"/>
  <c r="I264" i="5"/>
  <c r="J264" i="5"/>
  <c r="L264" i="5"/>
  <c r="M264" i="5"/>
  <c r="B344" i="5"/>
  <c r="C344" i="5"/>
  <c r="D344" i="5"/>
  <c r="E344" i="5"/>
  <c r="G344" i="5"/>
  <c r="H344" i="5"/>
  <c r="I344" i="5"/>
  <c r="J344" i="5"/>
  <c r="L344" i="5"/>
  <c r="M344" i="5"/>
  <c r="B250" i="5"/>
  <c r="C250" i="5"/>
  <c r="D250" i="5"/>
  <c r="E250" i="5"/>
  <c r="G250" i="5"/>
  <c r="H250" i="5"/>
  <c r="I250" i="5"/>
  <c r="J250" i="5"/>
  <c r="L250" i="5"/>
  <c r="M250" i="5"/>
  <c r="B1239" i="5"/>
  <c r="C1239" i="5"/>
  <c r="D1239" i="5"/>
  <c r="E1239" i="5"/>
  <c r="G1239" i="5"/>
  <c r="H1239" i="5"/>
  <c r="I1239" i="5"/>
  <c r="J1239" i="5"/>
  <c r="L1239" i="5"/>
  <c r="M1239" i="5"/>
  <c r="B1226" i="5"/>
  <c r="C1226" i="5"/>
  <c r="D1226" i="5"/>
  <c r="E1226" i="5"/>
  <c r="G1226" i="5"/>
  <c r="H1226" i="5"/>
  <c r="I1226" i="5"/>
  <c r="J1226" i="5"/>
  <c r="L1226" i="5"/>
  <c r="M1226" i="5"/>
  <c r="B798" i="5"/>
  <c r="C798" i="5"/>
  <c r="D798" i="5"/>
  <c r="E798" i="5"/>
  <c r="G798" i="5"/>
  <c r="H798" i="5"/>
  <c r="I798" i="5"/>
  <c r="J798" i="5"/>
  <c r="L798" i="5"/>
  <c r="M798" i="5"/>
  <c r="B91" i="5"/>
  <c r="C91" i="5"/>
  <c r="D91" i="5"/>
  <c r="E91" i="5"/>
  <c r="G91" i="5"/>
  <c r="H91" i="5"/>
  <c r="I91" i="5"/>
  <c r="J91" i="5"/>
  <c r="L91" i="5"/>
  <c r="M91" i="5"/>
  <c r="B658" i="5"/>
  <c r="C658" i="5"/>
  <c r="D658" i="5"/>
  <c r="E658" i="5"/>
  <c r="G658" i="5"/>
  <c r="H658" i="5"/>
  <c r="I658" i="5"/>
  <c r="J658" i="5"/>
  <c r="L658" i="5"/>
  <c r="M658" i="5"/>
  <c r="B436" i="5"/>
  <c r="C436" i="5"/>
  <c r="D436" i="5"/>
  <c r="E436" i="5"/>
  <c r="G436" i="5"/>
  <c r="H436" i="5"/>
  <c r="I436" i="5"/>
  <c r="J436" i="5"/>
  <c r="L436" i="5"/>
  <c r="M436" i="5"/>
  <c r="B858" i="5"/>
  <c r="C858" i="5"/>
  <c r="D858" i="5"/>
  <c r="E858" i="5"/>
  <c r="G858" i="5"/>
  <c r="H858" i="5"/>
  <c r="I858" i="5"/>
  <c r="J858" i="5"/>
  <c r="L858" i="5"/>
  <c r="M858" i="5"/>
  <c r="B560" i="5"/>
  <c r="C560" i="5"/>
  <c r="D560" i="5"/>
  <c r="E560" i="5"/>
  <c r="G560" i="5"/>
  <c r="H560" i="5"/>
  <c r="I560" i="5"/>
  <c r="J560" i="5"/>
  <c r="L560" i="5"/>
  <c r="M560" i="5"/>
  <c r="B1142" i="5"/>
  <c r="C1142" i="5"/>
  <c r="D1142" i="5"/>
  <c r="E1142" i="5"/>
  <c r="G1142" i="5"/>
  <c r="H1142" i="5"/>
  <c r="I1142" i="5"/>
  <c r="J1142" i="5"/>
  <c r="L1142" i="5"/>
  <c r="M1142" i="5"/>
  <c r="B485" i="5"/>
  <c r="C485" i="5"/>
  <c r="D485" i="5"/>
  <c r="E485" i="5"/>
  <c r="G485" i="5"/>
  <c r="H485" i="5"/>
  <c r="I485" i="5"/>
  <c r="J485" i="5"/>
  <c r="L485" i="5"/>
  <c r="M485" i="5"/>
  <c r="B859" i="5"/>
  <c r="C859" i="5"/>
  <c r="D859" i="5"/>
  <c r="E859" i="5"/>
  <c r="G859" i="5"/>
  <c r="H859" i="5"/>
  <c r="I859" i="5"/>
  <c r="J859" i="5"/>
  <c r="L859" i="5"/>
  <c r="M859" i="5"/>
  <c r="B134" i="5"/>
  <c r="C134" i="5"/>
  <c r="D134" i="5"/>
  <c r="E134" i="5"/>
  <c r="G134" i="5"/>
  <c r="H134" i="5"/>
  <c r="I134" i="5"/>
  <c r="J134" i="5"/>
  <c r="L134" i="5"/>
  <c r="M134" i="5"/>
  <c r="B299" i="5"/>
  <c r="C299" i="5"/>
  <c r="D299" i="5"/>
  <c r="E299" i="5"/>
  <c r="G299" i="5"/>
  <c r="H299" i="5"/>
  <c r="I299" i="5"/>
  <c r="J299" i="5"/>
  <c r="L299" i="5"/>
  <c r="M299" i="5"/>
  <c r="B1137" i="5"/>
  <c r="C1137" i="5"/>
  <c r="D1137" i="5"/>
  <c r="E1137" i="5"/>
  <c r="G1137" i="5"/>
  <c r="H1137" i="5"/>
  <c r="I1137" i="5"/>
  <c r="J1137" i="5"/>
  <c r="L1137" i="5"/>
  <c r="M1137" i="5"/>
  <c r="B300" i="5"/>
  <c r="C300" i="5"/>
  <c r="D300" i="5"/>
  <c r="E300" i="5"/>
  <c r="G300" i="5"/>
  <c r="H300" i="5"/>
  <c r="I300" i="5"/>
  <c r="J300" i="5"/>
  <c r="L300" i="5"/>
  <c r="M300" i="5"/>
  <c r="B304" i="5"/>
  <c r="C304" i="5"/>
  <c r="D304" i="5"/>
  <c r="E304" i="5"/>
  <c r="G304" i="5"/>
  <c r="H304" i="5"/>
  <c r="I304" i="5"/>
  <c r="J304" i="5"/>
  <c r="L304" i="5"/>
  <c r="M304" i="5"/>
  <c r="B6" i="5"/>
  <c r="C6" i="5"/>
  <c r="D6" i="5"/>
  <c r="E6" i="5"/>
  <c r="G6" i="5"/>
  <c r="H6" i="5"/>
  <c r="I6" i="5"/>
  <c r="J6" i="5"/>
  <c r="L6" i="5"/>
  <c r="M6" i="5"/>
  <c r="B305" i="5"/>
  <c r="C305" i="5"/>
  <c r="D305" i="5"/>
  <c r="E305" i="5"/>
  <c r="G305" i="5"/>
  <c r="H305" i="5"/>
  <c r="I305" i="5"/>
  <c r="J305" i="5"/>
  <c r="L305" i="5"/>
  <c r="M305" i="5"/>
  <c r="B531" i="5"/>
  <c r="C531" i="5"/>
  <c r="D531" i="5"/>
  <c r="E531" i="5"/>
  <c r="G531" i="5"/>
  <c r="H531" i="5"/>
  <c r="I531" i="5"/>
  <c r="J531" i="5"/>
  <c r="L531" i="5"/>
  <c r="M531" i="5"/>
  <c r="B793" i="5"/>
  <c r="C793" i="5"/>
  <c r="D793" i="5"/>
  <c r="E793" i="5"/>
  <c r="G793" i="5"/>
  <c r="H793" i="5"/>
  <c r="I793" i="5"/>
  <c r="J793" i="5"/>
  <c r="L793" i="5"/>
  <c r="M793" i="5"/>
  <c r="B1000" i="5"/>
  <c r="C1000" i="5"/>
  <c r="D1000" i="5"/>
  <c r="E1000" i="5"/>
  <c r="G1000" i="5"/>
  <c r="H1000" i="5"/>
  <c r="I1000" i="5"/>
  <c r="J1000" i="5"/>
  <c r="L1000" i="5"/>
  <c r="M1000" i="5"/>
  <c r="B1217" i="5"/>
  <c r="C1217" i="5"/>
  <c r="D1217" i="5"/>
  <c r="E1217" i="5"/>
  <c r="G1217" i="5"/>
  <c r="H1217" i="5"/>
  <c r="I1217" i="5"/>
  <c r="J1217" i="5"/>
  <c r="L1217" i="5"/>
  <c r="M1217" i="5"/>
  <c r="B919" i="5"/>
  <c r="C919" i="5"/>
  <c r="D919" i="5"/>
  <c r="E919" i="5"/>
  <c r="G919" i="5"/>
  <c r="H919" i="5"/>
  <c r="I919" i="5"/>
  <c r="J919" i="5"/>
  <c r="L919" i="5"/>
  <c r="M919" i="5"/>
  <c r="B371" i="5"/>
  <c r="C371" i="5"/>
  <c r="D371" i="5"/>
  <c r="E371" i="5"/>
  <c r="G371" i="5"/>
  <c r="H371" i="5"/>
  <c r="I371" i="5"/>
  <c r="J371" i="5"/>
  <c r="L371" i="5"/>
  <c r="M371" i="5"/>
  <c r="B429" i="5"/>
  <c r="C429" i="5"/>
  <c r="D429" i="5"/>
  <c r="E429" i="5"/>
  <c r="G429" i="5"/>
  <c r="H429" i="5"/>
  <c r="I429" i="5"/>
  <c r="J429" i="5"/>
  <c r="L429" i="5"/>
  <c r="M429" i="5"/>
  <c r="B769" i="5"/>
  <c r="C769" i="5"/>
  <c r="D769" i="5"/>
  <c r="E769" i="5"/>
  <c r="G769" i="5"/>
  <c r="H769" i="5"/>
  <c r="I769" i="5"/>
  <c r="J769" i="5"/>
  <c r="L769" i="5"/>
  <c r="M769" i="5"/>
  <c r="B278" i="5"/>
  <c r="C278" i="5"/>
  <c r="D278" i="5"/>
  <c r="E278" i="5"/>
  <c r="G278" i="5"/>
  <c r="H278" i="5"/>
  <c r="I278" i="5"/>
  <c r="J278" i="5"/>
  <c r="L278" i="5"/>
  <c r="M278" i="5"/>
  <c r="B771" i="5"/>
  <c r="C771" i="5"/>
  <c r="D771" i="5"/>
  <c r="E771" i="5"/>
  <c r="G771" i="5"/>
  <c r="H771" i="5"/>
  <c r="I771" i="5"/>
  <c r="J771" i="5"/>
  <c r="L771" i="5"/>
  <c r="M771" i="5"/>
  <c r="B997" i="5"/>
  <c r="C997" i="5"/>
  <c r="D997" i="5"/>
  <c r="E997" i="5"/>
  <c r="G997" i="5"/>
  <c r="H997" i="5"/>
  <c r="I997" i="5"/>
  <c r="J997" i="5"/>
  <c r="L997" i="5"/>
  <c r="M997" i="5"/>
  <c r="B1038" i="5"/>
  <c r="C1038" i="5"/>
  <c r="D1038" i="5"/>
  <c r="E1038" i="5"/>
  <c r="G1038" i="5"/>
  <c r="H1038" i="5"/>
  <c r="I1038" i="5"/>
  <c r="J1038" i="5"/>
  <c r="L1038" i="5"/>
  <c r="M1038" i="5"/>
  <c r="B413" i="5"/>
  <c r="C413" i="5"/>
  <c r="D413" i="5"/>
  <c r="E413" i="5"/>
  <c r="G413" i="5"/>
  <c r="H413" i="5"/>
  <c r="I413" i="5"/>
  <c r="J413" i="5"/>
  <c r="L413" i="5"/>
  <c r="M413" i="5"/>
  <c r="B460" i="5"/>
  <c r="C460" i="5"/>
  <c r="D460" i="5"/>
  <c r="E460" i="5"/>
  <c r="G460" i="5"/>
  <c r="H460" i="5"/>
  <c r="I460" i="5"/>
  <c r="J460" i="5"/>
  <c r="L460" i="5"/>
  <c r="M460" i="5"/>
  <c r="B1024" i="5"/>
  <c r="C1024" i="5"/>
  <c r="D1024" i="5"/>
  <c r="E1024" i="5"/>
  <c r="G1024" i="5"/>
  <c r="H1024" i="5"/>
  <c r="I1024" i="5"/>
  <c r="J1024" i="5"/>
  <c r="L1024" i="5"/>
  <c r="M1024" i="5"/>
  <c r="B466" i="5"/>
  <c r="C466" i="5"/>
  <c r="D466" i="5"/>
  <c r="E466" i="5"/>
  <c r="G466" i="5"/>
  <c r="H466" i="5"/>
  <c r="I466" i="5"/>
  <c r="J466" i="5"/>
  <c r="L466" i="5"/>
  <c r="M466" i="5"/>
  <c r="B204" i="5"/>
  <c r="C204" i="5"/>
  <c r="D204" i="5"/>
  <c r="E204" i="5"/>
  <c r="G204" i="5"/>
  <c r="H204" i="5"/>
  <c r="I204" i="5"/>
  <c r="J204" i="5"/>
  <c r="L204" i="5"/>
  <c r="M204" i="5"/>
  <c r="B18" i="5"/>
  <c r="C18" i="5"/>
  <c r="D18" i="5"/>
  <c r="E18" i="5"/>
  <c r="G18" i="5"/>
  <c r="H18" i="5"/>
  <c r="I18" i="5"/>
  <c r="J18" i="5"/>
  <c r="L18" i="5"/>
  <c r="M18" i="5"/>
  <c r="B416" i="5"/>
  <c r="C416" i="5"/>
  <c r="D416" i="5"/>
  <c r="E416" i="5"/>
  <c r="G416" i="5"/>
  <c r="H416" i="5"/>
  <c r="I416" i="5"/>
  <c r="J416" i="5"/>
  <c r="L416" i="5"/>
  <c r="M416" i="5"/>
  <c r="B612" i="5"/>
  <c r="C612" i="5"/>
  <c r="D612" i="5"/>
  <c r="E612" i="5"/>
  <c r="G612" i="5"/>
  <c r="H612" i="5"/>
  <c r="I612" i="5"/>
  <c r="J612" i="5"/>
  <c r="L612" i="5"/>
  <c r="M612" i="5"/>
  <c r="B1171" i="5"/>
  <c r="C1171" i="5"/>
  <c r="D1171" i="5"/>
  <c r="E1171" i="5"/>
  <c r="G1171" i="5"/>
  <c r="H1171" i="5"/>
  <c r="I1171" i="5"/>
  <c r="J1171" i="5"/>
  <c r="L1171" i="5"/>
  <c r="M1171" i="5"/>
  <c r="B294" i="5"/>
  <c r="C294" i="5"/>
  <c r="D294" i="5"/>
  <c r="E294" i="5"/>
  <c r="G294" i="5"/>
  <c r="H294" i="5"/>
  <c r="I294" i="5"/>
  <c r="J294" i="5"/>
  <c r="L294" i="5"/>
  <c r="M294" i="5"/>
  <c r="B1184" i="5"/>
  <c r="C1184" i="5"/>
  <c r="D1184" i="5"/>
  <c r="E1184" i="5"/>
  <c r="G1184" i="5"/>
  <c r="H1184" i="5"/>
  <c r="I1184" i="5"/>
  <c r="J1184" i="5"/>
  <c r="L1184" i="5"/>
  <c r="M1184" i="5"/>
  <c r="B45" i="5"/>
  <c r="C45" i="5"/>
  <c r="D45" i="5"/>
  <c r="E45" i="5"/>
  <c r="G45" i="5"/>
  <c r="H45" i="5"/>
  <c r="I45" i="5"/>
  <c r="J45" i="5"/>
  <c r="L45" i="5"/>
  <c r="M45" i="5"/>
  <c r="B1124" i="5"/>
  <c r="C1124" i="5"/>
  <c r="D1124" i="5"/>
  <c r="E1124" i="5"/>
  <c r="G1124" i="5"/>
  <c r="H1124" i="5"/>
  <c r="I1124" i="5"/>
  <c r="J1124" i="5"/>
  <c r="L1124" i="5"/>
  <c r="M1124" i="5"/>
  <c r="B1242" i="5"/>
  <c r="C1242" i="5"/>
  <c r="D1242" i="5"/>
  <c r="E1242" i="5"/>
  <c r="G1242" i="5"/>
  <c r="H1242" i="5"/>
  <c r="I1242" i="5"/>
  <c r="J1242" i="5"/>
  <c r="L1242" i="5"/>
  <c r="M1242" i="5"/>
  <c r="B1261" i="5"/>
  <c r="C1261" i="5"/>
  <c r="D1261" i="5"/>
  <c r="E1261" i="5"/>
  <c r="G1261" i="5"/>
  <c r="H1261" i="5"/>
  <c r="I1261" i="5"/>
  <c r="J1261" i="5"/>
  <c r="L1261" i="5"/>
  <c r="M1261" i="5"/>
  <c r="B172" i="5"/>
  <c r="C172" i="5"/>
  <c r="D172" i="5"/>
  <c r="E172" i="5"/>
  <c r="G172" i="5"/>
  <c r="H172" i="5"/>
  <c r="I172" i="5"/>
  <c r="J172" i="5"/>
  <c r="L172" i="5"/>
  <c r="M172" i="5"/>
  <c r="B433" i="5"/>
  <c r="C433" i="5"/>
  <c r="D433" i="5"/>
  <c r="E433" i="5"/>
  <c r="G433" i="5"/>
  <c r="H433" i="5"/>
  <c r="I433" i="5"/>
  <c r="J433" i="5"/>
  <c r="L433" i="5"/>
  <c r="M433" i="5"/>
  <c r="B60" i="5"/>
  <c r="C60" i="5"/>
  <c r="D60" i="5"/>
  <c r="E60" i="5"/>
  <c r="G60" i="5"/>
  <c r="H60" i="5"/>
  <c r="I60" i="5"/>
  <c r="J60" i="5"/>
  <c r="L60" i="5"/>
  <c r="M60" i="5"/>
  <c r="B1119" i="5"/>
  <c r="C1119" i="5"/>
  <c r="D1119" i="5"/>
  <c r="E1119" i="5"/>
  <c r="G1119" i="5"/>
  <c r="H1119" i="5"/>
  <c r="I1119" i="5"/>
  <c r="J1119" i="5"/>
  <c r="L1119" i="5"/>
  <c r="M1119" i="5"/>
  <c r="B809" i="5"/>
  <c r="C809" i="5"/>
  <c r="D809" i="5"/>
  <c r="E809" i="5"/>
  <c r="G809" i="5"/>
  <c r="H809" i="5"/>
  <c r="I809" i="5"/>
  <c r="J809" i="5"/>
  <c r="L809" i="5"/>
  <c r="M809" i="5"/>
  <c r="B302" i="5"/>
  <c r="C302" i="5"/>
  <c r="D302" i="5"/>
  <c r="E302" i="5"/>
  <c r="G302" i="5"/>
  <c r="H302" i="5"/>
  <c r="I302" i="5"/>
  <c r="J302" i="5"/>
  <c r="L302" i="5"/>
  <c r="M302" i="5"/>
  <c r="B1215" i="5"/>
  <c r="C1215" i="5"/>
  <c r="D1215" i="5"/>
  <c r="E1215" i="5"/>
  <c r="G1215" i="5"/>
  <c r="H1215" i="5"/>
  <c r="I1215" i="5"/>
  <c r="J1215" i="5"/>
  <c r="L1215" i="5"/>
  <c r="M1215" i="5"/>
  <c r="B1066" i="5"/>
  <c r="C1066" i="5"/>
  <c r="D1066" i="5"/>
  <c r="E1066" i="5"/>
  <c r="G1066" i="5"/>
  <c r="H1066" i="5"/>
  <c r="I1066" i="5"/>
  <c r="J1066" i="5"/>
  <c r="L1066" i="5"/>
  <c r="M1066" i="5"/>
  <c r="B862" i="5"/>
  <c r="C862" i="5"/>
  <c r="D862" i="5"/>
  <c r="E862" i="5"/>
  <c r="G862" i="5"/>
  <c r="H862" i="5"/>
  <c r="I862" i="5"/>
  <c r="J862" i="5"/>
  <c r="L862" i="5"/>
  <c r="M862" i="5"/>
  <c r="B892" i="5"/>
  <c r="C892" i="5"/>
  <c r="D892" i="5"/>
  <c r="E892" i="5"/>
  <c r="G892" i="5"/>
  <c r="H892" i="5"/>
  <c r="I892" i="5"/>
  <c r="J892" i="5"/>
  <c r="L892" i="5"/>
  <c r="M892" i="5"/>
  <c r="B307" i="5"/>
  <c r="C307" i="5"/>
  <c r="D307" i="5"/>
  <c r="E307" i="5"/>
  <c r="G307" i="5"/>
  <c r="H307" i="5"/>
  <c r="I307" i="5"/>
  <c r="J307" i="5"/>
  <c r="L307" i="5"/>
  <c r="M307" i="5"/>
  <c r="B780" i="5"/>
  <c r="C780" i="5"/>
  <c r="D780" i="5"/>
  <c r="E780" i="5"/>
  <c r="G780" i="5"/>
  <c r="H780" i="5"/>
  <c r="I780" i="5"/>
  <c r="J780" i="5"/>
  <c r="L780" i="5"/>
  <c r="M780" i="5"/>
  <c r="B874" i="5"/>
  <c r="C874" i="5"/>
  <c r="D874" i="5"/>
  <c r="E874" i="5"/>
  <c r="G874" i="5"/>
  <c r="H874" i="5"/>
  <c r="I874" i="5"/>
  <c r="J874" i="5"/>
  <c r="L874" i="5"/>
  <c r="M874" i="5"/>
  <c r="B83" i="5"/>
  <c r="C83" i="5"/>
  <c r="D83" i="5"/>
  <c r="E83" i="5"/>
  <c r="G83" i="5"/>
  <c r="H83" i="5"/>
  <c r="I83" i="5"/>
  <c r="J83" i="5"/>
  <c r="L83" i="5"/>
  <c r="M83" i="5"/>
  <c r="B494" i="5"/>
  <c r="C494" i="5"/>
  <c r="D494" i="5"/>
  <c r="E494" i="5"/>
  <c r="G494" i="5"/>
  <c r="H494" i="5"/>
  <c r="I494" i="5"/>
  <c r="J494" i="5"/>
  <c r="L494" i="5"/>
  <c r="M494" i="5"/>
  <c r="B845" i="5"/>
  <c r="C845" i="5"/>
  <c r="D845" i="5"/>
  <c r="E845" i="5"/>
  <c r="G845" i="5"/>
  <c r="H845" i="5"/>
  <c r="I845" i="5"/>
  <c r="J845" i="5"/>
  <c r="L845" i="5"/>
  <c r="M845" i="5"/>
  <c r="B1228" i="5"/>
  <c r="C1228" i="5"/>
  <c r="D1228" i="5"/>
  <c r="E1228" i="5"/>
  <c r="G1228" i="5"/>
  <c r="H1228" i="5"/>
  <c r="I1228" i="5"/>
  <c r="J1228" i="5"/>
  <c r="L1228" i="5"/>
  <c r="M1228" i="5"/>
  <c r="B225" i="5"/>
  <c r="C225" i="5"/>
  <c r="D225" i="5"/>
  <c r="E225" i="5"/>
  <c r="G225" i="5"/>
  <c r="H225" i="5"/>
  <c r="I225" i="5"/>
  <c r="J225" i="5"/>
  <c r="L225" i="5"/>
  <c r="M225" i="5"/>
  <c r="B1091" i="5"/>
  <c r="C1091" i="5"/>
  <c r="D1091" i="5"/>
  <c r="E1091" i="5"/>
  <c r="G1091" i="5"/>
  <c r="H1091" i="5"/>
  <c r="I1091" i="5"/>
  <c r="J1091" i="5"/>
  <c r="L1091" i="5"/>
  <c r="M1091" i="5"/>
  <c r="B749" i="5"/>
  <c r="C749" i="5"/>
  <c r="D749" i="5"/>
  <c r="E749" i="5"/>
  <c r="G749" i="5"/>
  <c r="H749" i="5"/>
  <c r="I749" i="5"/>
  <c r="J749" i="5"/>
  <c r="L749" i="5"/>
  <c r="M749" i="5"/>
  <c r="B706" i="5"/>
  <c r="C706" i="5"/>
  <c r="D706" i="5"/>
  <c r="E706" i="5"/>
  <c r="G706" i="5"/>
  <c r="H706" i="5"/>
  <c r="I706" i="5"/>
  <c r="J706" i="5"/>
  <c r="L706" i="5"/>
  <c r="M706" i="5"/>
  <c r="B1248" i="5"/>
  <c r="C1248" i="5"/>
  <c r="D1248" i="5"/>
  <c r="E1248" i="5"/>
  <c r="G1248" i="5"/>
  <c r="H1248" i="5"/>
  <c r="I1248" i="5"/>
  <c r="J1248" i="5"/>
  <c r="L1248" i="5"/>
  <c r="M1248" i="5"/>
  <c r="B544" i="5"/>
  <c r="C544" i="5"/>
  <c r="D544" i="5"/>
  <c r="E544" i="5"/>
  <c r="G544" i="5"/>
  <c r="H544" i="5"/>
  <c r="I544" i="5"/>
  <c r="J544" i="5"/>
  <c r="L544" i="5"/>
  <c r="M544" i="5"/>
  <c r="B130" i="5"/>
  <c r="C130" i="5"/>
  <c r="D130" i="5"/>
  <c r="E130" i="5"/>
  <c r="G130" i="5"/>
  <c r="H130" i="5"/>
  <c r="I130" i="5"/>
  <c r="J130" i="5"/>
  <c r="L130" i="5"/>
  <c r="M130" i="5"/>
  <c r="B585" i="5"/>
  <c r="C585" i="5"/>
  <c r="D585" i="5"/>
  <c r="E585" i="5"/>
  <c r="G585" i="5"/>
  <c r="H585" i="5"/>
  <c r="I585" i="5"/>
  <c r="J585" i="5"/>
  <c r="L585" i="5"/>
  <c r="M585" i="5"/>
  <c r="B1080" i="5"/>
  <c r="C1080" i="5"/>
  <c r="D1080" i="5"/>
  <c r="E1080" i="5"/>
  <c r="G1080" i="5"/>
  <c r="H1080" i="5"/>
  <c r="I1080" i="5"/>
  <c r="J1080" i="5"/>
  <c r="L1080" i="5"/>
  <c r="M1080" i="5"/>
  <c r="B599" i="5"/>
  <c r="C599" i="5"/>
  <c r="D599" i="5"/>
  <c r="E599" i="5"/>
  <c r="G599" i="5"/>
  <c r="H599" i="5"/>
  <c r="I599" i="5"/>
  <c r="J599" i="5"/>
  <c r="L599" i="5"/>
  <c r="M599" i="5"/>
  <c r="B820" i="5"/>
  <c r="C820" i="5"/>
  <c r="D820" i="5"/>
  <c r="E820" i="5"/>
  <c r="G820" i="5"/>
  <c r="H820" i="5"/>
  <c r="I820" i="5"/>
  <c r="J820" i="5"/>
  <c r="L820" i="5"/>
  <c r="M820" i="5"/>
  <c r="B283" i="5"/>
  <c r="C283" i="5"/>
  <c r="D283" i="5"/>
  <c r="E283" i="5"/>
  <c r="G283" i="5"/>
  <c r="H283" i="5"/>
  <c r="I283" i="5"/>
  <c r="J283" i="5"/>
  <c r="L283" i="5"/>
  <c r="M283" i="5"/>
  <c r="B417" i="5"/>
  <c r="C417" i="5"/>
  <c r="D417" i="5"/>
  <c r="E417" i="5"/>
  <c r="G417" i="5"/>
  <c r="H417" i="5"/>
  <c r="I417" i="5"/>
  <c r="J417" i="5"/>
  <c r="L417" i="5"/>
  <c r="M417" i="5"/>
  <c r="B516" i="5"/>
  <c r="C516" i="5"/>
  <c r="D516" i="5"/>
  <c r="E516" i="5"/>
  <c r="G516" i="5"/>
  <c r="H516" i="5"/>
  <c r="I516" i="5"/>
  <c r="J516" i="5"/>
  <c r="L516" i="5"/>
  <c r="M516" i="5"/>
  <c r="B903" i="5"/>
  <c r="C903" i="5"/>
  <c r="D903" i="5"/>
  <c r="E903" i="5"/>
  <c r="G903" i="5"/>
  <c r="H903" i="5"/>
  <c r="I903" i="5"/>
  <c r="J903" i="5"/>
  <c r="L903" i="5"/>
  <c r="M903" i="5"/>
  <c r="B147" i="5"/>
  <c r="C147" i="5"/>
  <c r="D147" i="5"/>
  <c r="E147" i="5"/>
  <c r="G147" i="5"/>
  <c r="H147" i="5"/>
  <c r="I147" i="5"/>
  <c r="J147" i="5"/>
  <c r="L147" i="5"/>
  <c r="M147" i="5"/>
  <c r="B1134" i="5"/>
  <c r="C1134" i="5"/>
  <c r="D1134" i="5"/>
  <c r="E1134" i="5"/>
  <c r="G1134" i="5"/>
  <c r="H1134" i="5"/>
  <c r="I1134" i="5"/>
  <c r="J1134" i="5"/>
  <c r="L1134" i="5"/>
  <c r="M1134" i="5"/>
  <c r="B609" i="5"/>
  <c r="C609" i="5"/>
  <c r="D609" i="5"/>
  <c r="E609" i="5"/>
  <c r="G609" i="5"/>
  <c r="H609" i="5"/>
  <c r="I609" i="5"/>
  <c r="J609" i="5"/>
  <c r="L609" i="5"/>
  <c r="M609" i="5"/>
  <c r="B1114" i="5"/>
  <c r="C1114" i="5"/>
  <c r="D1114" i="5"/>
  <c r="E1114" i="5"/>
  <c r="G1114" i="5"/>
  <c r="H1114" i="5"/>
  <c r="I1114" i="5"/>
  <c r="J1114" i="5"/>
  <c r="L1114" i="5"/>
  <c r="M1114" i="5"/>
  <c r="B716" i="5"/>
  <c r="C716" i="5"/>
  <c r="D716" i="5"/>
  <c r="E716" i="5"/>
  <c r="G716" i="5"/>
  <c r="H716" i="5"/>
  <c r="I716" i="5"/>
  <c r="J716" i="5"/>
  <c r="L716" i="5"/>
  <c r="M716" i="5"/>
  <c r="B637" i="5"/>
  <c r="C637" i="5"/>
  <c r="D637" i="5"/>
  <c r="E637" i="5"/>
  <c r="G637" i="5"/>
  <c r="H637" i="5"/>
  <c r="I637" i="5"/>
  <c r="J637" i="5"/>
  <c r="L637" i="5"/>
  <c r="M637" i="5"/>
  <c r="B1073" i="5"/>
  <c r="C1073" i="5"/>
  <c r="D1073" i="5"/>
  <c r="E1073" i="5"/>
  <c r="G1073" i="5"/>
  <c r="H1073" i="5"/>
  <c r="I1073" i="5"/>
  <c r="J1073" i="5"/>
  <c r="L1073" i="5"/>
  <c r="M1073" i="5"/>
  <c r="B1278" i="5"/>
  <c r="C1278" i="5"/>
  <c r="D1278" i="5"/>
  <c r="E1278" i="5"/>
  <c r="G1278" i="5"/>
  <c r="H1278" i="5"/>
  <c r="I1278" i="5"/>
  <c r="J1278" i="5"/>
  <c r="L1278" i="5"/>
  <c r="M1278" i="5"/>
  <c r="B512" i="5"/>
  <c r="C512" i="5"/>
  <c r="D512" i="5"/>
  <c r="E512" i="5"/>
  <c r="G512" i="5"/>
  <c r="H512" i="5"/>
  <c r="I512" i="5"/>
  <c r="J512" i="5"/>
  <c r="L512" i="5"/>
  <c r="M512" i="5"/>
  <c r="B579" i="5"/>
  <c r="C579" i="5"/>
  <c r="D579" i="5"/>
  <c r="E579" i="5"/>
  <c r="G579" i="5"/>
  <c r="H579" i="5"/>
  <c r="I579" i="5"/>
  <c r="J579" i="5"/>
  <c r="L579" i="5"/>
  <c r="M579" i="5"/>
  <c r="B995" i="5"/>
  <c r="C995" i="5"/>
  <c r="D995" i="5"/>
  <c r="E995" i="5"/>
  <c r="G995" i="5"/>
  <c r="H995" i="5"/>
  <c r="I995" i="5"/>
  <c r="J995" i="5"/>
  <c r="L995" i="5"/>
  <c r="M995" i="5"/>
  <c r="B940" i="5"/>
  <c r="C940" i="5"/>
  <c r="D940" i="5"/>
  <c r="E940" i="5"/>
  <c r="G940" i="5"/>
  <c r="H940" i="5"/>
  <c r="I940" i="5"/>
  <c r="J940" i="5"/>
  <c r="L940" i="5"/>
  <c r="M940" i="5"/>
  <c r="B123" i="5"/>
  <c r="C123" i="5"/>
  <c r="D123" i="5"/>
  <c r="E123" i="5"/>
  <c r="G123" i="5"/>
  <c r="H123" i="5"/>
  <c r="I123" i="5"/>
  <c r="J123" i="5"/>
  <c r="L123" i="5"/>
  <c r="M123" i="5"/>
  <c r="B742" i="5"/>
  <c r="C742" i="5"/>
  <c r="D742" i="5"/>
  <c r="E742" i="5"/>
  <c r="G742" i="5"/>
  <c r="H742" i="5"/>
  <c r="I742" i="5"/>
  <c r="J742" i="5"/>
  <c r="L742" i="5"/>
  <c r="M742" i="5"/>
  <c r="B1036" i="5"/>
  <c r="C1036" i="5"/>
  <c r="D1036" i="5"/>
  <c r="E1036" i="5"/>
  <c r="G1036" i="5"/>
  <c r="H1036" i="5"/>
  <c r="I1036" i="5"/>
  <c r="J1036" i="5"/>
  <c r="L1036" i="5"/>
  <c r="M1036" i="5"/>
  <c r="B913" i="5"/>
  <c r="C913" i="5"/>
  <c r="D913" i="5"/>
  <c r="E913" i="5"/>
  <c r="G913" i="5"/>
  <c r="H913" i="5"/>
  <c r="I913" i="5"/>
  <c r="J913" i="5"/>
  <c r="L913" i="5"/>
  <c r="M913" i="5"/>
  <c r="B411" i="5"/>
  <c r="C411" i="5"/>
  <c r="D411" i="5"/>
  <c r="E411" i="5"/>
  <c r="G411" i="5"/>
  <c r="H411" i="5"/>
  <c r="I411" i="5"/>
  <c r="J411" i="5"/>
  <c r="L411" i="5"/>
  <c r="M411" i="5"/>
  <c r="B441" i="5"/>
  <c r="C441" i="5"/>
  <c r="D441" i="5"/>
  <c r="E441" i="5"/>
  <c r="G441" i="5"/>
  <c r="H441" i="5"/>
  <c r="I441" i="5"/>
  <c r="J441" i="5"/>
  <c r="L441" i="5"/>
  <c r="M441" i="5"/>
  <c r="B400" i="5"/>
  <c r="C400" i="5"/>
  <c r="D400" i="5"/>
  <c r="E400" i="5"/>
  <c r="G400" i="5"/>
  <c r="H400" i="5"/>
  <c r="I400" i="5"/>
  <c r="J400" i="5"/>
  <c r="L400" i="5"/>
  <c r="M400" i="5"/>
  <c r="B487" i="5"/>
  <c r="C487" i="5"/>
  <c r="D487" i="5"/>
  <c r="E487" i="5"/>
  <c r="G487" i="5"/>
  <c r="H487" i="5"/>
  <c r="I487" i="5"/>
  <c r="J487" i="5"/>
  <c r="L487" i="5"/>
  <c r="M487" i="5"/>
  <c r="B540" i="5"/>
  <c r="C540" i="5"/>
  <c r="D540" i="5"/>
  <c r="E540" i="5"/>
  <c r="G540" i="5"/>
  <c r="H540" i="5"/>
  <c r="I540" i="5"/>
  <c r="J540" i="5"/>
  <c r="L540" i="5"/>
  <c r="M540" i="5"/>
  <c r="B615" i="5"/>
  <c r="C615" i="5"/>
  <c r="D615" i="5"/>
  <c r="E615" i="5"/>
  <c r="G615" i="5"/>
  <c r="H615" i="5"/>
  <c r="I615" i="5"/>
  <c r="J615" i="5"/>
  <c r="L615" i="5"/>
  <c r="M615" i="5"/>
  <c r="B446" i="5"/>
  <c r="C446" i="5"/>
  <c r="D446" i="5"/>
  <c r="E446" i="5"/>
  <c r="G446" i="5"/>
  <c r="H446" i="5"/>
  <c r="I446" i="5"/>
  <c r="J446" i="5"/>
  <c r="L446" i="5"/>
  <c r="M446" i="5"/>
  <c r="B281" i="5"/>
  <c r="C281" i="5"/>
  <c r="D281" i="5"/>
  <c r="E281" i="5"/>
  <c r="G281" i="5"/>
  <c r="H281" i="5"/>
  <c r="I281" i="5"/>
  <c r="J281" i="5"/>
  <c r="L281" i="5"/>
  <c r="M281" i="5"/>
  <c r="B545" i="5"/>
  <c r="C545" i="5"/>
  <c r="D545" i="5"/>
  <c r="E545" i="5"/>
  <c r="G545" i="5"/>
  <c r="H545" i="5"/>
  <c r="I545" i="5"/>
  <c r="J545" i="5"/>
  <c r="L545" i="5"/>
  <c r="M545" i="5"/>
  <c r="B435" i="5"/>
  <c r="C435" i="5"/>
  <c r="D435" i="5"/>
  <c r="E435" i="5"/>
  <c r="G435" i="5"/>
  <c r="H435" i="5"/>
  <c r="I435" i="5"/>
  <c r="J435" i="5"/>
  <c r="L435" i="5"/>
  <c r="M435" i="5"/>
  <c r="B574" i="5"/>
  <c r="C574" i="5"/>
  <c r="D574" i="5"/>
  <c r="E574" i="5"/>
  <c r="G574" i="5"/>
  <c r="H574" i="5"/>
  <c r="I574" i="5"/>
  <c r="J574" i="5"/>
  <c r="L574" i="5"/>
  <c r="M574" i="5"/>
  <c r="B870" i="5"/>
  <c r="C870" i="5"/>
  <c r="D870" i="5"/>
  <c r="E870" i="5"/>
  <c r="G870" i="5"/>
  <c r="H870" i="5"/>
  <c r="I870" i="5"/>
  <c r="J870" i="5"/>
  <c r="L870" i="5"/>
  <c r="M870" i="5"/>
  <c r="B394" i="5"/>
  <c r="C394" i="5"/>
  <c r="D394" i="5"/>
  <c r="E394" i="5"/>
  <c r="G394" i="5"/>
  <c r="H394" i="5"/>
  <c r="I394" i="5"/>
  <c r="J394" i="5"/>
  <c r="L394" i="5"/>
  <c r="M394" i="5"/>
  <c r="B630" i="5"/>
  <c r="C630" i="5"/>
  <c r="D630" i="5"/>
  <c r="E630" i="5"/>
  <c r="G630" i="5"/>
  <c r="H630" i="5"/>
  <c r="I630" i="5"/>
  <c r="J630" i="5"/>
  <c r="L630" i="5"/>
  <c r="M630" i="5"/>
  <c r="B654" i="5"/>
  <c r="C654" i="5"/>
  <c r="D654" i="5"/>
  <c r="E654" i="5"/>
  <c r="G654" i="5"/>
  <c r="H654" i="5"/>
  <c r="I654" i="5"/>
  <c r="J654" i="5"/>
  <c r="L654" i="5"/>
  <c r="M654" i="5"/>
  <c r="B308" i="5"/>
  <c r="C308" i="5"/>
  <c r="D308" i="5"/>
  <c r="E308" i="5"/>
  <c r="G308" i="5"/>
  <c r="H308" i="5"/>
  <c r="I308" i="5"/>
  <c r="J308" i="5"/>
  <c r="L308" i="5"/>
  <c r="M308" i="5"/>
  <c r="B633" i="5"/>
  <c r="C633" i="5"/>
  <c r="D633" i="5"/>
  <c r="E633" i="5"/>
  <c r="G633" i="5"/>
  <c r="H633" i="5"/>
  <c r="I633" i="5"/>
  <c r="J633" i="5"/>
  <c r="L633" i="5"/>
  <c r="M633" i="5"/>
  <c r="B881" i="5"/>
  <c r="C881" i="5"/>
  <c r="D881" i="5"/>
  <c r="E881" i="5"/>
  <c r="G881" i="5"/>
  <c r="H881" i="5"/>
  <c r="I881" i="5"/>
  <c r="J881" i="5"/>
  <c r="L881" i="5"/>
  <c r="M881" i="5"/>
  <c r="B253" i="5"/>
  <c r="C253" i="5"/>
  <c r="D253" i="5"/>
  <c r="E253" i="5"/>
  <c r="G253" i="5"/>
  <c r="H253" i="5"/>
  <c r="I253" i="5"/>
  <c r="J253" i="5"/>
  <c r="L253" i="5"/>
  <c r="M253" i="5"/>
  <c r="B966" i="5"/>
  <c r="C966" i="5"/>
  <c r="D966" i="5"/>
  <c r="E966" i="5"/>
  <c r="G966" i="5"/>
  <c r="H966" i="5"/>
  <c r="I966" i="5"/>
  <c r="J966" i="5"/>
  <c r="L966" i="5"/>
  <c r="M966" i="5"/>
  <c r="B175" i="5"/>
  <c r="C175" i="5"/>
  <c r="D175" i="5"/>
  <c r="E175" i="5"/>
  <c r="G175" i="5"/>
  <c r="H175" i="5"/>
  <c r="I175" i="5"/>
  <c r="J175" i="5"/>
  <c r="L175" i="5"/>
  <c r="M175" i="5"/>
  <c r="B210" i="5"/>
  <c r="C210" i="5"/>
  <c r="D210" i="5"/>
  <c r="E210" i="5"/>
  <c r="G210" i="5"/>
  <c r="H210" i="5"/>
  <c r="I210" i="5"/>
  <c r="J210" i="5"/>
  <c r="L210" i="5"/>
  <c r="M210" i="5"/>
  <c r="B1206" i="5"/>
  <c r="C1206" i="5"/>
  <c r="D1206" i="5"/>
  <c r="E1206" i="5"/>
  <c r="G1206" i="5"/>
  <c r="H1206" i="5"/>
  <c r="I1206" i="5"/>
  <c r="J1206" i="5"/>
  <c r="L1206" i="5"/>
  <c r="M1206" i="5"/>
  <c r="B374" i="5"/>
  <c r="C374" i="5"/>
  <c r="D374" i="5"/>
  <c r="E374" i="5"/>
  <c r="G374" i="5"/>
  <c r="H374" i="5"/>
  <c r="I374" i="5"/>
  <c r="J374" i="5"/>
  <c r="L374" i="5"/>
  <c r="M374" i="5"/>
  <c r="B893" i="5"/>
  <c r="C893" i="5"/>
  <c r="D893" i="5"/>
  <c r="E893" i="5"/>
  <c r="G893" i="5"/>
  <c r="H893" i="5"/>
  <c r="I893" i="5"/>
  <c r="J893" i="5"/>
  <c r="L893" i="5"/>
  <c r="M893" i="5"/>
  <c r="B1255" i="5"/>
  <c r="C1255" i="5"/>
  <c r="D1255" i="5"/>
  <c r="E1255" i="5"/>
  <c r="G1255" i="5"/>
  <c r="H1255" i="5"/>
  <c r="I1255" i="5"/>
  <c r="J1255" i="5"/>
  <c r="L1255" i="5"/>
  <c r="M1255" i="5"/>
  <c r="B286" i="5"/>
  <c r="C286" i="5"/>
  <c r="D286" i="5"/>
  <c r="E286" i="5"/>
  <c r="G286" i="5"/>
  <c r="H286" i="5"/>
  <c r="I286" i="5"/>
  <c r="J286" i="5"/>
  <c r="L286" i="5"/>
  <c r="M286" i="5"/>
  <c r="B1210" i="5"/>
  <c r="C1210" i="5"/>
  <c r="D1210" i="5"/>
  <c r="E1210" i="5"/>
  <c r="G1210" i="5"/>
  <c r="H1210" i="5"/>
  <c r="I1210" i="5"/>
  <c r="J1210" i="5"/>
  <c r="L1210" i="5"/>
  <c r="M1210" i="5"/>
  <c r="B822" i="5"/>
  <c r="C822" i="5"/>
  <c r="D822" i="5"/>
  <c r="E822" i="5"/>
  <c r="G822" i="5"/>
  <c r="H822" i="5"/>
  <c r="I822" i="5"/>
  <c r="J822" i="5"/>
  <c r="L822" i="5"/>
  <c r="M822" i="5"/>
  <c r="B777" i="5"/>
  <c r="C777" i="5"/>
  <c r="D777" i="5"/>
  <c r="E777" i="5"/>
  <c r="G777" i="5"/>
  <c r="H777" i="5"/>
  <c r="I777" i="5"/>
  <c r="J777" i="5"/>
  <c r="L777" i="5"/>
  <c r="M777" i="5"/>
  <c r="B1294" i="5"/>
  <c r="C1294" i="5"/>
  <c r="D1294" i="5"/>
  <c r="E1294" i="5"/>
  <c r="G1294" i="5"/>
  <c r="H1294" i="5"/>
  <c r="I1294" i="5"/>
  <c r="J1294" i="5"/>
  <c r="L1294" i="5"/>
  <c r="M1294" i="5"/>
  <c r="B24" i="5"/>
  <c r="C24" i="5"/>
  <c r="D24" i="5"/>
  <c r="E24" i="5"/>
  <c r="G24" i="5"/>
  <c r="H24" i="5"/>
  <c r="I24" i="5"/>
  <c r="J24" i="5"/>
  <c r="L24" i="5"/>
  <c r="M24" i="5"/>
  <c r="B1323" i="5"/>
  <c r="C1323" i="5"/>
  <c r="D1323" i="5"/>
  <c r="E1323" i="5"/>
  <c r="G1323" i="5"/>
  <c r="H1323" i="5"/>
  <c r="I1323" i="5"/>
  <c r="J1323" i="5"/>
  <c r="L1323" i="5"/>
  <c r="M1323" i="5"/>
  <c r="B517" i="5"/>
  <c r="C517" i="5"/>
  <c r="D517" i="5"/>
  <c r="E517" i="5"/>
  <c r="G517" i="5"/>
  <c r="H517" i="5"/>
  <c r="I517" i="5"/>
  <c r="J517" i="5"/>
  <c r="L517" i="5"/>
  <c r="M517" i="5"/>
  <c r="B1161" i="5"/>
  <c r="C1161" i="5"/>
  <c r="D1161" i="5"/>
  <c r="E1161" i="5"/>
  <c r="G1161" i="5"/>
  <c r="H1161" i="5"/>
  <c r="I1161" i="5"/>
  <c r="J1161" i="5"/>
  <c r="L1161" i="5"/>
  <c r="M1161" i="5"/>
  <c r="B323" i="5"/>
  <c r="C323" i="5"/>
  <c r="D323" i="5"/>
  <c r="E323" i="5"/>
  <c r="G323" i="5"/>
  <c r="H323" i="5"/>
  <c r="I323" i="5"/>
  <c r="J323" i="5"/>
  <c r="L323" i="5"/>
  <c r="M323" i="5"/>
  <c r="B28" i="5"/>
  <c r="C28" i="5"/>
  <c r="D28" i="5"/>
  <c r="E28" i="5"/>
  <c r="G28" i="5"/>
  <c r="H28" i="5"/>
  <c r="I28" i="5"/>
  <c r="J28" i="5"/>
  <c r="L28" i="5"/>
  <c r="M28" i="5"/>
  <c r="B387" i="5"/>
  <c r="C387" i="5"/>
  <c r="D387" i="5"/>
  <c r="E387" i="5"/>
  <c r="G387" i="5"/>
  <c r="H387" i="5"/>
  <c r="I387" i="5"/>
  <c r="J387" i="5"/>
  <c r="L387" i="5"/>
  <c r="M387" i="5"/>
  <c r="B426" i="5"/>
  <c r="C426" i="5"/>
  <c r="D426" i="5"/>
  <c r="E426" i="5"/>
  <c r="G426" i="5"/>
  <c r="H426" i="5"/>
  <c r="I426" i="5"/>
  <c r="J426" i="5"/>
  <c r="L426" i="5"/>
  <c r="M426" i="5"/>
  <c r="B770" i="5"/>
  <c r="C770" i="5"/>
  <c r="D770" i="5"/>
  <c r="E770" i="5"/>
  <c r="G770" i="5"/>
  <c r="H770" i="5"/>
  <c r="I770" i="5"/>
  <c r="J770" i="5"/>
  <c r="L770" i="5"/>
  <c r="M770" i="5"/>
  <c r="B568" i="5"/>
  <c r="C568" i="5"/>
  <c r="D568" i="5"/>
  <c r="E568" i="5"/>
  <c r="G568" i="5"/>
  <c r="H568" i="5"/>
  <c r="I568" i="5"/>
  <c r="J568" i="5"/>
  <c r="L568" i="5"/>
  <c r="M568" i="5"/>
  <c r="B580" i="5"/>
  <c r="C580" i="5"/>
  <c r="D580" i="5"/>
  <c r="E580" i="5"/>
  <c r="G580" i="5"/>
  <c r="H580" i="5"/>
  <c r="I580" i="5"/>
  <c r="J580" i="5"/>
  <c r="L580" i="5"/>
  <c r="M580" i="5"/>
  <c r="B139" i="5"/>
  <c r="C139" i="5"/>
  <c r="D139" i="5"/>
  <c r="E139" i="5"/>
  <c r="G139" i="5"/>
  <c r="H139" i="5"/>
  <c r="I139" i="5"/>
  <c r="J139" i="5"/>
  <c r="L139" i="5"/>
  <c r="M139" i="5"/>
  <c r="B664" i="5"/>
  <c r="C664" i="5"/>
  <c r="D664" i="5"/>
  <c r="E664" i="5"/>
  <c r="G664" i="5"/>
  <c r="H664" i="5"/>
  <c r="I664" i="5"/>
  <c r="J664" i="5"/>
  <c r="L664" i="5"/>
  <c r="M664" i="5"/>
  <c r="B189" i="5"/>
  <c r="C189" i="5"/>
  <c r="D189" i="5"/>
  <c r="E189" i="5"/>
  <c r="G189" i="5"/>
  <c r="H189" i="5"/>
  <c r="I189" i="5"/>
  <c r="J189" i="5"/>
  <c r="L189" i="5"/>
  <c r="M189" i="5"/>
  <c r="B973" i="5"/>
  <c r="C973" i="5"/>
  <c r="D973" i="5"/>
  <c r="E973" i="5"/>
  <c r="G973" i="5"/>
  <c r="H973" i="5"/>
  <c r="I973" i="5"/>
  <c r="J973" i="5"/>
  <c r="L973" i="5"/>
  <c r="M973" i="5"/>
  <c r="B819" i="5"/>
  <c r="C819" i="5"/>
  <c r="D819" i="5"/>
  <c r="E819" i="5"/>
  <c r="G819" i="5"/>
  <c r="H819" i="5"/>
  <c r="I819" i="5"/>
  <c r="J819" i="5"/>
  <c r="L819" i="5"/>
  <c r="M819" i="5"/>
  <c r="B1006" i="5"/>
  <c r="C1006" i="5"/>
  <c r="D1006" i="5"/>
  <c r="E1006" i="5"/>
  <c r="G1006" i="5"/>
  <c r="H1006" i="5"/>
  <c r="I1006" i="5"/>
  <c r="J1006" i="5"/>
  <c r="L1006" i="5"/>
  <c r="M1006" i="5"/>
  <c r="B1104" i="5"/>
  <c r="C1104" i="5"/>
  <c r="D1104" i="5"/>
  <c r="E1104" i="5"/>
  <c r="G1104" i="5"/>
  <c r="H1104" i="5"/>
  <c r="I1104" i="5"/>
  <c r="J1104" i="5"/>
  <c r="L1104" i="5"/>
  <c r="M1104" i="5"/>
  <c r="B22" i="5"/>
  <c r="C22" i="5"/>
  <c r="D22" i="5"/>
  <c r="E22" i="5"/>
  <c r="G22" i="5"/>
  <c r="H22" i="5"/>
  <c r="I22" i="5"/>
  <c r="J22" i="5"/>
  <c r="L22" i="5"/>
  <c r="M22" i="5"/>
  <c r="B660" i="5"/>
  <c r="C660" i="5"/>
  <c r="D660" i="5"/>
  <c r="E660" i="5"/>
  <c r="G660" i="5"/>
  <c r="H660" i="5"/>
  <c r="I660" i="5"/>
  <c r="J660" i="5"/>
  <c r="L660" i="5"/>
  <c r="M660" i="5"/>
  <c r="B1138" i="5"/>
  <c r="C1138" i="5"/>
  <c r="D1138" i="5"/>
  <c r="E1138" i="5"/>
  <c r="G1138" i="5"/>
  <c r="H1138" i="5"/>
  <c r="I1138" i="5"/>
  <c r="J1138" i="5"/>
  <c r="L1138" i="5"/>
  <c r="M1138" i="5"/>
  <c r="B1227" i="5"/>
  <c r="C1227" i="5"/>
  <c r="D1227" i="5"/>
  <c r="E1227" i="5"/>
  <c r="G1227" i="5"/>
  <c r="H1227" i="5"/>
  <c r="I1227" i="5"/>
  <c r="J1227" i="5"/>
  <c r="L1227" i="5"/>
  <c r="M1227" i="5"/>
  <c r="B190" i="5"/>
  <c r="C190" i="5"/>
  <c r="D190" i="5"/>
  <c r="E190" i="5"/>
  <c r="G190" i="5"/>
  <c r="H190" i="5"/>
  <c r="I190" i="5"/>
  <c r="J190" i="5"/>
  <c r="L190" i="5"/>
  <c r="M190" i="5"/>
  <c r="B1054" i="5"/>
  <c r="C1054" i="5"/>
  <c r="D1054" i="5"/>
  <c r="E1054" i="5"/>
  <c r="G1054" i="5"/>
  <c r="H1054" i="5"/>
  <c r="I1054" i="5"/>
  <c r="J1054" i="5"/>
  <c r="L1054" i="5"/>
  <c r="M1054" i="5"/>
  <c r="B497" i="5"/>
  <c r="C497" i="5"/>
  <c r="D497" i="5"/>
  <c r="E497" i="5"/>
  <c r="G497" i="5"/>
  <c r="H497" i="5"/>
  <c r="I497" i="5"/>
  <c r="J497" i="5"/>
  <c r="L497" i="5"/>
  <c r="M497" i="5"/>
  <c r="B632" i="5"/>
  <c r="C632" i="5"/>
  <c r="D632" i="5"/>
  <c r="E632" i="5"/>
  <c r="G632" i="5"/>
  <c r="H632" i="5"/>
  <c r="I632" i="5"/>
  <c r="J632" i="5"/>
  <c r="L632" i="5"/>
  <c r="M632" i="5"/>
  <c r="B62" i="5"/>
  <c r="C62" i="5"/>
  <c r="D62" i="5"/>
  <c r="E62" i="5"/>
  <c r="G62" i="5"/>
  <c r="H62" i="5"/>
  <c r="I62" i="5"/>
  <c r="J62" i="5"/>
  <c r="L62" i="5"/>
  <c r="M62" i="5"/>
  <c r="B379" i="5"/>
  <c r="C379" i="5"/>
  <c r="D379" i="5"/>
  <c r="E379" i="5"/>
  <c r="G379" i="5"/>
  <c r="H379" i="5"/>
  <c r="I379" i="5"/>
  <c r="J379" i="5"/>
  <c r="L379" i="5"/>
  <c r="M379" i="5"/>
  <c r="B603" i="5"/>
  <c r="C603" i="5"/>
  <c r="D603" i="5"/>
  <c r="E603" i="5"/>
  <c r="G603" i="5"/>
  <c r="H603" i="5"/>
  <c r="I603" i="5"/>
  <c r="J603" i="5"/>
  <c r="L603" i="5"/>
  <c r="M603" i="5"/>
  <c r="B351" i="5"/>
  <c r="C351" i="5"/>
  <c r="D351" i="5"/>
  <c r="E351" i="5"/>
  <c r="G351" i="5"/>
  <c r="H351" i="5"/>
  <c r="I351" i="5"/>
  <c r="J351" i="5"/>
  <c r="L351" i="5"/>
  <c r="M351" i="5"/>
  <c r="B906" i="5"/>
  <c r="C906" i="5"/>
  <c r="D906" i="5"/>
  <c r="E906" i="5"/>
  <c r="G906" i="5"/>
  <c r="H906" i="5"/>
  <c r="I906" i="5"/>
  <c r="J906" i="5"/>
  <c r="L906" i="5"/>
  <c r="M906" i="5"/>
  <c r="B1095" i="5"/>
  <c r="C1095" i="5"/>
  <c r="D1095" i="5"/>
  <c r="E1095" i="5"/>
  <c r="G1095" i="5"/>
  <c r="H1095" i="5"/>
  <c r="I1095" i="5"/>
  <c r="J1095" i="5"/>
  <c r="L1095" i="5"/>
  <c r="M1095" i="5"/>
  <c r="B107" i="5"/>
  <c r="C107" i="5"/>
  <c r="D107" i="5"/>
  <c r="E107" i="5"/>
  <c r="G107" i="5"/>
  <c r="H107" i="5"/>
  <c r="I107" i="5"/>
  <c r="J107" i="5"/>
  <c r="L107" i="5"/>
  <c r="M107" i="5"/>
  <c r="B162" i="5"/>
  <c r="C162" i="5"/>
  <c r="D162" i="5"/>
  <c r="E162" i="5"/>
  <c r="G162" i="5"/>
  <c r="H162" i="5"/>
  <c r="I162" i="5"/>
  <c r="J162" i="5"/>
  <c r="L162" i="5"/>
  <c r="M162" i="5"/>
  <c r="B735" i="5"/>
  <c r="C735" i="5"/>
  <c r="D735" i="5"/>
  <c r="E735" i="5"/>
  <c r="G735" i="5"/>
  <c r="H735" i="5"/>
  <c r="I735" i="5"/>
  <c r="J735" i="5"/>
  <c r="L735" i="5"/>
  <c r="M735" i="5"/>
  <c r="B1319" i="5"/>
  <c r="C1319" i="5"/>
  <c r="D1319" i="5"/>
  <c r="E1319" i="5"/>
  <c r="G1319" i="5"/>
  <c r="H1319" i="5"/>
  <c r="I1319" i="5"/>
  <c r="J1319" i="5"/>
  <c r="L1319" i="5"/>
  <c r="M1319" i="5"/>
  <c r="B1310" i="5"/>
  <c r="C1310" i="5"/>
  <c r="D1310" i="5"/>
  <c r="E1310" i="5"/>
  <c r="G1310" i="5"/>
  <c r="H1310" i="5"/>
  <c r="I1310" i="5"/>
  <c r="J1310" i="5"/>
  <c r="L1310" i="5"/>
  <c r="M1310" i="5"/>
  <c r="B707" i="5"/>
  <c r="C707" i="5"/>
  <c r="D707" i="5"/>
  <c r="E707" i="5"/>
  <c r="G707" i="5"/>
  <c r="H707" i="5"/>
  <c r="I707" i="5"/>
  <c r="J707" i="5"/>
  <c r="L707" i="5"/>
  <c r="M707" i="5"/>
  <c r="B157" i="5"/>
  <c r="C157" i="5"/>
  <c r="D157" i="5"/>
  <c r="E157" i="5"/>
  <c r="G157" i="5"/>
  <c r="H157" i="5"/>
  <c r="I157" i="5"/>
  <c r="J157" i="5"/>
  <c r="L157" i="5"/>
  <c r="M157" i="5"/>
  <c r="B1288" i="5"/>
  <c r="C1288" i="5"/>
  <c r="D1288" i="5"/>
  <c r="E1288" i="5"/>
  <c r="G1288" i="5"/>
  <c r="H1288" i="5"/>
  <c r="I1288" i="5"/>
  <c r="J1288" i="5"/>
  <c r="L1288" i="5"/>
  <c r="M1288" i="5"/>
  <c r="B990" i="5"/>
  <c r="C990" i="5"/>
  <c r="D990" i="5"/>
  <c r="E990" i="5"/>
  <c r="G990" i="5"/>
  <c r="H990" i="5"/>
  <c r="I990" i="5"/>
  <c r="J990" i="5"/>
  <c r="L990" i="5"/>
  <c r="M990" i="5"/>
  <c r="B287" i="5"/>
  <c r="C287" i="5"/>
  <c r="D287" i="5"/>
  <c r="E287" i="5"/>
  <c r="G287" i="5"/>
  <c r="H287" i="5"/>
  <c r="I287" i="5"/>
  <c r="J287" i="5"/>
  <c r="L287" i="5"/>
  <c r="M287" i="5"/>
  <c r="B156" i="5"/>
  <c r="C156" i="5"/>
  <c r="D156" i="5"/>
  <c r="E156" i="5"/>
  <c r="G156" i="5"/>
  <c r="H156" i="5"/>
  <c r="I156" i="5"/>
  <c r="J156" i="5"/>
  <c r="L156" i="5"/>
  <c r="M156" i="5"/>
  <c r="B72" i="5"/>
  <c r="C72" i="5"/>
  <c r="D72" i="5"/>
  <c r="E72" i="5"/>
  <c r="G72" i="5"/>
  <c r="H72" i="5"/>
  <c r="I72" i="5"/>
  <c r="J72" i="5"/>
  <c r="L72" i="5"/>
  <c r="M72" i="5"/>
  <c r="B392" i="5"/>
  <c r="C392" i="5"/>
  <c r="D392" i="5"/>
  <c r="E392" i="5"/>
  <c r="G392" i="5"/>
  <c r="H392" i="5"/>
  <c r="I392" i="5"/>
  <c r="J392" i="5"/>
  <c r="L392" i="5"/>
  <c r="M392" i="5"/>
  <c r="B600" i="5"/>
  <c r="C600" i="5"/>
  <c r="D600" i="5"/>
  <c r="E600" i="5"/>
  <c r="G600" i="5"/>
  <c r="H600" i="5"/>
  <c r="I600" i="5"/>
  <c r="J600" i="5"/>
  <c r="L600" i="5"/>
  <c r="M600" i="5"/>
  <c r="B116" i="5"/>
  <c r="C116" i="5"/>
  <c r="D116" i="5"/>
  <c r="E116" i="5"/>
  <c r="G116" i="5"/>
  <c r="H116" i="5"/>
  <c r="I116" i="5"/>
  <c r="J116" i="5"/>
  <c r="L116" i="5"/>
  <c r="M116" i="5"/>
  <c r="B1236" i="5"/>
  <c r="C1236" i="5"/>
  <c r="D1236" i="5"/>
  <c r="E1236" i="5"/>
  <c r="G1236" i="5"/>
  <c r="H1236" i="5"/>
  <c r="I1236" i="5"/>
  <c r="J1236" i="5"/>
  <c r="L1236" i="5"/>
  <c r="M1236" i="5"/>
  <c r="B95" i="5"/>
  <c r="C95" i="5"/>
  <c r="D95" i="5"/>
  <c r="E95" i="5"/>
  <c r="G95" i="5"/>
  <c r="H95" i="5"/>
  <c r="I95" i="5"/>
  <c r="J95" i="5"/>
  <c r="L95" i="5"/>
  <c r="M95" i="5"/>
  <c r="B679" i="5"/>
  <c r="C679" i="5"/>
  <c r="D679" i="5"/>
  <c r="E679" i="5"/>
  <c r="G679" i="5"/>
  <c r="H679" i="5"/>
  <c r="I679" i="5"/>
  <c r="J679" i="5"/>
  <c r="L679" i="5"/>
  <c r="M679" i="5"/>
  <c r="B432" i="5"/>
  <c r="C432" i="5"/>
  <c r="D432" i="5"/>
  <c r="E432" i="5"/>
  <c r="G432" i="5"/>
  <c r="H432" i="5"/>
  <c r="I432" i="5"/>
  <c r="J432" i="5"/>
  <c r="L432" i="5"/>
  <c r="M432" i="5"/>
  <c r="B388" i="5"/>
  <c r="C388" i="5"/>
  <c r="D388" i="5"/>
  <c r="E388" i="5"/>
  <c r="G388" i="5"/>
  <c r="H388" i="5"/>
  <c r="I388" i="5"/>
  <c r="J388" i="5"/>
  <c r="L388" i="5"/>
  <c r="M388" i="5"/>
  <c r="B618" i="5"/>
  <c r="C618" i="5"/>
  <c r="D618" i="5"/>
  <c r="E618" i="5"/>
  <c r="G618" i="5"/>
  <c r="H618" i="5"/>
  <c r="I618" i="5"/>
  <c r="J618" i="5"/>
  <c r="L618" i="5"/>
  <c r="M618" i="5"/>
  <c r="B713" i="5"/>
  <c r="C713" i="5"/>
  <c r="D713" i="5"/>
  <c r="E713" i="5"/>
  <c r="G713" i="5"/>
  <c r="H713" i="5"/>
  <c r="I713" i="5"/>
  <c r="J713" i="5"/>
  <c r="L713" i="5"/>
  <c r="M713" i="5"/>
  <c r="B1086" i="5"/>
  <c r="C1086" i="5"/>
  <c r="D1086" i="5"/>
  <c r="E1086" i="5"/>
  <c r="G1086" i="5"/>
  <c r="H1086" i="5"/>
  <c r="I1086" i="5"/>
  <c r="J1086" i="5"/>
  <c r="L1086" i="5"/>
  <c r="M1086" i="5"/>
  <c r="B1018" i="5"/>
  <c r="C1018" i="5"/>
  <c r="D1018" i="5"/>
  <c r="E1018" i="5"/>
  <c r="G1018" i="5"/>
  <c r="H1018" i="5"/>
  <c r="I1018" i="5"/>
  <c r="J1018" i="5"/>
  <c r="L1018" i="5"/>
  <c r="M1018" i="5"/>
  <c r="B519" i="5"/>
  <c r="C519" i="5"/>
  <c r="D519" i="5"/>
  <c r="E519" i="5"/>
  <c r="G519" i="5"/>
  <c r="H519" i="5"/>
  <c r="I519" i="5"/>
  <c r="J519" i="5"/>
  <c r="L519" i="5"/>
  <c r="M519" i="5"/>
  <c r="B542" i="5"/>
  <c r="C542" i="5"/>
  <c r="D542" i="5"/>
  <c r="E542" i="5"/>
  <c r="G542" i="5"/>
  <c r="H542" i="5"/>
  <c r="I542" i="5"/>
  <c r="J542" i="5"/>
  <c r="L542" i="5"/>
  <c r="M542" i="5"/>
  <c r="B872" i="5"/>
  <c r="C872" i="5"/>
  <c r="D872" i="5"/>
  <c r="E872" i="5"/>
  <c r="G872" i="5"/>
  <c r="H872" i="5"/>
  <c r="I872" i="5"/>
  <c r="J872" i="5"/>
  <c r="L872" i="5"/>
  <c r="M872" i="5"/>
  <c r="B457" i="5"/>
  <c r="C457" i="5"/>
  <c r="D457" i="5"/>
  <c r="E457" i="5"/>
  <c r="G457" i="5"/>
  <c r="H457" i="5"/>
  <c r="I457" i="5"/>
  <c r="J457" i="5"/>
  <c r="L457" i="5"/>
  <c r="M457" i="5"/>
  <c r="B414" i="5"/>
  <c r="C414" i="5"/>
  <c r="D414" i="5"/>
  <c r="E414" i="5"/>
  <c r="G414" i="5"/>
  <c r="H414" i="5"/>
  <c r="I414" i="5"/>
  <c r="J414" i="5"/>
  <c r="L414" i="5"/>
  <c r="M414" i="5"/>
  <c r="B431" i="5"/>
  <c r="C431" i="5"/>
  <c r="D431" i="5"/>
  <c r="E431" i="5"/>
  <c r="G431" i="5"/>
  <c r="H431" i="5"/>
  <c r="I431" i="5"/>
  <c r="J431" i="5"/>
  <c r="L431" i="5"/>
  <c r="M431" i="5"/>
  <c r="B1100" i="5"/>
  <c r="C1100" i="5"/>
  <c r="D1100" i="5"/>
  <c r="E1100" i="5"/>
  <c r="G1100" i="5"/>
  <c r="H1100" i="5"/>
  <c r="I1100" i="5"/>
  <c r="J1100" i="5"/>
  <c r="L1100" i="5"/>
  <c r="M1100" i="5"/>
  <c r="B198" i="5"/>
  <c r="C198" i="5"/>
  <c r="D198" i="5"/>
  <c r="E198" i="5"/>
  <c r="G198" i="5"/>
  <c r="H198" i="5"/>
  <c r="I198" i="5"/>
  <c r="J198" i="5"/>
  <c r="L198" i="5"/>
  <c r="M198" i="5"/>
  <c r="B170" i="5"/>
  <c r="C170" i="5"/>
  <c r="D170" i="5"/>
  <c r="E170" i="5"/>
  <c r="G170" i="5"/>
  <c r="H170" i="5"/>
  <c r="I170" i="5"/>
  <c r="J170" i="5"/>
  <c r="L170" i="5"/>
  <c r="M170" i="5"/>
  <c r="B73" i="5"/>
  <c r="C73" i="5"/>
  <c r="D73" i="5"/>
  <c r="E73" i="5"/>
  <c r="G73" i="5"/>
  <c r="H73" i="5"/>
  <c r="I73" i="5"/>
  <c r="J73" i="5"/>
  <c r="L73" i="5"/>
  <c r="M73" i="5"/>
  <c r="B1250" i="5"/>
  <c r="C1250" i="5"/>
  <c r="D1250" i="5"/>
  <c r="E1250" i="5"/>
  <c r="G1250" i="5"/>
  <c r="H1250" i="5"/>
  <c r="I1250" i="5"/>
  <c r="J1250" i="5"/>
  <c r="L1250" i="5"/>
  <c r="M1250" i="5"/>
  <c r="B284" i="5"/>
  <c r="C284" i="5"/>
  <c r="D284" i="5"/>
  <c r="E284" i="5"/>
  <c r="G284" i="5"/>
  <c r="H284" i="5"/>
  <c r="I284" i="5"/>
  <c r="J284" i="5"/>
  <c r="L284" i="5"/>
  <c r="M284" i="5"/>
  <c r="B445" i="5"/>
  <c r="C445" i="5"/>
  <c r="D445" i="5"/>
  <c r="E445" i="5"/>
  <c r="G445" i="5"/>
  <c r="H445" i="5"/>
  <c r="I445" i="5"/>
  <c r="J445" i="5"/>
  <c r="L445" i="5"/>
  <c r="M445" i="5"/>
  <c r="B843" i="5"/>
  <c r="C843" i="5"/>
  <c r="D843" i="5"/>
  <c r="E843" i="5"/>
  <c r="G843" i="5"/>
  <c r="H843" i="5"/>
  <c r="I843" i="5"/>
  <c r="J843" i="5"/>
  <c r="L843" i="5"/>
  <c r="M843" i="5"/>
  <c r="B353" i="5"/>
  <c r="C353" i="5"/>
  <c r="D353" i="5"/>
  <c r="E353" i="5"/>
  <c r="G353" i="5"/>
  <c r="H353" i="5"/>
  <c r="I353" i="5"/>
  <c r="J353" i="5"/>
  <c r="L353" i="5"/>
  <c r="M353" i="5"/>
  <c r="B692" i="5"/>
  <c r="C692" i="5"/>
  <c r="D692" i="5"/>
  <c r="E692" i="5"/>
  <c r="G692" i="5"/>
  <c r="H692" i="5"/>
  <c r="I692" i="5"/>
  <c r="J692" i="5"/>
  <c r="L692" i="5"/>
  <c r="M692" i="5"/>
  <c r="B981" i="5"/>
  <c r="C981" i="5"/>
  <c r="D981" i="5"/>
  <c r="E981" i="5"/>
  <c r="G981" i="5"/>
  <c r="H981" i="5"/>
  <c r="I981" i="5"/>
  <c r="J981" i="5"/>
  <c r="L981" i="5"/>
  <c r="M981" i="5"/>
  <c r="B1025" i="5"/>
  <c r="C1025" i="5"/>
  <c r="D1025" i="5"/>
  <c r="E1025" i="5"/>
  <c r="G1025" i="5"/>
  <c r="H1025" i="5"/>
  <c r="I1025" i="5"/>
  <c r="J1025" i="5"/>
  <c r="L1025" i="5"/>
  <c r="M1025" i="5"/>
  <c r="B714" i="5"/>
  <c r="C714" i="5"/>
  <c r="D714" i="5"/>
  <c r="E714" i="5"/>
  <c r="G714" i="5"/>
  <c r="H714" i="5"/>
  <c r="I714" i="5"/>
  <c r="J714" i="5"/>
  <c r="L714" i="5"/>
  <c r="M714" i="5"/>
  <c r="B244" i="5"/>
  <c r="C244" i="5"/>
  <c r="D244" i="5"/>
  <c r="E244" i="5"/>
  <c r="G244" i="5"/>
  <c r="H244" i="5"/>
  <c r="I244" i="5"/>
  <c r="J244" i="5"/>
  <c r="L244" i="5"/>
  <c r="M244" i="5"/>
  <c r="B1277" i="5"/>
  <c r="C1277" i="5"/>
  <c r="D1277" i="5"/>
  <c r="E1277" i="5"/>
  <c r="G1277" i="5"/>
  <c r="H1277" i="5"/>
  <c r="I1277" i="5"/>
  <c r="J1277" i="5"/>
  <c r="L1277" i="5"/>
  <c r="M1277" i="5"/>
  <c r="B1078" i="5"/>
  <c r="C1078" i="5"/>
  <c r="D1078" i="5"/>
  <c r="E1078" i="5"/>
  <c r="G1078" i="5"/>
  <c r="H1078" i="5"/>
  <c r="I1078" i="5"/>
  <c r="J1078" i="5"/>
  <c r="L1078" i="5"/>
  <c r="M1078" i="5"/>
  <c r="B40" i="5"/>
  <c r="C40" i="5"/>
  <c r="D40" i="5"/>
  <c r="E40" i="5"/>
  <c r="G40" i="5"/>
  <c r="H40" i="5"/>
  <c r="I40" i="5"/>
  <c r="J40" i="5"/>
  <c r="L40" i="5"/>
  <c r="M40" i="5"/>
  <c r="B1187" i="5"/>
  <c r="C1187" i="5"/>
  <c r="D1187" i="5"/>
  <c r="E1187" i="5"/>
  <c r="G1187" i="5"/>
  <c r="H1187" i="5"/>
  <c r="I1187" i="5"/>
  <c r="J1187" i="5"/>
  <c r="L1187" i="5"/>
  <c r="M1187" i="5"/>
  <c r="B458" i="5"/>
  <c r="C458" i="5"/>
  <c r="D458" i="5"/>
  <c r="E458" i="5"/>
  <c r="G458" i="5"/>
  <c r="H458" i="5"/>
  <c r="I458" i="5"/>
  <c r="J458" i="5"/>
  <c r="L458" i="5"/>
  <c r="M458" i="5"/>
  <c r="B1017" i="5"/>
  <c r="C1017" i="5"/>
  <c r="D1017" i="5"/>
  <c r="E1017" i="5"/>
  <c r="G1017" i="5"/>
  <c r="H1017" i="5"/>
  <c r="I1017" i="5"/>
  <c r="J1017" i="5"/>
  <c r="L1017" i="5"/>
  <c r="M1017" i="5"/>
  <c r="B987" i="5"/>
  <c r="C987" i="5"/>
  <c r="D987" i="5"/>
  <c r="E987" i="5"/>
  <c r="G987" i="5"/>
  <c r="H987" i="5"/>
  <c r="I987" i="5"/>
  <c r="J987" i="5"/>
  <c r="L987" i="5"/>
  <c r="M987" i="5"/>
  <c r="B262" i="5"/>
  <c r="C262" i="5"/>
  <c r="D262" i="5"/>
  <c r="E262" i="5"/>
  <c r="G262" i="5"/>
  <c r="H262" i="5"/>
  <c r="I262" i="5"/>
  <c r="J262" i="5"/>
  <c r="L262" i="5"/>
  <c r="M262" i="5"/>
  <c r="B489" i="5"/>
  <c r="C489" i="5"/>
  <c r="D489" i="5"/>
  <c r="E489" i="5"/>
  <c r="G489" i="5"/>
  <c r="H489" i="5"/>
  <c r="I489" i="5"/>
  <c r="J489" i="5"/>
  <c r="L489" i="5"/>
  <c r="M489" i="5"/>
  <c r="B710" i="5"/>
  <c r="C710" i="5"/>
  <c r="D710" i="5"/>
  <c r="E710" i="5"/>
  <c r="G710" i="5"/>
  <c r="H710" i="5"/>
  <c r="I710" i="5"/>
  <c r="J710" i="5"/>
  <c r="L710" i="5"/>
  <c r="M710" i="5"/>
  <c r="B1087" i="5"/>
  <c r="C1087" i="5"/>
  <c r="D1087" i="5"/>
  <c r="E1087" i="5"/>
  <c r="G1087" i="5"/>
  <c r="H1087" i="5"/>
  <c r="I1087" i="5"/>
  <c r="J1087" i="5"/>
  <c r="L1087" i="5"/>
  <c r="M1087" i="5"/>
  <c r="B518" i="5"/>
  <c r="C518" i="5"/>
  <c r="D518" i="5"/>
  <c r="E518" i="5"/>
  <c r="G518" i="5"/>
  <c r="H518" i="5"/>
  <c r="I518" i="5"/>
  <c r="J518" i="5"/>
  <c r="L518" i="5"/>
  <c r="M518" i="5"/>
  <c r="B812" i="5"/>
  <c r="C812" i="5"/>
  <c r="D812" i="5"/>
  <c r="E812" i="5"/>
  <c r="G812" i="5"/>
  <c r="H812" i="5"/>
  <c r="I812" i="5"/>
  <c r="J812" i="5"/>
  <c r="L812" i="5"/>
  <c r="M812" i="5"/>
  <c r="B347" i="5"/>
  <c r="C347" i="5"/>
  <c r="D347" i="5"/>
  <c r="E347" i="5"/>
  <c r="G347" i="5"/>
  <c r="H347" i="5"/>
  <c r="I347" i="5"/>
  <c r="J347" i="5"/>
  <c r="L347" i="5"/>
  <c r="M347" i="5"/>
  <c r="B48" i="5"/>
  <c r="C48" i="5"/>
  <c r="D48" i="5"/>
  <c r="E48" i="5"/>
  <c r="G48" i="5"/>
  <c r="H48" i="5"/>
  <c r="I48" i="5"/>
  <c r="J48" i="5"/>
  <c r="L48" i="5"/>
  <c r="M48" i="5"/>
  <c r="B1320" i="5"/>
  <c r="C1320" i="5"/>
  <c r="D1320" i="5"/>
  <c r="E1320" i="5"/>
  <c r="G1320" i="5"/>
  <c r="H1320" i="5"/>
  <c r="I1320" i="5"/>
  <c r="J1320" i="5"/>
  <c r="L1320" i="5"/>
  <c r="M1320" i="5"/>
  <c r="B535" i="5"/>
  <c r="C535" i="5"/>
  <c r="D535" i="5"/>
  <c r="E535" i="5"/>
  <c r="G535" i="5"/>
  <c r="H535" i="5"/>
  <c r="I535" i="5"/>
  <c r="J535" i="5"/>
  <c r="L535" i="5"/>
  <c r="M535" i="5"/>
  <c r="B81" i="5"/>
  <c r="C81" i="5"/>
  <c r="D81" i="5"/>
  <c r="E81" i="5"/>
  <c r="G81" i="5"/>
  <c r="H81" i="5"/>
  <c r="I81" i="5"/>
  <c r="J81" i="5"/>
  <c r="L81" i="5"/>
  <c r="M81" i="5"/>
  <c r="B932" i="5"/>
  <c r="C932" i="5"/>
  <c r="D932" i="5"/>
  <c r="E932" i="5"/>
  <c r="G932" i="5"/>
  <c r="H932" i="5"/>
  <c r="I932" i="5"/>
  <c r="J932" i="5"/>
  <c r="L932" i="5"/>
  <c r="M932" i="5"/>
  <c r="B952" i="5"/>
  <c r="C952" i="5"/>
  <c r="D952" i="5"/>
  <c r="E952" i="5"/>
  <c r="G952" i="5"/>
  <c r="H952" i="5"/>
  <c r="I952" i="5"/>
  <c r="J952" i="5"/>
  <c r="L952" i="5"/>
  <c r="M952" i="5"/>
  <c r="B582" i="5"/>
  <c r="C582" i="5"/>
  <c r="D582" i="5"/>
  <c r="E582" i="5"/>
  <c r="G582" i="5"/>
  <c r="H582" i="5"/>
  <c r="I582" i="5"/>
  <c r="J582" i="5"/>
  <c r="L582" i="5"/>
  <c r="M582" i="5"/>
  <c r="B455" i="5"/>
  <c r="C455" i="5"/>
  <c r="D455" i="5"/>
  <c r="E455" i="5"/>
  <c r="G455" i="5"/>
  <c r="H455" i="5"/>
  <c r="I455" i="5"/>
  <c r="J455" i="5"/>
  <c r="L455" i="5"/>
  <c r="M455" i="5"/>
  <c r="B164" i="5"/>
  <c r="C164" i="5"/>
  <c r="D164" i="5"/>
  <c r="E164" i="5"/>
  <c r="G164" i="5"/>
  <c r="H164" i="5"/>
  <c r="I164" i="5"/>
  <c r="J164" i="5"/>
  <c r="L164" i="5"/>
  <c r="M164" i="5"/>
  <c r="B936" i="5"/>
  <c r="C936" i="5"/>
  <c r="D936" i="5"/>
  <c r="E936" i="5"/>
  <c r="G936" i="5"/>
  <c r="H936" i="5"/>
  <c r="I936" i="5"/>
  <c r="J936" i="5"/>
  <c r="L936" i="5"/>
  <c r="M936" i="5"/>
  <c r="B1332" i="5"/>
  <c r="C1332" i="5"/>
  <c r="D1332" i="5"/>
  <c r="E1332" i="5"/>
  <c r="G1332" i="5"/>
  <c r="H1332" i="5"/>
  <c r="I1332" i="5"/>
  <c r="J1332" i="5"/>
  <c r="L1332" i="5"/>
  <c r="M1332" i="5"/>
  <c r="B964" i="5"/>
  <c r="C964" i="5"/>
  <c r="D964" i="5"/>
  <c r="E964" i="5"/>
  <c r="G964" i="5"/>
  <c r="H964" i="5"/>
  <c r="I964" i="5"/>
  <c r="J964" i="5"/>
  <c r="L964" i="5"/>
  <c r="M964" i="5"/>
  <c r="B1033" i="5"/>
  <c r="C1033" i="5"/>
  <c r="D1033" i="5"/>
  <c r="E1033" i="5"/>
  <c r="G1033" i="5"/>
  <c r="H1033" i="5"/>
  <c r="I1033" i="5"/>
  <c r="J1033" i="5"/>
  <c r="L1033" i="5"/>
  <c r="M1033" i="5"/>
  <c r="B1321" i="5"/>
  <c r="C1321" i="5"/>
  <c r="D1321" i="5"/>
  <c r="E1321" i="5"/>
  <c r="G1321" i="5"/>
  <c r="H1321" i="5"/>
  <c r="I1321" i="5"/>
  <c r="J1321" i="5"/>
  <c r="L1321" i="5"/>
  <c r="M1321" i="5"/>
  <c r="B605" i="5"/>
  <c r="C605" i="5"/>
  <c r="D605" i="5"/>
  <c r="E605" i="5"/>
  <c r="G605" i="5"/>
  <c r="H605" i="5"/>
  <c r="I605" i="5"/>
  <c r="J605" i="5"/>
  <c r="L605" i="5"/>
  <c r="M605" i="5"/>
  <c r="B673" i="5"/>
  <c r="C673" i="5"/>
  <c r="D673" i="5"/>
  <c r="E673" i="5"/>
  <c r="G673" i="5"/>
  <c r="H673" i="5"/>
  <c r="I673" i="5"/>
  <c r="J673" i="5"/>
  <c r="L673" i="5"/>
  <c r="M673" i="5"/>
  <c r="B1203" i="5"/>
  <c r="C1203" i="5"/>
  <c r="D1203" i="5"/>
  <c r="E1203" i="5"/>
  <c r="G1203" i="5"/>
  <c r="H1203" i="5"/>
  <c r="I1203" i="5"/>
  <c r="J1203" i="5"/>
  <c r="L1203" i="5"/>
  <c r="M1203" i="5"/>
  <c r="B211" i="5"/>
  <c r="C211" i="5"/>
  <c r="D211" i="5"/>
  <c r="E211" i="5"/>
  <c r="G211" i="5"/>
  <c r="H211" i="5"/>
  <c r="I211" i="5"/>
  <c r="J211" i="5"/>
  <c r="L211" i="5"/>
  <c r="M211" i="5"/>
  <c r="B1039" i="5"/>
  <c r="C1039" i="5"/>
  <c r="D1039" i="5"/>
  <c r="E1039" i="5"/>
  <c r="G1039" i="5"/>
  <c r="H1039" i="5"/>
  <c r="I1039" i="5"/>
  <c r="J1039" i="5"/>
  <c r="L1039" i="5"/>
  <c r="M1039" i="5"/>
  <c r="B891" i="5"/>
  <c r="C891" i="5"/>
  <c r="D891" i="5"/>
  <c r="E891" i="5"/>
  <c r="G891" i="5"/>
  <c r="H891" i="5"/>
  <c r="I891" i="5"/>
  <c r="J891" i="5"/>
  <c r="L891" i="5"/>
  <c r="M891" i="5"/>
  <c r="B746" i="5"/>
  <c r="C746" i="5"/>
  <c r="D746" i="5"/>
  <c r="E746" i="5"/>
  <c r="G746" i="5"/>
  <c r="H746" i="5"/>
  <c r="I746" i="5"/>
  <c r="J746" i="5"/>
  <c r="L746" i="5"/>
  <c r="M746" i="5"/>
  <c r="B555" i="5"/>
  <c r="C555" i="5"/>
  <c r="D555" i="5"/>
  <c r="E555" i="5"/>
  <c r="G555" i="5"/>
  <c r="H555" i="5"/>
  <c r="I555" i="5"/>
  <c r="J555" i="5"/>
  <c r="L555" i="5"/>
  <c r="M555" i="5"/>
  <c r="B985" i="5"/>
  <c r="C985" i="5"/>
  <c r="D985" i="5"/>
  <c r="E985" i="5"/>
  <c r="G985" i="5"/>
  <c r="H985" i="5"/>
  <c r="I985" i="5"/>
  <c r="J985" i="5"/>
  <c r="L985" i="5"/>
  <c r="M985" i="5"/>
  <c r="B252" i="5"/>
  <c r="C252" i="5"/>
  <c r="D252" i="5"/>
  <c r="E252" i="5"/>
  <c r="G252" i="5"/>
  <c r="H252" i="5"/>
  <c r="I252" i="5"/>
  <c r="J252" i="5"/>
  <c r="L252" i="5"/>
  <c r="M252" i="5"/>
  <c r="B29" i="5"/>
  <c r="C29" i="5"/>
  <c r="D29" i="5"/>
  <c r="E29" i="5"/>
  <c r="G29" i="5"/>
  <c r="H29" i="5"/>
  <c r="I29" i="5"/>
  <c r="J29" i="5"/>
  <c r="L29" i="5"/>
  <c r="M29" i="5"/>
  <c r="B1049" i="5"/>
  <c r="C1049" i="5"/>
  <c r="D1049" i="5"/>
  <c r="E1049" i="5"/>
  <c r="G1049" i="5"/>
  <c r="H1049" i="5"/>
  <c r="I1049" i="5"/>
  <c r="J1049" i="5"/>
  <c r="L1049" i="5"/>
  <c r="M1049" i="5"/>
  <c r="B581" i="5"/>
  <c r="C581" i="5"/>
  <c r="D581" i="5"/>
  <c r="E581" i="5"/>
  <c r="G581" i="5"/>
  <c r="H581" i="5"/>
  <c r="I581" i="5"/>
  <c r="J581" i="5"/>
  <c r="L581" i="5"/>
  <c r="M581" i="5"/>
  <c r="B313" i="5"/>
  <c r="C313" i="5"/>
  <c r="D313" i="5"/>
  <c r="E313" i="5"/>
  <c r="G313" i="5"/>
  <c r="H313" i="5"/>
  <c r="I313" i="5"/>
  <c r="J313" i="5"/>
  <c r="L313" i="5"/>
  <c r="M313" i="5"/>
  <c r="B899" i="5"/>
  <c r="C899" i="5"/>
  <c r="D899" i="5"/>
  <c r="E899" i="5"/>
  <c r="G899" i="5"/>
  <c r="H899" i="5"/>
  <c r="I899" i="5"/>
  <c r="J899" i="5"/>
  <c r="L899" i="5"/>
  <c r="M899" i="5"/>
  <c r="B53" i="5"/>
  <c r="C53" i="5"/>
  <c r="D53" i="5"/>
  <c r="E53" i="5"/>
  <c r="G53" i="5"/>
  <c r="H53" i="5"/>
  <c r="I53" i="5"/>
  <c r="J53" i="5"/>
  <c r="L53" i="5"/>
  <c r="M53" i="5"/>
  <c r="B1234" i="5"/>
  <c r="C1234" i="5"/>
  <c r="D1234" i="5"/>
  <c r="E1234" i="5"/>
  <c r="G1234" i="5"/>
  <c r="H1234" i="5"/>
  <c r="I1234" i="5"/>
  <c r="J1234" i="5"/>
  <c r="L1234" i="5"/>
  <c r="M1234" i="5"/>
  <c r="B1211" i="5"/>
  <c r="C1211" i="5"/>
  <c r="D1211" i="5"/>
  <c r="E1211" i="5"/>
  <c r="G1211" i="5"/>
  <c r="H1211" i="5"/>
  <c r="I1211" i="5"/>
  <c r="J1211" i="5"/>
  <c r="L1211" i="5"/>
  <c r="M1211" i="5"/>
  <c r="B1316" i="5"/>
  <c r="C1316" i="5"/>
  <c r="D1316" i="5"/>
  <c r="E1316" i="5"/>
  <c r="G1316" i="5"/>
  <c r="H1316" i="5"/>
  <c r="I1316" i="5"/>
  <c r="J1316" i="5"/>
  <c r="L1316" i="5"/>
  <c r="M1316" i="5"/>
  <c r="B788" i="5"/>
  <c r="C788" i="5"/>
  <c r="D788" i="5"/>
  <c r="E788" i="5"/>
  <c r="G788" i="5"/>
  <c r="H788" i="5"/>
  <c r="I788" i="5"/>
  <c r="J788" i="5"/>
  <c r="L788" i="5"/>
  <c r="M788" i="5"/>
  <c r="B514" i="5"/>
  <c r="C514" i="5"/>
  <c r="D514" i="5"/>
  <c r="E514" i="5"/>
  <c r="G514" i="5"/>
  <c r="H514" i="5"/>
  <c r="I514" i="5"/>
  <c r="J514" i="5"/>
  <c r="L514" i="5"/>
  <c r="M514" i="5"/>
  <c r="B1251" i="5"/>
  <c r="C1251" i="5"/>
  <c r="D1251" i="5"/>
  <c r="E1251" i="5"/>
  <c r="G1251" i="5"/>
  <c r="H1251" i="5"/>
  <c r="I1251" i="5"/>
  <c r="J1251" i="5"/>
  <c r="L1251" i="5"/>
  <c r="M1251" i="5"/>
  <c r="B836" i="5"/>
  <c r="C836" i="5"/>
  <c r="D836" i="5"/>
  <c r="E836" i="5"/>
  <c r="G836" i="5"/>
  <c r="H836" i="5"/>
  <c r="I836" i="5"/>
  <c r="J836" i="5"/>
  <c r="L836" i="5"/>
  <c r="M836" i="5"/>
  <c r="B41" i="5"/>
  <c r="C41" i="5"/>
  <c r="D41" i="5"/>
  <c r="E41" i="5"/>
  <c r="G41" i="5"/>
  <c r="H41" i="5"/>
  <c r="I41" i="5"/>
  <c r="J41" i="5"/>
  <c r="L41" i="5"/>
  <c r="M41" i="5"/>
  <c r="B1070" i="5"/>
  <c r="C1070" i="5"/>
  <c r="D1070" i="5"/>
  <c r="E1070" i="5"/>
  <c r="G1070" i="5"/>
  <c r="H1070" i="5"/>
  <c r="I1070" i="5"/>
  <c r="J1070" i="5"/>
  <c r="L1070" i="5"/>
  <c r="M1070" i="5"/>
  <c r="B1238" i="5"/>
  <c r="C1238" i="5"/>
  <c r="D1238" i="5"/>
  <c r="E1238" i="5"/>
  <c r="G1238" i="5"/>
  <c r="H1238" i="5"/>
  <c r="I1238" i="5"/>
  <c r="J1238" i="5"/>
  <c r="L1238" i="5"/>
  <c r="M1238" i="5"/>
  <c r="B360" i="5"/>
  <c r="C360" i="5"/>
  <c r="D360" i="5"/>
  <c r="E360" i="5"/>
  <c r="G360" i="5"/>
  <c r="H360" i="5"/>
  <c r="I360" i="5"/>
  <c r="J360" i="5"/>
  <c r="L360" i="5"/>
  <c r="M360" i="5"/>
  <c r="B968" i="5"/>
  <c r="C968" i="5"/>
  <c r="D968" i="5"/>
  <c r="E968" i="5"/>
  <c r="G968" i="5"/>
  <c r="H968" i="5"/>
  <c r="I968" i="5"/>
  <c r="J968" i="5"/>
  <c r="L968" i="5"/>
  <c r="M968" i="5"/>
  <c r="B752" i="5"/>
  <c r="C752" i="5"/>
  <c r="D752" i="5"/>
  <c r="E752" i="5"/>
  <c r="G752" i="5"/>
  <c r="H752" i="5"/>
  <c r="I752" i="5"/>
  <c r="J752" i="5"/>
  <c r="L752" i="5"/>
  <c r="M752" i="5"/>
  <c r="B108" i="5"/>
  <c r="C108" i="5"/>
  <c r="D108" i="5"/>
  <c r="E108" i="5"/>
  <c r="G108" i="5"/>
  <c r="H108" i="5"/>
  <c r="I108" i="5"/>
  <c r="J108" i="5"/>
  <c r="L108" i="5"/>
  <c r="M108" i="5"/>
  <c r="B529" i="5"/>
  <c r="C529" i="5"/>
  <c r="D529" i="5"/>
  <c r="E529" i="5"/>
  <c r="G529" i="5"/>
  <c r="H529" i="5"/>
  <c r="I529" i="5"/>
  <c r="J529" i="5"/>
  <c r="L529" i="5"/>
  <c r="M529" i="5"/>
  <c r="B1127" i="5"/>
  <c r="C1127" i="5"/>
  <c r="D1127" i="5"/>
  <c r="E1127" i="5"/>
  <c r="G1127" i="5"/>
  <c r="H1127" i="5"/>
  <c r="I1127" i="5"/>
  <c r="J1127" i="5"/>
  <c r="L1127" i="5"/>
  <c r="M1127" i="5"/>
  <c r="B1232" i="5"/>
  <c r="C1232" i="5"/>
  <c r="D1232" i="5"/>
  <c r="E1232" i="5"/>
  <c r="G1232" i="5"/>
  <c r="H1232" i="5"/>
  <c r="I1232" i="5"/>
  <c r="J1232" i="5"/>
  <c r="L1232" i="5"/>
  <c r="M1232" i="5"/>
  <c r="B826" i="5"/>
  <c r="C826" i="5"/>
  <c r="D826" i="5"/>
  <c r="E826" i="5"/>
  <c r="G826" i="5"/>
  <c r="H826" i="5"/>
  <c r="I826" i="5"/>
  <c r="J826" i="5"/>
  <c r="L826" i="5"/>
  <c r="M826" i="5"/>
  <c r="B1212" i="5"/>
  <c r="C1212" i="5"/>
  <c r="D1212" i="5"/>
  <c r="E1212" i="5"/>
  <c r="G1212" i="5"/>
  <c r="H1212" i="5"/>
  <c r="I1212" i="5"/>
  <c r="J1212" i="5"/>
  <c r="L1212" i="5"/>
  <c r="M1212" i="5"/>
  <c r="B886" i="5"/>
  <c r="C886" i="5"/>
  <c r="D886" i="5"/>
  <c r="E886" i="5"/>
  <c r="G886" i="5"/>
  <c r="H886" i="5"/>
  <c r="I886" i="5"/>
  <c r="J886" i="5"/>
  <c r="L886" i="5"/>
  <c r="M886" i="5"/>
  <c r="B1303" i="5"/>
  <c r="C1303" i="5"/>
  <c r="D1303" i="5"/>
  <c r="E1303" i="5"/>
  <c r="G1303" i="5"/>
  <c r="H1303" i="5"/>
  <c r="I1303" i="5"/>
  <c r="J1303" i="5"/>
  <c r="L1303" i="5"/>
  <c r="M1303" i="5"/>
  <c r="B984" i="5"/>
  <c r="C984" i="5"/>
  <c r="D984" i="5"/>
  <c r="E984" i="5"/>
  <c r="G984" i="5"/>
  <c r="H984" i="5"/>
  <c r="I984" i="5"/>
  <c r="J984" i="5"/>
  <c r="L984" i="5"/>
  <c r="M984" i="5"/>
  <c r="B100" i="5"/>
  <c r="C100" i="5"/>
  <c r="D100" i="5"/>
  <c r="E100" i="5"/>
  <c r="G100" i="5"/>
  <c r="H100" i="5"/>
  <c r="I100" i="5"/>
  <c r="J100" i="5"/>
  <c r="L100" i="5"/>
  <c r="M100" i="5"/>
  <c r="B128" i="5"/>
  <c r="C128" i="5"/>
  <c r="D128" i="5"/>
  <c r="E128" i="5"/>
  <c r="G128" i="5"/>
  <c r="H128" i="5"/>
  <c r="I128" i="5"/>
  <c r="J128" i="5"/>
  <c r="L128" i="5"/>
  <c r="M128" i="5"/>
  <c r="B242" i="5"/>
  <c r="C242" i="5"/>
  <c r="D242" i="5"/>
  <c r="E242" i="5"/>
  <c r="G242" i="5"/>
  <c r="H242" i="5"/>
  <c r="I242" i="5"/>
  <c r="J242" i="5"/>
  <c r="L242" i="5"/>
  <c r="M242" i="5"/>
  <c r="B168" i="5"/>
  <c r="C168" i="5"/>
  <c r="D168" i="5"/>
  <c r="E168" i="5"/>
  <c r="G168" i="5"/>
  <c r="H168" i="5"/>
  <c r="I168" i="5"/>
  <c r="J168" i="5"/>
  <c r="L168" i="5"/>
  <c r="M168" i="5"/>
  <c r="B288" i="5"/>
  <c r="C288" i="5"/>
  <c r="D288" i="5"/>
  <c r="E288" i="5"/>
  <c r="G288" i="5"/>
  <c r="H288" i="5"/>
  <c r="I288" i="5"/>
  <c r="J288" i="5"/>
  <c r="L288" i="5"/>
  <c r="M288" i="5"/>
  <c r="B1274" i="5"/>
  <c r="C1274" i="5"/>
  <c r="D1274" i="5"/>
  <c r="E1274" i="5"/>
  <c r="G1274" i="5"/>
  <c r="H1274" i="5"/>
  <c r="I1274" i="5"/>
  <c r="J1274" i="5"/>
  <c r="L1274" i="5"/>
  <c r="M1274" i="5"/>
  <c r="B1205" i="5"/>
  <c r="C1205" i="5"/>
  <c r="D1205" i="5"/>
  <c r="E1205" i="5"/>
  <c r="G1205" i="5"/>
  <c r="H1205" i="5"/>
  <c r="I1205" i="5"/>
  <c r="J1205" i="5"/>
  <c r="L1205" i="5"/>
  <c r="M1205" i="5"/>
  <c r="B705" i="5"/>
  <c r="C705" i="5"/>
  <c r="D705" i="5"/>
  <c r="E705" i="5"/>
  <c r="G705" i="5"/>
  <c r="H705" i="5"/>
  <c r="I705" i="5"/>
  <c r="J705" i="5"/>
  <c r="L705" i="5"/>
  <c r="M705" i="5"/>
  <c r="B469" i="5"/>
  <c r="C469" i="5"/>
  <c r="D469" i="5"/>
  <c r="E469" i="5"/>
  <c r="G469" i="5"/>
  <c r="H469" i="5"/>
  <c r="I469" i="5"/>
  <c r="J469" i="5"/>
  <c r="L469" i="5"/>
  <c r="M469" i="5"/>
  <c r="B324" i="5"/>
  <c r="C324" i="5"/>
  <c r="D324" i="5"/>
  <c r="E324" i="5"/>
  <c r="G324" i="5"/>
  <c r="H324" i="5"/>
  <c r="I324" i="5"/>
  <c r="J324" i="5"/>
  <c r="L324" i="5"/>
  <c r="M324" i="5"/>
  <c r="B449" i="5"/>
  <c r="C449" i="5"/>
  <c r="D449" i="5"/>
  <c r="E449" i="5"/>
  <c r="G449" i="5"/>
  <c r="H449" i="5"/>
  <c r="I449" i="5"/>
  <c r="J449" i="5"/>
  <c r="L449" i="5"/>
  <c r="M449" i="5"/>
  <c r="B361" i="5"/>
  <c r="C361" i="5"/>
  <c r="D361" i="5"/>
  <c r="E361" i="5"/>
  <c r="G361" i="5"/>
  <c r="H361" i="5"/>
  <c r="I361" i="5"/>
  <c r="J361" i="5"/>
  <c r="L361" i="5"/>
  <c r="M361" i="5"/>
  <c r="B1146" i="5"/>
  <c r="C1146" i="5"/>
  <c r="D1146" i="5"/>
  <c r="E1146" i="5"/>
  <c r="G1146" i="5"/>
  <c r="H1146" i="5"/>
  <c r="I1146" i="5"/>
  <c r="J1146" i="5"/>
  <c r="L1146" i="5"/>
  <c r="M1146" i="5"/>
  <c r="B522" i="5"/>
  <c r="C522" i="5"/>
  <c r="D522" i="5"/>
  <c r="E522" i="5"/>
  <c r="G522" i="5"/>
  <c r="H522" i="5"/>
  <c r="I522" i="5"/>
  <c r="J522" i="5"/>
  <c r="L522" i="5"/>
  <c r="M522" i="5"/>
  <c r="B541" i="5"/>
  <c r="C541" i="5"/>
  <c r="D541" i="5"/>
  <c r="E541" i="5"/>
  <c r="G541" i="5"/>
  <c r="H541" i="5"/>
  <c r="I541" i="5"/>
  <c r="J541" i="5"/>
  <c r="L541" i="5"/>
  <c r="M541" i="5"/>
  <c r="B743" i="5"/>
  <c r="C743" i="5"/>
  <c r="D743" i="5"/>
  <c r="E743" i="5"/>
  <c r="G743" i="5"/>
  <c r="H743" i="5"/>
  <c r="I743" i="5"/>
  <c r="J743" i="5"/>
  <c r="L743" i="5"/>
  <c r="M743" i="5"/>
  <c r="B622" i="5"/>
  <c r="C622" i="5"/>
  <c r="D622" i="5"/>
  <c r="E622" i="5"/>
  <c r="G622" i="5"/>
  <c r="H622" i="5"/>
  <c r="I622" i="5"/>
  <c r="J622" i="5"/>
  <c r="L622" i="5"/>
  <c r="M622" i="5"/>
  <c r="B1327" i="5"/>
  <c r="C1327" i="5"/>
  <c r="D1327" i="5"/>
  <c r="E1327" i="5"/>
  <c r="G1327" i="5"/>
  <c r="H1327" i="5"/>
  <c r="I1327" i="5"/>
  <c r="J1327" i="5"/>
  <c r="L1327" i="5"/>
  <c r="M1327" i="5"/>
  <c r="B369" i="5"/>
  <c r="C369" i="5"/>
  <c r="D369" i="5"/>
  <c r="E369" i="5"/>
  <c r="G369" i="5"/>
  <c r="H369" i="5"/>
  <c r="I369" i="5"/>
  <c r="J369" i="5"/>
  <c r="L369" i="5"/>
  <c r="M369" i="5"/>
  <c r="B648" i="5"/>
  <c r="C648" i="5"/>
  <c r="D648" i="5"/>
  <c r="E648" i="5"/>
  <c r="G648" i="5"/>
  <c r="H648" i="5"/>
  <c r="I648" i="5"/>
  <c r="J648" i="5"/>
  <c r="L648" i="5"/>
  <c r="M648" i="5"/>
  <c r="B155" i="5"/>
  <c r="C155" i="5"/>
  <c r="D155" i="5"/>
  <c r="E155" i="5"/>
  <c r="G155" i="5"/>
  <c r="H155" i="5"/>
  <c r="I155" i="5"/>
  <c r="J155" i="5"/>
  <c r="L155" i="5"/>
  <c r="M155" i="5"/>
  <c r="B729" i="5"/>
  <c r="C729" i="5"/>
  <c r="D729" i="5"/>
  <c r="E729" i="5"/>
  <c r="G729" i="5"/>
  <c r="H729" i="5"/>
  <c r="I729" i="5"/>
  <c r="J729" i="5"/>
  <c r="L729" i="5"/>
  <c r="M729" i="5"/>
  <c r="B105" i="5"/>
  <c r="C105" i="5"/>
  <c r="D105" i="5"/>
  <c r="E105" i="5"/>
  <c r="G105" i="5"/>
  <c r="H105" i="5"/>
  <c r="I105" i="5"/>
  <c r="J105" i="5"/>
  <c r="L105" i="5"/>
  <c r="M105" i="5"/>
  <c r="B1103" i="5"/>
  <c r="C1103" i="5"/>
  <c r="D1103" i="5"/>
  <c r="E1103" i="5"/>
  <c r="G1103" i="5"/>
  <c r="H1103" i="5"/>
  <c r="I1103" i="5"/>
  <c r="J1103" i="5"/>
  <c r="L1103" i="5"/>
  <c r="M1103" i="5"/>
  <c r="B564" i="5"/>
  <c r="C564" i="5"/>
  <c r="D564" i="5"/>
  <c r="E564" i="5"/>
  <c r="G564" i="5"/>
  <c r="H564" i="5"/>
  <c r="I564" i="5"/>
  <c r="J564" i="5"/>
  <c r="L564" i="5"/>
  <c r="M564" i="5"/>
  <c r="B681" i="5"/>
  <c r="C681" i="5"/>
  <c r="D681" i="5"/>
  <c r="E681" i="5"/>
  <c r="G681" i="5"/>
  <c r="H681" i="5"/>
  <c r="I681" i="5"/>
  <c r="J681" i="5"/>
  <c r="L681" i="5"/>
  <c r="M681" i="5"/>
  <c r="B766" i="5"/>
  <c r="C766" i="5"/>
  <c r="D766" i="5"/>
  <c r="E766" i="5"/>
  <c r="G766" i="5"/>
  <c r="H766" i="5"/>
  <c r="I766" i="5"/>
  <c r="J766" i="5"/>
  <c r="L766" i="5"/>
  <c r="M766" i="5"/>
  <c r="B1042" i="5"/>
  <c r="C1042" i="5"/>
  <c r="D1042" i="5"/>
  <c r="E1042" i="5"/>
  <c r="G1042" i="5"/>
  <c r="H1042" i="5"/>
  <c r="I1042" i="5"/>
  <c r="J1042" i="5"/>
  <c r="L1042" i="5"/>
  <c r="M1042" i="5"/>
  <c r="B851" i="5"/>
  <c r="C851" i="5"/>
  <c r="D851" i="5"/>
  <c r="E851" i="5"/>
  <c r="G851" i="5"/>
  <c r="H851" i="5"/>
  <c r="I851" i="5"/>
  <c r="J851" i="5"/>
  <c r="L851" i="5"/>
  <c r="M851" i="5"/>
  <c r="B79" i="5"/>
  <c r="C79" i="5"/>
  <c r="D79" i="5"/>
  <c r="E79" i="5"/>
  <c r="G79" i="5"/>
  <c r="H79" i="5"/>
  <c r="I79" i="5"/>
  <c r="J79" i="5"/>
  <c r="L79" i="5"/>
  <c r="M79" i="5"/>
  <c r="B454" i="5"/>
  <c r="C454" i="5"/>
  <c r="D454" i="5"/>
  <c r="E454" i="5"/>
  <c r="G454" i="5"/>
  <c r="H454" i="5"/>
  <c r="I454" i="5"/>
  <c r="J454" i="5"/>
  <c r="L454" i="5"/>
  <c r="M454" i="5"/>
  <c r="B757" i="5"/>
  <c r="C757" i="5"/>
  <c r="D757" i="5"/>
  <c r="E757" i="5"/>
  <c r="G757" i="5"/>
  <c r="H757" i="5"/>
  <c r="I757" i="5"/>
  <c r="J757" i="5"/>
  <c r="L757" i="5"/>
  <c r="M757" i="5"/>
  <c r="B490" i="5"/>
  <c r="C490" i="5"/>
  <c r="D490" i="5"/>
  <c r="E490" i="5"/>
  <c r="G490" i="5"/>
  <c r="H490" i="5"/>
  <c r="I490" i="5"/>
  <c r="J490" i="5"/>
  <c r="L490" i="5"/>
  <c r="M490" i="5"/>
  <c r="B1167" i="5"/>
  <c r="C1167" i="5"/>
  <c r="D1167" i="5"/>
  <c r="E1167" i="5"/>
  <c r="G1167" i="5"/>
  <c r="H1167" i="5"/>
  <c r="I1167" i="5"/>
  <c r="J1167" i="5"/>
  <c r="L1167" i="5"/>
  <c r="M1167" i="5"/>
  <c r="B591" i="5"/>
  <c r="C591" i="5"/>
  <c r="D591" i="5"/>
  <c r="E591" i="5"/>
  <c r="G591" i="5"/>
  <c r="H591" i="5"/>
  <c r="I591" i="5"/>
  <c r="J591" i="5"/>
  <c r="L591" i="5"/>
  <c r="M591" i="5"/>
  <c r="B1193" i="5"/>
  <c r="C1193" i="5"/>
  <c r="D1193" i="5"/>
  <c r="E1193" i="5"/>
  <c r="G1193" i="5"/>
  <c r="H1193" i="5"/>
  <c r="I1193" i="5"/>
  <c r="J1193" i="5"/>
  <c r="L1193" i="5"/>
  <c r="M1193" i="5"/>
  <c r="B530" i="5"/>
  <c r="C530" i="5"/>
  <c r="D530" i="5"/>
  <c r="E530" i="5"/>
  <c r="G530" i="5"/>
  <c r="H530" i="5"/>
  <c r="I530" i="5"/>
  <c r="J530" i="5"/>
  <c r="L530" i="5"/>
  <c r="M530" i="5"/>
  <c r="B1135" i="5"/>
  <c r="C1135" i="5"/>
  <c r="D1135" i="5"/>
  <c r="E1135" i="5"/>
  <c r="G1135" i="5"/>
  <c r="H1135" i="5"/>
  <c r="I1135" i="5"/>
  <c r="J1135" i="5"/>
  <c r="L1135" i="5"/>
  <c r="M1135" i="5"/>
  <c r="B439" i="5"/>
  <c r="C439" i="5"/>
  <c r="D439" i="5"/>
  <c r="E439" i="5"/>
  <c r="G439" i="5"/>
  <c r="H439" i="5"/>
  <c r="I439" i="5"/>
  <c r="J439" i="5"/>
  <c r="L439" i="5"/>
  <c r="M439" i="5"/>
  <c r="B553" i="5"/>
  <c r="C553" i="5"/>
  <c r="D553" i="5"/>
  <c r="E553" i="5"/>
  <c r="G553" i="5"/>
  <c r="H553" i="5"/>
  <c r="I553" i="5"/>
  <c r="J553" i="5"/>
  <c r="L553" i="5"/>
  <c r="M553" i="5"/>
  <c r="B113" i="5"/>
  <c r="C113" i="5"/>
  <c r="D113" i="5"/>
  <c r="E113" i="5"/>
  <c r="G113" i="5"/>
  <c r="H113" i="5"/>
  <c r="I113" i="5"/>
  <c r="J113" i="5"/>
  <c r="L113" i="5"/>
  <c r="M113" i="5"/>
  <c r="B315" i="5"/>
  <c r="C315" i="5"/>
  <c r="D315" i="5"/>
  <c r="E315" i="5"/>
  <c r="G315" i="5"/>
  <c r="H315" i="5"/>
  <c r="I315" i="5"/>
  <c r="J315" i="5"/>
  <c r="L315" i="5"/>
  <c r="M315" i="5"/>
  <c r="B1030" i="5"/>
  <c r="C1030" i="5"/>
  <c r="D1030" i="5"/>
  <c r="E1030" i="5"/>
  <c r="G1030" i="5"/>
  <c r="H1030" i="5"/>
  <c r="I1030" i="5"/>
  <c r="J1030" i="5"/>
  <c r="L1030" i="5"/>
  <c r="M1030" i="5"/>
  <c r="B499" i="5"/>
  <c r="C499" i="5"/>
  <c r="D499" i="5"/>
  <c r="E499" i="5"/>
  <c r="G499" i="5"/>
  <c r="H499" i="5"/>
  <c r="I499" i="5"/>
  <c r="J499" i="5"/>
  <c r="L499" i="5"/>
  <c r="M499" i="5"/>
  <c r="B194" i="5"/>
  <c r="C194" i="5"/>
  <c r="D194" i="5"/>
  <c r="E194" i="5"/>
  <c r="G194" i="5"/>
  <c r="H194" i="5"/>
  <c r="I194" i="5"/>
  <c r="J194" i="5"/>
  <c r="L194" i="5"/>
  <c r="M194" i="5"/>
  <c r="B611" i="5"/>
  <c r="C611" i="5"/>
  <c r="D611" i="5"/>
  <c r="E611" i="5"/>
  <c r="G611" i="5"/>
  <c r="H611" i="5"/>
  <c r="I611" i="5"/>
  <c r="J611" i="5"/>
  <c r="L611" i="5"/>
  <c r="M611" i="5"/>
  <c r="B1237" i="5"/>
  <c r="C1237" i="5"/>
  <c r="D1237" i="5"/>
  <c r="E1237" i="5"/>
  <c r="G1237" i="5"/>
  <c r="H1237" i="5"/>
  <c r="I1237" i="5"/>
  <c r="J1237" i="5"/>
  <c r="L1237" i="5"/>
  <c r="M1237" i="5"/>
  <c r="B1284" i="5"/>
  <c r="C1284" i="5"/>
  <c r="D1284" i="5"/>
  <c r="E1284" i="5"/>
  <c r="G1284" i="5"/>
  <c r="H1284" i="5"/>
  <c r="I1284" i="5"/>
  <c r="J1284" i="5"/>
  <c r="L1284" i="5"/>
  <c r="M1284" i="5"/>
  <c r="B61" i="5"/>
  <c r="C61" i="5"/>
  <c r="D61" i="5"/>
  <c r="E61" i="5"/>
  <c r="G61" i="5"/>
  <c r="H61" i="5"/>
  <c r="I61" i="5"/>
  <c r="J61" i="5"/>
  <c r="L61" i="5"/>
  <c r="M61" i="5"/>
  <c r="B464" i="5"/>
  <c r="C464" i="5"/>
  <c r="D464" i="5"/>
  <c r="E464" i="5"/>
  <c r="G464" i="5"/>
  <c r="H464" i="5"/>
  <c r="I464" i="5"/>
  <c r="J464" i="5"/>
  <c r="L464" i="5"/>
  <c r="M464" i="5"/>
  <c r="B954" i="5"/>
  <c r="C954" i="5"/>
  <c r="D954" i="5"/>
  <c r="E954" i="5"/>
  <c r="G954" i="5"/>
  <c r="H954" i="5"/>
  <c r="I954" i="5"/>
  <c r="J954" i="5"/>
  <c r="L954" i="5"/>
  <c r="M954" i="5"/>
  <c r="B1071" i="5"/>
  <c r="C1071" i="5"/>
  <c r="D1071" i="5"/>
  <c r="E1071" i="5"/>
  <c r="G1071" i="5"/>
  <c r="H1071" i="5"/>
  <c r="I1071" i="5"/>
  <c r="J1071" i="5"/>
  <c r="L1071" i="5"/>
  <c r="M1071" i="5"/>
  <c r="B13" i="5"/>
  <c r="C13" i="5"/>
  <c r="D13" i="5"/>
  <c r="E13" i="5"/>
  <c r="G13" i="5"/>
  <c r="H13" i="5"/>
  <c r="I13" i="5"/>
  <c r="J13" i="5"/>
  <c r="L13" i="5"/>
  <c r="M13" i="5"/>
  <c r="B1050" i="5"/>
  <c r="C1050" i="5"/>
  <c r="D1050" i="5"/>
  <c r="E1050" i="5"/>
  <c r="G1050" i="5"/>
  <c r="H1050" i="5"/>
  <c r="I1050" i="5"/>
  <c r="J1050" i="5"/>
  <c r="L1050" i="5"/>
  <c r="M1050" i="5"/>
  <c r="B197" i="5"/>
  <c r="C197" i="5"/>
  <c r="D197" i="5"/>
  <c r="E197" i="5"/>
  <c r="G197" i="5"/>
  <c r="H197" i="5"/>
  <c r="I197" i="5"/>
  <c r="J197" i="5"/>
  <c r="L197" i="5"/>
  <c r="M197" i="5"/>
  <c r="B93" i="5"/>
  <c r="C93" i="5"/>
  <c r="D93" i="5"/>
  <c r="E93" i="5"/>
  <c r="G93" i="5"/>
  <c r="H93" i="5"/>
  <c r="I93" i="5"/>
  <c r="J93" i="5"/>
  <c r="L93" i="5"/>
  <c r="M93" i="5"/>
  <c r="B644" i="5"/>
  <c r="C644" i="5"/>
  <c r="D644" i="5"/>
  <c r="E644" i="5"/>
  <c r="G644" i="5"/>
  <c r="H644" i="5"/>
  <c r="I644" i="5"/>
  <c r="J644" i="5"/>
  <c r="L644" i="5"/>
  <c r="M644" i="5"/>
  <c r="B1194" i="5"/>
  <c r="C1194" i="5"/>
  <c r="D1194" i="5"/>
  <c r="E1194" i="5"/>
  <c r="G1194" i="5"/>
  <c r="H1194" i="5"/>
  <c r="I1194" i="5"/>
  <c r="J1194" i="5"/>
  <c r="L1194" i="5"/>
  <c r="M1194" i="5"/>
  <c r="B66" i="5"/>
  <c r="C66" i="5"/>
  <c r="D66" i="5"/>
  <c r="E66" i="5"/>
  <c r="G66" i="5"/>
  <c r="H66" i="5"/>
  <c r="I66" i="5"/>
  <c r="J66" i="5"/>
  <c r="L66" i="5"/>
  <c r="M66" i="5"/>
  <c r="B894" i="5"/>
  <c r="C894" i="5"/>
  <c r="D894" i="5"/>
  <c r="E894" i="5"/>
  <c r="G894" i="5"/>
  <c r="H894" i="5"/>
  <c r="I894" i="5"/>
  <c r="J894" i="5"/>
  <c r="L894" i="5"/>
  <c r="M894" i="5"/>
  <c r="B180" i="5"/>
  <c r="C180" i="5"/>
  <c r="D180" i="5"/>
  <c r="E180" i="5"/>
  <c r="G180" i="5"/>
  <c r="H180" i="5"/>
  <c r="I180" i="5"/>
  <c r="J180" i="5"/>
  <c r="L180" i="5"/>
  <c r="M180" i="5"/>
  <c r="B570" i="5"/>
  <c r="C570" i="5"/>
  <c r="D570" i="5"/>
  <c r="E570" i="5"/>
  <c r="G570" i="5"/>
  <c r="H570" i="5"/>
  <c r="I570" i="5"/>
  <c r="J570" i="5"/>
  <c r="L570" i="5"/>
  <c r="M570" i="5"/>
  <c r="B510" i="5"/>
  <c r="C510" i="5"/>
  <c r="D510" i="5"/>
  <c r="E510" i="5"/>
  <c r="G510" i="5"/>
  <c r="H510" i="5"/>
  <c r="I510" i="5"/>
  <c r="J510" i="5"/>
  <c r="L510" i="5"/>
  <c r="M510" i="5"/>
  <c r="B65" i="5"/>
  <c r="C65" i="5"/>
  <c r="D65" i="5"/>
  <c r="E65" i="5"/>
  <c r="G65" i="5"/>
  <c r="H65" i="5"/>
  <c r="I65" i="5"/>
  <c r="J65" i="5"/>
  <c r="L65" i="5"/>
  <c r="M65" i="5"/>
  <c r="B326" i="5"/>
  <c r="C326" i="5"/>
  <c r="D326" i="5"/>
  <c r="E326" i="5"/>
  <c r="G326" i="5"/>
  <c r="H326" i="5"/>
  <c r="I326" i="5"/>
  <c r="J326" i="5"/>
  <c r="L326" i="5"/>
  <c r="M326" i="5"/>
  <c r="B717" i="5"/>
  <c r="C717" i="5"/>
  <c r="D717" i="5"/>
  <c r="E717" i="5"/>
  <c r="G717" i="5"/>
  <c r="H717" i="5"/>
  <c r="I717" i="5"/>
  <c r="J717" i="5"/>
  <c r="K717" i="5"/>
  <c r="L717" i="5"/>
  <c r="M717" i="5"/>
  <c r="B621" i="5"/>
  <c r="C621" i="5"/>
  <c r="D621" i="5"/>
  <c r="E621" i="5"/>
  <c r="G621" i="5"/>
  <c r="H621" i="5"/>
  <c r="I621" i="5"/>
  <c r="J621" i="5"/>
  <c r="L621" i="5"/>
  <c r="M621" i="5"/>
  <c r="B1222" i="5"/>
  <c r="C1222" i="5"/>
  <c r="D1222" i="5"/>
  <c r="E1222" i="5"/>
  <c r="G1222" i="5"/>
  <c r="H1222" i="5"/>
  <c r="I1222" i="5"/>
  <c r="J1222" i="5"/>
  <c r="L1222" i="5"/>
  <c r="M1222" i="5"/>
  <c r="B11" i="5"/>
  <c r="C11" i="5"/>
  <c r="D11" i="5"/>
  <c r="E11" i="5"/>
  <c r="G11" i="5"/>
  <c r="H11" i="5"/>
  <c r="I11" i="5"/>
  <c r="J11" i="5"/>
  <c r="L11" i="5"/>
  <c r="M11" i="5"/>
  <c r="B928" i="5"/>
  <c r="C928" i="5"/>
  <c r="D928" i="5"/>
  <c r="E928" i="5"/>
  <c r="G928" i="5"/>
  <c r="H928" i="5"/>
  <c r="I928" i="5"/>
  <c r="J928" i="5"/>
  <c r="L928" i="5"/>
  <c r="M928" i="5"/>
  <c r="B786" i="5"/>
  <c r="C786" i="5"/>
  <c r="D786" i="5"/>
  <c r="E786" i="5"/>
  <c r="G786" i="5"/>
  <c r="H786" i="5"/>
  <c r="I786" i="5"/>
  <c r="J786" i="5"/>
  <c r="L786" i="5"/>
  <c r="M786" i="5"/>
  <c r="B486" i="5"/>
  <c r="C486" i="5"/>
  <c r="D486" i="5"/>
  <c r="E486" i="5"/>
  <c r="G486" i="5"/>
  <c r="H486" i="5"/>
  <c r="I486" i="5"/>
  <c r="J486" i="5"/>
  <c r="L486" i="5"/>
  <c r="M486" i="5"/>
  <c r="B602" i="5"/>
  <c r="C602" i="5"/>
  <c r="D602" i="5"/>
  <c r="E602" i="5"/>
  <c r="G602" i="5"/>
  <c r="H602" i="5"/>
  <c r="I602" i="5"/>
  <c r="J602" i="5"/>
  <c r="L602" i="5"/>
  <c r="M602" i="5"/>
  <c r="B3" i="5"/>
  <c r="C3" i="5"/>
  <c r="D3" i="5"/>
  <c r="E3" i="5"/>
  <c r="G3" i="5"/>
  <c r="H3" i="5"/>
  <c r="I3" i="5"/>
  <c r="J3" i="5"/>
  <c r="L3" i="5"/>
  <c r="M3" i="5"/>
  <c r="B505" i="5"/>
  <c r="C505" i="5"/>
  <c r="D505" i="5"/>
  <c r="E505" i="5"/>
  <c r="G505" i="5"/>
  <c r="H505" i="5"/>
  <c r="I505" i="5"/>
  <c r="J505" i="5"/>
  <c r="L505" i="5"/>
  <c r="M505" i="5"/>
  <c r="B334" i="5"/>
  <c r="C334" i="5"/>
  <c r="D334" i="5"/>
  <c r="E334" i="5"/>
  <c r="G334" i="5"/>
  <c r="H334" i="5"/>
  <c r="I334" i="5"/>
  <c r="J334" i="5"/>
  <c r="L334" i="5"/>
  <c r="M334" i="5"/>
  <c r="B391" i="5"/>
  <c r="C391" i="5"/>
  <c r="D391" i="5"/>
  <c r="E391" i="5"/>
  <c r="G391" i="5"/>
  <c r="H391" i="5"/>
  <c r="I391" i="5"/>
  <c r="J391" i="5"/>
  <c r="L391" i="5"/>
  <c r="M391" i="5"/>
  <c r="B684" i="5"/>
  <c r="C684" i="5"/>
  <c r="D684" i="5"/>
  <c r="E684" i="5"/>
  <c r="G684" i="5"/>
  <c r="H684" i="5"/>
  <c r="I684" i="5"/>
  <c r="J684" i="5"/>
  <c r="L684" i="5"/>
  <c r="M684" i="5"/>
  <c r="B565" i="5"/>
  <c r="C565" i="5"/>
  <c r="D565" i="5"/>
  <c r="E565" i="5"/>
  <c r="G565" i="5"/>
  <c r="H565" i="5"/>
  <c r="I565" i="5"/>
  <c r="J565" i="5"/>
  <c r="L565" i="5"/>
  <c r="M565" i="5"/>
  <c r="B467" i="5"/>
  <c r="C467" i="5"/>
  <c r="D467" i="5"/>
  <c r="E467" i="5"/>
  <c r="G467" i="5"/>
  <c r="H467" i="5"/>
  <c r="I467" i="5"/>
  <c r="J467" i="5"/>
  <c r="L467" i="5"/>
  <c r="M467" i="5"/>
  <c r="B1287" i="5"/>
  <c r="C1287" i="5"/>
  <c r="D1287" i="5"/>
  <c r="E1287" i="5"/>
  <c r="G1287" i="5"/>
  <c r="H1287" i="5"/>
  <c r="I1287" i="5"/>
  <c r="J1287" i="5"/>
  <c r="L1287" i="5"/>
  <c r="M1287" i="5"/>
  <c r="B10" i="5"/>
  <c r="C10" i="5"/>
  <c r="D10" i="5"/>
  <c r="E10" i="5"/>
  <c r="G10" i="5"/>
  <c r="H10" i="5"/>
  <c r="I10" i="5"/>
  <c r="J10" i="5"/>
  <c r="L10" i="5"/>
  <c r="M10" i="5"/>
  <c r="B656" i="5"/>
  <c r="C656" i="5"/>
  <c r="D656" i="5"/>
  <c r="E656" i="5"/>
  <c r="G656" i="5"/>
  <c r="H656" i="5"/>
  <c r="I656" i="5"/>
  <c r="J656" i="5"/>
  <c r="L656" i="5"/>
  <c r="M656" i="5"/>
  <c r="B508" i="5"/>
  <c r="C508" i="5"/>
  <c r="D508" i="5"/>
  <c r="E508" i="5"/>
  <c r="G508" i="5"/>
  <c r="H508" i="5"/>
  <c r="I508" i="5"/>
  <c r="J508" i="5"/>
  <c r="L508" i="5"/>
  <c r="M508" i="5"/>
  <c r="B614" i="5"/>
  <c r="C614" i="5"/>
  <c r="D614" i="5"/>
  <c r="E614" i="5"/>
  <c r="G614" i="5"/>
  <c r="H614" i="5"/>
  <c r="I614" i="5"/>
  <c r="J614" i="5"/>
  <c r="L614" i="5"/>
  <c r="M614" i="5"/>
  <c r="B346" i="5"/>
  <c r="C346" i="5"/>
  <c r="D346" i="5"/>
  <c r="E346" i="5"/>
  <c r="G346" i="5"/>
  <c r="H346" i="5"/>
  <c r="I346" i="5"/>
  <c r="J346" i="5"/>
  <c r="L346" i="5"/>
  <c r="M346" i="5"/>
  <c r="B1060" i="5"/>
  <c r="C1060" i="5"/>
  <c r="D1060" i="5"/>
  <c r="E1060" i="5"/>
  <c r="G1060" i="5"/>
  <c r="H1060" i="5"/>
  <c r="I1060" i="5"/>
  <c r="J1060" i="5"/>
  <c r="L1060" i="5"/>
  <c r="M1060" i="5"/>
  <c r="B1243" i="5"/>
  <c r="C1243" i="5"/>
  <c r="D1243" i="5"/>
  <c r="E1243" i="5"/>
  <c r="G1243" i="5"/>
  <c r="H1243" i="5"/>
  <c r="I1243" i="5"/>
  <c r="J1243" i="5"/>
  <c r="L1243" i="5"/>
  <c r="M1243" i="5"/>
  <c r="B889" i="5"/>
  <c r="C889" i="5"/>
  <c r="D889" i="5"/>
  <c r="E889" i="5"/>
  <c r="G889" i="5"/>
  <c r="H889" i="5"/>
  <c r="I889" i="5"/>
  <c r="J889" i="5"/>
  <c r="L889" i="5"/>
  <c r="M889" i="5"/>
  <c r="B1196" i="5"/>
  <c r="C1196" i="5"/>
  <c r="D1196" i="5"/>
  <c r="E1196" i="5"/>
  <c r="G1196" i="5"/>
  <c r="H1196" i="5"/>
  <c r="I1196" i="5"/>
  <c r="J1196" i="5"/>
  <c r="L1196" i="5"/>
  <c r="M1196" i="5"/>
  <c r="B924" i="5"/>
  <c r="C924" i="5"/>
  <c r="D924" i="5"/>
  <c r="E924" i="5"/>
  <c r="G924" i="5"/>
  <c r="H924" i="5"/>
  <c r="I924" i="5"/>
  <c r="J924" i="5"/>
  <c r="L924" i="5"/>
  <c r="M924" i="5"/>
  <c r="B255" i="5"/>
  <c r="C255" i="5"/>
  <c r="D255" i="5"/>
  <c r="E255" i="5"/>
  <c r="G255" i="5"/>
  <c r="H255" i="5"/>
  <c r="I255" i="5"/>
  <c r="J255" i="5"/>
  <c r="L255" i="5"/>
  <c r="M255" i="5"/>
  <c r="B35" i="5"/>
  <c r="C35" i="5"/>
  <c r="D35" i="5"/>
  <c r="E35" i="5"/>
  <c r="G35" i="5"/>
  <c r="H35" i="5"/>
  <c r="I35" i="5"/>
  <c r="J35" i="5"/>
  <c r="L35" i="5"/>
  <c r="M35" i="5"/>
  <c r="B876" i="5"/>
  <c r="C876" i="5"/>
  <c r="D876" i="5"/>
  <c r="E876" i="5"/>
  <c r="G876" i="5"/>
  <c r="H876" i="5"/>
  <c r="I876" i="5"/>
  <c r="J876" i="5"/>
  <c r="L876" i="5"/>
  <c r="M876" i="5"/>
  <c r="B607" i="5"/>
  <c r="C607" i="5"/>
  <c r="D607" i="5"/>
  <c r="E607" i="5"/>
  <c r="G607" i="5"/>
  <c r="H607" i="5"/>
  <c r="I607" i="5"/>
  <c r="J607" i="5"/>
  <c r="L607" i="5"/>
  <c r="M607" i="5"/>
  <c r="B829" i="5"/>
  <c r="C829" i="5"/>
  <c r="D829" i="5"/>
  <c r="E829" i="5"/>
  <c r="G829" i="5"/>
  <c r="H829" i="5"/>
  <c r="I829" i="5"/>
  <c r="J829" i="5"/>
  <c r="L829" i="5"/>
  <c r="M829" i="5"/>
  <c r="B967" i="5"/>
  <c r="C967" i="5"/>
  <c r="D967" i="5"/>
  <c r="E967" i="5"/>
  <c r="G967" i="5"/>
  <c r="H967" i="5"/>
  <c r="I967" i="5"/>
  <c r="J967" i="5"/>
  <c r="L967" i="5"/>
  <c r="M967" i="5"/>
  <c r="B811" i="5"/>
  <c r="C811" i="5"/>
  <c r="D811" i="5"/>
  <c r="E811" i="5"/>
  <c r="G811" i="5"/>
  <c r="H811" i="5"/>
  <c r="I811" i="5"/>
  <c r="J811" i="5"/>
  <c r="L811" i="5"/>
  <c r="M811" i="5"/>
  <c r="B619" i="5"/>
  <c r="C619" i="5"/>
  <c r="D619" i="5"/>
  <c r="E619" i="5"/>
  <c r="G619" i="5"/>
  <c r="H619" i="5"/>
  <c r="I619" i="5"/>
  <c r="J619" i="5"/>
  <c r="L619" i="5"/>
  <c r="M619" i="5"/>
  <c r="B385" i="5"/>
  <c r="C385" i="5"/>
  <c r="D385" i="5"/>
  <c r="E385" i="5"/>
  <c r="G385" i="5"/>
  <c r="H385" i="5"/>
  <c r="I385" i="5"/>
  <c r="J385" i="5"/>
  <c r="L385" i="5"/>
  <c r="M385" i="5"/>
  <c r="B868" i="5"/>
  <c r="C868" i="5"/>
  <c r="D868" i="5"/>
  <c r="E868" i="5"/>
  <c r="G868" i="5"/>
  <c r="H868" i="5"/>
  <c r="I868" i="5"/>
  <c r="J868" i="5"/>
  <c r="L868" i="5"/>
  <c r="M868" i="5"/>
  <c r="B959" i="5"/>
  <c r="C959" i="5"/>
  <c r="D959" i="5"/>
  <c r="E959" i="5"/>
  <c r="G959" i="5"/>
  <c r="H959" i="5"/>
  <c r="I959" i="5"/>
  <c r="J959" i="5"/>
  <c r="L959" i="5"/>
  <c r="M959" i="5"/>
  <c r="B1189" i="5"/>
  <c r="C1189" i="5"/>
  <c r="D1189" i="5"/>
  <c r="E1189" i="5"/>
  <c r="G1189" i="5"/>
  <c r="H1189" i="5"/>
  <c r="I1189" i="5"/>
  <c r="J1189" i="5"/>
  <c r="L1189" i="5"/>
  <c r="M1189" i="5"/>
  <c r="B76" i="5"/>
  <c r="C76" i="5"/>
  <c r="D76" i="5"/>
  <c r="E76" i="5"/>
  <c r="G76" i="5"/>
  <c r="H76" i="5"/>
  <c r="I76" i="5"/>
  <c r="J76" i="5"/>
  <c r="L76" i="5"/>
  <c r="M76" i="5"/>
  <c r="B534" i="5"/>
  <c r="C534" i="5"/>
  <c r="D534" i="5"/>
  <c r="E534" i="5"/>
  <c r="G534" i="5"/>
  <c r="H534" i="5"/>
  <c r="I534" i="5"/>
  <c r="J534" i="5"/>
  <c r="L534" i="5"/>
  <c r="M534" i="5"/>
  <c r="B221" i="5"/>
  <c r="C221" i="5"/>
  <c r="D221" i="5"/>
  <c r="E221" i="5"/>
  <c r="G221" i="5"/>
  <c r="H221" i="5"/>
  <c r="I221" i="5"/>
  <c r="J221" i="5"/>
  <c r="L221" i="5"/>
  <c r="M221" i="5"/>
  <c r="B1174" i="5"/>
  <c r="C1174" i="5"/>
  <c r="D1174" i="5"/>
  <c r="E1174" i="5"/>
  <c r="G1174" i="5"/>
  <c r="H1174" i="5"/>
  <c r="I1174" i="5"/>
  <c r="J1174" i="5"/>
  <c r="L1174" i="5"/>
  <c r="M1174" i="5"/>
  <c r="B799" i="5"/>
  <c r="C799" i="5"/>
  <c r="D799" i="5"/>
  <c r="E799" i="5"/>
  <c r="G799" i="5"/>
  <c r="H799" i="5"/>
  <c r="I799" i="5"/>
  <c r="J799" i="5"/>
  <c r="L799" i="5"/>
  <c r="M799" i="5"/>
  <c r="B1064" i="5"/>
  <c r="C1064" i="5"/>
  <c r="D1064" i="5"/>
  <c r="E1064" i="5"/>
  <c r="G1064" i="5"/>
  <c r="H1064" i="5"/>
  <c r="I1064" i="5"/>
  <c r="J1064" i="5"/>
  <c r="L1064" i="5"/>
  <c r="M1064" i="5"/>
  <c r="B421" i="5"/>
  <c r="C421" i="5"/>
  <c r="D421" i="5"/>
  <c r="E421" i="5"/>
  <c r="G421" i="5"/>
  <c r="H421" i="5"/>
  <c r="I421" i="5"/>
  <c r="J421" i="5"/>
  <c r="L421" i="5"/>
  <c r="M421" i="5"/>
  <c r="B468" i="5"/>
  <c r="C468" i="5"/>
  <c r="D468" i="5"/>
  <c r="E468" i="5"/>
  <c r="G468" i="5"/>
  <c r="H468" i="5"/>
  <c r="I468" i="5"/>
  <c r="J468" i="5"/>
  <c r="L468" i="5"/>
  <c r="M468" i="5"/>
  <c r="B532" i="5"/>
  <c r="C532" i="5"/>
  <c r="D532" i="5"/>
  <c r="E532" i="5"/>
  <c r="G532" i="5"/>
  <c r="H532" i="5"/>
  <c r="I532" i="5"/>
  <c r="J532" i="5"/>
  <c r="L532" i="5"/>
  <c r="M532" i="5"/>
  <c r="B1235" i="5"/>
  <c r="C1235" i="5"/>
  <c r="D1235" i="5"/>
  <c r="E1235" i="5"/>
  <c r="G1235" i="5"/>
  <c r="H1235" i="5"/>
  <c r="I1235" i="5"/>
  <c r="J1235" i="5"/>
  <c r="L1235" i="5"/>
  <c r="M1235" i="5"/>
  <c r="B946" i="5"/>
  <c r="C946" i="5"/>
  <c r="D946" i="5"/>
  <c r="E946" i="5"/>
  <c r="G946" i="5"/>
  <c r="H946" i="5"/>
  <c r="I946" i="5"/>
  <c r="J946" i="5"/>
  <c r="L946" i="5"/>
  <c r="M946" i="5"/>
  <c r="B98" i="5"/>
  <c r="C98" i="5"/>
  <c r="D98" i="5"/>
  <c r="E98" i="5"/>
  <c r="G98" i="5"/>
  <c r="H98" i="5"/>
  <c r="I98" i="5"/>
  <c r="J98" i="5"/>
  <c r="L98" i="5"/>
  <c r="M98" i="5"/>
  <c r="B184" i="5"/>
  <c r="C184" i="5"/>
  <c r="D184" i="5"/>
  <c r="E184" i="5"/>
  <c r="G184" i="5"/>
  <c r="H184" i="5"/>
  <c r="I184" i="5"/>
  <c r="J184" i="5"/>
  <c r="L184" i="5"/>
  <c r="M184" i="5"/>
  <c r="B1271" i="5"/>
  <c r="C1271" i="5"/>
  <c r="D1271" i="5"/>
  <c r="E1271" i="5"/>
  <c r="G1271" i="5"/>
  <c r="H1271" i="5"/>
  <c r="I1271" i="5"/>
  <c r="J1271" i="5"/>
  <c r="L1271" i="5"/>
  <c r="M1271" i="5"/>
  <c r="B406" i="5"/>
  <c r="C406" i="5"/>
  <c r="D406" i="5"/>
  <c r="E406" i="5"/>
  <c r="G406" i="5"/>
  <c r="H406" i="5"/>
  <c r="I406" i="5"/>
  <c r="J406" i="5"/>
  <c r="L406" i="5"/>
  <c r="M406" i="5"/>
  <c r="B734" i="5"/>
  <c r="C734" i="5"/>
  <c r="D734" i="5"/>
  <c r="E734" i="5"/>
  <c r="G734" i="5"/>
  <c r="H734" i="5"/>
  <c r="I734" i="5"/>
  <c r="J734" i="5"/>
  <c r="L734" i="5"/>
  <c r="M734" i="5"/>
  <c r="B563" i="5"/>
  <c r="C563" i="5"/>
  <c r="D563" i="5"/>
  <c r="E563" i="5"/>
  <c r="G563" i="5"/>
  <c r="H563" i="5"/>
  <c r="I563" i="5"/>
  <c r="J563" i="5"/>
  <c r="L563" i="5"/>
  <c r="M563" i="5"/>
  <c r="B110" i="5"/>
  <c r="C110" i="5"/>
  <c r="D110" i="5"/>
  <c r="E110" i="5"/>
  <c r="G110" i="5"/>
  <c r="H110" i="5"/>
  <c r="I110" i="5"/>
  <c r="J110" i="5"/>
  <c r="L110" i="5"/>
  <c r="M110" i="5"/>
  <c r="B176" i="5"/>
  <c r="C176" i="5"/>
  <c r="D176" i="5"/>
  <c r="E176" i="5"/>
  <c r="G176" i="5"/>
  <c r="H176" i="5"/>
  <c r="I176" i="5"/>
  <c r="J176" i="5"/>
  <c r="L176" i="5"/>
  <c r="M176" i="5"/>
  <c r="B461" i="5"/>
  <c r="C461" i="5"/>
  <c r="D461" i="5"/>
  <c r="E461" i="5"/>
  <c r="G461" i="5"/>
  <c r="H461" i="5"/>
  <c r="I461" i="5"/>
  <c r="J461" i="5"/>
  <c r="L461" i="5"/>
  <c r="M461" i="5"/>
  <c r="B875" i="5"/>
  <c r="C875" i="5"/>
  <c r="D875" i="5"/>
  <c r="E875" i="5"/>
  <c r="G875" i="5"/>
  <c r="H875" i="5"/>
  <c r="I875" i="5"/>
  <c r="J875" i="5"/>
  <c r="L875" i="5"/>
  <c r="M875" i="5"/>
  <c r="B1149" i="5"/>
  <c r="C1149" i="5"/>
  <c r="D1149" i="5"/>
  <c r="E1149" i="5"/>
  <c r="G1149" i="5"/>
  <c r="H1149" i="5"/>
  <c r="I1149" i="5"/>
  <c r="J1149" i="5"/>
  <c r="L1149" i="5"/>
  <c r="M1149" i="5"/>
  <c r="B963" i="5"/>
  <c r="C963" i="5"/>
  <c r="D963" i="5"/>
  <c r="E963" i="5"/>
  <c r="G963" i="5"/>
  <c r="H963" i="5"/>
  <c r="I963" i="5"/>
  <c r="J963" i="5"/>
  <c r="L963" i="5"/>
  <c r="M963" i="5"/>
  <c r="B160" i="5"/>
  <c r="C160" i="5"/>
  <c r="D160" i="5"/>
  <c r="E160" i="5"/>
  <c r="G160" i="5"/>
  <c r="H160" i="5"/>
  <c r="I160" i="5"/>
  <c r="J160" i="5"/>
  <c r="L160" i="5"/>
  <c r="M160" i="5"/>
  <c r="B1256" i="5"/>
  <c r="C1256" i="5"/>
  <c r="D1256" i="5"/>
  <c r="E1256" i="5"/>
  <c r="G1256" i="5"/>
  <c r="H1256" i="5"/>
  <c r="I1256" i="5"/>
  <c r="J1256" i="5"/>
  <c r="L1256" i="5"/>
  <c r="M1256" i="5"/>
  <c r="B1115" i="5"/>
  <c r="C1115" i="5"/>
  <c r="D1115" i="5"/>
  <c r="E1115" i="5"/>
  <c r="G1115" i="5"/>
  <c r="H1115" i="5"/>
  <c r="I1115" i="5"/>
  <c r="J1115" i="5"/>
  <c r="L1115" i="5"/>
  <c r="M1115" i="5"/>
  <c r="B645" i="5"/>
  <c r="C645" i="5"/>
  <c r="D645" i="5"/>
  <c r="E645" i="5"/>
  <c r="G645" i="5"/>
  <c r="H645" i="5"/>
  <c r="I645" i="5"/>
  <c r="J645" i="5"/>
  <c r="L645" i="5"/>
  <c r="M645" i="5"/>
  <c r="B1023" i="5"/>
  <c r="C1023" i="5"/>
  <c r="D1023" i="5"/>
  <c r="E1023" i="5"/>
  <c r="G1023" i="5"/>
  <c r="H1023" i="5"/>
  <c r="I1023" i="5"/>
  <c r="J1023" i="5"/>
  <c r="L1023" i="5"/>
  <c r="M1023" i="5"/>
  <c r="B249" i="5"/>
  <c r="C249" i="5"/>
  <c r="D249" i="5"/>
  <c r="E249" i="5"/>
  <c r="G249" i="5"/>
  <c r="H249" i="5"/>
  <c r="I249" i="5"/>
  <c r="J249" i="5"/>
  <c r="L249" i="5"/>
  <c r="M249" i="5"/>
  <c r="B929" i="5"/>
  <c r="C929" i="5"/>
  <c r="D929" i="5"/>
  <c r="E929" i="5"/>
  <c r="G929" i="5"/>
  <c r="H929" i="5"/>
  <c r="I929" i="5"/>
  <c r="J929" i="5"/>
  <c r="L929" i="5"/>
  <c r="M929" i="5"/>
  <c r="B229" i="5"/>
  <c r="C229" i="5"/>
  <c r="D229" i="5"/>
  <c r="E229" i="5"/>
  <c r="G229" i="5"/>
  <c r="H229" i="5"/>
  <c r="I229" i="5"/>
  <c r="J229" i="5"/>
  <c r="L229" i="5"/>
  <c r="M229" i="5"/>
  <c r="B397" i="5"/>
  <c r="C397" i="5"/>
  <c r="D397" i="5"/>
  <c r="E397" i="5"/>
  <c r="G397" i="5"/>
  <c r="H397" i="5"/>
  <c r="I397" i="5"/>
  <c r="J397" i="5"/>
  <c r="L397" i="5"/>
  <c r="M397" i="5"/>
  <c r="B671" i="5"/>
  <c r="C671" i="5"/>
  <c r="D671" i="5"/>
  <c r="E671" i="5"/>
  <c r="G671" i="5"/>
  <c r="H671" i="5"/>
  <c r="I671" i="5"/>
  <c r="J671" i="5"/>
  <c r="L671" i="5"/>
  <c r="M671" i="5"/>
  <c r="B1151" i="5"/>
  <c r="C1151" i="5"/>
  <c r="D1151" i="5"/>
  <c r="E1151" i="5"/>
  <c r="G1151" i="5"/>
  <c r="H1151" i="5"/>
  <c r="I1151" i="5"/>
  <c r="J1151" i="5"/>
  <c r="L1151" i="5"/>
  <c r="M1151" i="5"/>
  <c r="B595" i="5"/>
  <c r="C595" i="5"/>
  <c r="D595" i="5"/>
  <c r="E595" i="5"/>
  <c r="G595" i="5"/>
  <c r="H595" i="5"/>
  <c r="I595" i="5"/>
  <c r="J595" i="5"/>
  <c r="L595" i="5"/>
  <c r="M595" i="5"/>
  <c r="B470" i="5"/>
  <c r="C470" i="5"/>
  <c r="D470" i="5"/>
  <c r="E470" i="5"/>
  <c r="G470" i="5"/>
  <c r="H470" i="5"/>
  <c r="I470" i="5"/>
  <c r="J470" i="5"/>
  <c r="L470" i="5"/>
  <c r="M470" i="5"/>
  <c r="B1057" i="5"/>
  <c r="C1057" i="5"/>
  <c r="D1057" i="5"/>
  <c r="E1057" i="5"/>
  <c r="G1057" i="5"/>
  <c r="H1057" i="5"/>
  <c r="I1057" i="5"/>
  <c r="J1057" i="5"/>
  <c r="L1057" i="5"/>
  <c r="M1057" i="5"/>
  <c r="B451" i="5"/>
  <c r="C451" i="5"/>
  <c r="D451" i="5"/>
  <c r="E451" i="5"/>
  <c r="G451" i="5"/>
  <c r="H451" i="5"/>
  <c r="I451" i="5"/>
  <c r="J451" i="5"/>
  <c r="L451" i="5"/>
  <c r="M451" i="5"/>
  <c r="B1009" i="5"/>
  <c r="C1009" i="5"/>
  <c r="D1009" i="5"/>
  <c r="E1009" i="5"/>
  <c r="G1009" i="5"/>
  <c r="H1009" i="5"/>
  <c r="I1009" i="5"/>
  <c r="J1009" i="5"/>
  <c r="L1009" i="5"/>
  <c r="M1009" i="5"/>
  <c r="B1021" i="5"/>
  <c r="C1021" i="5"/>
  <c r="D1021" i="5"/>
  <c r="E1021" i="5"/>
  <c r="G1021" i="5"/>
  <c r="H1021" i="5"/>
  <c r="I1021" i="5"/>
  <c r="J1021" i="5"/>
  <c r="L1021" i="5"/>
  <c r="M1021" i="5"/>
  <c r="B167" i="5"/>
  <c r="C167" i="5"/>
  <c r="D167" i="5"/>
  <c r="E167" i="5"/>
  <c r="G167" i="5"/>
  <c r="H167" i="5"/>
  <c r="I167" i="5"/>
  <c r="J167" i="5"/>
  <c r="L167" i="5"/>
  <c r="M167" i="5"/>
  <c r="B951" i="5"/>
  <c r="C951" i="5"/>
  <c r="D951" i="5"/>
  <c r="E951" i="5"/>
  <c r="G951" i="5"/>
  <c r="H951" i="5"/>
  <c r="I951" i="5"/>
  <c r="J951" i="5"/>
  <c r="L951" i="5"/>
  <c r="M951" i="5"/>
  <c r="B546" i="5"/>
  <c r="C546" i="5"/>
  <c r="D546" i="5"/>
  <c r="E546" i="5"/>
  <c r="G546" i="5"/>
  <c r="H546" i="5"/>
  <c r="I546" i="5"/>
  <c r="J546" i="5"/>
  <c r="L546" i="5"/>
  <c r="M546" i="5"/>
  <c r="B1126" i="5"/>
  <c r="C1126" i="5"/>
  <c r="D1126" i="5"/>
  <c r="E1126" i="5"/>
  <c r="G1126" i="5"/>
  <c r="H1126" i="5"/>
  <c r="I1126" i="5"/>
  <c r="J1126" i="5"/>
  <c r="L1126" i="5"/>
  <c r="M1126" i="5"/>
  <c r="B1162" i="5"/>
  <c r="C1162" i="5"/>
  <c r="D1162" i="5"/>
  <c r="E1162" i="5"/>
  <c r="G1162" i="5"/>
  <c r="H1162" i="5"/>
  <c r="I1162" i="5"/>
  <c r="J1162" i="5"/>
  <c r="L1162" i="5"/>
  <c r="M1162" i="5"/>
  <c r="B577" i="5"/>
  <c r="C577" i="5"/>
  <c r="D577" i="5"/>
  <c r="E577" i="5"/>
  <c r="G577" i="5"/>
  <c r="H577" i="5"/>
  <c r="I577" i="5"/>
  <c r="J577" i="5"/>
  <c r="L577" i="5"/>
  <c r="M577" i="5"/>
  <c r="B274" i="5"/>
  <c r="C274" i="5"/>
  <c r="D274" i="5"/>
  <c r="E274" i="5"/>
  <c r="G274" i="5"/>
  <c r="H274" i="5"/>
  <c r="I274" i="5"/>
  <c r="J274" i="5"/>
  <c r="L274" i="5"/>
  <c r="M274" i="5"/>
  <c r="B652" i="5"/>
  <c r="C652" i="5"/>
  <c r="D652" i="5"/>
  <c r="E652" i="5"/>
  <c r="G652" i="5"/>
  <c r="H652" i="5"/>
  <c r="I652" i="5"/>
  <c r="J652" i="5"/>
  <c r="L652" i="5"/>
  <c r="M652" i="5"/>
  <c r="B883" i="5"/>
  <c r="C883" i="5"/>
  <c r="D883" i="5"/>
  <c r="E883" i="5"/>
  <c r="G883" i="5"/>
  <c r="H883" i="5"/>
  <c r="I883" i="5"/>
  <c r="J883" i="5"/>
  <c r="L883" i="5"/>
  <c r="M883" i="5"/>
  <c r="B19" i="5"/>
  <c r="C19" i="5"/>
  <c r="D19" i="5"/>
  <c r="E19" i="5"/>
  <c r="G19" i="5"/>
  <c r="H19" i="5"/>
  <c r="I19" i="5"/>
  <c r="J19" i="5"/>
  <c r="L19" i="5"/>
  <c r="M19" i="5"/>
  <c r="B1153" i="5"/>
  <c r="C1153" i="5"/>
  <c r="D1153" i="5"/>
  <c r="E1153" i="5"/>
  <c r="G1153" i="5"/>
  <c r="H1153" i="5"/>
  <c r="I1153" i="5"/>
  <c r="J1153" i="5"/>
  <c r="L1153" i="5"/>
  <c r="M1153" i="5"/>
  <c r="B1156" i="5"/>
  <c r="C1156" i="5"/>
  <c r="D1156" i="5"/>
  <c r="E1156" i="5"/>
  <c r="G1156" i="5"/>
  <c r="H1156" i="5"/>
  <c r="I1156" i="5"/>
  <c r="J1156" i="5"/>
  <c r="L1156" i="5"/>
  <c r="M1156" i="5"/>
  <c r="B1298" i="5"/>
  <c r="C1298" i="5"/>
  <c r="D1298" i="5"/>
  <c r="E1298" i="5"/>
  <c r="G1298" i="5"/>
  <c r="H1298" i="5"/>
  <c r="I1298" i="5"/>
  <c r="J1298" i="5"/>
  <c r="L1298" i="5"/>
  <c r="M1298" i="5"/>
  <c r="B647" i="5"/>
  <c r="C647" i="5"/>
  <c r="D647" i="5"/>
  <c r="E647" i="5"/>
  <c r="G647" i="5"/>
  <c r="H647" i="5"/>
  <c r="I647" i="5"/>
  <c r="J647" i="5"/>
  <c r="L647" i="5"/>
  <c r="M647" i="5"/>
  <c r="B587" i="5"/>
  <c r="C587" i="5"/>
  <c r="D587" i="5"/>
  <c r="E587" i="5"/>
  <c r="G587" i="5"/>
  <c r="H587" i="5"/>
  <c r="I587" i="5"/>
  <c r="J587" i="5"/>
  <c r="L587" i="5"/>
  <c r="M587" i="5"/>
  <c r="B782" i="5"/>
  <c r="C782" i="5"/>
  <c r="D782" i="5"/>
  <c r="E782" i="5"/>
  <c r="G782" i="5"/>
  <c r="H782" i="5"/>
  <c r="I782" i="5"/>
  <c r="J782" i="5"/>
  <c r="L782" i="5"/>
  <c r="M782" i="5"/>
  <c r="B610" i="5"/>
  <c r="C610" i="5"/>
  <c r="D610" i="5"/>
  <c r="E610" i="5"/>
  <c r="G610" i="5"/>
  <c r="H610" i="5"/>
  <c r="I610" i="5"/>
  <c r="J610" i="5"/>
  <c r="L610" i="5"/>
  <c r="M610" i="5"/>
  <c r="B978" i="5"/>
  <c r="C978" i="5"/>
  <c r="D978" i="5"/>
  <c r="E978" i="5"/>
  <c r="G978" i="5"/>
  <c r="H978" i="5"/>
  <c r="I978" i="5"/>
  <c r="J978" i="5"/>
  <c r="L978" i="5"/>
  <c r="M978" i="5"/>
  <c r="B420" i="5"/>
  <c r="C420" i="5"/>
  <c r="D420" i="5"/>
  <c r="E420" i="5"/>
  <c r="G420" i="5"/>
  <c r="H420" i="5"/>
  <c r="I420" i="5"/>
  <c r="J420" i="5"/>
  <c r="L420" i="5"/>
  <c r="M420" i="5"/>
  <c r="B484" i="5"/>
  <c r="C484" i="5"/>
  <c r="D484" i="5"/>
  <c r="E484" i="5"/>
  <c r="G484" i="5"/>
  <c r="H484" i="5"/>
  <c r="I484" i="5"/>
  <c r="J484" i="5"/>
  <c r="L484" i="5"/>
  <c r="M484" i="5"/>
  <c r="B115" i="5"/>
  <c r="C115" i="5"/>
  <c r="D115" i="5"/>
  <c r="E115" i="5"/>
  <c r="G115" i="5"/>
  <c r="H115" i="5"/>
  <c r="I115" i="5"/>
  <c r="J115" i="5"/>
  <c r="L115" i="5"/>
  <c r="M115" i="5"/>
  <c r="B950" i="5"/>
  <c r="C950" i="5"/>
  <c r="D950" i="5"/>
  <c r="E950" i="5"/>
  <c r="G950" i="5"/>
  <c r="H950" i="5"/>
  <c r="I950" i="5"/>
  <c r="J950" i="5"/>
  <c r="L950" i="5"/>
  <c r="M950" i="5"/>
  <c r="B265" i="5"/>
  <c r="C265" i="5"/>
  <c r="D265" i="5"/>
  <c r="E265" i="5"/>
  <c r="G265" i="5"/>
  <c r="H265" i="5"/>
  <c r="I265" i="5"/>
  <c r="J265" i="5"/>
  <c r="L265" i="5"/>
  <c r="M265" i="5"/>
  <c r="B938" i="5"/>
  <c r="C938" i="5"/>
  <c r="D938" i="5"/>
  <c r="E938" i="5"/>
  <c r="G938" i="5"/>
  <c r="H938" i="5"/>
  <c r="I938" i="5"/>
  <c r="J938" i="5"/>
  <c r="L938" i="5"/>
  <c r="M938" i="5"/>
  <c r="B736" i="5"/>
  <c r="C736" i="5"/>
  <c r="D736" i="5"/>
  <c r="E736" i="5"/>
  <c r="G736" i="5"/>
  <c r="H736" i="5"/>
  <c r="I736" i="5"/>
  <c r="J736" i="5"/>
  <c r="L736" i="5"/>
  <c r="M736" i="5"/>
  <c r="B725" i="5"/>
  <c r="C725" i="5"/>
  <c r="D725" i="5"/>
  <c r="E725" i="5"/>
  <c r="G725" i="5"/>
  <c r="H725" i="5"/>
  <c r="I725" i="5"/>
  <c r="J725" i="5"/>
  <c r="L725" i="5"/>
  <c r="M725" i="5"/>
  <c r="B877" i="5"/>
  <c r="C877" i="5"/>
  <c r="D877" i="5"/>
  <c r="E877" i="5"/>
  <c r="G877" i="5"/>
  <c r="H877" i="5"/>
  <c r="I877" i="5"/>
  <c r="J877" i="5"/>
  <c r="L877" i="5"/>
  <c r="M877" i="5"/>
  <c r="B398" i="5"/>
  <c r="C398" i="5"/>
  <c r="D398" i="5"/>
  <c r="E398" i="5"/>
  <c r="G398" i="5"/>
  <c r="H398" i="5"/>
  <c r="I398" i="5"/>
  <c r="J398" i="5"/>
  <c r="L398" i="5"/>
  <c r="M398" i="5"/>
  <c r="B844" i="5"/>
  <c r="C844" i="5"/>
  <c r="D844" i="5"/>
  <c r="E844" i="5"/>
  <c r="G844" i="5"/>
  <c r="H844" i="5"/>
  <c r="I844" i="5"/>
  <c r="J844" i="5"/>
  <c r="L844" i="5"/>
  <c r="M844" i="5"/>
  <c r="B1183" i="5"/>
  <c r="C1183" i="5"/>
  <c r="D1183" i="5"/>
  <c r="E1183" i="5"/>
  <c r="G1183" i="5"/>
  <c r="H1183" i="5"/>
  <c r="I1183" i="5"/>
  <c r="J1183" i="5"/>
  <c r="L1183" i="5"/>
  <c r="M1183" i="5"/>
  <c r="B17" i="5"/>
  <c r="C17" i="5"/>
  <c r="D17" i="5"/>
  <c r="E17" i="5"/>
  <c r="G17" i="5"/>
  <c r="H17" i="5"/>
  <c r="I17" i="5"/>
  <c r="J17" i="5"/>
  <c r="L17" i="5"/>
  <c r="M17" i="5"/>
  <c r="B1022" i="5"/>
  <c r="C1022" i="5"/>
  <c r="D1022" i="5"/>
  <c r="E1022" i="5"/>
  <c r="G1022" i="5"/>
  <c r="H1022" i="5"/>
  <c r="I1022" i="5"/>
  <c r="J1022" i="5"/>
  <c r="L1022" i="5"/>
  <c r="M1022" i="5"/>
  <c r="B158" i="5"/>
  <c r="C158" i="5"/>
  <c r="D158" i="5"/>
  <c r="E158" i="5"/>
  <c r="G158" i="5"/>
  <c r="H158" i="5"/>
  <c r="I158" i="5"/>
  <c r="J158" i="5"/>
  <c r="L158" i="5"/>
  <c r="M158" i="5"/>
  <c r="B559" i="5"/>
  <c r="C559" i="5"/>
  <c r="D559" i="5"/>
  <c r="E559" i="5"/>
  <c r="G559" i="5"/>
  <c r="H559" i="5"/>
  <c r="I559" i="5"/>
  <c r="J559" i="5"/>
  <c r="L559" i="5"/>
  <c r="M559" i="5"/>
  <c r="B993" i="5"/>
  <c r="C993" i="5"/>
  <c r="D993" i="5"/>
  <c r="E993" i="5"/>
  <c r="G993" i="5"/>
  <c r="H993" i="5"/>
  <c r="I993" i="5"/>
  <c r="J993" i="5"/>
  <c r="L993" i="5"/>
  <c r="M993" i="5"/>
  <c r="B672" i="5"/>
  <c r="C672" i="5"/>
  <c r="D672" i="5"/>
  <c r="E672" i="5"/>
  <c r="G672" i="5"/>
  <c r="H672" i="5"/>
  <c r="I672" i="5"/>
  <c r="J672" i="5"/>
  <c r="L672" i="5"/>
  <c r="M672" i="5"/>
  <c r="B1267" i="5"/>
  <c r="C1267" i="5"/>
  <c r="D1267" i="5"/>
  <c r="E1267" i="5"/>
  <c r="G1267" i="5"/>
  <c r="H1267" i="5"/>
  <c r="I1267" i="5"/>
  <c r="J1267" i="5"/>
  <c r="L1267" i="5"/>
  <c r="M1267" i="5"/>
  <c r="B403" i="5"/>
  <c r="C403" i="5"/>
  <c r="D403" i="5"/>
  <c r="E403" i="5"/>
  <c r="G403" i="5"/>
  <c r="H403" i="5"/>
  <c r="I403" i="5"/>
  <c r="J403" i="5"/>
  <c r="L403" i="5"/>
  <c r="M403" i="5"/>
  <c r="B982" i="5"/>
  <c r="C982" i="5"/>
  <c r="D982" i="5"/>
  <c r="E982" i="5"/>
  <c r="G982" i="5"/>
  <c r="H982" i="5"/>
  <c r="I982" i="5"/>
  <c r="J982" i="5"/>
  <c r="L982" i="5"/>
  <c r="M982" i="5"/>
  <c r="B701" i="5"/>
  <c r="C701" i="5"/>
  <c r="D701" i="5"/>
  <c r="E701" i="5"/>
  <c r="G701" i="5"/>
  <c r="H701" i="5"/>
  <c r="I701" i="5"/>
  <c r="J701" i="5"/>
  <c r="L701" i="5"/>
  <c r="M701" i="5"/>
  <c r="B1061" i="5"/>
  <c r="C1061" i="5"/>
  <c r="D1061" i="5"/>
  <c r="E1061" i="5"/>
  <c r="G1061" i="5"/>
  <c r="H1061" i="5"/>
  <c r="I1061" i="5"/>
  <c r="J1061" i="5"/>
  <c r="L1061" i="5"/>
  <c r="M1061" i="5"/>
  <c r="B268" i="5"/>
  <c r="C268" i="5"/>
  <c r="D268" i="5"/>
  <c r="E268" i="5"/>
  <c r="G268" i="5"/>
  <c r="H268" i="5"/>
  <c r="I268" i="5"/>
  <c r="J268" i="5"/>
  <c r="L268" i="5"/>
  <c r="M268" i="5"/>
  <c r="B573" i="5"/>
  <c r="C573" i="5"/>
  <c r="D573" i="5"/>
  <c r="E573" i="5"/>
  <c r="G573" i="5"/>
  <c r="H573" i="5"/>
  <c r="I573" i="5"/>
  <c r="J573" i="5"/>
  <c r="L573" i="5"/>
  <c r="M573" i="5"/>
  <c r="B1221" i="5"/>
  <c r="C1221" i="5"/>
  <c r="D1221" i="5"/>
  <c r="E1221" i="5"/>
  <c r="G1221" i="5"/>
  <c r="H1221" i="5"/>
  <c r="I1221" i="5"/>
  <c r="J1221" i="5"/>
  <c r="L1221" i="5"/>
  <c r="M1221" i="5"/>
  <c r="B1192" i="5"/>
  <c r="C1192" i="5"/>
  <c r="D1192" i="5"/>
  <c r="E1192" i="5"/>
  <c r="G1192" i="5"/>
  <c r="H1192" i="5"/>
  <c r="I1192" i="5"/>
  <c r="J1192" i="5"/>
  <c r="L1192" i="5"/>
  <c r="M1192" i="5"/>
  <c r="B804" i="5"/>
  <c r="C804" i="5"/>
  <c r="D804" i="5"/>
  <c r="E804" i="5"/>
  <c r="G804" i="5"/>
  <c r="H804" i="5"/>
  <c r="I804" i="5"/>
  <c r="J804" i="5"/>
  <c r="L804" i="5"/>
  <c r="M804" i="5"/>
  <c r="B1311" i="5"/>
  <c r="C1311" i="5"/>
  <c r="D1311" i="5"/>
  <c r="E1311" i="5"/>
  <c r="G1311" i="5"/>
  <c r="H1311" i="5"/>
  <c r="I1311" i="5"/>
  <c r="J1311" i="5"/>
  <c r="L1311" i="5"/>
  <c r="M1311" i="5"/>
  <c r="B711" i="5"/>
  <c r="C711" i="5"/>
  <c r="D711" i="5"/>
  <c r="E711" i="5"/>
  <c r="G711" i="5"/>
  <c r="H711" i="5"/>
  <c r="I711" i="5"/>
  <c r="J711" i="5"/>
  <c r="L711" i="5"/>
  <c r="M711" i="5"/>
  <c r="B331" i="5"/>
  <c r="C331" i="5"/>
  <c r="D331" i="5"/>
  <c r="E331" i="5"/>
  <c r="G331" i="5"/>
  <c r="H331" i="5"/>
  <c r="I331" i="5"/>
  <c r="J331" i="5"/>
  <c r="L331" i="5"/>
  <c r="M331" i="5"/>
  <c r="B237" i="5"/>
  <c r="C237" i="5"/>
  <c r="D237" i="5"/>
  <c r="E237" i="5"/>
  <c r="G237" i="5"/>
  <c r="H237" i="5"/>
  <c r="I237" i="5"/>
  <c r="J237" i="5"/>
  <c r="L237" i="5"/>
  <c r="M237" i="5"/>
  <c r="B911" i="5"/>
  <c r="C911" i="5"/>
  <c r="D911" i="5"/>
  <c r="E911" i="5"/>
  <c r="G911" i="5"/>
  <c r="H911" i="5"/>
  <c r="I911" i="5"/>
  <c r="J911" i="5"/>
  <c r="L911" i="5"/>
  <c r="M911" i="5"/>
  <c r="B475" i="5"/>
  <c r="C475" i="5"/>
  <c r="D475" i="5"/>
  <c r="E475" i="5"/>
  <c r="G475" i="5"/>
  <c r="H475" i="5"/>
  <c r="I475" i="5"/>
  <c r="J475" i="5"/>
  <c r="L475" i="5"/>
  <c r="M475" i="5"/>
  <c r="B584" i="5"/>
  <c r="C584" i="5"/>
  <c r="D584" i="5"/>
  <c r="E584" i="5"/>
  <c r="G584" i="5"/>
  <c r="H584" i="5"/>
  <c r="I584" i="5"/>
  <c r="J584" i="5"/>
  <c r="L584" i="5"/>
  <c r="M584" i="5"/>
  <c r="B312" i="5"/>
  <c r="C312" i="5"/>
  <c r="D312" i="5"/>
  <c r="E312" i="5"/>
  <c r="G312" i="5"/>
  <c r="H312" i="5"/>
  <c r="I312" i="5"/>
  <c r="J312" i="5"/>
  <c r="L312" i="5"/>
  <c r="M312" i="5"/>
  <c r="B195" i="5"/>
  <c r="C195" i="5"/>
  <c r="D195" i="5"/>
  <c r="E195" i="5"/>
  <c r="G195" i="5"/>
  <c r="H195" i="5"/>
  <c r="I195" i="5"/>
  <c r="J195" i="5"/>
  <c r="L195" i="5"/>
  <c r="M195" i="5"/>
  <c r="B690" i="5"/>
  <c r="C690" i="5"/>
  <c r="D690" i="5"/>
  <c r="E690" i="5"/>
  <c r="G690" i="5"/>
  <c r="H690" i="5"/>
  <c r="I690" i="5"/>
  <c r="J690" i="5"/>
  <c r="L690" i="5"/>
  <c r="M690" i="5"/>
  <c r="B1111" i="5"/>
  <c r="C1111" i="5"/>
  <c r="D1111" i="5"/>
  <c r="E1111" i="5"/>
  <c r="G1111" i="5"/>
  <c r="H1111" i="5"/>
  <c r="I1111" i="5"/>
  <c r="J1111" i="5"/>
  <c r="L1111" i="5"/>
  <c r="M1111" i="5"/>
  <c r="B39" i="5"/>
  <c r="C39" i="5"/>
  <c r="D39" i="5"/>
  <c r="E39" i="5"/>
  <c r="G39" i="5"/>
  <c r="H39" i="5"/>
  <c r="I39" i="5"/>
  <c r="J39" i="5"/>
  <c r="L39" i="5"/>
  <c r="M39" i="5"/>
  <c r="B152" i="5"/>
  <c r="C152" i="5"/>
  <c r="D152" i="5"/>
  <c r="E152" i="5"/>
  <c r="G152" i="5"/>
  <c r="H152" i="5"/>
  <c r="I152" i="5"/>
  <c r="J152" i="5"/>
  <c r="L152" i="5"/>
  <c r="M152" i="5"/>
  <c r="B71" i="5"/>
  <c r="C71" i="5"/>
  <c r="D71" i="5"/>
  <c r="E71" i="5"/>
  <c r="G71" i="5"/>
  <c r="H71" i="5"/>
  <c r="I71" i="5"/>
  <c r="J71" i="5"/>
  <c r="L71" i="5"/>
  <c r="M71" i="5"/>
  <c r="B1068" i="5"/>
  <c r="C1068" i="5"/>
  <c r="D1068" i="5"/>
  <c r="E1068" i="5"/>
  <c r="G1068" i="5"/>
  <c r="H1068" i="5"/>
  <c r="I1068" i="5"/>
  <c r="J1068" i="5"/>
  <c r="L1068" i="5"/>
  <c r="M1068" i="5"/>
  <c r="B807" i="5"/>
  <c r="C807" i="5"/>
  <c r="D807" i="5"/>
  <c r="E807" i="5"/>
  <c r="G807" i="5"/>
  <c r="H807" i="5"/>
  <c r="I807" i="5"/>
  <c r="J807" i="5"/>
  <c r="L807" i="5"/>
  <c r="M807" i="5"/>
  <c r="B539" i="5"/>
  <c r="C539" i="5"/>
  <c r="D539" i="5"/>
  <c r="E539" i="5"/>
  <c r="G539" i="5"/>
  <c r="H539" i="5"/>
  <c r="I539" i="5"/>
  <c r="J539" i="5"/>
  <c r="L539" i="5"/>
  <c r="M539" i="5"/>
  <c r="B1059" i="5"/>
  <c r="C1059" i="5"/>
  <c r="D1059" i="5"/>
  <c r="E1059" i="5"/>
  <c r="G1059" i="5"/>
  <c r="H1059" i="5"/>
  <c r="I1059" i="5"/>
  <c r="J1059" i="5"/>
  <c r="L1059" i="5"/>
  <c r="M1059" i="5"/>
  <c r="B627" i="5"/>
  <c r="C627" i="5"/>
  <c r="D627" i="5"/>
  <c r="E627" i="5"/>
  <c r="G627" i="5"/>
  <c r="H627" i="5"/>
  <c r="I627" i="5"/>
  <c r="J627" i="5"/>
  <c r="L627" i="5"/>
  <c r="M627" i="5"/>
  <c r="B827" i="5"/>
  <c r="C827" i="5"/>
  <c r="D827" i="5"/>
  <c r="E827" i="5"/>
  <c r="G827" i="5"/>
  <c r="H827" i="5"/>
  <c r="I827" i="5"/>
  <c r="J827" i="5"/>
  <c r="L827" i="5"/>
  <c r="M827" i="5"/>
  <c r="B1120" i="5"/>
  <c r="C1120" i="5"/>
  <c r="D1120" i="5"/>
  <c r="E1120" i="5"/>
  <c r="G1120" i="5"/>
  <c r="H1120" i="5"/>
  <c r="I1120" i="5"/>
  <c r="J1120" i="5"/>
  <c r="L1120" i="5"/>
  <c r="M1120" i="5"/>
  <c r="B642" i="5"/>
  <c r="C642" i="5"/>
  <c r="D642" i="5"/>
  <c r="E642" i="5"/>
  <c r="G642" i="5"/>
  <c r="H642" i="5"/>
  <c r="I642" i="5"/>
  <c r="J642" i="5"/>
  <c r="L642" i="5"/>
  <c r="M642" i="5"/>
  <c r="B126" i="5"/>
  <c r="C126" i="5"/>
  <c r="D126" i="5"/>
  <c r="E126" i="5"/>
  <c r="G126" i="5"/>
  <c r="H126" i="5"/>
  <c r="I126" i="5"/>
  <c r="J126" i="5"/>
  <c r="L126" i="5"/>
  <c r="M126" i="5"/>
  <c r="B1055" i="5"/>
  <c r="C1055" i="5"/>
  <c r="D1055" i="5"/>
  <c r="E1055" i="5"/>
  <c r="G1055" i="5"/>
  <c r="H1055" i="5"/>
  <c r="I1055" i="5"/>
  <c r="J1055" i="5"/>
  <c r="L1055" i="5"/>
  <c r="M1055" i="5"/>
  <c r="B226" i="5"/>
  <c r="C226" i="5"/>
  <c r="D226" i="5"/>
  <c r="E226" i="5"/>
  <c r="G226" i="5"/>
  <c r="H226" i="5"/>
  <c r="I226" i="5"/>
  <c r="J226" i="5"/>
  <c r="L226" i="5"/>
  <c r="M226" i="5"/>
  <c r="B775" i="5"/>
  <c r="C775" i="5"/>
  <c r="D775" i="5"/>
  <c r="E775" i="5"/>
  <c r="G775" i="5"/>
  <c r="H775" i="5"/>
  <c r="I775" i="5"/>
  <c r="J775" i="5"/>
  <c r="L775" i="5"/>
  <c r="M775" i="5"/>
  <c r="B677" i="5"/>
  <c r="C677" i="5"/>
  <c r="D677" i="5"/>
  <c r="E677" i="5"/>
  <c r="G677" i="5"/>
  <c r="H677" i="5"/>
  <c r="I677" i="5"/>
  <c r="J677" i="5"/>
  <c r="L677" i="5"/>
  <c r="M677" i="5"/>
  <c r="B50" i="5"/>
  <c r="C50" i="5"/>
  <c r="D50" i="5"/>
  <c r="E50" i="5"/>
  <c r="G50" i="5"/>
  <c r="H50" i="5"/>
  <c r="I50" i="5"/>
  <c r="J50" i="5"/>
  <c r="L50" i="5"/>
  <c r="M50" i="5"/>
  <c r="B257" i="5"/>
  <c r="C257" i="5"/>
  <c r="D257" i="5"/>
  <c r="E257" i="5"/>
  <c r="G257" i="5"/>
  <c r="H257" i="5"/>
  <c r="I257" i="5"/>
  <c r="J257" i="5"/>
  <c r="L257" i="5"/>
  <c r="M257" i="5"/>
  <c r="B523" i="5"/>
  <c r="C523" i="5"/>
  <c r="D523" i="5"/>
  <c r="E523" i="5"/>
  <c r="G523" i="5"/>
  <c r="H523" i="5"/>
  <c r="I523" i="5"/>
  <c r="J523" i="5"/>
  <c r="L523" i="5"/>
  <c r="M523" i="5"/>
  <c r="B310" i="5"/>
  <c r="C310" i="5"/>
  <c r="D310" i="5"/>
  <c r="E310" i="5"/>
  <c r="G310" i="5"/>
  <c r="H310" i="5"/>
  <c r="I310" i="5"/>
  <c r="J310" i="5"/>
  <c r="L310" i="5"/>
  <c r="M310" i="5"/>
  <c r="B220" i="5"/>
  <c r="C220" i="5"/>
  <c r="D220" i="5"/>
  <c r="E220" i="5"/>
  <c r="G220" i="5"/>
  <c r="H220" i="5"/>
  <c r="I220" i="5"/>
  <c r="J220" i="5"/>
  <c r="L220" i="5"/>
  <c r="M220" i="5"/>
  <c r="B902" i="5"/>
  <c r="C902" i="5"/>
  <c r="D902" i="5"/>
  <c r="E902" i="5"/>
  <c r="G902" i="5"/>
  <c r="H902" i="5"/>
  <c r="I902" i="5"/>
  <c r="J902" i="5"/>
  <c r="L902" i="5"/>
  <c r="M902" i="5"/>
  <c r="B1046" i="5"/>
  <c r="C1046" i="5"/>
  <c r="D1046" i="5"/>
  <c r="E1046" i="5"/>
  <c r="G1046" i="5"/>
  <c r="H1046" i="5"/>
  <c r="I1046" i="5"/>
  <c r="J1046" i="5"/>
  <c r="L1046" i="5"/>
  <c r="M1046" i="5"/>
  <c r="B231" i="5"/>
  <c r="C231" i="5"/>
  <c r="D231" i="5"/>
  <c r="E231" i="5"/>
  <c r="G231" i="5"/>
  <c r="H231" i="5"/>
  <c r="I231" i="5"/>
  <c r="J231" i="5"/>
  <c r="L231" i="5"/>
  <c r="M231" i="5"/>
  <c r="B975" i="5"/>
  <c r="C975" i="5"/>
  <c r="D975" i="5"/>
  <c r="E975" i="5"/>
  <c r="G975" i="5"/>
  <c r="H975" i="5"/>
  <c r="I975" i="5"/>
  <c r="J975" i="5"/>
  <c r="L975" i="5"/>
  <c r="M975" i="5"/>
  <c r="B970" i="5"/>
  <c r="C970" i="5"/>
  <c r="D970" i="5"/>
  <c r="E970" i="5"/>
  <c r="G970" i="5"/>
  <c r="H970" i="5"/>
  <c r="I970" i="5"/>
  <c r="J970" i="5"/>
  <c r="L970" i="5"/>
  <c r="M970" i="5"/>
  <c r="B797" i="5"/>
  <c r="C797" i="5"/>
  <c r="D797" i="5"/>
  <c r="E797" i="5"/>
  <c r="G797" i="5"/>
  <c r="H797" i="5"/>
  <c r="I797" i="5"/>
  <c r="J797" i="5"/>
  <c r="L797" i="5"/>
  <c r="M797" i="5"/>
  <c r="B478" i="5"/>
  <c r="C478" i="5"/>
  <c r="D478" i="5"/>
  <c r="E478" i="5"/>
  <c r="G478" i="5"/>
  <c r="H478" i="5"/>
  <c r="I478" i="5"/>
  <c r="J478" i="5"/>
  <c r="L478" i="5"/>
  <c r="M478" i="5"/>
  <c r="B118" i="5"/>
  <c r="C118" i="5"/>
  <c r="D118" i="5"/>
  <c r="E118" i="5"/>
  <c r="G118" i="5"/>
  <c r="H118" i="5"/>
  <c r="I118" i="5"/>
  <c r="J118" i="5"/>
  <c r="L118" i="5"/>
  <c r="M118" i="5"/>
  <c r="B1028" i="5"/>
  <c r="C1028" i="5"/>
  <c r="D1028" i="5"/>
  <c r="E1028" i="5"/>
  <c r="G1028" i="5"/>
  <c r="H1028" i="5"/>
  <c r="I1028" i="5"/>
  <c r="J1028" i="5"/>
  <c r="L1028" i="5"/>
  <c r="M1028" i="5"/>
  <c r="B1122" i="5"/>
  <c r="C1122" i="5"/>
  <c r="D1122" i="5"/>
  <c r="E1122" i="5"/>
  <c r="G1122" i="5"/>
  <c r="H1122" i="5"/>
  <c r="I1122" i="5"/>
  <c r="J1122" i="5"/>
  <c r="L1122" i="5"/>
  <c r="M1122" i="5"/>
  <c r="B1075" i="5"/>
  <c r="C1075" i="5"/>
  <c r="D1075" i="5"/>
  <c r="E1075" i="5"/>
  <c r="G1075" i="5"/>
  <c r="H1075" i="5"/>
  <c r="I1075" i="5"/>
  <c r="J1075" i="5"/>
  <c r="L1075" i="5"/>
  <c r="M1075" i="5"/>
  <c r="B857" i="5"/>
  <c r="C857" i="5"/>
  <c r="D857" i="5"/>
  <c r="E857" i="5"/>
  <c r="G857" i="5"/>
  <c r="H857" i="5"/>
  <c r="I857" i="5"/>
  <c r="J857" i="5"/>
  <c r="L857" i="5"/>
  <c r="M857" i="5"/>
  <c r="B1198" i="5"/>
  <c r="C1198" i="5"/>
  <c r="D1198" i="5"/>
  <c r="E1198" i="5"/>
  <c r="G1198" i="5"/>
  <c r="H1198" i="5"/>
  <c r="I1198" i="5"/>
  <c r="J1198" i="5"/>
  <c r="L1198" i="5"/>
  <c r="M1198" i="5"/>
  <c r="B492" i="5"/>
  <c r="C492" i="5"/>
  <c r="D492" i="5"/>
  <c r="E492" i="5"/>
  <c r="G492" i="5"/>
  <c r="H492" i="5"/>
  <c r="I492" i="5"/>
  <c r="J492" i="5"/>
  <c r="L492" i="5"/>
  <c r="M492" i="5"/>
  <c r="B905" i="5"/>
  <c r="C905" i="5"/>
  <c r="D905" i="5"/>
  <c r="E905" i="5"/>
  <c r="G905" i="5"/>
  <c r="H905" i="5"/>
  <c r="I905" i="5"/>
  <c r="J905" i="5"/>
  <c r="L905" i="5"/>
  <c r="M905" i="5"/>
  <c r="B74" i="5"/>
  <c r="C74" i="5"/>
  <c r="D74" i="5"/>
  <c r="E74" i="5"/>
  <c r="G74" i="5"/>
  <c r="H74" i="5"/>
  <c r="I74" i="5"/>
  <c r="J74" i="5"/>
  <c r="L74" i="5"/>
  <c r="M74" i="5"/>
  <c r="B979" i="5"/>
  <c r="C979" i="5"/>
  <c r="D979" i="5"/>
  <c r="E979" i="5"/>
  <c r="G979" i="5"/>
  <c r="H979" i="5"/>
  <c r="I979" i="5"/>
  <c r="J979" i="5"/>
  <c r="L979" i="5"/>
  <c r="M979" i="5"/>
  <c r="B1152" i="5"/>
  <c r="C1152" i="5"/>
  <c r="D1152" i="5"/>
  <c r="E1152" i="5"/>
  <c r="G1152" i="5"/>
  <c r="H1152" i="5"/>
  <c r="I1152" i="5"/>
  <c r="J1152" i="5"/>
  <c r="L1152" i="5"/>
  <c r="M1152" i="5"/>
  <c r="B1290" i="5"/>
  <c r="C1290" i="5"/>
  <c r="D1290" i="5"/>
  <c r="E1290" i="5"/>
  <c r="G1290" i="5"/>
  <c r="H1290" i="5"/>
  <c r="I1290" i="5"/>
  <c r="J1290" i="5"/>
  <c r="L1290" i="5"/>
  <c r="M1290" i="5"/>
  <c r="B1318" i="5"/>
  <c r="C1318" i="5"/>
  <c r="D1318" i="5"/>
  <c r="E1318" i="5"/>
  <c r="G1318" i="5"/>
  <c r="H1318" i="5"/>
  <c r="I1318" i="5"/>
  <c r="J1318" i="5"/>
  <c r="L1318" i="5"/>
  <c r="M1318" i="5"/>
  <c r="B1043" i="5"/>
  <c r="C1043" i="5"/>
  <c r="D1043" i="5"/>
  <c r="E1043" i="5"/>
  <c r="G1043" i="5"/>
  <c r="H1043" i="5"/>
  <c r="I1043" i="5"/>
  <c r="J1043" i="5"/>
  <c r="L1043" i="5"/>
  <c r="M1043" i="5"/>
  <c r="B311" i="5"/>
  <c r="C311" i="5"/>
  <c r="D311" i="5"/>
  <c r="E311" i="5"/>
  <c r="G311" i="5"/>
  <c r="H311" i="5"/>
  <c r="I311" i="5"/>
  <c r="J311" i="5"/>
  <c r="L311" i="5"/>
  <c r="M311" i="5"/>
  <c r="B832" i="5"/>
  <c r="C832" i="5"/>
  <c r="D832" i="5"/>
  <c r="E832" i="5"/>
  <c r="G832" i="5"/>
  <c r="H832" i="5"/>
  <c r="I832" i="5"/>
  <c r="J832" i="5"/>
  <c r="L832" i="5"/>
  <c r="M832" i="5"/>
  <c r="B188" i="5"/>
  <c r="C188" i="5"/>
  <c r="D188" i="5"/>
  <c r="E188" i="5"/>
  <c r="G188" i="5"/>
  <c r="H188" i="5"/>
  <c r="I188" i="5"/>
  <c r="J188" i="5"/>
  <c r="L188" i="5"/>
  <c r="M188" i="5"/>
  <c r="B101" i="5"/>
  <c r="C101" i="5"/>
  <c r="D101" i="5"/>
  <c r="E101" i="5"/>
  <c r="G101" i="5"/>
  <c r="H101" i="5"/>
  <c r="I101" i="5"/>
  <c r="J101" i="5"/>
  <c r="L101" i="5"/>
  <c r="M101" i="5"/>
  <c r="B703" i="5"/>
  <c r="C703" i="5"/>
  <c r="D703" i="5"/>
  <c r="E703" i="5"/>
  <c r="G703" i="5"/>
  <c r="H703" i="5"/>
  <c r="I703" i="5"/>
  <c r="J703" i="5"/>
  <c r="L703" i="5"/>
  <c r="M703" i="5"/>
  <c r="B1101" i="5"/>
  <c r="C1101" i="5"/>
  <c r="D1101" i="5"/>
  <c r="E1101" i="5"/>
  <c r="G1101" i="5"/>
  <c r="H1101" i="5"/>
  <c r="I1101" i="5"/>
  <c r="J1101" i="5"/>
  <c r="L1101" i="5"/>
  <c r="M1101" i="5"/>
  <c r="B317" i="5"/>
  <c r="C317" i="5"/>
  <c r="D317" i="5"/>
  <c r="E317" i="5"/>
  <c r="G317" i="5"/>
  <c r="H317" i="5"/>
  <c r="I317" i="5"/>
  <c r="J317" i="5"/>
  <c r="L317" i="5"/>
  <c r="M317" i="5"/>
  <c r="B1176" i="5"/>
  <c r="C1176" i="5"/>
  <c r="D1176" i="5"/>
  <c r="E1176" i="5"/>
  <c r="G1176" i="5"/>
  <c r="H1176" i="5"/>
  <c r="I1176" i="5"/>
  <c r="J1176" i="5"/>
  <c r="L1176" i="5"/>
  <c r="M1176" i="5"/>
  <c r="B1219" i="5"/>
  <c r="C1219" i="5"/>
  <c r="D1219" i="5"/>
  <c r="E1219" i="5"/>
  <c r="G1219" i="5"/>
  <c r="H1219" i="5"/>
  <c r="I1219" i="5"/>
  <c r="J1219" i="5"/>
  <c r="L1219" i="5"/>
  <c r="M1219" i="5"/>
  <c r="B434" i="5"/>
  <c r="C434" i="5"/>
  <c r="D434" i="5"/>
  <c r="E434" i="5"/>
  <c r="G434" i="5"/>
  <c r="H434" i="5"/>
  <c r="I434" i="5"/>
  <c r="J434" i="5"/>
  <c r="L434" i="5"/>
  <c r="M434" i="5"/>
  <c r="B774" i="5"/>
  <c r="C774" i="5"/>
  <c r="D774" i="5"/>
  <c r="E774" i="5"/>
  <c r="G774" i="5"/>
  <c r="H774" i="5"/>
  <c r="I774" i="5"/>
  <c r="J774" i="5"/>
  <c r="L774" i="5"/>
  <c r="M774" i="5"/>
  <c r="B1314" i="5"/>
  <c r="C1314" i="5"/>
  <c r="D1314" i="5"/>
  <c r="E1314" i="5"/>
  <c r="G1314" i="5"/>
  <c r="H1314" i="5"/>
  <c r="I1314" i="5"/>
  <c r="J1314" i="5"/>
  <c r="L1314" i="5"/>
  <c r="M1314" i="5"/>
  <c r="B279" i="5"/>
  <c r="C279" i="5"/>
  <c r="D279" i="5"/>
  <c r="E279" i="5"/>
  <c r="G279" i="5"/>
  <c r="H279" i="5"/>
  <c r="I279" i="5"/>
  <c r="J279" i="5"/>
  <c r="L279" i="5"/>
  <c r="M279" i="5"/>
  <c r="B1283" i="5"/>
  <c r="C1283" i="5"/>
  <c r="D1283" i="5"/>
  <c r="E1283" i="5"/>
  <c r="G1283" i="5"/>
  <c r="H1283" i="5"/>
  <c r="I1283" i="5"/>
  <c r="J1283" i="5"/>
  <c r="L1283" i="5"/>
  <c r="M1283" i="5"/>
  <c r="B141" i="5"/>
  <c r="C141" i="5"/>
  <c r="D141" i="5"/>
  <c r="E141" i="5"/>
  <c r="G141" i="5"/>
  <c r="H141" i="5"/>
  <c r="I141" i="5"/>
  <c r="J141" i="5"/>
  <c r="L141" i="5"/>
  <c r="M141" i="5"/>
  <c r="B298" i="5"/>
  <c r="C298" i="5"/>
  <c r="D298" i="5"/>
  <c r="E298" i="5"/>
  <c r="G298" i="5"/>
  <c r="H298" i="5"/>
  <c r="I298" i="5"/>
  <c r="J298" i="5"/>
  <c r="L298" i="5"/>
  <c r="M298" i="5"/>
  <c r="B668" i="5"/>
  <c r="C668" i="5"/>
  <c r="D668" i="5"/>
  <c r="E668" i="5"/>
  <c r="G668" i="5"/>
  <c r="H668" i="5"/>
  <c r="I668" i="5"/>
  <c r="J668" i="5"/>
  <c r="L668" i="5"/>
  <c r="M668" i="5"/>
  <c r="B846" i="5"/>
  <c r="C846" i="5"/>
  <c r="D846" i="5"/>
  <c r="E846" i="5"/>
  <c r="G846" i="5"/>
  <c r="H846" i="5"/>
  <c r="I846" i="5"/>
  <c r="J846" i="5"/>
  <c r="L846" i="5"/>
  <c r="M846" i="5"/>
  <c r="B438" i="5"/>
  <c r="C438" i="5"/>
  <c r="D438" i="5"/>
  <c r="E438" i="5"/>
  <c r="G438" i="5"/>
  <c r="H438" i="5"/>
  <c r="I438" i="5"/>
  <c r="J438" i="5"/>
  <c r="L438" i="5"/>
  <c r="M438" i="5"/>
  <c r="B248" i="5"/>
  <c r="C248" i="5"/>
  <c r="D248" i="5"/>
  <c r="E248" i="5"/>
  <c r="G248" i="5"/>
  <c r="H248" i="5"/>
  <c r="I248" i="5"/>
  <c r="J248" i="5"/>
  <c r="L248" i="5"/>
  <c r="M248" i="5"/>
  <c r="B715" i="5"/>
  <c r="C715" i="5"/>
  <c r="D715" i="5"/>
  <c r="E715" i="5"/>
  <c r="G715" i="5"/>
  <c r="H715" i="5"/>
  <c r="I715" i="5"/>
  <c r="J715" i="5"/>
  <c r="L715" i="5"/>
  <c r="M715" i="5"/>
  <c r="B728" i="5"/>
  <c r="C728" i="5"/>
  <c r="D728" i="5"/>
  <c r="E728" i="5"/>
  <c r="G728" i="5"/>
  <c r="H728" i="5"/>
  <c r="I728" i="5"/>
  <c r="J728" i="5"/>
  <c r="L728" i="5"/>
  <c r="M728" i="5"/>
  <c r="B741" i="5"/>
  <c r="C741" i="5"/>
  <c r="D741" i="5"/>
  <c r="E741" i="5"/>
  <c r="G741" i="5"/>
  <c r="H741" i="5"/>
  <c r="I741" i="5"/>
  <c r="J741" i="5"/>
  <c r="L741" i="5"/>
  <c r="M741" i="5"/>
  <c r="B336" i="5"/>
  <c r="C336" i="5"/>
  <c r="D336" i="5"/>
  <c r="E336" i="5"/>
  <c r="G336" i="5"/>
  <c r="H336" i="5"/>
  <c r="I336" i="5"/>
  <c r="J336" i="5"/>
  <c r="L336" i="5"/>
  <c r="M336" i="5"/>
  <c r="B442" i="5"/>
  <c r="C442" i="5"/>
  <c r="D442" i="5"/>
  <c r="E442" i="5"/>
  <c r="G442" i="5"/>
  <c r="H442" i="5"/>
  <c r="I442" i="5"/>
  <c r="J442" i="5"/>
  <c r="L442" i="5"/>
  <c r="M442" i="5"/>
  <c r="B988" i="5"/>
  <c r="C988" i="5"/>
  <c r="D988" i="5"/>
  <c r="E988" i="5"/>
  <c r="G988" i="5"/>
  <c r="H988" i="5"/>
  <c r="I988" i="5"/>
  <c r="J988" i="5"/>
  <c r="L988" i="5"/>
  <c r="M988" i="5"/>
  <c r="B368" i="5"/>
  <c r="C368" i="5"/>
  <c r="D368" i="5"/>
  <c r="E368" i="5"/>
  <c r="G368" i="5"/>
  <c r="H368" i="5"/>
  <c r="I368" i="5"/>
  <c r="J368" i="5"/>
  <c r="L368" i="5"/>
  <c r="M368" i="5"/>
  <c r="B1185" i="5"/>
  <c r="C1185" i="5"/>
  <c r="D1185" i="5"/>
  <c r="E1185" i="5"/>
  <c r="G1185" i="5"/>
  <c r="H1185" i="5"/>
  <c r="I1185" i="5"/>
  <c r="J1185" i="5"/>
  <c r="L1185" i="5"/>
  <c r="M1185" i="5"/>
  <c r="B1275" i="5"/>
  <c r="C1275" i="5"/>
  <c r="D1275" i="5"/>
  <c r="E1275" i="5"/>
  <c r="G1275" i="5"/>
  <c r="H1275" i="5"/>
  <c r="I1275" i="5"/>
  <c r="J1275" i="5"/>
  <c r="L1275" i="5"/>
  <c r="M1275" i="5"/>
  <c r="B1335" i="5"/>
  <c r="C1335" i="5"/>
  <c r="D1335" i="5"/>
  <c r="E1335" i="5"/>
  <c r="G1335" i="5"/>
  <c r="H1335" i="5"/>
  <c r="I1335" i="5"/>
  <c r="J1335" i="5"/>
  <c r="L1335" i="5"/>
  <c r="M1335" i="5"/>
  <c r="B260" i="5"/>
  <c r="C260" i="5"/>
  <c r="D260" i="5"/>
  <c r="E260" i="5"/>
  <c r="G260" i="5"/>
  <c r="H260" i="5"/>
  <c r="I260" i="5"/>
  <c r="J260" i="5"/>
  <c r="L260" i="5"/>
  <c r="M260" i="5"/>
  <c r="B183" i="5"/>
  <c r="C183" i="5"/>
  <c r="D183" i="5"/>
  <c r="E183" i="5"/>
  <c r="G183" i="5"/>
  <c r="H183" i="5"/>
  <c r="I183" i="5"/>
  <c r="J183" i="5"/>
  <c r="L183" i="5"/>
  <c r="M183" i="5"/>
  <c r="B202" i="5"/>
  <c r="C202" i="5"/>
  <c r="D202" i="5"/>
  <c r="E202" i="5"/>
  <c r="G202" i="5"/>
  <c r="H202" i="5"/>
  <c r="I202" i="5"/>
  <c r="J202" i="5"/>
  <c r="L202" i="5"/>
  <c r="M202" i="5"/>
  <c r="B666" i="5"/>
  <c r="C666" i="5"/>
  <c r="D666" i="5"/>
  <c r="E666" i="5"/>
  <c r="G666" i="5"/>
  <c r="H666" i="5"/>
  <c r="I666" i="5"/>
  <c r="J666" i="5"/>
  <c r="L666" i="5"/>
  <c r="M666" i="5"/>
  <c r="B760" i="5"/>
  <c r="C760" i="5"/>
  <c r="D760" i="5"/>
  <c r="E760" i="5"/>
  <c r="G760" i="5"/>
  <c r="H760" i="5"/>
  <c r="I760" i="5"/>
  <c r="J760" i="5"/>
  <c r="L760" i="5"/>
  <c r="M760" i="5"/>
  <c r="B1130" i="5"/>
  <c r="C1130" i="5"/>
  <c r="D1130" i="5"/>
  <c r="E1130" i="5"/>
  <c r="G1130" i="5"/>
  <c r="H1130" i="5"/>
  <c r="I1130" i="5"/>
  <c r="J1130" i="5"/>
  <c r="L1130" i="5"/>
  <c r="M1130" i="5"/>
  <c r="B778" i="5"/>
  <c r="C778" i="5"/>
  <c r="D778" i="5"/>
  <c r="E778" i="5"/>
  <c r="G778" i="5"/>
  <c r="H778" i="5"/>
  <c r="I778" i="5"/>
  <c r="J778" i="5"/>
  <c r="L778" i="5"/>
  <c r="M778" i="5"/>
  <c r="B1218" i="5"/>
  <c r="C1218" i="5"/>
  <c r="D1218" i="5"/>
  <c r="E1218" i="5"/>
  <c r="G1218" i="5"/>
  <c r="H1218" i="5"/>
  <c r="I1218" i="5"/>
  <c r="J1218" i="5"/>
  <c r="L1218" i="5"/>
  <c r="M1218" i="5"/>
  <c r="B58" i="5"/>
  <c r="C58" i="5"/>
  <c r="D58" i="5"/>
  <c r="E58" i="5"/>
  <c r="G58" i="5"/>
  <c r="H58" i="5"/>
  <c r="I58" i="5"/>
  <c r="J58" i="5"/>
  <c r="L58" i="5"/>
  <c r="M58" i="5"/>
  <c r="B1240" i="5"/>
  <c r="C1240" i="5"/>
  <c r="D1240" i="5"/>
  <c r="E1240" i="5"/>
  <c r="G1240" i="5"/>
  <c r="H1240" i="5"/>
  <c r="I1240" i="5"/>
  <c r="J1240" i="5"/>
  <c r="L1240" i="5"/>
  <c r="M1240" i="5"/>
  <c r="B372" i="5"/>
  <c r="C372" i="5"/>
  <c r="D372" i="5"/>
  <c r="E372" i="5"/>
  <c r="G372" i="5"/>
  <c r="H372" i="5"/>
  <c r="I372" i="5"/>
  <c r="J372" i="5"/>
  <c r="L372" i="5"/>
  <c r="M372" i="5"/>
  <c r="B1051" i="5"/>
  <c r="C1051" i="5"/>
  <c r="D1051" i="5"/>
  <c r="E1051" i="5"/>
  <c r="G1051" i="5"/>
  <c r="H1051" i="5"/>
  <c r="I1051" i="5"/>
  <c r="J1051" i="5"/>
  <c r="L1051" i="5"/>
  <c r="M1051" i="5"/>
  <c r="B1048" i="5"/>
  <c r="C1048" i="5"/>
  <c r="D1048" i="5"/>
  <c r="E1048" i="5"/>
  <c r="G1048" i="5"/>
  <c r="H1048" i="5"/>
  <c r="I1048" i="5"/>
  <c r="J1048" i="5"/>
  <c r="L1048" i="5"/>
  <c r="M1048" i="5"/>
  <c r="B1272" i="5"/>
  <c r="C1272" i="5"/>
  <c r="D1272" i="5"/>
  <c r="E1272" i="5"/>
  <c r="G1272" i="5"/>
  <c r="H1272" i="5"/>
  <c r="I1272" i="5"/>
  <c r="J1272" i="5"/>
  <c r="L1272" i="5"/>
  <c r="M1272" i="5"/>
  <c r="B290" i="5"/>
  <c r="C290" i="5"/>
  <c r="D290" i="5"/>
  <c r="E290" i="5"/>
  <c r="G290" i="5"/>
  <c r="H290" i="5"/>
  <c r="I290" i="5"/>
  <c r="J290" i="5"/>
  <c r="L290" i="5"/>
  <c r="M290" i="5"/>
  <c r="B293" i="5"/>
  <c r="C293" i="5"/>
  <c r="D293" i="5"/>
  <c r="E293" i="5"/>
  <c r="G293" i="5"/>
  <c r="H293" i="5"/>
  <c r="I293" i="5"/>
  <c r="J293" i="5"/>
  <c r="L293" i="5"/>
  <c r="M293" i="5"/>
  <c r="B1047" i="5"/>
  <c r="C1047" i="5"/>
  <c r="D1047" i="5"/>
  <c r="E1047" i="5"/>
  <c r="G1047" i="5"/>
  <c r="H1047" i="5"/>
  <c r="I1047" i="5"/>
  <c r="J1047" i="5"/>
  <c r="L1047" i="5"/>
  <c r="M1047" i="5"/>
  <c r="B367" i="5"/>
  <c r="C367" i="5"/>
  <c r="D367" i="5"/>
  <c r="E367" i="5"/>
  <c r="G367" i="5"/>
  <c r="H367" i="5"/>
  <c r="I367" i="5"/>
  <c r="J367" i="5"/>
  <c r="L367" i="5"/>
  <c r="M367" i="5"/>
  <c r="B594" i="5"/>
  <c r="C594" i="5"/>
  <c r="D594" i="5"/>
  <c r="E594" i="5"/>
  <c r="G594" i="5"/>
  <c r="H594" i="5"/>
  <c r="I594" i="5"/>
  <c r="J594" i="5"/>
  <c r="L594" i="5"/>
  <c r="M594" i="5"/>
  <c r="B373" i="5"/>
  <c r="C373" i="5"/>
  <c r="D373" i="5"/>
  <c r="E373" i="5"/>
  <c r="G373" i="5"/>
  <c r="H373" i="5"/>
  <c r="I373" i="5"/>
  <c r="J373" i="5"/>
  <c r="L373" i="5"/>
  <c r="M373" i="5"/>
  <c r="B1178" i="5"/>
  <c r="C1178" i="5"/>
  <c r="D1178" i="5"/>
  <c r="E1178" i="5"/>
  <c r="G1178" i="5"/>
  <c r="H1178" i="5"/>
  <c r="I1178" i="5"/>
  <c r="J1178" i="5"/>
  <c r="L1178" i="5"/>
  <c r="M1178" i="5"/>
  <c r="B381" i="5"/>
  <c r="C381" i="5"/>
  <c r="D381" i="5"/>
  <c r="E381" i="5"/>
  <c r="G381" i="5"/>
  <c r="H381" i="5"/>
  <c r="I381" i="5"/>
  <c r="J381" i="5"/>
  <c r="L381" i="5"/>
  <c r="M381" i="5"/>
  <c r="B521" i="5"/>
  <c r="C521" i="5"/>
  <c r="D521" i="5"/>
  <c r="E521" i="5"/>
  <c r="G521" i="5"/>
  <c r="H521" i="5"/>
  <c r="I521" i="5"/>
  <c r="J521" i="5"/>
  <c r="L521" i="5"/>
  <c r="M521" i="5"/>
  <c r="B918" i="5"/>
  <c r="C918" i="5"/>
  <c r="D918" i="5"/>
  <c r="E918" i="5"/>
  <c r="G918" i="5"/>
  <c r="H918" i="5"/>
  <c r="I918" i="5"/>
  <c r="J918" i="5"/>
  <c r="L918" i="5"/>
  <c r="M918" i="5"/>
  <c r="B493" i="5"/>
  <c r="C493" i="5"/>
  <c r="D493" i="5"/>
  <c r="E493" i="5"/>
  <c r="G493" i="5"/>
  <c r="H493" i="5"/>
  <c r="I493" i="5"/>
  <c r="J493" i="5"/>
  <c r="L493" i="5"/>
  <c r="M493" i="5"/>
  <c r="B37" i="5"/>
  <c r="C37" i="5"/>
  <c r="D37" i="5"/>
  <c r="E37" i="5"/>
  <c r="G37" i="5"/>
  <c r="H37" i="5"/>
  <c r="I37" i="5"/>
  <c r="J37" i="5"/>
  <c r="L37" i="5"/>
  <c r="M37" i="5"/>
  <c r="B500" i="5"/>
  <c r="C500" i="5"/>
  <c r="D500" i="5"/>
  <c r="E500" i="5"/>
  <c r="G500" i="5"/>
  <c r="H500" i="5"/>
  <c r="I500" i="5"/>
  <c r="J500" i="5"/>
  <c r="L500" i="5"/>
  <c r="M500" i="5"/>
  <c r="B47" i="5"/>
  <c r="C47" i="5"/>
  <c r="D47" i="5"/>
  <c r="E47" i="5"/>
  <c r="G47" i="5"/>
  <c r="H47" i="5"/>
  <c r="I47" i="5"/>
  <c r="J47" i="5"/>
  <c r="L47" i="5"/>
  <c r="M47" i="5"/>
  <c r="B697" i="5"/>
  <c r="C697" i="5"/>
  <c r="D697" i="5"/>
  <c r="E697" i="5"/>
  <c r="G697" i="5"/>
  <c r="H697" i="5"/>
  <c r="I697" i="5"/>
  <c r="J697" i="5"/>
  <c r="L697" i="5"/>
  <c r="M697" i="5"/>
  <c r="B328" i="5"/>
  <c r="C328" i="5"/>
  <c r="D328" i="5"/>
  <c r="E328" i="5"/>
  <c r="G328" i="5"/>
  <c r="H328" i="5"/>
  <c r="I328" i="5"/>
  <c r="J328" i="5"/>
  <c r="L328" i="5"/>
  <c r="M328" i="5"/>
  <c r="B213" i="5"/>
  <c r="C213" i="5"/>
  <c r="D213" i="5"/>
  <c r="E213" i="5"/>
  <c r="G213" i="5"/>
  <c r="H213" i="5"/>
  <c r="I213" i="5"/>
  <c r="J213" i="5"/>
  <c r="L213" i="5"/>
  <c r="M213" i="5"/>
  <c r="B767" i="5"/>
  <c r="C767" i="5"/>
  <c r="D767" i="5"/>
  <c r="E767" i="5"/>
  <c r="G767" i="5"/>
  <c r="H767" i="5"/>
  <c r="I767" i="5"/>
  <c r="J767" i="5"/>
  <c r="L767" i="5"/>
  <c r="M767" i="5"/>
  <c r="B904" i="5"/>
  <c r="C904" i="5"/>
  <c r="D904" i="5"/>
  <c r="E904" i="5"/>
  <c r="G904" i="5"/>
  <c r="H904" i="5"/>
  <c r="I904" i="5"/>
  <c r="J904" i="5"/>
  <c r="L904" i="5"/>
  <c r="M904" i="5"/>
  <c r="B240" i="5"/>
  <c r="C240" i="5"/>
  <c r="D240" i="5"/>
  <c r="E240" i="5"/>
  <c r="G240" i="5"/>
  <c r="H240" i="5"/>
  <c r="I240" i="5"/>
  <c r="J240" i="5"/>
  <c r="L240" i="5"/>
  <c r="M240" i="5"/>
  <c r="B835" i="5"/>
  <c r="C835" i="5"/>
  <c r="D835" i="5"/>
  <c r="E835" i="5"/>
  <c r="G835" i="5"/>
  <c r="H835" i="5"/>
  <c r="I835" i="5"/>
  <c r="J835" i="5"/>
  <c r="L835" i="5"/>
  <c r="M835" i="5"/>
  <c r="B1032" i="5"/>
  <c r="C1032" i="5"/>
  <c r="D1032" i="5"/>
  <c r="E1032" i="5"/>
  <c r="G1032" i="5"/>
  <c r="H1032" i="5"/>
  <c r="I1032" i="5"/>
  <c r="J1032" i="5"/>
  <c r="L1032" i="5"/>
  <c r="M1032" i="5"/>
  <c r="B1143" i="5"/>
  <c r="C1143" i="5"/>
  <c r="D1143" i="5"/>
  <c r="E1143" i="5"/>
  <c r="G1143" i="5"/>
  <c r="H1143" i="5"/>
  <c r="I1143" i="5"/>
  <c r="J1143" i="5"/>
  <c r="L1143" i="5"/>
  <c r="M1143" i="5"/>
  <c r="B161" i="5"/>
  <c r="C161" i="5"/>
  <c r="D161" i="5"/>
  <c r="E161" i="5"/>
  <c r="G161" i="5"/>
  <c r="H161" i="5"/>
  <c r="I161" i="5"/>
  <c r="J161" i="5"/>
  <c r="L161" i="5"/>
  <c r="M161" i="5"/>
  <c r="B1093" i="5"/>
  <c r="C1093" i="5"/>
  <c r="D1093" i="5"/>
  <c r="E1093" i="5"/>
  <c r="G1093" i="5"/>
  <c r="H1093" i="5"/>
  <c r="I1093" i="5"/>
  <c r="J1093" i="5"/>
  <c r="L1093" i="5"/>
  <c r="M1093" i="5"/>
  <c r="B515" i="5"/>
  <c r="C515" i="5"/>
  <c r="D515" i="5"/>
  <c r="E515" i="5"/>
  <c r="G515" i="5"/>
  <c r="H515" i="5"/>
  <c r="I515" i="5"/>
  <c r="J515" i="5"/>
  <c r="L515" i="5"/>
  <c r="M515" i="5"/>
  <c r="B297" i="5"/>
  <c r="C297" i="5"/>
  <c r="D297" i="5"/>
  <c r="E297" i="5"/>
  <c r="G297" i="5"/>
  <c r="H297" i="5"/>
  <c r="I297" i="5"/>
  <c r="J297" i="5"/>
  <c r="L297" i="5"/>
  <c r="M297" i="5"/>
  <c r="B854" i="5"/>
  <c r="C854" i="5"/>
  <c r="D854" i="5"/>
  <c r="E854" i="5"/>
  <c r="G854" i="5"/>
  <c r="H854" i="5"/>
  <c r="I854" i="5"/>
  <c r="J854" i="5"/>
  <c r="L854" i="5"/>
  <c r="M854" i="5"/>
  <c r="B333" i="5"/>
  <c r="C333" i="5"/>
  <c r="D333" i="5"/>
  <c r="E333" i="5"/>
  <c r="G333" i="5"/>
  <c r="H333" i="5"/>
  <c r="I333" i="5"/>
  <c r="J333" i="5"/>
  <c r="L333" i="5"/>
  <c r="M333" i="5"/>
  <c r="B939" i="5"/>
  <c r="C939" i="5"/>
  <c r="D939" i="5"/>
  <c r="E939" i="5"/>
  <c r="G939" i="5"/>
  <c r="H939" i="5"/>
  <c r="I939" i="5"/>
  <c r="J939" i="5"/>
  <c r="L939" i="5"/>
  <c r="M939" i="5"/>
  <c r="B890" i="5"/>
  <c r="C890" i="5"/>
  <c r="D890" i="5"/>
  <c r="E890" i="5"/>
  <c r="G890" i="5"/>
  <c r="H890" i="5"/>
  <c r="I890" i="5"/>
  <c r="J890" i="5"/>
  <c r="L890" i="5"/>
  <c r="M890" i="5"/>
  <c r="B763" i="5"/>
  <c r="C763" i="5"/>
  <c r="D763" i="5"/>
  <c r="E763" i="5"/>
  <c r="G763" i="5"/>
  <c r="H763" i="5"/>
  <c r="I763" i="5"/>
  <c r="J763" i="5"/>
  <c r="L763" i="5"/>
  <c r="M763" i="5"/>
  <c r="B650" i="5"/>
  <c r="C650" i="5"/>
  <c r="D650" i="5"/>
  <c r="E650" i="5"/>
  <c r="G650" i="5"/>
  <c r="H650" i="5"/>
  <c r="I650" i="5"/>
  <c r="J650" i="5"/>
  <c r="L650" i="5"/>
  <c r="M650" i="5"/>
  <c r="B1067" i="5"/>
  <c r="C1067" i="5"/>
  <c r="D1067" i="5"/>
  <c r="E1067" i="5"/>
  <c r="G1067" i="5"/>
  <c r="H1067" i="5"/>
  <c r="I1067" i="5"/>
  <c r="J1067" i="5"/>
  <c r="L1067" i="5"/>
  <c r="M1067" i="5"/>
  <c r="B842" i="5"/>
  <c r="C842" i="5"/>
  <c r="D842" i="5"/>
  <c r="E842" i="5"/>
  <c r="G842" i="5"/>
  <c r="H842" i="5"/>
  <c r="I842" i="5"/>
  <c r="J842" i="5"/>
  <c r="L842" i="5"/>
  <c r="M842" i="5"/>
  <c r="B44" i="5"/>
  <c r="C44" i="5"/>
  <c r="D44" i="5"/>
  <c r="E44" i="5"/>
  <c r="G44" i="5"/>
  <c r="H44" i="5"/>
  <c r="I44" i="5"/>
  <c r="J44" i="5"/>
  <c r="L44" i="5"/>
  <c r="M44" i="5"/>
  <c r="B814" i="5"/>
  <c r="C814" i="5"/>
  <c r="D814" i="5"/>
  <c r="E814" i="5"/>
  <c r="G814" i="5"/>
  <c r="H814" i="5"/>
  <c r="I814" i="5"/>
  <c r="J814" i="5"/>
  <c r="L814" i="5"/>
  <c r="M814" i="5"/>
  <c r="B1041" i="5"/>
  <c r="C1041" i="5"/>
  <c r="D1041" i="5"/>
  <c r="E1041" i="5"/>
  <c r="G1041" i="5"/>
  <c r="H1041" i="5"/>
  <c r="I1041" i="5"/>
  <c r="J1041" i="5"/>
  <c r="L1041" i="5"/>
  <c r="M1041" i="5"/>
  <c r="B1273" i="5"/>
  <c r="C1273" i="5"/>
  <c r="D1273" i="5"/>
  <c r="E1273" i="5"/>
  <c r="G1273" i="5"/>
  <c r="H1273" i="5"/>
  <c r="I1273" i="5"/>
  <c r="J1273" i="5"/>
  <c r="L1273" i="5"/>
  <c r="M1273" i="5"/>
  <c r="B12" i="5"/>
  <c r="C12" i="5"/>
  <c r="D12" i="5"/>
  <c r="E12" i="5"/>
  <c r="G12" i="5"/>
  <c r="H12" i="5"/>
  <c r="I12" i="5"/>
  <c r="J12" i="5"/>
  <c r="L12" i="5"/>
  <c r="M12" i="5"/>
  <c r="B63" i="5"/>
  <c r="C63" i="5"/>
  <c r="D63" i="5"/>
  <c r="E63" i="5"/>
  <c r="G63" i="5"/>
  <c r="H63" i="5"/>
  <c r="I63" i="5"/>
  <c r="J63" i="5"/>
  <c r="L63" i="5"/>
  <c r="M63" i="5"/>
  <c r="B401" i="5"/>
  <c r="C401" i="5"/>
  <c r="D401" i="5"/>
  <c r="E401" i="5"/>
  <c r="G401" i="5"/>
  <c r="H401" i="5"/>
  <c r="I401" i="5"/>
  <c r="J401" i="5"/>
  <c r="L401" i="5"/>
  <c r="M401" i="5"/>
  <c r="B817" i="5"/>
  <c r="C817" i="5"/>
  <c r="D817" i="5"/>
  <c r="E817" i="5"/>
  <c r="G817" i="5"/>
  <c r="H817" i="5"/>
  <c r="I817" i="5"/>
  <c r="J817" i="5"/>
  <c r="L817" i="5"/>
  <c r="M817" i="5"/>
  <c r="B448" i="5"/>
  <c r="C448" i="5"/>
  <c r="D448" i="5"/>
  <c r="E448" i="5"/>
  <c r="G448" i="5"/>
  <c r="H448" i="5"/>
  <c r="I448" i="5"/>
  <c r="J448" i="5"/>
  <c r="L448" i="5"/>
  <c r="M448" i="5"/>
  <c r="B882" i="5"/>
  <c r="C882" i="5"/>
  <c r="D882" i="5"/>
  <c r="E882" i="5"/>
  <c r="G882" i="5"/>
  <c r="H882" i="5"/>
  <c r="I882" i="5"/>
  <c r="J882" i="5"/>
  <c r="L882" i="5"/>
  <c r="M882" i="5"/>
  <c r="B907" i="5"/>
  <c r="C907" i="5"/>
  <c r="D907" i="5"/>
  <c r="E907" i="5"/>
  <c r="G907" i="5"/>
  <c r="H907" i="5"/>
  <c r="I907" i="5"/>
  <c r="J907" i="5"/>
  <c r="L907" i="5"/>
  <c r="M907" i="5"/>
  <c r="B740" i="5"/>
  <c r="C740" i="5"/>
  <c r="D740" i="5"/>
  <c r="E740" i="5"/>
  <c r="G740" i="5"/>
  <c r="H740" i="5"/>
  <c r="I740" i="5"/>
  <c r="J740" i="5"/>
  <c r="L740" i="5"/>
  <c r="M740" i="5"/>
  <c r="B396" i="5"/>
  <c r="C396" i="5"/>
  <c r="D396" i="5"/>
  <c r="E396" i="5"/>
  <c r="G396" i="5"/>
  <c r="H396" i="5"/>
  <c r="I396" i="5"/>
  <c r="J396" i="5"/>
  <c r="L396" i="5"/>
  <c r="M396" i="5"/>
  <c r="B214" i="5"/>
  <c r="C214" i="5"/>
  <c r="D214" i="5"/>
  <c r="E214" i="5"/>
  <c r="G214" i="5"/>
  <c r="H214" i="5"/>
  <c r="I214" i="5"/>
  <c r="J214" i="5"/>
  <c r="L214" i="5"/>
  <c r="M214" i="5"/>
  <c r="B1163" i="5"/>
  <c r="C1163" i="5"/>
  <c r="D1163" i="5"/>
  <c r="E1163" i="5"/>
  <c r="G1163" i="5"/>
  <c r="H1163" i="5"/>
  <c r="I1163" i="5"/>
  <c r="J1163" i="5"/>
  <c r="L1163" i="5"/>
  <c r="M1163" i="5"/>
  <c r="B1125" i="5"/>
  <c r="C1125" i="5"/>
  <c r="D1125" i="5"/>
  <c r="E1125" i="5"/>
  <c r="G1125" i="5"/>
  <c r="H1125" i="5"/>
  <c r="I1125" i="5"/>
  <c r="J1125" i="5"/>
  <c r="L1125" i="5"/>
  <c r="M1125" i="5"/>
  <c r="B849" i="5"/>
  <c r="C849" i="5"/>
  <c r="D849" i="5"/>
  <c r="E849" i="5"/>
  <c r="G849" i="5"/>
  <c r="H849" i="5"/>
  <c r="I849" i="5"/>
  <c r="J849" i="5"/>
  <c r="L849" i="5"/>
  <c r="M849" i="5"/>
  <c r="B956" i="5"/>
  <c r="C956" i="5"/>
  <c r="D956" i="5"/>
  <c r="E956" i="5"/>
  <c r="G956" i="5"/>
  <c r="H956" i="5"/>
  <c r="I956" i="5"/>
  <c r="J956" i="5"/>
  <c r="L956" i="5"/>
  <c r="M956" i="5"/>
  <c r="B1166" i="5"/>
  <c r="C1166" i="5"/>
  <c r="D1166" i="5"/>
  <c r="E1166" i="5"/>
  <c r="G1166" i="5"/>
  <c r="H1166" i="5"/>
  <c r="I1166" i="5"/>
  <c r="J1166" i="5"/>
  <c r="L1166" i="5"/>
  <c r="M1166" i="5"/>
  <c r="B1245" i="5"/>
  <c r="C1245" i="5"/>
  <c r="D1245" i="5"/>
  <c r="E1245" i="5"/>
  <c r="G1245" i="5"/>
  <c r="H1245" i="5"/>
  <c r="I1245" i="5"/>
  <c r="J1245" i="5"/>
  <c r="L1245" i="5"/>
  <c r="M1245" i="5"/>
  <c r="B375" i="5"/>
  <c r="C375" i="5"/>
  <c r="D375" i="5"/>
  <c r="E375" i="5"/>
  <c r="G375" i="5"/>
  <c r="H375" i="5"/>
  <c r="I375" i="5"/>
  <c r="J375" i="5"/>
  <c r="L375" i="5"/>
  <c r="M375" i="5"/>
  <c r="B852" i="5"/>
  <c r="C852" i="5"/>
  <c r="D852" i="5"/>
  <c r="E852" i="5"/>
  <c r="G852" i="5"/>
  <c r="H852" i="5"/>
  <c r="I852" i="5"/>
  <c r="J852" i="5"/>
  <c r="L852" i="5"/>
  <c r="M852" i="5"/>
  <c r="B572" i="5"/>
  <c r="C572" i="5"/>
  <c r="D572" i="5"/>
  <c r="E572" i="5"/>
  <c r="G572" i="5"/>
  <c r="H572" i="5"/>
  <c r="I572" i="5"/>
  <c r="J572" i="5"/>
  <c r="L572" i="5"/>
  <c r="M572" i="5"/>
  <c r="B96" i="5"/>
  <c r="C96" i="5"/>
  <c r="D96" i="5"/>
  <c r="E96" i="5"/>
  <c r="G96" i="5"/>
  <c r="H96" i="5"/>
  <c r="I96" i="5"/>
  <c r="J96" i="5"/>
  <c r="L96" i="5"/>
  <c r="M96" i="5"/>
  <c r="B613" i="5"/>
  <c r="C613" i="5"/>
  <c r="D613" i="5"/>
  <c r="E613" i="5"/>
  <c r="G613" i="5"/>
  <c r="H613" i="5"/>
  <c r="I613" i="5"/>
  <c r="J613" i="5"/>
  <c r="L613" i="5"/>
  <c r="M613" i="5"/>
  <c r="B159" i="5"/>
  <c r="C159" i="5"/>
  <c r="D159" i="5"/>
  <c r="E159" i="5"/>
  <c r="G159" i="5"/>
  <c r="H159" i="5"/>
  <c r="I159" i="5"/>
  <c r="J159" i="5"/>
  <c r="L159" i="5"/>
  <c r="M159" i="5"/>
  <c r="B329" i="5"/>
  <c r="C329" i="5"/>
  <c r="D329" i="5"/>
  <c r="E329" i="5"/>
  <c r="G329" i="5"/>
  <c r="H329" i="5"/>
  <c r="I329" i="5"/>
  <c r="J329" i="5"/>
  <c r="L329" i="5"/>
  <c r="M329" i="5"/>
  <c r="B366" i="5"/>
  <c r="C366" i="5"/>
  <c r="D366" i="5"/>
  <c r="E366" i="5"/>
  <c r="G366" i="5"/>
  <c r="H366" i="5"/>
  <c r="I366" i="5"/>
  <c r="J366" i="5"/>
  <c r="L366" i="5"/>
  <c r="M366" i="5"/>
  <c r="B1296" i="5"/>
  <c r="C1296" i="5"/>
  <c r="D1296" i="5"/>
  <c r="E1296" i="5"/>
  <c r="G1296" i="5"/>
  <c r="H1296" i="5"/>
  <c r="I1296" i="5"/>
  <c r="J1296" i="5"/>
  <c r="L1296" i="5"/>
  <c r="M1296" i="5"/>
  <c r="B171" i="5"/>
  <c r="C171" i="5"/>
  <c r="D171" i="5"/>
  <c r="E171" i="5"/>
  <c r="G171" i="5"/>
  <c r="H171" i="5"/>
  <c r="I171" i="5"/>
  <c r="J171" i="5"/>
  <c r="L171" i="5"/>
  <c r="M171" i="5"/>
  <c r="B412" i="5"/>
  <c r="C412" i="5"/>
  <c r="D412" i="5"/>
  <c r="E412" i="5"/>
  <c r="G412" i="5"/>
  <c r="H412" i="5"/>
  <c r="I412" i="5"/>
  <c r="J412" i="5"/>
  <c r="L412" i="5"/>
  <c r="M412" i="5"/>
  <c r="B129" i="5"/>
  <c r="C129" i="5"/>
  <c r="D129" i="5"/>
  <c r="E129" i="5"/>
  <c r="G129" i="5"/>
  <c r="H129" i="5"/>
  <c r="I129" i="5"/>
  <c r="J129" i="5"/>
  <c r="L129" i="5"/>
  <c r="M129" i="5"/>
  <c r="B1297" i="5"/>
  <c r="C1297" i="5"/>
  <c r="D1297" i="5"/>
  <c r="E1297" i="5"/>
  <c r="G1297" i="5"/>
  <c r="H1297" i="5"/>
  <c r="I1297" i="5"/>
  <c r="J1297" i="5"/>
  <c r="L1297" i="5"/>
  <c r="M1297" i="5"/>
  <c r="B256" i="5"/>
  <c r="C256" i="5"/>
  <c r="D256" i="5"/>
  <c r="E256" i="5"/>
  <c r="G256" i="5"/>
  <c r="H256" i="5"/>
  <c r="I256" i="5"/>
  <c r="J256" i="5"/>
  <c r="L256" i="5"/>
  <c r="M256" i="5"/>
  <c r="B665" i="5"/>
  <c r="C665" i="5"/>
  <c r="D665" i="5"/>
  <c r="E665" i="5"/>
  <c r="G665" i="5"/>
  <c r="H665" i="5"/>
  <c r="I665" i="5"/>
  <c r="J665" i="5"/>
  <c r="L665" i="5"/>
  <c r="M665" i="5"/>
  <c r="B628" i="5"/>
  <c r="C628" i="5"/>
  <c r="D628" i="5"/>
  <c r="E628" i="5"/>
  <c r="G628" i="5"/>
  <c r="H628" i="5"/>
  <c r="I628" i="5"/>
  <c r="J628" i="5"/>
  <c r="L628" i="5"/>
  <c r="M628" i="5"/>
  <c r="B322" i="5"/>
  <c r="C322" i="5"/>
  <c r="D322" i="5"/>
  <c r="E322" i="5"/>
  <c r="G322" i="5"/>
  <c r="H322" i="5"/>
  <c r="I322" i="5"/>
  <c r="J322" i="5"/>
  <c r="L322" i="5"/>
  <c r="M322" i="5"/>
  <c r="B295" i="5"/>
  <c r="C295" i="5"/>
  <c r="D295" i="5"/>
  <c r="E295" i="5"/>
  <c r="G295" i="5"/>
  <c r="H295" i="5"/>
  <c r="I295" i="5"/>
  <c r="J295" i="5"/>
  <c r="L295" i="5"/>
  <c r="M295" i="5"/>
  <c r="B980" i="5"/>
  <c r="C980" i="5"/>
  <c r="D980" i="5"/>
  <c r="E980" i="5"/>
  <c r="G980" i="5"/>
  <c r="H980" i="5"/>
  <c r="I980" i="5"/>
  <c r="J980" i="5"/>
  <c r="L980" i="5"/>
  <c r="M980" i="5"/>
  <c r="B358" i="5"/>
  <c r="C358" i="5"/>
  <c r="D358" i="5"/>
  <c r="E358" i="5"/>
  <c r="G358" i="5"/>
  <c r="H358" i="5"/>
  <c r="I358" i="5"/>
  <c r="J358" i="5"/>
  <c r="L358" i="5"/>
  <c r="M358" i="5"/>
  <c r="B206" i="5"/>
  <c r="C206" i="5"/>
  <c r="D206" i="5"/>
  <c r="E206" i="5"/>
  <c r="G206" i="5"/>
  <c r="H206" i="5"/>
  <c r="I206" i="5"/>
  <c r="J206" i="5"/>
  <c r="L206" i="5"/>
  <c r="M206" i="5"/>
  <c r="B266" i="5"/>
  <c r="C266" i="5"/>
  <c r="D266" i="5"/>
  <c r="E266" i="5"/>
  <c r="G266" i="5"/>
  <c r="H266" i="5"/>
  <c r="I266" i="5"/>
  <c r="J266" i="5"/>
  <c r="L266" i="5"/>
  <c r="M266" i="5"/>
  <c r="B1053" i="5"/>
  <c r="C1053" i="5"/>
  <c r="D1053" i="5"/>
  <c r="E1053" i="5"/>
  <c r="G1053" i="5"/>
  <c r="H1053" i="5"/>
  <c r="I1053" i="5"/>
  <c r="J1053" i="5"/>
  <c r="L1053" i="5"/>
  <c r="M1053" i="5"/>
  <c r="B1154" i="5"/>
  <c r="C1154" i="5"/>
  <c r="D1154" i="5"/>
  <c r="E1154" i="5"/>
  <c r="G1154" i="5"/>
  <c r="H1154" i="5"/>
  <c r="I1154" i="5"/>
  <c r="J1154" i="5"/>
  <c r="L1154" i="5"/>
  <c r="M1154" i="5"/>
  <c r="B694" i="5"/>
  <c r="C694" i="5"/>
  <c r="D694" i="5"/>
  <c r="E694" i="5"/>
  <c r="G694" i="5"/>
  <c r="H694" i="5"/>
  <c r="I694" i="5"/>
  <c r="J694" i="5"/>
  <c r="L694" i="5"/>
  <c r="M694" i="5"/>
  <c r="B865" i="5"/>
  <c r="C865" i="5"/>
  <c r="D865" i="5"/>
  <c r="E865" i="5"/>
  <c r="G865" i="5"/>
  <c r="H865" i="5"/>
  <c r="I865" i="5"/>
  <c r="J865" i="5"/>
  <c r="L865" i="5"/>
  <c r="M865" i="5"/>
  <c r="B86" i="5"/>
  <c r="C86" i="5"/>
  <c r="D86" i="5"/>
  <c r="E86" i="5"/>
  <c r="G86" i="5"/>
  <c r="H86" i="5"/>
  <c r="I86" i="5"/>
  <c r="J86" i="5"/>
  <c r="L86" i="5"/>
  <c r="M86" i="5"/>
  <c r="B332" i="5"/>
  <c r="C332" i="5"/>
  <c r="D332" i="5"/>
  <c r="E332" i="5"/>
  <c r="G332" i="5"/>
  <c r="H332" i="5"/>
  <c r="I332" i="5"/>
  <c r="J332" i="5"/>
  <c r="L332" i="5"/>
  <c r="M332" i="5"/>
  <c r="B303" i="5"/>
  <c r="C303" i="5"/>
  <c r="D303" i="5"/>
  <c r="E303" i="5"/>
  <c r="G303" i="5"/>
  <c r="H303" i="5"/>
  <c r="I303" i="5"/>
  <c r="J303" i="5"/>
  <c r="L303" i="5"/>
  <c r="M303" i="5"/>
  <c r="B330" i="5"/>
  <c r="C330" i="5"/>
  <c r="D330" i="5"/>
  <c r="E330" i="5"/>
  <c r="G330" i="5"/>
  <c r="H330" i="5"/>
  <c r="I330" i="5"/>
  <c r="J330" i="5"/>
  <c r="L330" i="5"/>
  <c r="M330" i="5"/>
  <c r="B726" i="5"/>
  <c r="C726" i="5"/>
  <c r="D726" i="5"/>
  <c r="E726" i="5"/>
  <c r="G726" i="5"/>
  <c r="H726" i="5"/>
  <c r="I726" i="5"/>
  <c r="J726" i="5"/>
  <c r="L726" i="5"/>
  <c r="M726" i="5"/>
  <c r="B1072" i="5"/>
  <c r="C1072" i="5"/>
  <c r="D1072" i="5"/>
  <c r="E1072" i="5"/>
  <c r="G1072" i="5"/>
  <c r="H1072" i="5"/>
  <c r="I1072" i="5"/>
  <c r="J1072" i="5"/>
  <c r="L1072" i="5"/>
  <c r="M1072" i="5"/>
  <c r="B276" i="5"/>
  <c r="C276" i="5"/>
  <c r="D276" i="5"/>
  <c r="E276" i="5"/>
  <c r="G276" i="5"/>
  <c r="H276" i="5"/>
  <c r="I276" i="5"/>
  <c r="J276" i="5"/>
  <c r="L276" i="5"/>
  <c r="M276" i="5"/>
  <c r="B1173" i="5"/>
  <c r="C1173" i="5"/>
  <c r="D1173" i="5"/>
  <c r="E1173" i="5"/>
  <c r="G1173" i="5"/>
  <c r="H1173" i="5"/>
  <c r="I1173" i="5"/>
  <c r="J1173" i="5"/>
  <c r="L1173" i="5"/>
  <c r="M1173" i="5"/>
  <c r="B450" i="5"/>
  <c r="C450" i="5"/>
  <c r="D450" i="5"/>
  <c r="E450" i="5"/>
  <c r="G450" i="5"/>
  <c r="H450" i="5"/>
  <c r="I450" i="5"/>
  <c r="J450" i="5"/>
  <c r="L450" i="5"/>
  <c r="M450" i="5"/>
  <c r="B378" i="5"/>
  <c r="C378" i="5"/>
  <c r="D378" i="5"/>
  <c r="E378" i="5"/>
  <c r="G378" i="5"/>
  <c r="H378" i="5"/>
  <c r="I378" i="5"/>
  <c r="J378" i="5"/>
  <c r="L378" i="5"/>
  <c r="M378" i="5"/>
  <c r="B1016" i="5"/>
  <c r="C1016" i="5"/>
  <c r="D1016" i="5"/>
  <c r="E1016" i="5"/>
  <c r="G1016" i="5"/>
  <c r="H1016" i="5"/>
  <c r="I1016" i="5"/>
  <c r="J1016" i="5"/>
  <c r="L1016" i="5"/>
  <c r="M1016" i="5"/>
  <c r="B296" i="5"/>
  <c r="C296" i="5"/>
  <c r="D296" i="5"/>
  <c r="E296" i="5"/>
  <c r="G296" i="5"/>
  <c r="H296" i="5"/>
  <c r="I296" i="5"/>
  <c r="J296" i="5"/>
  <c r="L296" i="5"/>
  <c r="M296" i="5"/>
  <c r="B625" i="5"/>
  <c r="C625" i="5"/>
  <c r="D625" i="5"/>
  <c r="E625" i="5"/>
  <c r="G625" i="5"/>
  <c r="H625" i="5"/>
  <c r="I625" i="5"/>
  <c r="J625" i="5"/>
  <c r="L625" i="5"/>
  <c r="M625" i="5"/>
  <c r="B54" i="5"/>
  <c r="C54" i="5"/>
  <c r="D54" i="5"/>
  <c r="E54" i="5"/>
  <c r="G54" i="5"/>
  <c r="H54" i="5"/>
  <c r="I54" i="5"/>
  <c r="J54" i="5"/>
  <c r="L54" i="5"/>
  <c r="M54" i="5"/>
  <c r="B754" i="5"/>
  <c r="C754" i="5"/>
  <c r="D754" i="5"/>
  <c r="E754" i="5"/>
  <c r="G754" i="5"/>
  <c r="H754" i="5"/>
  <c r="I754" i="5"/>
  <c r="J754" i="5"/>
  <c r="L754" i="5"/>
  <c r="M754" i="5"/>
  <c r="B503" i="5"/>
  <c r="C503" i="5"/>
  <c r="D503" i="5"/>
  <c r="E503" i="5"/>
  <c r="G503" i="5"/>
  <c r="H503" i="5"/>
  <c r="I503" i="5"/>
  <c r="J503" i="5"/>
  <c r="L503" i="5"/>
  <c r="M503" i="5"/>
  <c r="B1094" i="5"/>
  <c r="C1094" i="5"/>
  <c r="D1094" i="5"/>
  <c r="E1094" i="5"/>
  <c r="G1094" i="5"/>
  <c r="H1094" i="5"/>
  <c r="I1094" i="5"/>
  <c r="J1094" i="5"/>
  <c r="L1094" i="5"/>
  <c r="M1094" i="5"/>
  <c r="B1308" i="5"/>
  <c r="C1308" i="5"/>
  <c r="D1308" i="5"/>
  <c r="E1308" i="5"/>
  <c r="G1308" i="5"/>
  <c r="H1308" i="5"/>
  <c r="I1308" i="5"/>
  <c r="J1308" i="5"/>
  <c r="L1308" i="5"/>
  <c r="M1308" i="5"/>
  <c r="B422" i="5"/>
  <c r="C422" i="5"/>
  <c r="D422" i="5"/>
  <c r="E422" i="5"/>
  <c r="G422" i="5"/>
  <c r="H422" i="5"/>
  <c r="I422" i="5"/>
  <c r="J422" i="5"/>
  <c r="L422" i="5"/>
  <c r="M422" i="5"/>
  <c r="B576" i="5"/>
  <c r="C576" i="5"/>
  <c r="D576" i="5"/>
  <c r="E576" i="5"/>
  <c r="G576" i="5"/>
  <c r="H576" i="5"/>
  <c r="I576" i="5"/>
  <c r="J576" i="5"/>
  <c r="L576" i="5"/>
  <c r="M576" i="5"/>
  <c r="B218" i="5"/>
  <c r="C218" i="5"/>
  <c r="D218" i="5"/>
  <c r="E218" i="5"/>
  <c r="G218" i="5"/>
  <c r="H218" i="5"/>
  <c r="I218" i="5"/>
  <c r="J218" i="5"/>
  <c r="L218" i="5"/>
  <c r="M218" i="5"/>
  <c r="B962" i="5"/>
  <c r="C962" i="5"/>
  <c r="D962" i="5"/>
  <c r="E962" i="5"/>
  <c r="G962" i="5"/>
  <c r="H962" i="5"/>
  <c r="I962" i="5"/>
  <c r="J962" i="5"/>
  <c r="L962" i="5"/>
  <c r="M962" i="5"/>
  <c r="B685" i="5"/>
  <c r="C685" i="5"/>
  <c r="D685" i="5"/>
  <c r="E685" i="5"/>
  <c r="G685" i="5"/>
  <c r="H685" i="5"/>
  <c r="I685" i="5"/>
  <c r="J685" i="5"/>
  <c r="L685" i="5"/>
  <c r="M685" i="5"/>
  <c r="B737" i="5"/>
  <c r="C737" i="5"/>
  <c r="D737" i="5"/>
  <c r="E737" i="5"/>
  <c r="G737" i="5"/>
  <c r="H737" i="5"/>
  <c r="I737" i="5"/>
  <c r="J737" i="5"/>
  <c r="L737" i="5"/>
  <c r="M737" i="5"/>
  <c r="B1084" i="5"/>
  <c r="C1084" i="5"/>
  <c r="D1084" i="5"/>
  <c r="E1084" i="5"/>
  <c r="G1084" i="5"/>
  <c r="H1084" i="5"/>
  <c r="I1084" i="5"/>
  <c r="J1084" i="5"/>
  <c r="L1084" i="5"/>
  <c r="M1084" i="5"/>
  <c r="B102" i="5"/>
  <c r="C102" i="5"/>
  <c r="D102" i="5"/>
  <c r="E102" i="5"/>
  <c r="G102" i="5"/>
  <c r="H102" i="5"/>
  <c r="I102" i="5"/>
  <c r="J102" i="5"/>
  <c r="L102" i="5"/>
  <c r="M102" i="5"/>
  <c r="B727" i="5"/>
  <c r="C727" i="5"/>
  <c r="D727" i="5"/>
  <c r="E727" i="5"/>
  <c r="G727" i="5"/>
  <c r="H727" i="5"/>
  <c r="I727" i="5"/>
  <c r="J727" i="5"/>
  <c r="L727" i="5"/>
  <c r="M727" i="5"/>
  <c r="B443" i="5"/>
  <c r="C443" i="5"/>
  <c r="D443" i="5"/>
  <c r="E443" i="5"/>
  <c r="G443" i="5"/>
  <c r="H443" i="5"/>
  <c r="I443" i="5"/>
  <c r="J443" i="5"/>
  <c r="L443" i="5"/>
  <c r="M443" i="5"/>
  <c r="B498" i="5"/>
  <c r="C498" i="5"/>
  <c r="D498" i="5"/>
  <c r="E498" i="5"/>
  <c r="G498" i="5"/>
  <c r="H498" i="5"/>
  <c r="I498" i="5"/>
  <c r="J498" i="5"/>
  <c r="L498" i="5"/>
  <c r="M498" i="5"/>
  <c r="B1144" i="5"/>
  <c r="C1144" i="5"/>
  <c r="D1144" i="5"/>
  <c r="E1144" i="5"/>
  <c r="G1144" i="5"/>
  <c r="H1144" i="5"/>
  <c r="I1144" i="5"/>
  <c r="J1144" i="5"/>
  <c r="L1144" i="5"/>
  <c r="M1144" i="5"/>
  <c r="B699" i="5"/>
  <c r="C699" i="5"/>
  <c r="D699" i="5"/>
  <c r="E699" i="5"/>
  <c r="G699" i="5"/>
  <c r="H699" i="5"/>
  <c r="I699" i="5"/>
  <c r="J699" i="5"/>
  <c r="L699" i="5"/>
  <c r="M699" i="5"/>
  <c r="B1155" i="5"/>
  <c r="C1155" i="5"/>
  <c r="D1155" i="5"/>
  <c r="E1155" i="5"/>
  <c r="G1155" i="5"/>
  <c r="H1155" i="5"/>
  <c r="I1155" i="5"/>
  <c r="J1155" i="5"/>
  <c r="L1155" i="5"/>
  <c r="M1155" i="5"/>
  <c r="B923" i="5"/>
  <c r="C923" i="5"/>
  <c r="D923" i="5"/>
  <c r="E923" i="5"/>
  <c r="G923" i="5"/>
  <c r="H923" i="5"/>
  <c r="I923" i="5"/>
  <c r="J923" i="5"/>
  <c r="L923" i="5"/>
  <c r="M923" i="5"/>
  <c r="B504" i="5"/>
  <c r="C504" i="5"/>
  <c r="D504" i="5"/>
  <c r="E504" i="5"/>
  <c r="G504" i="5"/>
  <c r="H504" i="5"/>
  <c r="I504" i="5"/>
  <c r="J504" i="5"/>
  <c r="L504" i="5"/>
  <c r="M504" i="5"/>
  <c r="B1096" i="5"/>
  <c r="C1096" i="5"/>
  <c r="D1096" i="5"/>
  <c r="E1096" i="5"/>
  <c r="G1096" i="5"/>
  <c r="H1096" i="5"/>
  <c r="I1096" i="5"/>
  <c r="J1096" i="5"/>
  <c r="L1096" i="5"/>
  <c r="M1096" i="5"/>
  <c r="B472" i="5"/>
  <c r="C472" i="5"/>
  <c r="D472" i="5"/>
  <c r="E472" i="5"/>
  <c r="G472" i="5"/>
  <c r="H472" i="5"/>
  <c r="I472" i="5"/>
  <c r="J472" i="5"/>
  <c r="L472" i="5"/>
  <c r="M472" i="5"/>
  <c r="B52" i="5"/>
  <c r="C52" i="5"/>
  <c r="D52" i="5"/>
  <c r="E52" i="5"/>
  <c r="G52" i="5"/>
  <c r="H52" i="5"/>
  <c r="I52" i="5"/>
  <c r="J52" i="5"/>
  <c r="L52" i="5"/>
  <c r="M52" i="5"/>
  <c r="B327" i="5"/>
  <c r="C327" i="5"/>
  <c r="D327" i="5"/>
  <c r="E327" i="5"/>
  <c r="G327" i="5"/>
  <c r="H327" i="5"/>
  <c r="I327" i="5"/>
  <c r="J327" i="5"/>
  <c r="L327" i="5"/>
  <c r="M327" i="5"/>
  <c r="B386" i="5"/>
  <c r="C386" i="5"/>
  <c r="D386" i="5"/>
  <c r="E386" i="5"/>
  <c r="G386" i="5"/>
  <c r="H386" i="5"/>
  <c r="I386" i="5"/>
  <c r="J386" i="5"/>
  <c r="L386" i="5"/>
  <c r="M386" i="5"/>
  <c r="B933" i="5"/>
  <c r="C933" i="5"/>
  <c r="D933" i="5"/>
  <c r="E933" i="5"/>
  <c r="G933" i="5"/>
  <c r="H933" i="5"/>
  <c r="I933" i="5"/>
  <c r="J933" i="5"/>
  <c r="L933" i="5"/>
  <c r="M933" i="5"/>
  <c r="B1300" i="5"/>
  <c r="C1300" i="5"/>
  <c r="D1300" i="5"/>
  <c r="E1300" i="5"/>
  <c r="G1300" i="5"/>
  <c r="H1300" i="5"/>
  <c r="I1300" i="5"/>
  <c r="J1300" i="5"/>
  <c r="L1300" i="5"/>
  <c r="M1300" i="5"/>
  <c r="B751" i="5"/>
  <c r="C751" i="5"/>
  <c r="D751" i="5"/>
  <c r="E751" i="5"/>
  <c r="G751" i="5"/>
  <c r="H751" i="5"/>
  <c r="I751" i="5"/>
  <c r="J751" i="5"/>
  <c r="L751" i="5"/>
  <c r="M751" i="5"/>
  <c r="B477" i="5"/>
  <c r="C477" i="5"/>
  <c r="D477" i="5"/>
  <c r="E477" i="5"/>
  <c r="G477" i="5"/>
  <c r="H477" i="5"/>
  <c r="I477" i="5"/>
  <c r="J477" i="5"/>
  <c r="L477" i="5"/>
  <c r="M477" i="5"/>
  <c r="B5" i="5"/>
  <c r="C5" i="5"/>
  <c r="D5" i="5"/>
  <c r="E5" i="5"/>
  <c r="G5" i="5"/>
  <c r="H5" i="5"/>
  <c r="I5" i="5"/>
  <c r="J5" i="5"/>
  <c r="L5" i="5"/>
  <c r="M5" i="5"/>
  <c r="B700" i="5"/>
  <c r="C700" i="5"/>
  <c r="D700" i="5"/>
  <c r="E700" i="5"/>
  <c r="G700" i="5"/>
  <c r="H700" i="5"/>
  <c r="I700" i="5"/>
  <c r="J700" i="5"/>
  <c r="L700" i="5"/>
  <c r="M700" i="5"/>
  <c r="B631" i="5"/>
  <c r="C631" i="5"/>
  <c r="D631" i="5"/>
  <c r="E631" i="5"/>
  <c r="G631" i="5"/>
  <c r="H631" i="5"/>
  <c r="I631" i="5"/>
  <c r="J631" i="5"/>
  <c r="L631" i="5"/>
  <c r="M631" i="5"/>
  <c r="B377" i="5"/>
  <c r="C377" i="5"/>
  <c r="D377" i="5"/>
  <c r="E377" i="5"/>
  <c r="G377" i="5"/>
  <c r="H377" i="5"/>
  <c r="I377" i="5"/>
  <c r="J377" i="5"/>
  <c r="L377" i="5"/>
  <c r="M377" i="5"/>
  <c r="B790" i="5"/>
  <c r="C790" i="5"/>
  <c r="D790" i="5"/>
  <c r="E790" i="5"/>
  <c r="G790" i="5"/>
  <c r="H790" i="5"/>
  <c r="I790" i="5"/>
  <c r="J790" i="5"/>
  <c r="L790" i="5"/>
  <c r="M790" i="5"/>
  <c r="B1074" i="5"/>
  <c r="C1074" i="5"/>
  <c r="D1074" i="5"/>
  <c r="E1074" i="5"/>
  <c r="G1074" i="5"/>
  <c r="H1074" i="5"/>
  <c r="I1074" i="5"/>
  <c r="J1074" i="5"/>
  <c r="L1074" i="5"/>
  <c r="M1074" i="5"/>
  <c r="B895" i="5"/>
  <c r="C895" i="5"/>
  <c r="D895" i="5"/>
  <c r="E895" i="5"/>
  <c r="G895" i="5"/>
  <c r="H895" i="5"/>
  <c r="I895" i="5"/>
  <c r="J895" i="5"/>
  <c r="L895" i="5"/>
  <c r="M895" i="5"/>
  <c r="B319" i="5"/>
  <c r="C319" i="5"/>
  <c r="D319" i="5"/>
  <c r="E319" i="5"/>
  <c r="G319" i="5"/>
  <c r="H319" i="5"/>
  <c r="I319" i="5"/>
  <c r="J319" i="5"/>
  <c r="L319" i="5"/>
  <c r="M319" i="5"/>
  <c r="B1170" i="5"/>
  <c r="C1170" i="5"/>
  <c r="D1170" i="5"/>
  <c r="E1170" i="5"/>
  <c r="G1170" i="5"/>
  <c r="H1170" i="5"/>
  <c r="I1170" i="5"/>
  <c r="J1170" i="5"/>
  <c r="L1170" i="5"/>
  <c r="M1170" i="5"/>
  <c r="B111" i="5"/>
  <c r="C111" i="5"/>
  <c r="D111" i="5"/>
  <c r="E111" i="5"/>
  <c r="G111" i="5"/>
  <c r="H111" i="5"/>
  <c r="I111" i="5"/>
  <c r="J111" i="5"/>
  <c r="L111" i="5"/>
  <c r="M111" i="5"/>
  <c r="B496" i="5"/>
  <c r="C496" i="5"/>
  <c r="D496" i="5"/>
  <c r="E496" i="5"/>
  <c r="G496" i="5"/>
  <c r="H496" i="5"/>
  <c r="I496" i="5"/>
  <c r="J496" i="5"/>
  <c r="L496" i="5"/>
  <c r="M496" i="5"/>
  <c r="B148" i="5"/>
  <c r="C148" i="5"/>
  <c r="D148" i="5"/>
  <c r="E148" i="5"/>
  <c r="G148" i="5"/>
  <c r="H148" i="5"/>
  <c r="I148" i="5"/>
  <c r="J148" i="5"/>
  <c r="L148" i="5"/>
  <c r="M148" i="5"/>
  <c r="B181" i="5"/>
  <c r="C181" i="5"/>
  <c r="D181" i="5"/>
  <c r="E181" i="5"/>
  <c r="G181" i="5"/>
  <c r="H181" i="5"/>
  <c r="I181" i="5"/>
  <c r="J181" i="5"/>
  <c r="L181" i="5"/>
  <c r="M181" i="5"/>
  <c r="B547" i="5"/>
  <c r="C547" i="5"/>
  <c r="D547" i="5"/>
  <c r="E547" i="5"/>
  <c r="G547" i="5"/>
  <c r="H547" i="5"/>
  <c r="I547" i="5"/>
  <c r="J547" i="5"/>
  <c r="L547" i="5"/>
  <c r="M547" i="5"/>
  <c r="B92" i="5"/>
  <c r="C92" i="5"/>
  <c r="D92" i="5"/>
  <c r="E92" i="5"/>
  <c r="G92" i="5"/>
  <c r="H92" i="5"/>
  <c r="I92" i="5"/>
  <c r="J92" i="5"/>
  <c r="L92" i="5"/>
  <c r="M92" i="5"/>
  <c r="B571" i="5"/>
  <c r="C571" i="5"/>
  <c r="D571" i="5"/>
  <c r="E571" i="5"/>
  <c r="G571" i="5"/>
  <c r="H571" i="5"/>
  <c r="I571" i="5"/>
  <c r="J571" i="5"/>
  <c r="L571" i="5"/>
  <c r="M571" i="5"/>
  <c r="B676" i="5"/>
  <c r="C676" i="5"/>
  <c r="D676" i="5"/>
  <c r="E676" i="5"/>
  <c r="G676" i="5"/>
  <c r="H676" i="5"/>
  <c r="I676" i="5"/>
  <c r="J676" i="5"/>
  <c r="L676" i="5"/>
  <c r="M676" i="5"/>
  <c r="B765" i="5"/>
  <c r="C765" i="5"/>
  <c r="D765" i="5"/>
  <c r="E765" i="5"/>
  <c r="G765" i="5"/>
  <c r="H765" i="5"/>
  <c r="I765" i="5"/>
  <c r="J765" i="5"/>
  <c r="L765" i="5"/>
  <c r="M765" i="5"/>
  <c r="B1214" i="5"/>
  <c r="C1214" i="5"/>
  <c r="D1214" i="5"/>
  <c r="E1214" i="5"/>
  <c r="G1214" i="5"/>
  <c r="H1214" i="5"/>
  <c r="I1214" i="5"/>
  <c r="J1214" i="5"/>
  <c r="L1214" i="5"/>
  <c r="M1214" i="5"/>
  <c r="B405" i="5"/>
  <c r="C405" i="5"/>
  <c r="D405" i="5"/>
  <c r="E405" i="5"/>
  <c r="G405" i="5"/>
  <c r="H405" i="5"/>
  <c r="I405" i="5"/>
  <c r="J405" i="5"/>
  <c r="L405" i="5"/>
  <c r="M405" i="5"/>
  <c r="B1249" i="5"/>
  <c r="C1249" i="5"/>
  <c r="D1249" i="5"/>
  <c r="E1249" i="5"/>
  <c r="G1249" i="5"/>
  <c r="H1249" i="5"/>
  <c r="I1249" i="5"/>
  <c r="J1249" i="5"/>
  <c r="L1249" i="5"/>
  <c r="M1249" i="5"/>
  <c r="B1224" i="5"/>
  <c r="C1224" i="5"/>
  <c r="D1224" i="5"/>
  <c r="E1224" i="5"/>
  <c r="G1224" i="5"/>
  <c r="H1224" i="5"/>
  <c r="I1224" i="5"/>
  <c r="J1224" i="5"/>
  <c r="L1224" i="5"/>
  <c r="M1224" i="5"/>
  <c r="B1027" i="5"/>
  <c r="C1027" i="5"/>
  <c r="D1027" i="5"/>
  <c r="E1027" i="5"/>
  <c r="G1027" i="5"/>
  <c r="H1027" i="5"/>
  <c r="I1027" i="5"/>
  <c r="J1027" i="5"/>
  <c r="L1027" i="5"/>
  <c r="M1027" i="5"/>
  <c r="B1252" i="5"/>
  <c r="C1252" i="5"/>
  <c r="D1252" i="5"/>
  <c r="E1252" i="5"/>
  <c r="G1252" i="5"/>
  <c r="H1252" i="5"/>
  <c r="I1252" i="5"/>
  <c r="J1252" i="5"/>
  <c r="L1252" i="5"/>
  <c r="M1252" i="5"/>
  <c r="B1263" i="5"/>
  <c r="C1263" i="5"/>
  <c r="D1263" i="5"/>
  <c r="E1263" i="5"/>
  <c r="G1263" i="5"/>
  <c r="H1263" i="5"/>
  <c r="I1263" i="5"/>
  <c r="J1263" i="5"/>
  <c r="L1263" i="5"/>
  <c r="M1263" i="5"/>
  <c r="B702" i="5"/>
  <c r="C702" i="5"/>
  <c r="D702" i="5"/>
  <c r="E702" i="5"/>
  <c r="G702" i="5"/>
  <c r="H702" i="5"/>
  <c r="I702" i="5"/>
  <c r="J702" i="5"/>
  <c r="L702" i="5"/>
  <c r="M702" i="5"/>
  <c r="B84" i="5"/>
  <c r="C84" i="5"/>
  <c r="D84" i="5"/>
  <c r="E84" i="5"/>
  <c r="G84" i="5"/>
  <c r="H84" i="5"/>
  <c r="I84" i="5"/>
  <c r="J84" i="5"/>
  <c r="L84" i="5"/>
  <c r="M84" i="5"/>
  <c r="B1324" i="5"/>
  <c r="C1324" i="5"/>
  <c r="D1324" i="5"/>
  <c r="E1324" i="5"/>
  <c r="G1324" i="5"/>
  <c r="H1324" i="5"/>
  <c r="I1324" i="5"/>
  <c r="J1324" i="5"/>
  <c r="L1324" i="5"/>
  <c r="M1324" i="5"/>
  <c r="B971" i="5"/>
  <c r="C971" i="5"/>
  <c r="D971" i="5"/>
  <c r="E971" i="5"/>
  <c r="G971" i="5"/>
  <c r="H971" i="5"/>
  <c r="I971" i="5"/>
  <c r="J971" i="5"/>
  <c r="L971" i="5"/>
  <c r="M971" i="5"/>
  <c r="B178" i="5"/>
  <c r="C178" i="5"/>
  <c r="D178" i="5"/>
  <c r="E178" i="5"/>
  <c r="G178" i="5"/>
  <c r="H178" i="5"/>
  <c r="I178" i="5"/>
  <c r="J178" i="5"/>
  <c r="L178" i="5"/>
  <c r="M178" i="5"/>
  <c r="B507" i="5"/>
  <c r="C507" i="5"/>
  <c r="D507" i="5"/>
  <c r="E507" i="5"/>
  <c r="G507" i="5"/>
  <c r="H507" i="5"/>
  <c r="I507" i="5"/>
  <c r="J507" i="5"/>
  <c r="L507" i="5"/>
  <c r="M507" i="5"/>
  <c r="B791" i="5"/>
  <c r="C791" i="5"/>
  <c r="D791" i="5"/>
  <c r="E791" i="5"/>
  <c r="G791" i="5"/>
  <c r="H791" i="5"/>
  <c r="I791" i="5"/>
  <c r="J791" i="5"/>
  <c r="L791" i="5"/>
  <c r="M791" i="5"/>
  <c r="B915" i="5"/>
  <c r="C915" i="5"/>
  <c r="D915" i="5"/>
  <c r="E915" i="5"/>
  <c r="G915" i="5"/>
  <c r="H915" i="5"/>
  <c r="I915" i="5"/>
  <c r="J915" i="5"/>
  <c r="L915" i="5"/>
  <c r="M915" i="5"/>
  <c r="B254" i="5"/>
  <c r="C254" i="5"/>
  <c r="D254" i="5"/>
  <c r="E254" i="5"/>
  <c r="G254" i="5"/>
  <c r="H254" i="5"/>
  <c r="I254" i="5"/>
  <c r="J254" i="5"/>
  <c r="L254" i="5"/>
  <c r="M254" i="5"/>
  <c r="B56" i="5"/>
  <c r="C56" i="5"/>
  <c r="D56" i="5"/>
  <c r="E56" i="5"/>
  <c r="G56" i="5"/>
  <c r="H56" i="5"/>
  <c r="I56" i="5"/>
  <c r="J56" i="5"/>
  <c r="L56" i="5"/>
  <c r="M56" i="5"/>
  <c r="B1337" i="5"/>
  <c r="C1337" i="5"/>
  <c r="D1337" i="5"/>
  <c r="E1337" i="5"/>
  <c r="G1337" i="5"/>
  <c r="H1337" i="5"/>
  <c r="I1337" i="5"/>
  <c r="J1337" i="5"/>
  <c r="L1337" i="5"/>
  <c r="M1337" i="5"/>
  <c r="B511" i="5"/>
  <c r="C511" i="5"/>
  <c r="D511" i="5"/>
  <c r="E511" i="5"/>
  <c r="G511" i="5"/>
  <c r="H511" i="5"/>
  <c r="I511" i="5"/>
  <c r="J511" i="5"/>
  <c r="L511" i="5"/>
  <c r="M511" i="5"/>
  <c r="B1128" i="5"/>
  <c r="C1128" i="5"/>
  <c r="D1128" i="5"/>
  <c r="E1128" i="5"/>
  <c r="G1128" i="5"/>
  <c r="H1128" i="5"/>
  <c r="I1128" i="5"/>
  <c r="J1128" i="5"/>
  <c r="L1128" i="5"/>
  <c r="M1128" i="5"/>
  <c r="B636" i="5"/>
  <c r="C636" i="5"/>
  <c r="D636" i="5"/>
  <c r="E636" i="5"/>
  <c r="G636" i="5"/>
  <c r="H636" i="5"/>
  <c r="I636" i="5"/>
  <c r="J636" i="5"/>
  <c r="L636" i="5"/>
  <c r="M636" i="5"/>
  <c r="B1186" i="5"/>
  <c r="C1186" i="5"/>
  <c r="D1186" i="5"/>
  <c r="E1186" i="5"/>
  <c r="G1186" i="5"/>
  <c r="H1186" i="5"/>
  <c r="I1186" i="5"/>
  <c r="J1186" i="5"/>
  <c r="L1186" i="5"/>
  <c r="M1186" i="5"/>
  <c r="B409" i="5"/>
  <c r="C409" i="5"/>
  <c r="D409" i="5"/>
  <c r="E409" i="5"/>
  <c r="G409" i="5"/>
  <c r="H409" i="5"/>
  <c r="I409" i="5"/>
  <c r="J409" i="5"/>
  <c r="L409" i="5"/>
  <c r="M409" i="5"/>
  <c r="B483" i="5"/>
  <c r="C483" i="5"/>
  <c r="D483" i="5"/>
  <c r="E483" i="5"/>
  <c r="G483" i="5"/>
  <c r="H483" i="5"/>
  <c r="I483" i="5"/>
  <c r="J483" i="5"/>
  <c r="L483" i="5"/>
  <c r="M483" i="5"/>
  <c r="B1026" i="5"/>
  <c r="C1026" i="5"/>
  <c r="D1026" i="5"/>
  <c r="E1026" i="5"/>
  <c r="G1026" i="5"/>
  <c r="H1026" i="5"/>
  <c r="I1026" i="5"/>
  <c r="J1026" i="5"/>
  <c r="L1026" i="5"/>
  <c r="M1026" i="5"/>
  <c r="B931" i="5"/>
  <c r="C931" i="5"/>
  <c r="D931" i="5"/>
  <c r="E931" i="5"/>
  <c r="G931" i="5"/>
  <c r="H931" i="5"/>
  <c r="I931" i="5"/>
  <c r="J931" i="5"/>
  <c r="L931" i="5"/>
  <c r="M931" i="5"/>
  <c r="B1157" i="5"/>
  <c r="C1157" i="5"/>
  <c r="D1157" i="5"/>
  <c r="E1157" i="5"/>
  <c r="G1157" i="5"/>
  <c r="H1157" i="5"/>
  <c r="I1157" i="5"/>
  <c r="J1157" i="5"/>
  <c r="L1157" i="5"/>
  <c r="M1157" i="5"/>
  <c r="B318" i="5"/>
  <c r="C318" i="5"/>
  <c r="D318" i="5"/>
  <c r="E318" i="5"/>
  <c r="G318" i="5"/>
  <c r="H318" i="5"/>
  <c r="I318" i="5"/>
  <c r="J318" i="5"/>
  <c r="L318" i="5"/>
  <c r="M318" i="5"/>
  <c r="B1341" i="5"/>
  <c r="C1341" i="5"/>
  <c r="D1341" i="5"/>
  <c r="E1341" i="5"/>
  <c r="G1341" i="5"/>
  <c r="H1341" i="5"/>
  <c r="I1341" i="5"/>
  <c r="J1341" i="5"/>
  <c r="L1341" i="5"/>
  <c r="M1341" i="5"/>
  <c r="B269" i="5"/>
  <c r="C269" i="5"/>
  <c r="D269" i="5"/>
  <c r="E269" i="5"/>
  <c r="G269" i="5"/>
  <c r="H269" i="5"/>
  <c r="I269" i="5"/>
  <c r="J269" i="5"/>
  <c r="L269" i="5"/>
  <c r="M269" i="5"/>
  <c r="B348" i="5"/>
  <c r="C348" i="5"/>
  <c r="D348" i="5"/>
  <c r="E348" i="5"/>
  <c r="G348" i="5"/>
  <c r="H348" i="5"/>
  <c r="I348" i="5"/>
  <c r="J348" i="5"/>
  <c r="L348" i="5"/>
  <c r="M348" i="5"/>
  <c r="B1108" i="5"/>
  <c r="C1108" i="5"/>
  <c r="D1108" i="5"/>
  <c r="E1108" i="5"/>
  <c r="G1108" i="5"/>
  <c r="H1108" i="5"/>
  <c r="I1108" i="5"/>
  <c r="J1108" i="5"/>
  <c r="L1108" i="5"/>
  <c r="M1108" i="5"/>
  <c r="B695" i="5"/>
  <c r="C695" i="5"/>
  <c r="D695" i="5"/>
  <c r="E695" i="5"/>
  <c r="G695" i="5"/>
  <c r="H695" i="5"/>
  <c r="I695" i="5"/>
  <c r="J695" i="5"/>
  <c r="L695" i="5"/>
  <c r="M695" i="5"/>
  <c r="B1181" i="5"/>
  <c r="C1181" i="5"/>
  <c r="D1181" i="5"/>
  <c r="E1181" i="5"/>
  <c r="G1181" i="5"/>
  <c r="H1181" i="5"/>
  <c r="I1181" i="5"/>
  <c r="J1181" i="5"/>
  <c r="L1181" i="5"/>
  <c r="M1181" i="5"/>
  <c r="B1262" i="5"/>
  <c r="C1262" i="5"/>
  <c r="D1262" i="5"/>
  <c r="E1262" i="5"/>
  <c r="G1262" i="5"/>
  <c r="H1262" i="5"/>
  <c r="I1262" i="5"/>
  <c r="J1262" i="5"/>
  <c r="L1262" i="5"/>
  <c r="M1262" i="5"/>
  <c r="B670" i="5"/>
  <c r="C670" i="5"/>
  <c r="D670" i="5"/>
  <c r="E670" i="5"/>
  <c r="G670" i="5"/>
  <c r="H670" i="5"/>
  <c r="I670" i="5"/>
  <c r="J670" i="5"/>
  <c r="L670" i="5"/>
  <c r="M670" i="5"/>
  <c r="B878" i="5"/>
  <c r="C878" i="5"/>
  <c r="D878" i="5"/>
  <c r="E878" i="5"/>
  <c r="G878" i="5"/>
  <c r="H878" i="5"/>
  <c r="I878" i="5"/>
  <c r="J878" i="5"/>
  <c r="L878" i="5"/>
  <c r="M878" i="5"/>
  <c r="B761" i="5"/>
  <c r="C761" i="5"/>
  <c r="D761" i="5"/>
  <c r="E761" i="5"/>
  <c r="G761" i="5"/>
  <c r="H761" i="5"/>
  <c r="I761" i="5"/>
  <c r="J761" i="5"/>
  <c r="L761" i="5"/>
  <c r="M761" i="5"/>
  <c r="B301" i="5"/>
  <c r="C301" i="5"/>
  <c r="D301" i="5"/>
  <c r="E301" i="5"/>
  <c r="G301" i="5"/>
  <c r="H301" i="5"/>
  <c r="I301" i="5"/>
  <c r="J301" i="5"/>
  <c r="L301" i="5"/>
  <c r="M301" i="5"/>
  <c r="B847" i="5"/>
  <c r="C847" i="5"/>
  <c r="D847" i="5"/>
  <c r="E847" i="5"/>
  <c r="G847" i="5"/>
  <c r="H847" i="5"/>
  <c r="I847" i="5"/>
  <c r="J847" i="5"/>
  <c r="L847" i="5"/>
  <c r="M847" i="5"/>
  <c r="B151" i="5"/>
  <c r="C151" i="5"/>
  <c r="D151" i="5"/>
  <c r="E151" i="5"/>
  <c r="G151" i="5"/>
  <c r="H151" i="5"/>
  <c r="I151" i="5"/>
  <c r="J151" i="5"/>
  <c r="L151" i="5"/>
  <c r="M151" i="5"/>
  <c r="B1065" i="5"/>
  <c r="C1065" i="5"/>
  <c r="D1065" i="5"/>
  <c r="E1065" i="5"/>
  <c r="G1065" i="5"/>
  <c r="H1065" i="5"/>
  <c r="I1065" i="5"/>
  <c r="J1065" i="5"/>
  <c r="L1065" i="5"/>
  <c r="M1065" i="5"/>
  <c r="B1011" i="5"/>
  <c r="C1011" i="5"/>
  <c r="D1011" i="5"/>
  <c r="E1011" i="5"/>
  <c r="G1011" i="5"/>
  <c r="H1011" i="5"/>
  <c r="I1011" i="5"/>
  <c r="J1011" i="5"/>
  <c r="L1011" i="5"/>
  <c r="M1011" i="5"/>
  <c r="B744" i="5"/>
  <c r="C744" i="5"/>
  <c r="D744" i="5"/>
  <c r="E744" i="5"/>
  <c r="G744" i="5"/>
  <c r="H744" i="5"/>
  <c r="I744" i="5"/>
  <c r="J744" i="5"/>
  <c r="L744" i="5"/>
  <c r="M744" i="5"/>
  <c r="B192" i="5"/>
  <c r="C192" i="5"/>
  <c r="D192" i="5"/>
  <c r="E192" i="5"/>
  <c r="G192" i="5"/>
  <c r="H192" i="5"/>
  <c r="I192" i="5"/>
  <c r="J192" i="5"/>
  <c r="L192" i="5"/>
  <c r="M192" i="5"/>
  <c r="B120" i="5"/>
  <c r="C120" i="5"/>
  <c r="D120" i="5"/>
  <c r="E120" i="5"/>
  <c r="G120" i="5"/>
  <c r="H120" i="5"/>
  <c r="I120" i="5"/>
  <c r="J120" i="5"/>
  <c r="L120" i="5"/>
  <c r="M120" i="5"/>
  <c r="B476" i="5"/>
  <c r="C476" i="5"/>
  <c r="D476" i="5"/>
  <c r="E476" i="5"/>
  <c r="G476" i="5"/>
  <c r="H476" i="5"/>
  <c r="I476" i="5"/>
  <c r="J476" i="5"/>
  <c r="L476" i="5"/>
  <c r="M476" i="5"/>
  <c r="B887" i="5"/>
  <c r="C887" i="5"/>
  <c r="D887" i="5"/>
  <c r="E887" i="5"/>
  <c r="G887" i="5"/>
  <c r="H887" i="5"/>
  <c r="I887" i="5"/>
  <c r="J887" i="5"/>
  <c r="L887" i="5"/>
  <c r="M887" i="5"/>
  <c r="B456" i="5"/>
  <c r="C456" i="5"/>
  <c r="D456" i="5"/>
  <c r="E456" i="5"/>
  <c r="G456" i="5"/>
  <c r="H456" i="5"/>
  <c r="I456" i="5"/>
  <c r="J456" i="5"/>
  <c r="L456" i="5"/>
  <c r="M456" i="5"/>
  <c r="B64" i="5"/>
  <c r="C64" i="5"/>
  <c r="D64" i="5"/>
  <c r="E64" i="5"/>
  <c r="G64" i="5"/>
  <c r="H64" i="5"/>
  <c r="I64" i="5"/>
  <c r="J64" i="5"/>
  <c r="L64" i="5"/>
  <c r="M64" i="5"/>
  <c r="B1247" i="5"/>
  <c r="C1247" i="5"/>
  <c r="D1247" i="5"/>
  <c r="E1247" i="5"/>
  <c r="G1247" i="5"/>
  <c r="H1247" i="5"/>
  <c r="I1247" i="5"/>
  <c r="J1247" i="5"/>
  <c r="L1247" i="5"/>
  <c r="M1247" i="5"/>
  <c r="B1107" i="5"/>
  <c r="C1107" i="5"/>
  <c r="D1107" i="5"/>
  <c r="E1107" i="5"/>
  <c r="G1107" i="5"/>
  <c r="H1107" i="5"/>
  <c r="I1107" i="5"/>
  <c r="J1107" i="5"/>
  <c r="L1107" i="5"/>
  <c r="M1107" i="5"/>
  <c r="B696" i="5"/>
  <c r="C696" i="5"/>
  <c r="D696" i="5"/>
  <c r="E696" i="5"/>
  <c r="G696" i="5"/>
  <c r="H696" i="5"/>
  <c r="I696" i="5"/>
  <c r="J696" i="5"/>
  <c r="L696" i="5"/>
  <c r="M696" i="5"/>
  <c r="B712" i="5"/>
  <c r="C712" i="5"/>
  <c r="D712" i="5"/>
  <c r="E712" i="5"/>
  <c r="G712" i="5"/>
  <c r="H712" i="5"/>
  <c r="I712" i="5"/>
  <c r="J712" i="5"/>
  <c r="L712" i="5"/>
  <c r="M712" i="5"/>
  <c r="B653" i="5"/>
  <c r="C653" i="5"/>
  <c r="D653" i="5"/>
  <c r="E653" i="5"/>
  <c r="G653" i="5"/>
  <c r="H653" i="5"/>
  <c r="I653" i="5"/>
  <c r="J653" i="5"/>
  <c r="L653" i="5"/>
  <c r="M653" i="5"/>
  <c r="B920" i="5"/>
  <c r="C920" i="5"/>
  <c r="D920" i="5"/>
  <c r="E920" i="5"/>
  <c r="G920" i="5"/>
  <c r="H920" i="5"/>
  <c r="I920" i="5"/>
  <c r="J920" i="5"/>
  <c r="L920" i="5"/>
  <c r="M920" i="5"/>
  <c r="B292" i="5"/>
  <c r="C292" i="5"/>
  <c r="D292" i="5"/>
  <c r="E292" i="5"/>
  <c r="G292" i="5"/>
  <c r="H292" i="5"/>
  <c r="I292" i="5"/>
  <c r="J292" i="5"/>
  <c r="L292" i="5"/>
  <c r="M292" i="5"/>
  <c r="B1276" i="5"/>
  <c r="C1276" i="5"/>
  <c r="D1276" i="5"/>
  <c r="E1276" i="5"/>
  <c r="G1276" i="5"/>
  <c r="H1276" i="5"/>
  <c r="I1276" i="5"/>
  <c r="J1276" i="5"/>
  <c r="L1276" i="5"/>
  <c r="M1276" i="5"/>
  <c r="B885" i="5"/>
  <c r="C885" i="5"/>
  <c r="D885" i="5"/>
  <c r="E885" i="5"/>
  <c r="G885" i="5"/>
  <c r="H885" i="5"/>
  <c r="I885" i="5"/>
  <c r="J885" i="5"/>
  <c r="L885" i="5"/>
  <c r="M885" i="5"/>
  <c r="B271" i="5"/>
  <c r="C271" i="5"/>
  <c r="D271" i="5"/>
  <c r="E271" i="5"/>
  <c r="G271" i="5"/>
  <c r="H271" i="5"/>
  <c r="I271" i="5"/>
  <c r="J271" i="5"/>
  <c r="L271" i="5"/>
  <c r="M271" i="5"/>
  <c r="B1313" i="5"/>
  <c r="C1313" i="5"/>
  <c r="D1313" i="5"/>
  <c r="E1313" i="5"/>
  <c r="G1313" i="5"/>
  <c r="H1313" i="5"/>
  <c r="I1313" i="5"/>
  <c r="J1313" i="5"/>
  <c r="L1313" i="5"/>
  <c r="M1313" i="5"/>
  <c r="B75" i="5"/>
  <c r="C75" i="5"/>
  <c r="D75" i="5"/>
  <c r="E75" i="5"/>
  <c r="G75" i="5"/>
  <c r="H75" i="5"/>
  <c r="I75" i="5"/>
  <c r="J75" i="5"/>
  <c r="L75" i="5"/>
  <c r="M75" i="5"/>
  <c r="B352" i="5"/>
  <c r="C352" i="5"/>
  <c r="D352" i="5"/>
  <c r="E352" i="5"/>
  <c r="G352" i="5"/>
  <c r="H352" i="5"/>
  <c r="I352" i="5"/>
  <c r="J352" i="5"/>
  <c r="L352" i="5"/>
  <c r="M352" i="5"/>
  <c r="B463" i="5"/>
  <c r="C463" i="5"/>
  <c r="D463" i="5"/>
  <c r="E463" i="5"/>
  <c r="G463" i="5"/>
  <c r="H463" i="5"/>
  <c r="I463" i="5"/>
  <c r="J463" i="5"/>
  <c r="L463" i="5"/>
  <c r="M463" i="5"/>
  <c r="B912" i="5"/>
  <c r="C912" i="5"/>
  <c r="D912" i="5"/>
  <c r="E912" i="5"/>
  <c r="G912" i="5"/>
  <c r="H912" i="5"/>
  <c r="I912" i="5"/>
  <c r="J912" i="5"/>
  <c r="L912" i="5"/>
  <c r="M912" i="5"/>
  <c r="B46" i="5"/>
  <c r="C46" i="5"/>
  <c r="D46" i="5"/>
  <c r="E46" i="5"/>
  <c r="G46" i="5"/>
  <c r="H46" i="5"/>
  <c r="I46" i="5"/>
  <c r="J46" i="5"/>
  <c r="L46" i="5"/>
  <c r="M46" i="5"/>
  <c r="B917" i="5"/>
  <c r="C917" i="5"/>
  <c r="D917" i="5"/>
  <c r="E917" i="5"/>
  <c r="G917" i="5"/>
  <c r="H917" i="5"/>
  <c r="I917" i="5"/>
  <c r="J917" i="5"/>
  <c r="L917" i="5"/>
  <c r="M917" i="5"/>
  <c r="B27" i="5"/>
  <c r="C27" i="5"/>
  <c r="D27" i="5"/>
  <c r="E27" i="5"/>
  <c r="G27" i="5"/>
  <c r="H27" i="5"/>
  <c r="I27" i="5"/>
  <c r="J27" i="5"/>
  <c r="L27" i="5"/>
  <c r="M27" i="5"/>
  <c r="B186" i="5"/>
  <c r="C186" i="5"/>
  <c r="D186" i="5"/>
  <c r="E186" i="5"/>
  <c r="G186" i="5"/>
  <c r="H186" i="5"/>
  <c r="I186" i="5"/>
  <c r="J186" i="5"/>
  <c r="L186" i="5"/>
  <c r="M186" i="5"/>
  <c r="B942" i="5"/>
  <c r="C942" i="5"/>
  <c r="D942" i="5"/>
  <c r="E942" i="5"/>
  <c r="G942" i="5"/>
  <c r="H942" i="5"/>
  <c r="I942" i="5"/>
  <c r="J942" i="5"/>
  <c r="L942" i="5"/>
  <c r="M942" i="5"/>
  <c r="B934" i="5"/>
  <c r="C934" i="5"/>
  <c r="D934" i="5"/>
  <c r="E934" i="5"/>
  <c r="G934" i="5"/>
  <c r="H934" i="5"/>
  <c r="I934" i="5"/>
  <c r="J934" i="5"/>
  <c r="L934" i="5"/>
  <c r="M934" i="5"/>
  <c r="B415" i="5"/>
  <c r="C415" i="5"/>
  <c r="D415" i="5"/>
  <c r="E415" i="5"/>
  <c r="G415" i="5"/>
  <c r="H415" i="5"/>
  <c r="I415" i="5"/>
  <c r="J415" i="5"/>
  <c r="L415" i="5"/>
  <c r="M415" i="5"/>
  <c r="B824" i="5"/>
  <c r="C824" i="5"/>
  <c r="D824" i="5"/>
  <c r="E824" i="5"/>
  <c r="G824" i="5"/>
  <c r="H824" i="5"/>
  <c r="I824" i="5"/>
  <c r="J824" i="5"/>
  <c r="L824" i="5"/>
  <c r="M824" i="5"/>
  <c r="B1015" i="5"/>
  <c r="C1015" i="5"/>
  <c r="D1015" i="5"/>
  <c r="E1015" i="5"/>
  <c r="G1015" i="5"/>
  <c r="H1015" i="5"/>
  <c r="I1015" i="5"/>
  <c r="J1015" i="5"/>
  <c r="L1015" i="5"/>
  <c r="M1015" i="5"/>
  <c r="B427" i="5"/>
  <c r="C427" i="5"/>
  <c r="D427" i="5"/>
  <c r="E427" i="5"/>
  <c r="G427" i="5"/>
  <c r="H427" i="5"/>
  <c r="I427" i="5"/>
  <c r="J427" i="5"/>
  <c r="L427" i="5"/>
  <c r="M427" i="5"/>
  <c r="B840" i="5"/>
  <c r="C840" i="5"/>
  <c r="D840" i="5"/>
  <c r="E840" i="5"/>
  <c r="G840" i="5"/>
  <c r="H840" i="5"/>
  <c r="I840" i="5"/>
  <c r="J840" i="5"/>
  <c r="L840" i="5"/>
  <c r="M840" i="5"/>
  <c r="B550" i="5"/>
  <c r="C550" i="5"/>
  <c r="D550" i="5"/>
  <c r="E550" i="5"/>
  <c r="G550" i="5"/>
  <c r="H550" i="5"/>
  <c r="I550" i="5"/>
  <c r="J550" i="5"/>
  <c r="L550" i="5"/>
  <c r="M550" i="5"/>
  <c r="B199" i="5"/>
  <c r="C199" i="5"/>
  <c r="D199" i="5"/>
  <c r="E199" i="5"/>
  <c r="G199" i="5"/>
  <c r="H199" i="5"/>
  <c r="I199" i="5"/>
  <c r="J199" i="5"/>
  <c r="L199" i="5"/>
  <c r="M199" i="5"/>
  <c r="B143" i="5"/>
  <c r="C143" i="5"/>
  <c r="D143" i="5"/>
  <c r="E143" i="5"/>
  <c r="G143" i="5"/>
  <c r="H143" i="5"/>
  <c r="I143" i="5"/>
  <c r="J143" i="5"/>
  <c r="L143" i="5"/>
  <c r="M143" i="5"/>
  <c r="B1233" i="5"/>
  <c r="C1233" i="5"/>
  <c r="D1233" i="5"/>
  <c r="E1233" i="5"/>
  <c r="G1233" i="5"/>
  <c r="H1233" i="5"/>
  <c r="I1233" i="5"/>
  <c r="J1233" i="5"/>
  <c r="L1233" i="5"/>
  <c r="M1233" i="5"/>
  <c r="B750" i="5"/>
  <c r="C750" i="5"/>
  <c r="D750" i="5"/>
  <c r="E750" i="5"/>
  <c r="G750" i="5"/>
  <c r="H750" i="5"/>
  <c r="I750" i="5"/>
  <c r="J750" i="5"/>
  <c r="L750" i="5"/>
  <c r="M750" i="5"/>
  <c r="B1164" i="5"/>
  <c r="C1164" i="5"/>
  <c r="D1164" i="5"/>
  <c r="E1164" i="5"/>
  <c r="G1164" i="5"/>
  <c r="H1164" i="5"/>
  <c r="I1164" i="5"/>
  <c r="J1164" i="5"/>
  <c r="L1164" i="5"/>
  <c r="M1164" i="5"/>
  <c r="B419" i="5"/>
  <c r="C419" i="5"/>
  <c r="D419" i="5"/>
  <c r="E419" i="5"/>
  <c r="G419" i="5"/>
  <c r="H419" i="5"/>
  <c r="I419" i="5"/>
  <c r="J419" i="5"/>
  <c r="L419" i="5"/>
  <c r="M419" i="5"/>
  <c r="B321" i="5"/>
  <c r="C321" i="5"/>
  <c r="D321" i="5"/>
  <c r="E321" i="5"/>
  <c r="G321" i="5"/>
  <c r="H321" i="5"/>
  <c r="I321" i="5"/>
  <c r="J321" i="5"/>
  <c r="L321" i="5"/>
  <c r="M321" i="5"/>
  <c r="B408" i="5"/>
  <c r="C408" i="5"/>
  <c r="D408" i="5"/>
  <c r="E408" i="5"/>
  <c r="G408" i="5"/>
  <c r="H408" i="5"/>
  <c r="I408" i="5"/>
  <c r="J408" i="5"/>
  <c r="L408" i="5"/>
  <c r="M408" i="5"/>
  <c r="B646" i="5"/>
  <c r="C646" i="5"/>
  <c r="D646" i="5"/>
  <c r="E646" i="5"/>
  <c r="G646" i="5"/>
  <c r="H646" i="5"/>
  <c r="I646" i="5"/>
  <c r="J646" i="5"/>
  <c r="L646" i="5"/>
  <c r="M646" i="5"/>
  <c r="B805" i="5"/>
  <c r="C805" i="5"/>
  <c r="D805" i="5"/>
  <c r="E805" i="5"/>
  <c r="G805" i="5"/>
  <c r="H805" i="5"/>
  <c r="I805" i="5"/>
  <c r="J805" i="5"/>
  <c r="L805" i="5"/>
  <c r="M805" i="5"/>
  <c r="B1200" i="5"/>
  <c r="C1200" i="5"/>
  <c r="D1200" i="5"/>
  <c r="E1200" i="5"/>
  <c r="G1200" i="5"/>
  <c r="H1200" i="5"/>
  <c r="I1200" i="5"/>
  <c r="J1200" i="5"/>
  <c r="L1200" i="5"/>
  <c r="M1200" i="5"/>
  <c r="B649" i="5"/>
  <c r="C649" i="5"/>
  <c r="D649" i="5"/>
  <c r="E649" i="5"/>
  <c r="G649" i="5"/>
  <c r="H649" i="5"/>
  <c r="I649" i="5"/>
  <c r="J649" i="5"/>
  <c r="L649" i="5"/>
  <c r="M649" i="5"/>
  <c r="B357" i="5"/>
  <c r="C357" i="5"/>
  <c r="D357" i="5"/>
  <c r="E357" i="5"/>
  <c r="G357" i="5"/>
  <c r="H357" i="5"/>
  <c r="I357" i="5"/>
  <c r="J357" i="5"/>
  <c r="L357" i="5"/>
  <c r="M357" i="5"/>
  <c r="B145" i="5"/>
  <c r="C145" i="5"/>
  <c r="D145" i="5"/>
  <c r="E145" i="5"/>
  <c r="G145" i="5"/>
  <c r="H145" i="5"/>
  <c r="I145" i="5"/>
  <c r="J145" i="5"/>
  <c r="L145" i="5"/>
  <c r="M145" i="5"/>
  <c r="B1302" i="5"/>
  <c r="C1302" i="5"/>
  <c r="D1302" i="5"/>
  <c r="E1302" i="5"/>
  <c r="G1302" i="5"/>
  <c r="H1302" i="5"/>
  <c r="I1302" i="5"/>
  <c r="J1302" i="5"/>
  <c r="L1302" i="5"/>
  <c r="M1302" i="5"/>
  <c r="B926" i="5"/>
  <c r="C926" i="5"/>
  <c r="D926" i="5"/>
  <c r="E926" i="5"/>
  <c r="G926" i="5"/>
  <c r="H926" i="5"/>
  <c r="I926" i="5"/>
  <c r="J926" i="5"/>
  <c r="L926" i="5"/>
  <c r="M926" i="5"/>
  <c r="B693" i="5"/>
  <c r="C693" i="5"/>
  <c r="D693" i="5"/>
  <c r="E693" i="5"/>
  <c r="G693" i="5"/>
  <c r="H693" i="5"/>
  <c r="I693" i="5"/>
  <c r="J693" i="5"/>
  <c r="L693" i="5"/>
  <c r="M693" i="5"/>
  <c r="B42" i="5"/>
  <c r="C42" i="5"/>
  <c r="D42" i="5"/>
  <c r="E42" i="5"/>
  <c r="G42" i="5"/>
  <c r="H42" i="5"/>
  <c r="I42" i="5"/>
  <c r="J42" i="5"/>
  <c r="L42" i="5"/>
  <c r="M42" i="5"/>
  <c r="B51" i="5"/>
  <c r="C51" i="5"/>
  <c r="D51" i="5"/>
  <c r="E51" i="5"/>
  <c r="G51" i="5"/>
  <c r="H51" i="5"/>
  <c r="I51" i="5"/>
  <c r="J51" i="5"/>
  <c r="L51" i="5"/>
  <c r="M51" i="5"/>
  <c r="B756" i="5"/>
  <c r="C756" i="5"/>
  <c r="D756" i="5"/>
  <c r="E756" i="5"/>
  <c r="G756" i="5"/>
  <c r="H756" i="5"/>
  <c r="I756" i="5"/>
  <c r="J756" i="5"/>
  <c r="L756" i="5"/>
  <c r="M756" i="5"/>
  <c r="B659" i="5"/>
  <c r="C659" i="5"/>
  <c r="D659" i="5"/>
  <c r="E659" i="5"/>
  <c r="G659" i="5"/>
  <c r="H659" i="5"/>
  <c r="I659" i="5"/>
  <c r="J659" i="5"/>
  <c r="L659" i="5"/>
  <c r="M659" i="5"/>
  <c r="B1088" i="5"/>
  <c r="C1088" i="5"/>
  <c r="D1088" i="5"/>
  <c r="E1088" i="5"/>
  <c r="G1088" i="5"/>
  <c r="H1088" i="5"/>
  <c r="I1088" i="5"/>
  <c r="J1088" i="5"/>
  <c r="L1088" i="5"/>
  <c r="M1088" i="5"/>
  <c r="B444" i="5"/>
  <c r="C444" i="5"/>
  <c r="D444" i="5"/>
  <c r="E444" i="5"/>
  <c r="G444" i="5"/>
  <c r="H444" i="5"/>
  <c r="I444" i="5"/>
  <c r="J444" i="5"/>
  <c r="L444" i="5"/>
  <c r="M444" i="5"/>
  <c r="B597" i="5"/>
  <c r="C597" i="5"/>
  <c r="D597" i="5"/>
  <c r="E597" i="5"/>
  <c r="G597" i="5"/>
  <c r="H597" i="5"/>
  <c r="I597" i="5"/>
  <c r="J597" i="5"/>
  <c r="L597" i="5"/>
  <c r="M597" i="5"/>
  <c r="B739" i="5"/>
  <c r="C739" i="5"/>
  <c r="D739" i="5"/>
  <c r="E739" i="5"/>
  <c r="G739" i="5"/>
  <c r="H739" i="5"/>
  <c r="I739" i="5"/>
  <c r="J739" i="5"/>
  <c r="L739" i="5"/>
  <c r="M739" i="5"/>
  <c r="B549" i="5"/>
  <c r="C549" i="5"/>
  <c r="D549" i="5"/>
  <c r="E549" i="5"/>
  <c r="G549" i="5"/>
  <c r="H549" i="5"/>
  <c r="I549" i="5"/>
  <c r="J549" i="5"/>
  <c r="L549" i="5"/>
  <c r="M549" i="5"/>
  <c r="B502" i="5"/>
  <c r="C502" i="5"/>
  <c r="D502" i="5"/>
  <c r="E502" i="5"/>
  <c r="G502" i="5"/>
  <c r="H502" i="5"/>
  <c r="I502" i="5"/>
  <c r="J502" i="5"/>
  <c r="L502" i="5"/>
  <c r="M502" i="5"/>
  <c r="B558" i="5"/>
  <c r="C558" i="5"/>
  <c r="D558" i="5"/>
  <c r="E558" i="5"/>
  <c r="G558" i="5"/>
  <c r="H558" i="5"/>
  <c r="I558" i="5"/>
  <c r="J558" i="5"/>
  <c r="L558" i="5"/>
  <c r="M558" i="5"/>
  <c r="B77" i="5"/>
  <c r="C77" i="5"/>
  <c r="D77" i="5"/>
  <c r="E77" i="5"/>
  <c r="G77" i="5"/>
  <c r="H77" i="5"/>
  <c r="I77" i="5"/>
  <c r="J77" i="5"/>
  <c r="L77" i="5"/>
  <c r="M77" i="5"/>
  <c r="B1079" i="5"/>
  <c r="C1079" i="5"/>
  <c r="D1079" i="5"/>
  <c r="E1079" i="5"/>
  <c r="G1079" i="5"/>
  <c r="H1079" i="5"/>
  <c r="I1079" i="5"/>
  <c r="J1079" i="5"/>
  <c r="L1079" i="5"/>
  <c r="M1079" i="5"/>
  <c r="B513" i="5"/>
  <c r="C513" i="5"/>
  <c r="D513" i="5"/>
  <c r="E513" i="5"/>
  <c r="G513" i="5"/>
  <c r="H513" i="5"/>
  <c r="I513" i="5"/>
  <c r="J513" i="5"/>
  <c r="L513" i="5"/>
  <c r="M513" i="5"/>
  <c r="B1121" i="5"/>
  <c r="C1121" i="5"/>
  <c r="D1121" i="5"/>
  <c r="E1121" i="5"/>
  <c r="G1121" i="5"/>
  <c r="H1121" i="5"/>
  <c r="I1121" i="5"/>
  <c r="J1121" i="5"/>
  <c r="L1121" i="5"/>
  <c r="M1121" i="5"/>
  <c r="B153" i="5"/>
  <c r="C153" i="5"/>
  <c r="D153" i="5"/>
  <c r="E153" i="5"/>
  <c r="G153" i="5"/>
  <c r="H153" i="5"/>
  <c r="I153" i="5"/>
  <c r="J153" i="5"/>
  <c r="L153" i="5"/>
  <c r="M153" i="5"/>
  <c r="B207" i="5"/>
  <c r="C207" i="5"/>
  <c r="D207" i="5"/>
  <c r="E207" i="5"/>
  <c r="G207" i="5"/>
  <c r="H207" i="5"/>
  <c r="I207" i="5"/>
  <c r="J207" i="5"/>
  <c r="L207" i="5"/>
  <c r="M207" i="5"/>
  <c r="B999" i="5"/>
  <c r="C999" i="5"/>
  <c r="D999" i="5"/>
  <c r="E999" i="5"/>
  <c r="G999" i="5"/>
  <c r="H999" i="5"/>
  <c r="I999" i="5"/>
  <c r="J999" i="5"/>
  <c r="L999" i="5"/>
  <c r="M999" i="5"/>
  <c r="B425" i="5"/>
  <c r="C425" i="5"/>
  <c r="D425" i="5"/>
  <c r="E425" i="5"/>
  <c r="G425" i="5"/>
  <c r="H425" i="5"/>
  <c r="I425" i="5"/>
  <c r="J425" i="5"/>
  <c r="L425" i="5"/>
  <c r="M425" i="5"/>
  <c r="B897" i="5"/>
  <c r="C897" i="5"/>
  <c r="D897" i="5"/>
  <c r="E897" i="5"/>
  <c r="G897" i="5"/>
  <c r="H897" i="5"/>
  <c r="I897" i="5"/>
  <c r="J897" i="5"/>
  <c r="L897" i="5"/>
  <c r="M897" i="5"/>
  <c r="B1001" i="5"/>
  <c r="C1001" i="5"/>
  <c r="D1001" i="5"/>
  <c r="E1001" i="5"/>
  <c r="G1001" i="5"/>
  <c r="H1001" i="5"/>
  <c r="I1001" i="5"/>
  <c r="J1001" i="5"/>
  <c r="L1001" i="5"/>
  <c r="M1001" i="5"/>
  <c r="B201" i="5"/>
  <c r="C201" i="5"/>
  <c r="D201" i="5"/>
  <c r="E201" i="5"/>
  <c r="G201" i="5"/>
  <c r="H201" i="5"/>
  <c r="I201" i="5"/>
  <c r="J201" i="5"/>
  <c r="L201" i="5"/>
  <c r="M201" i="5"/>
  <c r="B678" i="5"/>
  <c r="C678" i="5"/>
  <c r="D678" i="5"/>
  <c r="E678" i="5"/>
  <c r="G678" i="5"/>
  <c r="H678" i="5"/>
  <c r="I678" i="5"/>
  <c r="J678" i="5"/>
  <c r="L678" i="5"/>
  <c r="M678" i="5"/>
  <c r="B316" i="5"/>
  <c r="C316" i="5"/>
  <c r="D316" i="5"/>
  <c r="E316" i="5"/>
  <c r="G316" i="5"/>
  <c r="H316" i="5"/>
  <c r="I316" i="5"/>
  <c r="J316" i="5"/>
  <c r="L316" i="5"/>
  <c r="M316" i="5"/>
  <c r="B203" i="5"/>
  <c r="C203" i="5"/>
  <c r="D203" i="5"/>
  <c r="E203" i="5"/>
  <c r="G203" i="5"/>
  <c r="H203" i="5"/>
  <c r="I203" i="5"/>
  <c r="J203" i="5"/>
  <c r="L203" i="5"/>
  <c r="M203" i="5"/>
  <c r="B689" i="5"/>
  <c r="C689" i="5"/>
  <c r="D689" i="5"/>
  <c r="E689" i="5"/>
  <c r="G689" i="5"/>
  <c r="H689" i="5"/>
  <c r="I689" i="5"/>
  <c r="J689" i="5"/>
  <c r="L689" i="5"/>
  <c r="M689" i="5"/>
  <c r="B137" i="5"/>
  <c r="C137" i="5"/>
  <c r="D137" i="5"/>
  <c r="E137" i="5"/>
  <c r="G137" i="5"/>
  <c r="H137" i="5"/>
  <c r="I137" i="5"/>
  <c r="J137" i="5"/>
  <c r="L137" i="5"/>
  <c r="M137" i="5"/>
  <c r="B215" i="5"/>
  <c r="C215" i="5"/>
  <c r="D215" i="5"/>
  <c r="E215" i="5"/>
  <c r="G215" i="5"/>
  <c r="H215" i="5"/>
  <c r="I215" i="5"/>
  <c r="J215" i="5"/>
  <c r="L215" i="5"/>
  <c r="M215" i="5"/>
  <c r="B930" i="5"/>
  <c r="C930" i="5"/>
  <c r="D930" i="5"/>
  <c r="E930" i="5"/>
  <c r="G930" i="5"/>
  <c r="H930" i="5"/>
  <c r="I930" i="5"/>
  <c r="J930" i="5"/>
  <c r="L930" i="5"/>
  <c r="M930" i="5"/>
  <c r="B1102" i="5"/>
  <c r="C1102" i="5"/>
  <c r="D1102" i="5"/>
  <c r="E1102" i="5"/>
  <c r="G1102" i="5"/>
  <c r="H1102" i="5"/>
  <c r="I1102" i="5"/>
  <c r="J1102" i="5"/>
  <c r="L1102" i="5"/>
  <c r="M1102" i="5"/>
  <c r="B428" i="5"/>
  <c r="C428" i="5"/>
  <c r="D428" i="5"/>
  <c r="E428" i="5"/>
  <c r="G428" i="5"/>
  <c r="H428" i="5"/>
  <c r="I428" i="5"/>
  <c r="J428" i="5"/>
  <c r="L428" i="5"/>
  <c r="M428" i="5"/>
  <c r="B1112" i="5"/>
  <c r="C1112" i="5"/>
  <c r="D1112" i="5"/>
  <c r="E1112" i="5"/>
  <c r="G1112" i="5"/>
  <c r="H1112" i="5"/>
  <c r="I1112" i="5"/>
  <c r="J1112" i="5"/>
  <c r="L1112" i="5"/>
  <c r="M1112" i="5"/>
  <c r="B131" i="5"/>
  <c r="C131" i="5"/>
  <c r="D131" i="5"/>
  <c r="E131" i="5"/>
  <c r="G131" i="5"/>
  <c r="H131" i="5"/>
  <c r="I131" i="5"/>
  <c r="J131" i="5"/>
  <c r="L131" i="5"/>
  <c r="M131" i="5"/>
  <c r="B662" i="5"/>
  <c r="C662" i="5"/>
  <c r="D662" i="5"/>
  <c r="E662" i="5"/>
  <c r="G662" i="5"/>
  <c r="H662" i="5"/>
  <c r="I662" i="5"/>
  <c r="J662" i="5"/>
  <c r="L662" i="5"/>
  <c r="M662" i="5"/>
  <c r="B867" i="5"/>
  <c r="C867" i="5"/>
  <c r="D867" i="5"/>
  <c r="E867" i="5"/>
  <c r="G867" i="5"/>
  <c r="H867" i="5"/>
  <c r="I867" i="5"/>
  <c r="J867" i="5"/>
  <c r="L867" i="5"/>
  <c r="M867" i="5"/>
  <c r="B755" i="5"/>
  <c r="C755" i="5"/>
  <c r="D755" i="5"/>
  <c r="E755" i="5"/>
  <c r="G755" i="5"/>
  <c r="H755" i="5"/>
  <c r="I755" i="5"/>
  <c r="J755" i="5"/>
  <c r="L755" i="5"/>
  <c r="M755" i="5"/>
  <c r="B816" i="5"/>
  <c r="C816" i="5"/>
  <c r="D816" i="5"/>
  <c r="E816" i="5"/>
  <c r="G816" i="5"/>
  <c r="H816" i="5"/>
  <c r="I816" i="5"/>
  <c r="J816" i="5"/>
  <c r="L816" i="5"/>
  <c r="M816" i="5"/>
  <c r="B1140" i="5"/>
  <c r="C1140" i="5"/>
  <c r="D1140" i="5"/>
  <c r="E1140" i="5"/>
  <c r="G1140" i="5"/>
  <c r="H1140" i="5"/>
  <c r="I1140" i="5"/>
  <c r="J1140" i="5"/>
  <c r="L1140" i="5"/>
  <c r="M1140" i="5"/>
  <c r="B173" i="5"/>
  <c r="C173" i="5"/>
  <c r="D173" i="5"/>
  <c r="E173" i="5"/>
  <c r="G173" i="5"/>
  <c r="H173" i="5"/>
  <c r="I173" i="5"/>
  <c r="J173" i="5"/>
  <c r="L173" i="5"/>
  <c r="M173" i="5"/>
  <c r="B593" i="5"/>
  <c r="C593" i="5"/>
  <c r="D593" i="5"/>
  <c r="E593" i="5"/>
  <c r="G593" i="5"/>
  <c r="H593" i="5"/>
  <c r="I593" i="5"/>
  <c r="J593" i="5"/>
  <c r="L593" i="5"/>
  <c r="M593" i="5"/>
  <c r="B898" i="5"/>
  <c r="C898" i="5"/>
  <c r="D898" i="5"/>
  <c r="E898" i="5"/>
  <c r="G898" i="5"/>
  <c r="H898" i="5"/>
  <c r="I898" i="5"/>
  <c r="J898" i="5"/>
  <c r="L898" i="5"/>
  <c r="M898" i="5"/>
  <c r="B818" i="5"/>
  <c r="C818" i="5"/>
  <c r="D818" i="5"/>
  <c r="E818" i="5"/>
  <c r="G818" i="5"/>
  <c r="H818" i="5"/>
  <c r="I818" i="5"/>
  <c r="J818" i="5"/>
  <c r="L818" i="5"/>
  <c r="M818" i="5"/>
  <c r="B1110" i="5"/>
  <c r="C1110" i="5"/>
  <c r="D1110" i="5"/>
  <c r="E1110" i="5"/>
  <c r="G1110" i="5"/>
  <c r="H1110" i="5"/>
  <c r="I1110" i="5"/>
  <c r="J1110" i="5"/>
  <c r="L1110" i="5"/>
  <c r="M1110" i="5"/>
  <c r="B430" i="5"/>
  <c r="C430" i="5"/>
  <c r="D430" i="5"/>
  <c r="E430" i="5"/>
  <c r="G430" i="5"/>
  <c r="H430" i="5"/>
  <c r="I430" i="5"/>
  <c r="J430" i="5"/>
  <c r="L430" i="5"/>
  <c r="M430" i="5"/>
  <c r="B119" i="5"/>
  <c r="C119" i="5"/>
  <c r="D119" i="5"/>
  <c r="E119" i="5"/>
  <c r="G119" i="5"/>
  <c r="H119" i="5"/>
  <c r="I119" i="5"/>
  <c r="J119" i="5"/>
  <c r="L119" i="5"/>
  <c r="M119" i="5"/>
  <c r="B309" i="5"/>
  <c r="C309" i="5"/>
  <c r="D309" i="5"/>
  <c r="E309" i="5"/>
  <c r="G309" i="5"/>
  <c r="H309" i="5"/>
  <c r="I309" i="5"/>
  <c r="J309" i="5"/>
  <c r="L309" i="5"/>
  <c r="M309" i="5"/>
  <c r="B586" i="5"/>
  <c r="C586" i="5"/>
  <c r="D586" i="5"/>
  <c r="E586" i="5"/>
  <c r="G586" i="5"/>
  <c r="H586" i="5"/>
  <c r="I586" i="5"/>
  <c r="J586" i="5"/>
  <c r="L586" i="5"/>
  <c r="M586" i="5"/>
  <c r="B1280" i="5"/>
  <c r="C1280" i="5"/>
  <c r="D1280" i="5"/>
  <c r="E1280" i="5"/>
  <c r="G1280" i="5"/>
  <c r="H1280" i="5"/>
  <c r="I1280" i="5"/>
  <c r="J1280" i="5"/>
  <c r="L1280" i="5"/>
  <c r="M1280" i="5"/>
  <c r="B592" i="5"/>
  <c r="C592" i="5"/>
  <c r="D592" i="5"/>
  <c r="E592" i="5"/>
  <c r="G592" i="5"/>
  <c r="H592" i="5"/>
  <c r="I592" i="5"/>
  <c r="J592" i="5"/>
  <c r="L592" i="5"/>
  <c r="M592" i="5"/>
  <c r="B122" i="5"/>
  <c r="C122" i="5"/>
  <c r="D122" i="5"/>
  <c r="E122" i="5"/>
  <c r="G122" i="5"/>
  <c r="H122" i="5"/>
  <c r="I122" i="5"/>
  <c r="J122" i="5"/>
  <c r="L122" i="5"/>
  <c r="M122" i="5"/>
  <c r="B730" i="5"/>
  <c r="C730" i="5"/>
  <c r="D730" i="5"/>
  <c r="E730" i="5"/>
  <c r="G730" i="5"/>
  <c r="H730" i="5"/>
  <c r="I730" i="5"/>
  <c r="J730" i="5"/>
  <c r="L730" i="5"/>
  <c r="M730" i="5"/>
  <c r="B208" i="5"/>
  <c r="C208" i="5"/>
  <c r="D208" i="5"/>
  <c r="E208" i="5"/>
  <c r="G208" i="5"/>
  <c r="H208" i="5"/>
  <c r="I208" i="5"/>
  <c r="J208" i="5"/>
  <c r="L208" i="5"/>
  <c r="M208" i="5"/>
  <c r="B626" i="5"/>
  <c r="C626" i="5"/>
  <c r="D626" i="5"/>
  <c r="E626" i="5"/>
  <c r="G626" i="5"/>
  <c r="H626" i="5"/>
  <c r="I626" i="5"/>
  <c r="J626" i="5"/>
  <c r="L626" i="5"/>
  <c r="M626" i="5"/>
  <c r="B965" i="5"/>
  <c r="C965" i="5"/>
  <c r="D965" i="5"/>
  <c r="E965" i="5"/>
  <c r="G965" i="5"/>
  <c r="H965" i="5"/>
  <c r="I965" i="5"/>
  <c r="J965" i="5"/>
  <c r="L965" i="5"/>
  <c r="M965" i="5"/>
  <c r="B908" i="5"/>
  <c r="C908" i="5"/>
  <c r="D908" i="5"/>
  <c r="E908" i="5"/>
  <c r="G908" i="5"/>
  <c r="H908" i="5"/>
  <c r="I908" i="5"/>
  <c r="J908" i="5"/>
  <c r="L908" i="5"/>
  <c r="M908" i="5"/>
  <c r="B124" i="5"/>
  <c r="C124" i="5"/>
  <c r="D124" i="5"/>
  <c r="E124" i="5"/>
  <c r="G124" i="5"/>
  <c r="H124" i="5"/>
  <c r="I124" i="5"/>
  <c r="J124" i="5"/>
  <c r="L124" i="5"/>
  <c r="M124" i="5"/>
  <c r="B291" i="5"/>
  <c r="C291" i="5"/>
  <c r="D291" i="5"/>
  <c r="E291" i="5"/>
  <c r="G291" i="5"/>
  <c r="H291" i="5"/>
  <c r="I291" i="5"/>
  <c r="J291" i="5"/>
  <c r="L291" i="5"/>
  <c r="M291" i="5"/>
  <c r="B112" i="5"/>
  <c r="C112" i="5"/>
  <c r="D112" i="5"/>
  <c r="E112" i="5"/>
  <c r="G112" i="5"/>
  <c r="H112" i="5"/>
  <c r="I112" i="5"/>
  <c r="J112" i="5"/>
  <c r="L112" i="5"/>
  <c r="M112" i="5"/>
  <c r="B921" i="5"/>
  <c r="C921" i="5"/>
  <c r="D921" i="5"/>
  <c r="E921" i="5"/>
  <c r="G921" i="5"/>
  <c r="H921" i="5"/>
  <c r="I921" i="5"/>
  <c r="J921" i="5"/>
  <c r="L921" i="5"/>
  <c r="M921" i="5"/>
  <c r="B103" i="5"/>
  <c r="C103" i="5"/>
  <c r="D103" i="5"/>
  <c r="E103" i="5"/>
  <c r="G103" i="5"/>
  <c r="H103" i="5"/>
  <c r="I103" i="5"/>
  <c r="J103" i="5"/>
  <c r="L103" i="5"/>
  <c r="M103" i="5"/>
  <c r="B578" i="5"/>
  <c r="C578" i="5"/>
  <c r="D578" i="5"/>
  <c r="E578" i="5"/>
  <c r="G578" i="5"/>
  <c r="H578" i="5"/>
  <c r="I578" i="5"/>
  <c r="J578" i="5"/>
  <c r="L578" i="5"/>
  <c r="M578" i="5"/>
  <c r="B1257" i="5"/>
  <c r="C1257" i="5"/>
  <c r="D1257" i="5"/>
  <c r="E1257" i="5"/>
  <c r="G1257" i="5"/>
  <c r="H1257" i="5"/>
  <c r="I1257" i="5"/>
  <c r="J1257" i="5"/>
  <c r="L1257" i="5"/>
  <c r="M1257" i="5"/>
  <c r="B841" i="5"/>
  <c r="C841" i="5"/>
  <c r="D841" i="5"/>
  <c r="E841" i="5"/>
  <c r="G841" i="5"/>
  <c r="H841" i="5"/>
  <c r="I841" i="5"/>
  <c r="J841" i="5"/>
  <c r="L841" i="5"/>
  <c r="M841" i="5"/>
  <c r="B491" i="5"/>
  <c r="C491" i="5"/>
  <c r="D491" i="5"/>
  <c r="E491" i="5"/>
  <c r="G491" i="5"/>
  <c r="H491" i="5"/>
  <c r="I491" i="5"/>
  <c r="J491" i="5"/>
  <c r="L491" i="5"/>
  <c r="M491" i="5"/>
  <c r="B1150" i="5"/>
  <c r="C1150" i="5"/>
  <c r="D1150" i="5"/>
  <c r="E1150" i="5"/>
  <c r="G1150" i="5"/>
  <c r="H1150" i="5"/>
  <c r="I1150" i="5"/>
  <c r="J1150" i="5"/>
  <c r="L1150" i="5"/>
  <c r="M1150" i="5"/>
  <c r="B762" i="5"/>
  <c r="C762" i="5"/>
  <c r="D762" i="5"/>
  <c r="E762" i="5"/>
  <c r="G762" i="5"/>
  <c r="H762" i="5"/>
  <c r="I762" i="5"/>
  <c r="J762" i="5"/>
  <c r="L762" i="5"/>
  <c r="M762" i="5"/>
  <c r="B629" i="5"/>
  <c r="C629" i="5"/>
  <c r="D629" i="5"/>
  <c r="E629" i="5"/>
  <c r="G629" i="5"/>
  <c r="H629" i="5"/>
  <c r="I629" i="5"/>
  <c r="J629" i="5"/>
  <c r="L629" i="5"/>
  <c r="M629" i="5"/>
  <c r="B1132" i="5"/>
  <c r="C1132" i="5"/>
  <c r="D1132" i="5"/>
  <c r="E1132" i="5"/>
  <c r="G1132" i="5"/>
  <c r="H1132" i="5"/>
  <c r="I1132" i="5"/>
  <c r="J1132" i="5"/>
  <c r="L1132" i="5"/>
  <c r="M1132" i="5"/>
  <c r="B733" i="5"/>
  <c r="C733" i="5"/>
  <c r="D733" i="5"/>
  <c r="E733" i="5"/>
  <c r="G733" i="5"/>
  <c r="H733" i="5"/>
  <c r="I733" i="5"/>
  <c r="J733" i="5"/>
  <c r="L733" i="5"/>
  <c r="M733" i="5"/>
  <c r="B1253" i="5"/>
  <c r="C1253" i="5"/>
  <c r="D1253" i="5"/>
  <c r="E1253" i="5"/>
  <c r="G1253" i="5"/>
  <c r="H1253" i="5"/>
  <c r="I1253" i="5"/>
  <c r="J1253" i="5"/>
  <c r="L1253" i="5"/>
  <c r="M1253" i="5"/>
  <c r="B185" i="5"/>
  <c r="C185" i="5"/>
  <c r="D185" i="5"/>
  <c r="E185" i="5"/>
  <c r="G185" i="5"/>
  <c r="H185" i="5"/>
  <c r="I185" i="5"/>
  <c r="J185" i="5"/>
  <c r="L185" i="5"/>
  <c r="M185" i="5"/>
  <c r="B187" i="5"/>
  <c r="C187" i="5"/>
  <c r="D187" i="5"/>
  <c r="E187" i="5"/>
  <c r="G187" i="5"/>
  <c r="H187" i="5"/>
  <c r="I187" i="5"/>
  <c r="J187" i="5"/>
  <c r="L187" i="5"/>
  <c r="M187" i="5"/>
  <c r="B69" i="5"/>
  <c r="C69" i="5"/>
  <c r="D69" i="5"/>
  <c r="E69" i="5"/>
  <c r="G69" i="5"/>
  <c r="H69" i="5"/>
  <c r="I69" i="5"/>
  <c r="J69" i="5"/>
  <c r="L69" i="5"/>
  <c r="M69" i="5"/>
  <c r="B57" i="5"/>
  <c r="C57" i="5"/>
  <c r="D57" i="5"/>
  <c r="E57" i="5"/>
  <c r="G57" i="5"/>
  <c r="H57" i="5"/>
  <c r="I57" i="5"/>
  <c r="J57" i="5"/>
  <c r="L57" i="5"/>
  <c r="M57" i="5"/>
  <c r="B943" i="5"/>
  <c r="C943" i="5"/>
  <c r="D943" i="5"/>
  <c r="E943" i="5"/>
  <c r="G943" i="5"/>
  <c r="H943" i="5"/>
  <c r="I943" i="5"/>
  <c r="J943" i="5"/>
  <c r="L943" i="5"/>
  <c r="M943" i="5"/>
  <c r="B548" i="5"/>
  <c r="C548" i="5"/>
  <c r="D548" i="5"/>
  <c r="E548" i="5"/>
  <c r="G548" i="5"/>
  <c r="H548" i="5"/>
  <c r="I548" i="5"/>
  <c r="J548" i="5"/>
  <c r="L548" i="5"/>
  <c r="M548" i="5"/>
  <c r="B994" i="5"/>
  <c r="C994" i="5"/>
  <c r="D994" i="5"/>
  <c r="E994" i="5"/>
  <c r="G994" i="5"/>
  <c r="H994" i="5"/>
  <c r="I994" i="5"/>
  <c r="J994" i="5"/>
  <c r="L994" i="5"/>
  <c r="M994" i="5"/>
  <c r="B1285" i="5"/>
  <c r="C1285" i="5"/>
  <c r="D1285" i="5"/>
  <c r="E1285" i="5"/>
  <c r="G1285" i="5"/>
  <c r="H1285" i="5"/>
  <c r="I1285" i="5"/>
  <c r="J1285" i="5"/>
  <c r="L1285" i="5"/>
  <c r="M1285" i="5"/>
  <c r="B864" i="5"/>
  <c r="C864" i="5"/>
  <c r="D864" i="5"/>
  <c r="E864" i="5"/>
  <c r="G864" i="5"/>
  <c r="H864" i="5"/>
  <c r="I864" i="5"/>
  <c r="J864" i="5"/>
  <c r="L864" i="5"/>
  <c r="M864" i="5"/>
  <c r="B683" i="5"/>
  <c r="C683" i="5"/>
  <c r="D683" i="5"/>
  <c r="E683" i="5"/>
  <c r="G683" i="5"/>
  <c r="H683" i="5"/>
  <c r="I683" i="5"/>
  <c r="J683" i="5"/>
  <c r="L683" i="5"/>
  <c r="M683" i="5"/>
  <c r="B144" i="5"/>
  <c r="C144" i="5"/>
  <c r="D144" i="5"/>
  <c r="E144" i="5"/>
  <c r="G144" i="5"/>
  <c r="H144" i="5"/>
  <c r="I144" i="5"/>
  <c r="J144" i="5"/>
  <c r="L144" i="5"/>
  <c r="M144" i="5"/>
  <c r="B230" i="5"/>
  <c r="C230" i="5"/>
  <c r="D230" i="5"/>
  <c r="E230" i="5"/>
  <c r="G230" i="5"/>
  <c r="H230" i="5"/>
  <c r="I230" i="5"/>
  <c r="J230" i="5"/>
  <c r="L230" i="5"/>
  <c r="M230" i="5"/>
  <c r="B345" i="5"/>
  <c r="C345" i="5"/>
  <c r="D345" i="5"/>
  <c r="E345" i="5"/>
  <c r="G345" i="5"/>
  <c r="H345" i="5"/>
  <c r="I345" i="5"/>
  <c r="J345" i="5"/>
  <c r="L345" i="5"/>
  <c r="M345" i="5"/>
  <c r="B1289" i="5"/>
  <c r="C1289" i="5"/>
  <c r="D1289" i="5"/>
  <c r="E1289" i="5"/>
  <c r="G1289" i="5"/>
  <c r="H1289" i="5"/>
  <c r="I1289" i="5"/>
  <c r="J1289" i="5"/>
  <c r="L1289" i="5"/>
  <c r="M1289" i="5"/>
  <c r="B1037" i="5"/>
  <c r="C1037" i="5"/>
  <c r="D1037" i="5"/>
  <c r="E1037" i="5"/>
  <c r="G1037" i="5"/>
  <c r="H1037" i="5"/>
  <c r="I1037" i="5"/>
  <c r="J1037" i="5"/>
  <c r="L1037" i="5"/>
  <c r="M1037" i="5"/>
  <c r="B781" i="5"/>
  <c r="C781" i="5"/>
  <c r="D781" i="5"/>
  <c r="E781" i="5"/>
  <c r="G781" i="5"/>
  <c r="H781" i="5"/>
  <c r="I781" i="5"/>
  <c r="J781" i="5"/>
  <c r="L781" i="5"/>
  <c r="M781" i="5"/>
  <c r="B1090" i="5"/>
  <c r="C1090" i="5"/>
  <c r="D1090" i="5"/>
  <c r="E1090" i="5"/>
  <c r="G1090" i="5"/>
  <c r="H1090" i="5"/>
  <c r="I1090" i="5"/>
  <c r="J1090" i="5"/>
  <c r="L1090" i="5"/>
  <c r="M1090" i="5"/>
  <c r="B15" i="5"/>
  <c r="C15" i="5"/>
  <c r="D15" i="5"/>
  <c r="E15" i="5"/>
  <c r="G15" i="5"/>
  <c r="H15" i="5"/>
  <c r="I15" i="5"/>
  <c r="J15" i="5"/>
  <c r="L15" i="5"/>
  <c r="M15" i="5"/>
  <c r="B343" i="5"/>
  <c r="C343" i="5"/>
  <c r="D343" i="5"/>
  <c r="E343" i="5"/>
  <c r="G343" i="5"/>
  <c r="H343" i="5"/>
  <c r="I343" i="5"/>
  <c r="J343" i="5"/>
  <c r="L343" i="5"/>
  <c r="M343" i="5"/>
  <c r="B796" i="5"/>
  <c r="C796" i="5"/>
  <c r="D796" i="5"/>
  <c r="E796" i="5"/>
  <c r="G796" i="5"/>
  <c r="H796" i="5"/>
  <c r="I796" i="5"/>
  <c r="J796" i="5"/>
  <c r="L796" i="5"/>
  <c r="M796" i="5"/>
  <c r="B25" i="5"/>
  <c r="C25" i="5"/>
  <c r="D25" i="5"/>
  <c r="E25" i="5"/>
  <c r="G25" i="5"/>
  <c r="H25" i="5"/>
  <c r="I25" i="5"/>
  <c r="J25" i="5"/>
  <c r="L25" i="5"/>
  <c r="M25" i="5"/>
  <c r="B909" i="5"/>
  <c r="C909" i="5"/>
  <c r="D909" i="5"/>
  <c r="E909" i="5"/>
  <c r="G909" i="5"/>
  <c r="H909" i="5"/>
  <c r="I909" i="5"/>
  <c r="J909" i="5"/>
  <c r="L909" i="5"/>
  <c r="M909" i="5"/>
  <c r="B901" i="5"/>
  <c r="C901" i="5"/>
  <c r="D901" i="5"/>
  <c r="E901" i="5"/>
  <c r="G901" i="5"/>
  <c r="H901" i="5"/>
  <c r="I901" i="5"/>
  <c r="J901" i="5"/>
  <c r="L901" i="5"/>
  <c r="M901" i="5"/>
  <c r="B471" i="5"/>
  <c r="C471" i="5"/>
  <c r="D471" i="5"/>
  <c r="E471" i="5"/>
  <c r="G471" i="5"/>
  <c r="H471" i="5"/>
  <c r="I471" i="5"/>
  <c r="J471" i="5"/>
  <c r="L471" i="5"/>
  <c r="M471" i="5"/>
  <c r="B410" i="5"/>
  <c r="C410" i="5"/>
  <c r="D410" i="5"/>
  <c r="E410" i="5"/>
  <c r="G410" i="5"/>
  <c r="H410" i="5"/>
  <c r="I410" i="5"/>
  <c r="J410" i="5"/>
  <c r="L410" i="5"/>
  <c r="M410" i="5"/>
  <c r="B808" i="5"/>
  <c r="C808" i="5"/>
  <c r="D808" i="5"/>
  <c r="E808" i="5"/>
  <c r="G808" i="5"/>
  <c r="H808" i="5"/>
  <c r="I808" i="5"/>
  <c r="J808" i="5"/>
  <c r="L808" i="5"/>
  <c r="M808" i="5"/>
  <c r="B537" i="5"/>
  <c r="C537" i="5"/>
  <c r="D537" i="5"/>
  <c r="E537" i="5"/>
  <c r="G537" i="5"/>
  <c r="H537" i="5"/>
  <c r="I537" i="5"/>
  <c r="J537" i="5"/>
  <c r="L537" i="5"/>
  <c r="M537" i="5"/>
  <c r="B1141" i="5"/>
  <c r="C1141" i="5"/>
  <c r="D1141" i="5"/>
  <c r="E1141" i="5"/>
  <c r="G1141" i="5"/>
  <c r="H1141" i="5"/>
  <c r="I1141" i="5"/>
  <c r="J1141" i="5"/>
  <c r="L1141" i="5"/>
  <c r="M1141" i="5"/>
  <c r="B1244" i="5"/>
  <c r="C1244" i="5"/>
  <c r="D1244" i="5"/>
  <c r="E1244" i="5"/>
  <c r="G1244" i="5"/>
  <c r="H1244" i="5"/>
  <c r="I1244" i="5"/>
  <c r="J1244" i="5"/>
  <c r="L1244" i="5"/>
  <c r="M1244" i="5"/>
  <c r="B1307" i="5"/>
  <c r="C1307" i="5"/>
  <c r="D1307" i="5"/>
  <c r="E1307" i="5"/>
  <c r="G1307" i="5"/>
  <c r="H1307" i="5"/>
  <c r="I1307" i="5"/>
  <c r="J1307" i="5"/>
  <c r="L1307" i="5"/>
  <c r="M1307" i="5"/>
  <c r="B606" i="5"/>
  <c r="C606" i="5"/>
  <c r="D606" i="5"/>
  <c r="E606" i="5"/>
  <c r="G606" i="5"/>
  <c r="H606" i="5"/>
  <c r="I606" i="5"/>
  <c r="J606" i="5"/>
  <c r="L606" i="5"/>
  <c r="M606" i="5"/>
  <c r="B616" i="5"/>
  <c r="C616" i="5"/>
  <c r="D616" i="5"/>
  <c r="E616" i="5"/>
  <c r="G616" i="5"/>
  <c r="H616" i="5"/>
  <c r="I616" i="5"/>
  <c r="J616" i="5"/>
  <c r="L616" i="5"/>
  <c r="M616" i="5"/>
  <c r="B718" i="5"/>
  <c r="C718" i="5"/>
  <c r="D718" i="5"/>
  <c r="E718" i="5"/>
  <c r="G718" i="5"/>
  <c r="H718" i="5"/>
  <c r="I718" i="5"/>
  <c r="J718" i="5"/>
  <c r="L718" i="5"/>
  <c r="M718" i="5"/>
  <c r="B916" i="5"/>
  <c r="C916" i="5"/>
  <c r="D916" i="5"/>
  <c r="E916" i="5"/>
  <c r="G916" i="5"/>
  <c r="H916" i="5"/>
  <c r="I916" i="5"/>
  <c r="J916" i="5"/>
  <c r="L916" i="5"/>
  <c r="M916" i="5"/>
  <c r="B135" i="5"/>
  <c r="C135" i="5"/>
  <c r="D135" i="5"/>
  <c r="E135" i="5"/>
  <c r="G135" i="5"/>
  <c r="H135" i="5"/>
  <c r="I135" i="5"/>
  <c r="J135" i="5"/>
  <c r="L135" i="5"/>
  <c r="M135" i="5"/>
  <c r="B721" i="5"/>
  <c r="C721" i="5"/>
  <c r="D721" i="5"/>
  <c r="E721" i="5"/>
  <c r="G721" i="5"/>
  <c r="H721" i="5"/>
  <c r="I721" i="5"/>
  <c r="J721" i="5"/>
  <c r="L721" i="5"/>
  <c r="M721" i="5"/>
  <c r="B481" i="5"/>
  <c r="C481" i="5"/>
  <c r="D481" i="5"/>
  <c r="E481" i="5"/>
  <c r="G481" i="5"/>
  <c r="H481" i="5"/>
  <c r="I481" i="5"/>
  <c r="J481" i="5"/>
  <c r="L481" i="5"/>
  <c r="M481" i="5"/>
  <c r="B850" i="5"/>
  <c r="C850" i="5"/>
  <c r="D850" i="5"/>
  <c r="E850" i="5"/>
  <c r="G850" i="5"/>
  <c r="H850" i="5"/>
  <c r="I850" i="5"/>
  <c r="J850" i="5"/>
  <c r="L850" i="5"/>
  <c r="M850" i="5"/>
  <c r="B355" i="5"/>
  <c r="C355" i="5"/>
  <c r="D355" i="5"/>
  <c r="E355" i="5"/>
  <c r="G355" i="5"/>
  <c r="H355" i="5"/>
  <c r="I355" i="5"/>
  <c r="J355" i="5"/>
  <c r="L355" i="5"/>
  <c r="M355" i="5"/>
  <c r="B680" i="5"/>
  <c r="C680" i="5"/>
  <c r="D680" i="5"/>
  <c r="E680" i="5"/>
  <c r="G680" i="5"/>
  <c r="H680" i="5"/>
  <c r="I680" i="5"/>
  <c r="J680" i="5"/>
  <c r="L680" i="5"/>
  <c r="M680" i="5"/>
  <c r="B1062" i="5"/>
  <c r="C1062" i="5"/>
  <c r="D1062" i="5"/>
  <c r="E1062" i="5"/>
  <c r="G1062" i="5"/>
  <c r="H1062" i="5"/>
  <c r="I1062" i="5"/>
  <c r="J1062" i="5"/>
  <c r="L1062" i="5"/>
  <c r="M1062" i="5"/>
  <c r="B1063" i="5"/>
  <c r="C1063" i="5"/>
  <c r="D1063" i="5"/>
  <c r="E1063" i="5"/>
  <c r="G1063" i="5"/>
  <c r="H1063" i="5"/>
  <c r="I1063" i="5"/>
  <c r="J1063" i="5"/>
  <c r="L1063" i="5"/>
  <c r="M1063" i="5"/>
  <c r="B339" i="5"/>
  <c r="C339" i="5"/>
  <c r="D339" i="5"/>
  <c r="E339" i="5"/>
  <c r="G339" i="5"/>
  <c r="H339" i="5"/>
  <c r="I339" i="5"/>
  <c r="J339" i="5"/>
  <c r="L339" i="5"/>
  <c r="M339" i="5"/>
  <c r="B1105" i="5"/>
  <c r="C1105" i="5"/>
  <c r="D1105" i="5"/>
  <c r="E1105" i="5"/>
  <c r="G1105" i="5"/>
  <c r="H1105" i="5"/>
  <c r="I1105" i="5"/>
  <c r="J1105" i="5"/>
  <c r="L1105" i="5"/>
  <c r="M1105" i="5"/>
  <c r="B223" i="5"/>
  <c r="C223" i="5"/>
  <c r="D223" i="5"/>
  <c r="E223" i="5"/>
  <c r="G223" i="5"/>
  <c r="H223" i="5"/>
  <c r="I223" i="5"/>
  <c r="J223" i="5"/>
  <c r="L223" i="5"/>
  <c r="M223" i="5"/>
  <c r="B239" i="5"/>
  <c r="C239" i="5"/>
  <c r="D239" i="5"/>
  <c r="E239" i="5"/>
  <c r="G239" i="5"/>
  <c r="H239" i="5"/>
  <c r="I239" i="5"/>
  <c r="J239" i="5"/>
  <c r="L239" i="5"/>
  <c r="M239" i="5"/>
  <c r="B635" i="5"/>
  <c r="C635" i="5"/>
  <c r="D635" i="5"/>
  <c r="E635" i="5"/>
  <c r="G635" i="5"/>
  <c r="H635" i="5"/>
  <c r="I635" i="5"/>
  <c r="J635" i="5"/>
  <c r="L635" i="5"/>
  <c r="M635" i="5"/>
  <c r="B1002" i="5"/>
  <c r="C1002" i="5"/>
  <c r="D1002" i="5"/>
  <c r="E1002" i="5"/>
  <c r="G1002" i="5"/>
  <c r="H1002" i="5"/>
  <c r="I1002" i="5"/>
  <c r="J1002" i="5"/>
  <c r="L1002" i="5"/>
  <c r="M1002" i="5"/>
  <c r="B104" i="5"/>
  <c r="C104" i="5"/>
  <c r="D104" i="5"/>
  <c r="E104" i="5"/>
  <c r="G104" i="5"/>
  <c r="H104" i="5"/>
  <c r="I104" i="5"/>
  <c r="J104" i="5"/>
  <c r="L104" i="5"/>
  <c r="M104" i="5"/>
  <c r="B1270" i="5"/>
  <c r="C1270" i="5"/>
  <c r="D1270" i="5"/>
  <c r="E1270" i="5"/>
  <c r="G1270" i="5"/>
  <c r="H1270" i="5"/>
  <c r="I1270" i="5"/>
  <c r="J1270" i="5"/>
  <c r="L1270" i="5"/>
  <c r="M1270" i="5"/>
  <c r="B776" i="5"/>
  <c r="C776" i="5"/>
  <c r="D776" i="5"/>
  <c r="E776" i="5"/>
  <c r="G776" i="5"/>
  <c r="H776" i="5"/>
  <c r="I776" i="5"/>
  <c r="J776" i="5"/>
  <c r="L776" i="5"/>
  <c r="M776" i="5"/>
  <c r="B370" i="5"/>
  <c r="C370" i="5"/>
  <c r="D370" i="5"/>
  <c r="E370" i="5"/>
  <c r="G370" i="5"/>
  <c r="H370" i="5"/>
  <c r="I370" i="5"/>
  <c r="J370" i="5"/>
  <c r="L370" i="5"/>
  <c r="M370" i="5"/>
  <c r="B1007" i="5"/>
  <c r="C1007" i="5"/>
  <c r="D1007" i="5"/>
  <c r="E1007" i="5"/>
  <c r="G1007" i="5"/>
  <c r="H1007" i="5"/>
  <c r="I1007" i="5"/>
  <c r="J1007" i="5"/>
  <c r="L1007" i="5"/>
  <c r="M1007" i="5"/>
  <c r="B955" i="5"/>
  <c r="C955" i="5"/>
  <c r="D955" i="5"/>
  <c r="E955" i="5"/>
  <c r="G955" i="5"/>
  <c r="H955" i="5"/>
  <c r="I955" i="5"/>
  <c r="J955" i="5"/>
  <c r="L955" i="5"/>
  <c r="M955" i="5"/>
  <c r="B1014" i="5"/>
  <c r="C1014" i="5"/>
  <c r="D1014" i="5"/>
  <c r="E1014" i="5"/>
  <c r="G1014" i="5"/>
  <c r="H1014" i="5"/>
  <c r="I1014" i="5"/>
  <c r="J1014" i="5"/>
  <c r="L1014" i="5"/>
  <c r="M1014" i="5"/>
  <c r="B14" i="5"/>
  <c r="C14" i="5"/>
  <c r="D14" i="5"/>
  <c r="E14" i="5"/>
  <c r="G14" i="5"/>
  <c r="H14" i="5"/>
  <c r="I14" i="5"/>
  <c r="J14" i="5"/>
  <c r="L14" i="5"/>
  <c r="M14" i="5"/>
  <c r="B32" i="5"/>
  <c r="C32" i="5"/>
  <c r="D32" i="5"/>
  <c r="E32" i="5"/>
  <c r="G32" i="5"/>
  <c r="H32" i="5"/>
  <c r="I32" i="5"/>
  <c r="J32" i="5"/>
  <c r="L32" i="5"/>
  <c r="M32" i="5"/>
  <c r="B569" i="5"/>
  <c r="C569" i="5"/>
  <c r="D569" i="5"/>
  <c r="E569" i="5"/>
  <c r="G569" i="5"/>
  <c r="H569" i="5"/>
  <c r="I569" i="5"/>
  <c r="J569" i="5"/>
  <c r="L569" i="5"/>
  <c r="M569" i="5"/>
  <c r="B1258" i="5"/>
  <c r="C1258" i="5"/>
  <c r="D1258" i="5"/>
  <c r="E1258" i="5"/>
  <c r="G1258" i="5"/>
  <c r="H1258" i="5"/>
  <c r="I1258" i="5"/>
  <c r="J1258" i="5"/>
  <c r="L1258" i="5"/>
  <c r="M1258" i="5"/>
  <c r="B90" i="5"/>
  <c r="C90" i="5"/>
  <c r="D90" i="5"/>
  <c r="E90" i="5"/>
  <c r="G90" i="5"/>
  <c r="H90" i="5"/>
  <c r="I90" i="5"/>
  <c r="J90" i="5"/>
  <c r="L90" i="5"/>
  <c r="M90" i="5"/>
  <c r="B140" i="5"/>
  <c r="C140" i="5"/>
  <c r="D140" i="5"/>
  <c r="E140" i="5"/>
  <c r="G140" i="5"/>
  <c r="H140" i="5"/>
  <c r="I140" i="5"/>
  <c r="J140" i="5"/>
  <c r="L140" i="5"/>
  <c r="M140" i="5"/>
  <c r="B1191" i="5"/>
  <c r="C1191" i="5"/>
  <c r="D1191" i="5"/>
  <c r="E1191" i="5"/>
  <c r="G1191" i="5"/>
  <c r="H1191" i="5"/>
  <c r="I1191" i="5"/>
  <c r="J1191" i="5"/>
  <c r="L1191" i="5"/>
  <c r="M1191" i="5"/>
  <c r="B106" i="5"/>
  <c r="C106" i="5"/>
  <c r="D106" i="5"/>
  <c r="E106" i="5"/>
  <c r="G106" i="5"/>
  <c r="H106" i="5"/>
  <c r="I106" i="5"/>
  <c r="J106" i="5"/>
  <c r="L106" i="5"/>
  <c r="M106" i="5"/>
  <c r="B794" i="5"/>
  <c r="C794" i="5"/>
  <c r="D794" i="5"/>
  <c r="E794" i="5"/>
  <c r="G794" i="5"/>
  <c r="H794" i="5"/>
  <c r="I794" i="5"/>
  <c r="J794" i="5"/>
  <c r="L794" i="5"/>
  <c r="M794" i="5"/>
  <c r="B1148" i="5"/>
  <c r="C1148" i="5"/>
  <c r="D1148" i="5"/>
  <c r="E1148" i="5"/>
  <c r="G1148" i="5"/>
  <c r="H1148" i="5"/>
  <c r="I1148" i="5"/>
  <c r="J1148" i="5"/>
  <c r="L1148" i="5"/>
  <c r="M1148" i="5"/>
  <c r="B795" i="5"/>
  <c r="C795" i="5"/>
  <c r="D795" i="5"/>
  <c r="E795" i="5"/>
  <c r="G795" i="5"/>
  <c r="H795" i="5"/>
  <c r="I795" i="5"/>
  <c r="J795" i="5"/>
  <c r="L795" i="5"/>
  <c r="M795" i="5"/>
  <c r="B8" i="5"/>
  <c r="C8" i="5"/>
  <c r="D8" i="5"/>
  <c r="E8" i="5"/>
  <c r="G8" i="5"/>
  <c r="H8" i="5"/>
  <c r="I8" i="5"/>
  <c r="J8" i="5"/>
  <c r="L8" i="5"/>
  <c r="M8" i="5"/>
  <c r="B452" i="5"/>
  <c r="C452" i="5"/>
  <c r="D452" i="5"/>
  <c r="E452" i="5"/>
  <c r="G452" i="5"/>
  <c r="H452" i="5"/>
  <c r="I452" i="5"/>
  <c r="J452" i="5"/>
  <c r="L452" i="5"/>
  <c r="M452" i="5"/>
  <c r="B1199" i="5"/>
  <c r="C1199" i="5"/>
  <c r="D1199" i="5"/>
  <c r="E1199" i="5"/>
  <c r="G1199" i="5"/>
  <c r="H1199" i="5"/>
  <c r="I1199" i="5"/>
  <c r="J1199" i="5"/>
  <c r="L1199" i="5"/>
  <c r="M1199" i="5"/>
  <c r="B109" i="5"/>
  <c r="C109" i="5"/>
  <c r="D109" i="5"/>
  <c r="E109" i="5"/>
  <c r="G109" i="5"/>
  <c r="H109" i="5"/>
  <c r="I109" i="5"/>
  <c r="J109" i="5"/>
  <c r="L109" i="5"/>
  <c r="M109" i="5"/>
  <c r="B482" i="5"/>
  <c r="C482" i="5"/>
  <c r="D482" i="5"/>
  <c r="E482" i="5"/>
  <c r="G482" i="5"/>
  <c r="H482" i="5"/>
  <c r="I482" i="5"/>
  <c r="J482" i="5"/>
  <c r="L482" i="5"/>
  <c r="M482" i="5"/>
  <c r="B1159" i="5"/>
  <c r="C1159" i="5"/>
  <c r="D1159" i="5"/>
  <c r="E1159" i="5"/>
  <c r="G1159" i="5"/>
  <c r="H1159" i="5"/>
  <c r="I1159" i="5"/>
  <c r="J1159" i="5"/>
  <c r="L1159" i="5"/>
  <c r="M1159" i="5"/>
  <c r="B753" i="5"/>
  <c r="C753" i="5"/>
  <c r="D753" i="5"/>
  <c r="E753" i="5"/>
  <c r="G753" i="5"/>
  <c r="H753" i="5"/>
  <c r="I753" i="5"/>
  <c r="J753" i="5"/>
  <c r="L753" i="5"/>
  <c r="M753" i="5"/>
  <c r="B977" i="5"/>
  <c r="C977" i="5"/>
  <c r="D977" i="5"/>
  <c r="E977" i="5"/>
  <c r="G977" i="5"/>
  <c r="H977" i="5"/>
  <c r="I977" i="5"/>
  <c r="J977" i="5"/>
  <c r="L977" i="5"/>
  <c r="M977" i="5"/>
  <c r="B9" i="5"/>
  <c r="C9" i="5"/>
  <c r="D9" i="5"/>
  <c r="E9" i="5"/>
  <c r="G9" i="5"/>
  <c r="H9" i="5"/>
  <c r="I9" i="5"/>
  <c r="J9" i="5"/>
  <c r="L9" i="5"/>
  <c r="M9" i="5"/>
  <c r="B1113" i="5"/>
  <c r="C1113" i="5"/>
  <c r="D1113" i="5"/>
  <c r="E1113" i="5"/>
  <c r="G1113" i="5"/>
  <c r="H1113" i="5"/>
  <c r="I1113" i="5"/>
  <c r="J1113" i="5"/>
  <c r="L1113" i="5"/>
  <c r="M1113" i="5"/>
  <c r="B1190" i="5"/>
  <c r="C1190" i="5"/>
  <c r="D1190" i="5"/>
  <c r="E1190" i="5"/>
  <c r="G1190" i="5"/>
  <c r="H1190" i="5"/>
  <c r="I1190" i="5"/>
  <c r="J1190" i="5"/>
  <c r="L1190" i="5"/>
  <c r="M1190" i="5"/>
  <c r="B88" i="5"/>
  <c r="C88" i="5"/>
  <c r="D88" i="5"/>
  <c r="E88" i="5"/>
  <c r="G88" i="5"/>
  <c r="H88" i="5"/>
  <c r="I88" i="5"/>
  <c r="J88" i="5"/>
  <c r="L88" i="5"/>
  <c r="M88" i="5"/>
  <c r="B856" i="5"/>
  <c r="C856" i="5"/>
  <c r="D856" i="5"/>
  <c r="E856" i="5"/>
  <c r="G856" i="5"/>
  <c r="H856" i="5"/>
  <c r="I856" i="5"/>
  <c r="J856" i="5"/>
  <c r="L856" i="5"/>
  <c r="M856" i="5"/>
  <c r="B639" i="5"/>
  <c r="C639" i="5"/>
  <c r="D639" i="5"/>
  <c r="E639" i="5"/>
  <c r="G639" i="5"/>
  <c r="H639" i="5"/>
  <c r="I639" i="5"/>
  <c r="J639" i="5"/>
  <c r="L639" i="5"/>
  <c r="M639" i="5"/>
  <c r="B723" i="5"/>
  <c r="C723" i="5"/>
  <c r="D723" i="5"/>
  <c r="E723" i="5"/>
  <c r="G723" i="5"/>
  <c r="H723" i="5"/>
  <c r="I723" i="5"/>
  <c r="J723" i="5"/>
  <c r="L723" i="5"/>
  <c r="M723" i="5"/>
  <c r="B830" i="5"/>
  <c r="C830" i="5"/>
  <c r="D830" i="5"/>
  <c r="E830" i="5"/>
  <c r="G830" i="5"/>
  <c r="H830" i="5"/>
  <c r="I830" i="5"/>
  <c r="J830" i="5"/>
  <c r="L830" i="5"/>
  <c r="M830" i="5"/>
  <c r="B551" i="5"/>
  <c r="C551" i="5"/>
  <c r="D551" i="5"/>
  <c r="E551" i="5"/>
  <c r="G551" i="5"/>
  <c r="H551" i="5"/>
  <c r="I551" i="5"/>
  <c r="J551" i="5"/>
  <c r="L551" i="5"/>
  <c r="M551" i="5"/>
  <c r="B1317" i="5"/>
  <c r="C1317" i="5"/>
  <c r="D1317" i="5"/>
  <c r="E1317" i="5"/>
  <c r="G1317" i="5"/>
  <c r="H1317" i="5"/>
  <c r="I1317" i="5"/>
  <c r="J1317" i="5"/>
  <c r="L1317" i="5"/>
  <c r="M1317" i="5"/>
  <c r="B608" i="5"/>
  <c r="C608" i="5"/>
  <c r="D608" i="5"/>
  <c r="E608" i="5"/>
  <c r="G608" i="5"/>
  <c r="H608" i="5"/>
  <c r="I608" i="5"/>
  <c r="J608" i="5"/>
  <c r="L608" i="5"/>
  <c r="M608" i="5"/>
  <c r="B719" i="5"/>
  <c r="C719" i="5"/>
  <c r="D719" i="5"/>
  <c r="E719" i="5"/>
  <c r="G719" i="5"/>
  <c r="H719" i="5"/>
  <c r="I719" i="5"/>
  <c r="J719" i="5"/>
  <c r="L719" i="5"/>
  <c r="M719" i="5"/>
  <c r="B342" i="5"/>
  <c r="C342" i="5"/>
  <c r="D342" i="5"/>
  <c r="E342" i="5"/>
  <c r="G342" i="5"/>
  <c r="H342" i="5"/>
  <c r="I342" i="5"/>
  <c r="J342" i="5"/>
  <c r="L342" i="5"/>
  <c r="M342" i="5"/>
  <c r="B524" i="5"/>
  <c r="C524" i="5"/>
  <c r="D524" i="5"/>
  <c r="E524" i="5"/>
  <c r="G524" i="5"/>
  <c r="H524" i="5"/>
  <c r="I524" i="5"/>
  <c r="J524" i="5"/>
  <c r="L524" i="5"/>
  <c r="M524" i="5"/>
  <c r="B1145" i="5"/>
  <c r="C1145" i="5"/>
  <c r="D1145" i="5"/>
  <c r="E1145" i="5"/>
  <c r="G1145" i="5"/>
  <c r="H1145" i="5"/>
  <c r="I1145" i="5"/>
  <c r="J1145" i="5"/>
  <c r="L1145" i="5"/>
  <c r="M1145" i="5"/>
  <c r="B944" i="5"/>
  <c r="C944" i="5"/>
  <c r="D944" i="5"/>
  <c r="E944" i="5"/>
  <c r="G944" i="5"/>
  <c r="H944" i="5"/>
  <c r="I944" i="5"/>
  <c r="J944" i="5"/>
  <c r="L944" i="5"/>
  <c r="M944" i="5"/>
  <c r="B282" i="5"/>
  <c r="C282" i="5"/>
  <c r="D282" i="5"/>
  <c r="E282" i="5"/>
  <c r="G282" i="5"/>
  <c r="H282" i="5"/>
  <c r="I282" i="5"/>
  <c r="J282" i="5"/>
  <c r="L282" i="5"/>
  <c r="M282" i="5"/>
  <c r="B97" i="5"/>
  <c r="C97" i="5"/>
  <c r="D97" i="5"/>
  <c r="E97" i="5"/>
  <c r="G97" i="5"/>
  <c r="H97" i="5"/>
  <c r="I97" i="5"/>
  <c r="J97" i="5"/>
  <c r="L97" i="5"/>
  <c r="M97" i="5"/>
  <c r="B624" i="5"/>
  <c r="C624" i="5"/>
  <c r="D624" i="5"/>
  <c r="E624" i="5"/>
  <c r="G624" i="5"/>
  <c r="H624" i="5"/>
  <c r="I624" i="5"/>
  <c r="J624" i="5"/>
  <c r="L624" i="5"/>
  <c r="M624" i="5"/>
  <c r="B831" i="5"/>
  <c r="C831" i="5"/>
  <c r="D831" i="5"/>
  <c r="E831" i="5"/>
  <c r="G831" i="5"/>
  <c r="H831" i="5"/>
  <c r="I831" i="5"/>
  <c r="J831" i="5"/>
  <c r="L831" i="5"/>
  <c r="M831" i="5"/>
  <c r="B813" i="5"/>
  <c r="C813" i="5"/>
  <c r="D813" i="5"/>
  <c r="E813" i="5"/>
  <c r="G813" i="5"/>
  <c r="H813" i="5"/>
  <c r="I813" i="5"/>
  <c r="J813" i="5"/>
  <c r="L813" i="5"/>
  <c r="M813" i="5"/>
  <c r="B474" i="5"/>
  <c r="C474" i="5"/>
  <c r="D474" i="5"/>
  <c r="E474" i="5"/>
  <c r="G474" i="5"/>
  <c r="H474" i="5"/>
  <c r="I474" i="5"/>
  <c r="J474" i="5"/>
  <c r="L474" i="5"/>
  <c r="M474" i="5"/>
  <c r="B359" i="5"/>
  <c r="C359" i="5"/>
  <c r="D359" i="5"/>
  <c r="E359" i="5"/>
  <c r="G359" i="5"/>
  <c r="H359" i="5"/>
  <c r="I359" i="5"/>
  <c r="J359" i="5"/>
  <c r="L359" i="5"/>
  <c r="M359" i="5"/>
  <c r="B87" i="5"/>
  <c r="C87" i="5"/>
  <c r="D87" i="5"/>
  <c r="E87" i="5"/>
  <c r="G87" i="5"/>
  <c r="H87" i="5"/>
  <c r="I87" i="5"/>
  <c r="J87" i="5"/>
  <c r="L87" i="5"/>
  <c r="M87" i="5"/>
  <c r="B236" i="5"/>
  <c r="C236" i="5"/>
  <c r="D236" i="5"/>
  <c r="E236" i="5"/>
  <c r="G236" i="5"/>
  <c r="H236" i="5"/>
  <c r="I236" i="5"/>
  <c r="J236" i="5"/>
  <c r="L236" i="5"/>
  <c r="M236" i="5"/>
  <c r="B834" i="5"/>
  <c r="C834" i="5"/>
  <c r="D834" i="5"/>
  <c r="E834" i="5"/>
  <c r="G834" i="5"/>
  <c r="H834" i="5"/>
  <c r="I834" i="5"/>
  <c r="J834" i="5"/>
  <c r="L834" i="5"/>
  <c r="M834" i="5"/>
  <c r="B501" i="5"/>
  <c r="C501" i="5"/>
  <c r="D501" i="5"/>
  <c r="E501" i="5"/>
  <c r="G501" i="5"/>
  <c r="H501" i="5"/>
  <c r="I501" i="5"/>
  <c r="J501" i="5"/>
  <c r="L501" i="5"/>
  <c r="M501" i="5"/>
  <c r="B146" i="5"/>
  <c r="C146" i="5"/>
  <c r="D146" i="5"/>
  <c r="E146" i="5"/>
  <c r="G146" i="5"/>
  <c r="H146" i="5"/>
  <c r="I146" i="5"/>
  <c r="J146" i="5"/>
  <c r="L146" i="5"/>
  <c r="M146" i="5"/>
  <c r="B562" i="5"/>
  <c r="C562" i="5"/>
  <c r="D562" i="5"/>
  <c r="E562" i="5"/>
  <c r="G562" i="5"/>
  <c r="H562" i="5"/>
  <c r="I562" i="5"/>
  <c r="J562" i="5"/>
  <c r="L562" i="5"/>
  <c r="M562" i="5"/>
  <c r="B1131" i="5"/>
  <c r="C1131" i="5"/>
  <c r="D1131" i="5"/>
  <c r="E1131" i="5"/>
  <c r="G1131" i="5"/>
  <c r="H1131" i="5"/>
  <c r="I1131" i="5"/>
  <c r="J1131" i="5"/>
  <c r="L1131" i="5"/>
  <c r="M1131" i="5"/>
  <c r="B759" i="5"/>
  <c r="C759" i="5"/>
  <c r="D759" i="5"/>
  <c r="E759" i="5"/>
  <c r="G759" i="5"/>
  <c r="H759" i="5"/>
  <c r="I759" i="5"/>
  <c r="J759" i="5"/>
  <c r="L759" i="5"/>
  <c r="M759" i="5"/>
  <c r="B31" i="5"/>
  <c r="C31" i="5"/>
  <c r="D31" i="5"/>
  <c r="E31" i="5"/>
  <c r="G31" i="5"/>
  <c r="H31" i="5"/>
  <c r="I31" i="5"/>
  <c r="J31" i="5"/>
  <c r="L31" i="5"/>
  <c r="M31" i="5"/>
  <c r="B1241" i="5"/>
  <c r="C1241" i="5"/>
  <c r="D1241" i="5"/>
  <c r="E1241" i="5"/>
  <c r="G1241" i="5"/>
  <c r="H1241" i="5"/>
  <c r="I1241" i="5"/>
  <c r="J1241" i="5"/>
  <c r="L1241" i="5"/>
  <c r="M1241" i="5"/>
  <c r="B232" i="5"/>
  <c r="C232" i="5"/>
  <c r="D232" i="5"/>
  <c r="E232" i="5"/>
  <c r="G232" i="5"/>
  <c r="H232" i="5"/>
  <c r="I232" i="5"/>
  <c r="J232" i="5"/>
  <c r="L232" i="5"/>
  <c r="M232" i="5"/>
  <c r="B1213" i="5"/>
  <c r="C1213" i="5"/>
  <c r="D1213" i="5"/>
  <c r="E1213" i="5"/>
  <c r="G1213" i="5"/>
  <c r="H1213" i="5"/>
  <c r="I1213" i="5"/>
  <c r="J1213" i="5"/>
  <c r="L1213" i="5"/>
  <c r="M1213" i="5"/>
  <c r="B1295" i="5"/>
  <c r="C1295" i="5"/>
  <c r="D1295" i="5"/>
  <c r="E1295" i="5"/>
  <c r="G1295" i="5"/>
  <c r="H1295" i="5"/>
  <c r="I1295" i="5"/>
  <c r="J1295" i="5"/>
  <c r="L1295" i="5"/>
  <c r="M1295" i="5"/>
  <c r="B125" i="5"/>
  <c r="C125" i="5"/>
  <c r="D125" i="5"/>
  <c r="E125" i="5"/>
  <c r="G125" i="5"/>
  <c r="H125" i="5"/>
  <c r="I125" i="5"/>
  <c r="J125" i="5"/>
  <c r="L125" i="5"/>
  <c r="M125" i="5"/>
  <c r="B1207" i="5"/>
  <c r="C1207" i="5"/>
  <c r="D1207" i="5"/>
  <c r="E1207" i="5"/>
  <c r="G1207" i="5"/>
  <c r="H1207" i="5"/>
  <c r="I1207" i="5"/>
  <c r="J1207" i="5"/>
  <c r="L1207" i="5"/>
  <c r="M1207" i="5"/>
  <c r="B1106" i="5"/>
  <c r="C1106" i="5"/>
  <c r="D1106" i="5"/>
  <c r="E1106" i="5"/>
  <c r="G1106" i="5"/>
  <c r="H1106" i="5"/>
  <c r="I1106" i="5"/>
  <c r="J1106" i="5"/>
  <c r="L1106" i="5"/>
  <c r="M1106" i="5"/>
  <c r="B724" i="5"/>
  <c r="C724" i="5"/>
  <c r="D724" i="5"/>
  <c r="E724" i="5"/>
  <c r="G724" i="5"/>
  <c r="H724" i="5"/>
  <c r="I724" i="5"/>
  <c r="J724" i="5"/>
  <c r="L724" i="5"/>
  <c r="M724" i="5"/>
  <c r="B395" i="5"/>
  <c r="C395" i="5"/>
  <c r="D395" i="5"/>
  <c r="E395" i="5"/>
  <c r="G395" i="5"/>
  <c r="H395" i="5"/>
  <c r="I395" i="5"/>
  <c r="J395" i="5"/>
  <c r="L395" i="5"/>
  <c r="M395" i="5"/>
  <c r="B285" i="5"/>
  <c r="C285" i="5"/>
  <c r="D285" i="5"/>
  <c r="E285" i="5"/>
  <c r="G285" i="5"/>
  <c r="H285" i="5"/>
  <c r="I285" i="5"/>
  <c r="J285" i="5"/>
  <c r="L285" i="5"/>
  <c r="M285" i="5"/>
  <c r="B1020" i="5"/>
  <c r="C1020" i="5"/>
  <c r="D1020" i="5"/>
  <c r="E1020" i="5"/>
  <c r="G1020" i="5"/>
  <c r="H1020" i="5"/>
  <c r="I1020" i="5"/>
  <c r="J1020" i="5"/>
  <c r="L1020" i="5"/>
  <c r="M1020" i="5"/>
  <c r="B1188" i="5"/>
  <c r="C1188" i="5"/>
  <c r="D1188" i="5"/>
  <c r="E1188" i="5"/>
  <c r="G1188" i="5"/>
  <c r="H1188" i="5"/>
  <c r="I1188" i="5"/>
  <c r="J1188" i="5"/>
  <c r="L1188" i="5"/>
  <c r="M1188" i="5"/>
  <c r="B193" i="5"/>
  <c r="C193" i="5"/>
  <c r="D193" i="5"/>
  <c r="E193" i="5"/>
  <c r="G193" i="5"/>
  <c r="H193" i="5"/>
  <c r="I193" i="5"/>
  <c r="J193" i="5"/>
  <c r="L193" i="5"/>
  <c r="M193" i="5"/>
  <c r="B258" i="5"/>
  <c r="C258" i="5"/>
  <c r="D258" i="5"/>
  <c r="E258" i="5"/>
  <c r="G258" i="5"/>
  <c r="H258" i="5"/>
  <c r="I258" i="5"/>
  <c r="J258" i="5"/>
  <c r="L258" i="5"/>
  <c r="M258" i="5"/>
  <c r="B556" i="5"/>
  <c r="C556" i="5"/>
  <c r="D556" i="5"/>
  <c r="E556" i="5"/>
  <c r="G556" i="5"/>
  <c r="H556" i="5"/>
  <c r="I556" i="5"/>
  <c r="J556" i="5"/>
  <c r="L556" i="5"/>
  <c r="M556" i="5"/>
  <c r="B520" i="5"/>
  <c r="C520" i="5"/>
  <c r="D520" i="5"/>
  <c r="E520" i="5"/>
  <c r="G520" i="5"/>
  <c r="H520" i="5"/>
  <c r="I520" i="5"/>
  <c r="J520" i="5"/>
  <c r="L520" i="5"/>
  <c r="M520" i="5"/>
  <c r="B1195" i="5"/>
  <c r="C1195" i="5"/>
  <c r="D1195" i="5"/>
  <c r="E1195" i="5"/>
  <c r="G1195" i="5"/>
  <c r="H1195" i="5"/>
  <c r="I1195" i="5"/>
  <c r="J1195" i="5"/>
  <c r="L1195" i="5"/>
  <c r="M1195" i="5"/>
  <c r="B20" i="5"/>
  <c r="C20" i="5"/>
  <c r="D20" i="5"/>
  <c r="E20" i="5"/>
  <c r="G20" i="5"/>
  <c r="H20" i="5"/>
  <c r="I20" i="5"/>
  <c r="J20" i="5"/>
  <c r="L20" i="5"/>
  <c r="M20" i="5"/>
  <c r="B150" i="5"/>
  <c r="C150" i="5"/>
  <c r="D150" i="5"/>
  <c r="E150" i="5"/>
  <c r="G150" i="5"/>
  <c r="H150" i="5"/>
  <c r="I150" i="5"/>
  <c r="J150" i="5"/>
  <c r="L150" i="5"/>
  <c r="M150" i="5"/>
  <c r="B879" i="5"/>
  <c r="C879" i="5"/>
  <c r="D879" i="5"/>
  <c r="E879" i="5"/>
  <c r="G879" i="5"/>
  <c r="H879" i="5"/>
  <c r="I879" i="5"/>
  <c r="J879" i="5"/>
  <c r="L879" i="5"/>
  <c r="M879" i="5"/>
  <c r="B275" i="5"/>
  <c r="C275" i="5"/>
  <c r="D275" i="5"/>
  <c r="E275" i="5"/>
  <c r="G275" i="5"/>
  <c r="H275" i="5"/>
  <c r="I275" i="5"/>
  <c r="J275" i="5"/>
  <c r="L275" i="5"/>
  <c r="M275" i="5"/>
  <c r="B179" i="5"/>
  <c r="C179" i="5"/>
  <c r="D179" i="5"/>
  <c r="E179" i="5"/>
  <c r="G179" i="5"/>
  <c r="H179" i="5"/>
  <c r="I179" i="5"/>
  <c r="J179" i="5"/>
  <c r="L179" i="5"/>
  <c r="M179" i="5"/>
  <c r="B674" i="5"/>
  <c r="C674" i="5"/>
  <c r="D674" i="5"/>
  <c r="E674" i="5"/>
  <c r="G674" i="5"/>
  <c r="H674" i="5"/>
  <c r="I674" i="5"/>
  <c r="J674" i="5"/>
  <c r="L674" i="5"/>
  <c r="M674" i="5"/>
  <c r="B1019" i="5"/>
  <c r="C1019" i="5"/>
  <c r="D1019" i="5"/>
  <c r="E1019" i="5"/>
  <c r="G1019" i="5"/>
  <c r="H1019" i="5"/>
  <c r="I1019" i="5"/>
  <c r="J1019" i="5"/>
  <c r="L1019" i="5"/>
  <c r="M1019" i="5"/>
  <c r="B747" i="5"/>
  <c r="C747" i="5"/>
  <c r="D747" i="5"/>
  <c r="E747" i="5"/>
  <c r="G747" i="5"/>
  <c r="H747" i="5"/>
  <c r="I747" i="5"/>
  <c r="J747" i="5"/>
  <c r="L747" i="5"/>
  <c r="M747" i="5"/>
  <c r="B1338" i="5"/>
  <c r="C1338" i="5"/>
  <c r="D1338" i="5"/>
  <c r="E1338" i="5"/>
  <c r="G1338" i="5"/>
  <c r="H1338" i="5"/>
  <c r="I1338" i="5"/>
  <c r="J1338" i="5"/>
  <c r="L1338" i="5"/>
  <c r="M1338" i="5"/>
  <c r="B833" i="5"/>
  <c r="C833" i="5"/>
  <c r="D833" i="5"/>
  <c r="E833" i="5"/>
  <c r="G833" i="5"/>
  <c r="H833" i="5"/>
  <c r="I833" i="5"/>
  <c r="J833" i="5"/>
  <c r="L833" i="5"/>
  <c r="M833" i="5"/>
  <c r="B900" i="5"/>
  <c r="C900" i="5"/>
  <c r="D900" i="5"/>
  <c r="E900" i="5"/>
  <c r="G900" i="5"/>
  <c r="H900" i="5"/>
  <c r="I900" i="5"/>
  <c r="J900" i="5"/>
  <c r="L900" i="5"/>
  <c r="M900" i="5"/>
  <c r="B142" i="5"/>
  <c r="C142" i="5"/>
  <c r="D142" i="5"/>
  <c r="E142" i="5"/>
  <c r="G142" i="5"/>
  <c r="H142" i="5"/>
  <c r="I142" i="5"/>
  <c r="J142" i="5"/>
  <c r="L142" i="5"/>
  <c r="M142" i="5"/>
  <c r="B732" i="5"/>
  <c r="C732" i="5"/>
  <c r="D732" i="5"/>
  <c r="E732" i="5"/>
  <c r="G732" i="5"/>
  <c r="H732" i="5"/>
  <c r="I732" i="5"/>
  <c r="J732" i="5"/>
  <c r="L732" i="5"/>
  <c r="M732" i="5"/>
  <c r="B623" i="5"/>
  <c r="C623" i="5"/>
  <c r="D623" i="5"/>
  <c r="E623" i="5"/>
  <c r="G623" i="5"/>
  <c r="H623" i="5"/>
  <c r="I623" i="5"/>
  <c r="J623" i="5"/>
  <c r="L623" i="5"/>
  <c r="M623" i="5"/>
  <c r="B543" i="5"/>
  <c r="C543" i="5"/>
  <c r="D543" i="5"/>
  <c r="E543" i="5"/>
  <c r="G543" i="5"/>
  <c r="H543" i="5"/>
  <c r="I543" i="5"/>
  <c r="J543" i="5"/>
  <c r="L543" i="5"/>
  <c r="M543" i="5"/>
  <c r="B320" i="5"/>
  <c r="C320" i="5"/>
  <c r="D320" i="5"/>
  <c r="E320" i="5"/>
  <c r="G320" i="5"/>
  <c r="H320" i="5"/>
  <c r="I320" i="5"/>
  <c r="J320" i="5"/>
  <c r="L320" i="5"/>
  <c r="M320" i="5"/>
  <c r="B1010" i="5"/>
  <c r="C1010" i="5"/>
  <c r="D1010" i="5"/>
  <c r="E1010" i="5"/>
  <c r="G1010" i="5"/>
  <c r="H1010" i="5"/>
  <c r="I1010" i="5"/>
  <c r="J1010" i="5"/>
  <c r="L1010" i="5"/>
  <c r="M1010" i="5"/>
  <c r="B383" i="5"/>
  <c r="C383" i="5"/>
  <c r="D383" i="5"/>
  <c r="E383" i="5"/>
  <c r="G383" i="5"/>
  <c r="H383" i="5"/>
  <c r="I383" i="5"/>
  <c r="J383" i="5"/>
  <c r="L383" i="5"/>
  <c r="M383" i="5"/>
  <c r="B567" i="5"/>
  <c r="C567" i="5"/>
  <c r="D567" i="5"/>
  <c r="E567" i="5"/>
  <c r="G567" i="5"/>
  <c r="H567" i="5"/>
  <c r="I567" i="5"/>
  <c r="J567" i="5"/>
  <c r="L567" i="5"/>
  <c r="M567" i="5"/>
  <c r="B815" i="5"/>
  <c r="C815" i="5"/>
  <c r="D815" i="5"/>
  <c r="E815" i="5"/>
  <c r="G815" i="5"/>
  <c r="H815" i="5"/>
  <c r="I815" i="5"/>
  <c r="J815" i="5"/>
  <c r="L815" i="5"/>
  <c r="M815" i="5"/>
  <c r="B1208" i="5"/>
  <c r="C1208" i="5"/>
  <c r="D1208" i="5"/>
  <c r="E1208" i="5"/>
  <c r="G1208" i="5"/>
  <c r="H1208" i="5"/>
  <c r="I1208" i="5"/>
  <c r="J1208" i="5"/>
  <c r="L1208" i="5"/>
  <c r="M1208" i="5"/>
  <c r="B393" i="5"/>
  <c r="C393" i="5"/>
  <c r="D393" i="5"/>
  <c r="E393" i="5"/>
  <c r="G393" i="5"/>
  <c r="H393" i="5"/>
  <c r="I393" i="5"/>
  <c r="J393" i="5"/>
  <c r="L393" i="5"/>
  <c r="M393" i="5"/>
  <c r="B354" i="5"/>
  <c r="C354" i="5"/>
  <c r="D354" i="5"/>
  <c r="E354" i="5"/>
  <c r="G354" i="5"/>
  <c r="H354" i="5"/>
  <c r="I354" i="5"/>
  <c r="J354" i="5"/>
  <c r="L354" i="5"/>
  <c r="M354" i="5"/>
  <c r="B55" i="5"/>
  <c r="C55" i="5"/>
  <c r="D55" i="5"/>
  <c r="E55" i="5"/>
  <c r="G55" i="5"/>
  <c r="H55" i="5"/>
  <c r="I55" i="5"/>
  <c r="J55" i="5"/>
  <c r="L55" i="5"/>
  <c r="M55" i="5"/>
  <c r="B810" i="5"/>
  <c r="C810" i="5"/>
  <c r="D810" i="5"/>
  <c r="E810" i="5"/>
  <c r="G810" i="5"/>
  <c r="H810" i="5"/>
  <c r="I810" i="5"/>
  <c r="J810" i="5"/>
  <c r="L810" i="5"/>
  <c r="M810" i="5"/>
  <c r="B247" i="5"/>
  <c r="C247" i="5"/>
  <c r="D247" i="5"/>
  <c r="E247" i="5"/>
  <c r="G247" i="5"/>
  <c r="H247" i="5"/>
  <c r="I247" i="5"/>
  <c r="J247" i="5"/>
  <c r="L247" i="5"/>
  <c r="M247" i="5"/>
  <c r="B643" i="5"/>
  <c r="C643" i="5"/>
  <c r="D643" i="5"/>
  <c r="E643" i="5"/>
  <c r="G643" i="5"/>
  <c r="H643" i="5"/>
  <c r="I643" i="5"/>
  <c r="J643" i="5"/>
  <c r="L643" i="5"/>
  <c r="M643" i="5"/>
  <c r="B1052" i="5"/>
  <c r="C1052" i="5"/>
  <c r="D1052" i="5"/>
  <c r="E1052" i="5"/>
  <c r="G1052" i="5"/>
  <c r="H1052" i="5"/>
  <c r="I1052" i="5"/>
  <c r="J1052" i="5"/>
  <c r="L1052" i="5"/>
  <c r="M1052" i="5"/>
  <c r="B1305" i="5"/>
  <c r="C1305" i="5"/>
  <c r="D1305" i="5"/>
  <c r="E1305" i="5"/>
  <c r="G1305" i="5"/>
  <c r="H1305" i="5"/>
  <c r="I1305" i="5"/>
  <c r="J1305" i="5"/>
  <c r="L1305" i="5"/>
  <c r="M1305" i="5"/>
  <c r="B927" i="5"/>
  <c r="C927" i="5"/>
  <c r="D927" i="5"/>
  <c r="E927" i="5"/>
  <c r="G927" i="5"/>
  <c r="H927" i="5"/>
  <c r="I927" i="5"/>
  <c r="J927" i="5"/>
  <c r="L927" i="5"/>
  <c r="M927" i="5"/>
  <c r="B488" i="5"/>
  <c r="C488" i="5"/>
  <c r="D488" i="5"/>
  <c r="E488" i="5"/>
  <c r="G488" i="5"/>
  <c r="H488" i="5"/>
  <c r="I488" i="5"/>
  <c r="J488" i="5"/>
  <c r="L488" i="5"/>
  <c r="M488" i="5"/>
  <c r="B720" i="5"/>
  <c r="C720" i="5"/>
  <c r="D720" i="5"/>
  <c r="E720" i="5"/>
  <c r="G720" i="5"/>
  <c r="H720" i="5"/>
  <c r="I720" i="5"/>
  <c r="J720" i="5"/>
  <c r="L720" i="5"/>
  <c r="M720" i="5"/>
  <c r="B983" i="5"/>
  <c r="C983" i="5"/>
  <c r="D983" i="5"/>
  <c r="E983" i="5"/>
  <c r="G983" i="5"/>
  <c r="H983" i="5"/>
  <c r="I983" i="5"/>
  <c r="J983" i="5"/>
  <c r="L983" i="5"/>
  <c r="M983" i="5"/>
  <c r="B1076" i="5"/>
  <c r="C1076" i="5"/>
  <c r="D1076" i="5"/>
  <c r="E1076" i="5"/>
  <c r="G1076" i="5"/>
  <c r="H1076" i="5"/>
  <c r="I1076" i="5"/>
  <c r="J1076" i="5"/>
  <c r="L1076" i="5"/>
  <c r="M1076" i="5"/>
  <c r="B789" i="5"/>
  <c r="C789" i="5"/>
  <c r="D789" i="5"/>
  <c r="E789" i="5"/>
  <c r="G789" i="5"/>
  <c r="H789" i="5"/>
  <c r="I789" i="5"/>
  <c r="J789" i="5"/>
  <c r="L789" i="5"/>
  <c r="M789" i="5"/>
  <c r="B869" i="5"/>
  <c r="C869" i="5"/>
  <c r="D869" i="5"/>
  <c r="E869" i="5"/>
  <c r="G869" i="5"/>
  <c r="H869" i="5"/>
  <c r="I869" i="5"/>
  <c r="J869" i="5"/>
  <c r="L869" i="5"/>
  <c r="M869" i="5"/>
  <c r="B136" i="5"/>
  <c r="C136" i="5"/>
  <c r="D136" i="5"/>
  <c r="E136" i="5"/>
  <c r="G136" i="5"/>
  <c r="H136" i="5"/>
  <c r="I136" i="5"/>
  <c r="J136" i="5"/>
  <c r="L136" i="5"/>
  <c r="M136" i="5"/>
  <c r="B1180" i="5"/>
  <c r="C1180" i="5"/>
  <c r="D1180" i="5"/>
  <c r="E1180" i="5"/>
  <c r="G1180" i="5"/>
  <c r="H1180" i="5"/>
  <c r="I1180" i="5"/>
  <c r="J1180" i="5"/>
  <c r="L1180" i="5"/>
  <c r="M1180" i="5"/>
  <c r="B704" i="5"/>
  <c r="C704" i="5"/>
  <c r="D704" i="5"/>
  <c r="E704" i="5"/>
  <c r="G704" i="5"/>
  <c r="H704" i="5"/>
  <c r="I704" i="5"/>
  <c r="J704" i="5"/>
  <c r="L704" i="5"/>
  <c r="M704" i="5"/>
  <c r="B801" i="5"/>
  <c r="C801" i="5"/>
  <c r="D801" i="5"/>
  <c r="E801" i="5"/>
  <c r="G801" i="5"/>
  <c r="H801" i="5"/>
  <c r="I801" i="5"/>
  <c r="J801" i="5"/>
  <c r="L801" i="5"/>
  <c r="M801" i="5"/>
  <c r="B828" i="5"/>
  <c r="C828" i="5"/>
  <c r="D828" i="5"/>
  <c r="E828" i="5"/>
  <c r="G828" i="5"/>
  <c r="H828" i="5"/>
  <c r="I828" i="5"/>
  <c r="J828" i="5"/>
  <c r="L828" i="5"/>
  <c r="M828" i="5"/>
  <c r="B1209" i="5"/>
  <c r="C1209" i="5"/>
  <c r="D1209" i="5"/>
  <c r="E1209" i="5"/>
  <c r="G1209" i="5"/>
  <c r="H1209" i="5"/>
  <c r="I1209" i="5"/>
  <c r="J1209" i="5"/>
  <c r="L1209" i="5"/>
  <c r="M1209" i="5"/>
  <c r="B596" i="5"/>
  <c r="C596" i="5"/>
  <c r="D596" i="5"/>
  <c r="E596" i="5"/>
  <c r="G596" i="5"/>
  <c r="H596" i="5"/>
  <c r="I596" i="5"/>
  <c r="J596" i="5"/>
  <c r="L596" i="5"/>
  <c r="M596" i="5"/>
  <c r="B1077" i="5"/>
  <c r="C1077" i="5"/>
  <c r="D1077" i="5"/>
  <c r="E1077" i="5"/>
  <c r="G1077" i="5"/>
  <c r="H1077" i="5"/>
  <c r="I1077" i="5"/>
  <c r="J1077" i="5"/>
  <c r="L1077" i="5"/>
  <c r="M1077" i="5"/>
  <c r="B1334" i="5"/>
  <c r="C1334" i="5"/>
  <c r="D1334" i="5"/>
  <c r="E1334" i="5"/>
  <c r="G1334" i="5"/>
  <c r="H1334" i="5"/>
  <c r="I1334" i="5"/>
  <c r="J1334" i="5"/>
  <c r="L1334" i="5"/>
  <c r="M1334" i="5"/>
  <c r="B620" i="5"/>
  <c r="C620" i="5"/>
  <c r="D620" i="5"/>
  <c r="E620" i="5"/>
  <c r="G620" i="5"/>
  <c r="H620" i="5"/>
  <c r="I620" i="5"/>
  <c r="J620" i="5"/>
  <c r="L620" i="5"/>
  <c r="M620" i="5"/>
  <c r="B245" i="5"/>
  <c r="C245" i="5"/>
  <c r="D245" i="5"/>
  <c r="E245" i="5"/>
  <c r="G245" i="5"/>
  <c r="H245" i="5"/>
  <c r="I245" i="5"/>
  <c r="J245" i="5"/>
  <c r="L245" i="5"/>
  <c r="M245" i="5"/>
  <c r="B669" i="5"/>
  <c r="C669" i="5"/>
  <c r="D669" i="5"/>
  <c r="E669" i="5"/>
  <c r="G669" i="5"/>
  <c r="H669" i="5"/>
  <c r="I669" i="5"/>
  <c r="J669" i="5"/>
  <c r="L669" i="5"/>
  <c r="M669" i="5"/>
  <c r="B554" i="5"/>
  <c r="C554" i="5"/>
  <c r="D554" i="5"/>
  <c r="E554" i="5"/>
  <c r="G554" i="5"/>
  <c r="H554" i="5"/>
  <c r="I554" i="5"/>
  <c r="J554" i="5"/>
  <c r="L554" i="5"/>
  <c r="M554" i="5"/>
  <c r="B1169" i="5"/>
  <c r="C1169" i="5"/>
  <c r="D1169" i="5"/>
  <c r="E1169" i="5"/>
  <c r="G1169" i="5"/>
  <c r="H1169" i="5"/>
  <c r="I1169" i="5"/>
  <c r="J1169" i="5"/>
  <c r="L1169" i="5"/>
  <c r="M1169" i="5"/>
  <c r="B992" i="5"/>
  <c r="C992" i="5"/>
  <c r="D992" i="5"/>
  <c r="E992" i="5"/>
  <c r="G992" i="5"/>
  <c r="H992" i="5"/>
  <c r="I992" i="5"/>
  <c r="J992" i="5"/>
  <c r="L992" i="5"/>
  <c r="M992" i="5"/>
  <c r="B1336" i="5"/>
  <c r="C1336" i="5"/>
  <c r="D1336" i="5"/>
  <c r="E1336" i="5"/>
  <c r="G1336" i="5"/>
  <c r="H1336" i="5"/>
  <c r="I1336" i="5"/>
  <c r="J1336" i="5"/>
  <c r="L1336" i="5"/>
  <c r="M1336" i="5"/>
  <c r="B259" i="5"/>
  <c r="C259" i="5"/>
  <c r="D259" i="5"/>
  <c r="E259" i="5"/>
  <c r="G259" i="5"/>
  <c r="H259" i="5"/>
  <c r="I259" i="5"/>
  <c r="J259" i="5"/>
  <c r="L259" i="5"/>
  <c r="M259" i="5"/>
  <c r="B509" i="5"/>
  <c r="C509" i="5"/>
  <c r="D509" i="5"/>
  <c r="E509" i="5"/>
  <c r="G509" i="5"/>
  <c r="H509" i="5"/>
  <c r="I509" i="5"/>
  <c r="J509" i="5"/>
  <c r="L509" i="5"/>
  <c r="M509" i="5"/>
  <c r="B884" i="5"/>
  <c r="C884" i="5"/>
  <c r="D884" i="5"/>
  <c r="E884" i="5"/>
  <c r="G884" i="5"/>
  <c r="H884" i="5"/>
  <c r="I884" i="5"/>
  <c r="J884" i="5"/>
  <c r="L884" i="5"/>
  <c r="M884" i="5"/>
  <c r="B335" i="5"/>
  <c r="C335" i="5"/>
  <c r="D335" i="5"/>
  <c r="E335" i="5"/>
  <c r="G335" i="5"/>
  <c r="H335" i="5"/>
  <c r="I335" i="5"/>
  <c r="J335" i="5"/>
  <c r="L335" i="5"/>
  <c r="M335" i="5"/>
  <c r="B960" i="5"/>
  <c r="C960" i="5"/>
  <c r="D960" i="5"/>
  <c r="E960" i="5"/>
  <c r="G960" i="5"/>
  <c r="H960" i="5"/>
  <c r="I960" i="5"/>
  <c r="J960" i="5"/>
  <c r="L960" i="5"/>
  <c r="M960" i="5"/>
  <c r="B688" i="5"/>
  <c r="C688" i="5"/>
  <c r="D688" i="5"/>
  <c r="E688" i="5"/>
  <c r="G688" i="5"/>
  <c r="H688" i="5"/>
  <c r="I688" i="5"/>
  <c r="J688" i="5"/>
  <c r="L688" i="5"/>
  <c r="M688" i="5"/>
  <c r="B575" i="5"/>
  <c r="C575" i="5"/>
  <c r="D575" i="5"/>
  <c r="E575" i="5"/>
  <c r="G575" i="5"/>
  <c r="H575" i="5"/>
  <c r="I575" i="5"/>
  <c r="J575" i="5"/>
  <c r="L575" i="5"/>
  <c r="M575" i="5"/>
  <c r="B209" i="5"/>
  <c r="C209" i="5"/>
  <c r="D209" i="5"/>
  <c r="E209" i="5"/>
  <c r="G209" i="5"/>
  <c r="H209" i="5"/>
  <c r="I209" i="5"/>
  <c r="J209" i="5"/>
  <c r="L209" i="5"/>
  <c r="M209" i="5"/>
  <c r="B1109" i="5"/>
  <c r="C1109" i="5"/>
  <c r="D1109" i="5"/>
  <c r="E1109" i="5"/>
  <c r="G1109" i="5"/>
  <c r="H1109" i="5"/>
  <c r="I1109" i="5"/>
  <c r="J1109" i="5"/>
  <c r="L1109" i="5"/>
  <c r="M1109" i="5"/>
  <c r="B177" i="5"/>
  <c r="C177" i="5"/>
  <c r="D177" i="5"/>
  <c r="E177" i="5"/>
  <c r="G177" i="5"/>
  <c r="H177" i="5"/>
  <c r="I177" i="5"/>
  <c r="J177" i="5"/>
  <c r="L177" i="5"/>
  <c r="M177" i="5"/>
  <c r="B138" i="5"/>
  <c r="C138" i="5"/>
  <c r="D138" i="5"/>
  <c r="E138" i="5"/>
  <c r="G138" i="5"/>
  <c r="H138" i="5"/>
  <c r="I138" i="5"/>
  <c r="J138" i="5"/>
  <c r="L138" i="5"/>
  <c r="M138" i="5"/>
  <c r="B566" i="5"/>
  <c r="C566" i="5"/>
  <c r="D566" i="5"/>
  <c r="E566" i="5"/>
  <c r="G566" i="5"/>
  <c r="H566" i="5"/>
  <c r="I566" i="5"/>
  <c r="J566" i="5"/>
  <c r="L566" i="5"/>
  <c r="M566" i="5"/>
  <c r="B1326" i="5"/>
  <c r="C1326" i="5"/>
  <c r="D1326" i="5"/>
  <c r="E1326" i="5"/>
  <c r="G1326" i="5"/>
  <c r="H1326" i="5"/>
  <c r="I1326" i="5"/>
  <c r="J1326" i="5"/>
  <c r="L1326" i="5"/>
  <c r="M1326" i="5"/>
  <c r="B527" i="5"/>
  <c r="C527" i="5"/>
  <c r="D527" i="5"/>
  <c r="E527" i="5"/>
  <c r="G527" i="5"/>
  <c r="H527" i="5"/>
  <c r="I527" i="5"/>
  <c r="J527" i="5"/>
  <c r="L527" i="5"/>
  <c r="M527" i="5"/>
  <c r="B238" i="5"/>
  <c r="C238" i="5"/>
  <c r="D238" i="5"/>
  <c r="E238" i="5"/>
  <c r="G238" i="5"/>
  <c r="H238" i="5"/>
  <c r="I238" i="5"/>
  <c r="J238" i="5"/>
  <c r="L238" i="5"/>
  <c r="M238" i="5"/>
  <c r="B85" i="5"/>
  <c r="C85" i="5"/>
  <c r="D85" i="5"/>
  <c r="E85" i="5"/>
  <c r="G85" i="5"/>
  <c r="H85" i="5"/>
  <c r="I85" i="5"/>
  <c r="J85" i="5"/>
  <c r="L85" i="5"/>
  <c r="M85" i="5"/>
  <c r="B557" i="5"/>
  <c r="C557" i="5"/>
  <c r="D557" i="5"/>
  <c r="E557" i="5"/>
  <c r="G557" i="5"/>
  <c r="H557" i="5"/>
  <c r="I557" i="5"/>
  <c r="J557" i="5"/>
  <c r="L557" i="5"/>
  <c r="M557" i="5"/>
  <c r="B871" i="5"/>
  <c r="C871" i="5"/>
  <c r="D871" i="5"/>
  <c r="E871" i="5"/>
  <c r="G871" i="5"/>
  <c r="H871" i="5"/>
  <c r="I871" i="5"/>
  <c r="J871" i="5"/>
  <c r="L871" i="5"/>
  <c r="M871" i="5"/>
  <c r="B1291" i="5"/>
  <c r="C1291" i="5"/>
  <c r="D1291" i="5"/>
  <c r="E1291" i="5"/>
  <c r="G1291" i="5"/>
  <c r="H1291" i="5"/>
  <c r="I1291" i="5"/>
  <c r="J1291" i="5"/>
  <c r="L1291" i="5"/>
  <c r="M1291" i="5"/>
  <c r="B825" i="5"/>
  <c r="C825" i="5"/>
  <c r="D825" i="5"/>
  <c r="E825" i="5"/>
  <c r="G825" i="5"/>
  <c r="H825" i="5"/>
  <c r="I825" i="5"/>
  <c r="J825" i="5"/>
  <c r="L825" i="5"/>
  <c r="M825" i="5"/>
  <c r="B1223" i="5"/>
  <c r="C1223" i="5"/>
  <c r="D1223" i="5"/>
  <c r="E1223" i="5"/>
  <c r="G1223" i="5"/>
  <c r="H1223" i="5"/>
  <c r="I1223" i="5"/>
  <c r="J1223" i="5"/>
  <c r="L1223" i="5"/>
  <c r="M1223" i="5"/>
  <c r="B1204" i="5"/>
  <c r="C1204" i="5"/>
  <c r="D1204" i="5"/>
  <c r="E1204" i="5"/>
  <c r="G1204" i="5"/>
  <c r="H1204" i="5"/>
  <c r="I1204" i="5"/>
  <c r="J1204" i="5"/>
  <c r="L1204" i="5"/>
  <c r="M1204" i="5"/>
  <c r="B1116" i="5"/>
  <c r="C1116" i="5"/>
  <c r="D1116" i="5"/>
  <c r="E1116" i="5"/>
  <c r="G1116" i="5"/>
  <c r="H1116" i="5"/>
  <c r="I1116" i="5"/>
  <c r="J1116" i="5"/>
  <c r="L1116" i="5"/>
  <c r="M1116" i="5"/>
  <c r="B738" i="5"/>
  <c r="C738" i="5"/>
  <c r="D738" i="5"/>
  <c r="E738" i="5"/>
  <c r="G738" i="5"/>
  <c r="H738" i="5"/>
  <c r="I738" i="5"/>
  <c r="J738" i="5"/>
  <c r="L738" i="5"/>
  <c r="M738" i="5"/>
  <c r="B1092" i="5"/>
  <c r="C1092" i="5"/>
  <c r="D1092" i="5"/>
  <c r="E1092" i="5"/>
  <c r="G1092" i="5"/>
  <c r="H1092" i="5"/>
  <c r="I1092" i="5"/>
  <c r="J1092" i="5"/>
  <c r="L1092" i="5"/>
  <c r="M1092" i="5"/>
  <c r="B1172" i="5"/>
  <c r="C1172" i="5"/>
  <c r="D1172" i="5"/>
  <c r="E1172" i="5"/>
  <c r="G1172" i="5"/>
  <c r="H1172" i="5"/>
  <c r="I1172" i="5"/>
  <c r="J1172" i="5"/>
  <c r="L1172" i="5"/>
  <c r="M1172" i="5"/>
  <c r="B589" i="5"/>
  <c r="C589" i="5"/>
  <c r="D589" i="5"/>
  <c r="E589" i="5"/>
  <c r="G589" i="5"/>
  <c r="H589" i="5"/>
  <c r="I589" i="5"/>
  <c r="J589" i="5"/>
  <c r="L589" i="5"/>
  <c r="M589" i="5"/>
  <c r="A974" i="5"/>
  <c r="A1286" i="5"/>
  <c r="A708" i="5"/>
  <c r="A922" i="5"/>
  <c r="A1133" i="5"/>
  <c r="A945" i="5"/>
  <c r="A227" i="5"/>
  <c r="A948" i="5"/>
  <c r="A961" i="5"/>
  <c r="A364" i="5"/>
  <c r="A1004" i="5"/>
  <c r="A1118" i="5"/>
  <c r="A1168" i="5"/>
  <c r="A165" i="5"/>
  <c r="A640" i="5"/>
  <c r="A910" i="5"/>
  <c r="A969" i="5"/>
  <c r="A169" i="5"/>
  <c r="A1044" i="5"/>
  <c r="A866" i="5"/>
  <c r="A880" i="5"/>
  <c r="A1260" i="5"/>
  <c r="A1139" i="5"/>
  <c r="A362" i="5"/>
  <c r="A686" i="5"/>
  <c r="A1330" i="5"/>
  <c r="A376" i="5"/>
  <c r="A722" i="5"/>
  <c r="A325" i="5"/>
  <c r="A792" i="5"/>
  <c r="A1292" i="5"/>
  <c r="A837" i="5"/>
  <c r="A839" i="5"/>
  <c r="A525" i="5"/>
  <c r="A1040" i="5"/>
  <c r="A989" i="5"/>
  <c r="A30" i="5"/>
  <c r="A657" i="5"/>
  <c r="A289" i="5"/>
  <c r="A803" i="5"/>
  <c r="A772" i="5"/>
  <c r="A941" i="5"/>
  <c r="A561" i="5"/>
  <c r="A212" i="5"/>
  <c r="A78" i="5"/>
  <c r="A1175" i="5"/>
  <c r="A251" i="5"/>
  <c r="A182" i="5"/>
  <c r="A1315" i="5"/>
  <c r="A533" i="5"/>
  <c r="A363" i="5"/>
  <c r="A935" i="5"/>
  <c r="A473" i="5"/>
  <c r="A235" i="5"/>
  <c r="A1282" i="5"/>
  <c r="A1329" i="5"/>
  <c r="A1160" i="5"/>
  <c r="A1031" i="5"/>
  <c r="A26" i="5"/>
  <c r="A1029" i="5"/>
  <c r="A117" i="5"/>
  <c r="A23" i="5"/>
  <c r="A937" i="5"/>
  <c r="A1035" i="5"/>
  <c r="A914" i="5"/>
  <c r="A976" i="5"/>
  <c r="A764" i="5"/>
  <c r="A1281" i="5"/>
  <c r="A94" i="5"/>
  <c r="A270" i="5"/>
  <c r="A779" i="5"/>
  <c r="A224" i="5"/>
  <c r="A36" i="5"/>
  <c r="A986" i="5"/>
  <c r="A604" i="5"/>
  <c r="A787" i="5"/>
  <c r="A34" i="5"/>
  <c r="A1069" i="5"/>
  <c r="A1309" i="5"/>
  <c r="A1220" i="5"/>
  <c r="A205" i="5"/>
  <c r="A698" i="5"/>
  <c r="A399" i="5"/>
  <c r="A233" i="5"/>
  <c r="A338" i="5"/>
  <c r="A1254" i="5"/>
  <c r="A314" i="5"/>
  <c r="A306" i="5"/>
  <c r="A863" i="5"/>
  <c r="A784" i="5"/>
  <c r="A16" i="5"/>
  <c r="A1182" i="5"/>
  <c r="A380" i="5"/>
  <c r="A667" i="5"/>
  <c r="A1123" i="5"/>
  <c r="A423" i="5"/>
  <c r="A447" i="5"/>
  <c r="A222" i="5"/>
  <c r="A1201" i="5"/>
  <c r="A1165" i="5"/>
  <c r="A758" i="5"/>
  <c r="A1264" i="5"/>
  <c r="A402" i="5"/>
  <c r="A38" i="5"/>
  <c r="A1179" i="5"/>
  <c r="A479" i="5"/>
  <c r="A217" i="5"/>
  <c r="A1333" i="5"/>
  <c r="A991" i="5"/>
  <c r="A1081" i="5"/>
  <c r="A687" i="5"/>
  <c r="A855" i="5"/>
  <c r="A480" i="5"/>
  <c r="A1216" i="5"/>
  <c r="A996" i="5"/>
  <c r="A49" i="5"/>
  <c r="A80" i="5"/>
  <c r="A853" i="5"/>
  <c r="A43" i="5"/>
  <c r="A382" i="5"/>
  <c r="A675" i="5"/>
  <c r="A1339" i="5"/>
  <c r="A163" i="5"/>
  <c r="A174" i="5"/>
  <c r="A267" i="5"/>
  <c r="A462" i="5"/>
  <c r="A651" i="5"/>
  <c r="A1003" i="5"/>
  <c r="A953" i="5"/>
  <c r="A1246" i="5"/>
  <c r="A663" i="5"/>
  <c r="A1259" i="5"/>
  <c r="A598" i="5"/>
  <c r="A1136" i="5"/>
  <c r="A1299" i="5"/>
  <c r="A68" i="5"/>
  <c r="A114" i="5"/>
  <c r="A1089" i="5"/>
  <c r="A634" i="5"/>
  <c r="A745" i="5"/>
  <c r="A1085" i="5"/>
  <c r="A99" i="5"/>
  <c r="A748" i="5"/>
  <c r="A1005" i="5"/>
  <c r="A638" i="5"/>
  <c r="A459" i="5"/>
  <c r="A958" i="5"/>
  <c r="A191" i="5"/>
  <c r="A1230" i="5"/>
  <c r="A453" i="5"/>
  <c r="A873" i="5"/>
  <c r="A1202" i="5"/>
  <c r="A1304" i="5"/>
  <c r="A67" i="5"/>
  <c r="A590" i="5"/>
  <c r="A1013" i="5"/>
  <c r="A998" i="5"/>
  <c r="A661" i="5"/>
  <c r="A263" i="5"/>
  <c r="A216" i="5"/>
  <c r="A536" i="5"/>
  <c r="A848" i="5"/>
  <c r="A424" i="5"/>
  <c r="A768" i="5"/>
  <c r="A1197" i="5"/>
  <c r="A682" i="5"/>
  <c r="A949" i="5"/>
  <c r="A280" i="5"/>
  <c r="A127" i="5"/>
  <c r="A89" i="5"/>
  <c r="A1177" i="5"/>
  <c r="A365" i="5"/>
  <c r="A341" i="5"/>
  <c r="A384" i="5"/>
  <c r="A802" i="5"/>
  <c r="A337" i="5"/>
  <c r="A1325" i="5"/>
  <c r="A617" i="5"/>
  <c r="A861" i="5"/>
  <c r="A132" i="5"/>
  <c r="A800" i="5"/>
  <c r="A691" i="5"/>
  <c r="A641" i="5"/>
  <c r="A2" i="5"/>
  <c r="A404" i="5"/>
  <c r="A957" i="5"/>
  <c r="A526" i="5"/>
  <c r="A219" i="5"/>
  <c r="A1008" i="5"/>
  <c r="A154" i="5"/>
  <c r="A200" i="5"/>
  <c r="A888" i="5"/>
  <c r="A465" i="5"/>
  <c r="A21" i="5"/>
  <c r="A1098" i="5"/>
  <c r="A655" i="5"/>
  <c r="A437" i="5"/>
  <c r="A495" i="5"/>
  <c r="A1117" i="5"/>
  <c r="A1301" i="5"/>
  <c r="A806" i="5"/>
  <c r="A390" i="5"/>
  <c r="A588" i="5"/>
  <c r="A418" i="5"/>
  <c r="A1268" i="5"/>
  <c r="A133" i="5"/>
  <c r="A1225" i="5"/>
  <c r="A785" i="5"/>
  <c r="A1147" i="5"/>
  <c r="A356" i="5"/>
  <c r="A1293" i="5"/>
  <c r="A506" i="5"/>
  <c r="A1265" i="5"/>
  <c r="A82" i="5"/>
  <c r="A1056" i="5"/>
  <c r="A4" i="5"/>
  <c r="A440" i="5"/>
  <c r="A823" i="5"/>
  <c r="A243" i="5"/>
  <c r="A1129" i="5"/>
  <c r="A731" i="5"/>
  <c r="A241" i="5"/>
  <c r="A1340" i="5"/>
  <c r="A272" i="5"/>
  <c r="A261" i="5"/>
  <c r="A350" i="5"/>
  <c r="A349" i="5"/>
  <c r="A166" i="5"/>
  <c r="A1083" i="5"/>
  <c r="A33" i="5"/>
  <c r="A70" i="5"/>
  <c r="A601" i="5"/>
  <c r="A149" i="5"/>
  <c r="A277" i="5"/>
  <c r="A389" i="5"/>
  <c r="A709" i="5"/>
  <c r="A947" i="5"/>
  <c r="A1279" i="5"/>
  <c r="A821" i="5"/>
  <c r="A1312" i="5"/>
  <c r="A1306" i="5"/>
  <c r="A552" i="5"/>
  <c r="A925" i="5"/>
  <c r="A340" i="5"/>
  <c r="A1158" i="5"/>
  <c r="A1269" i="5"/>
  <c r="A896" i="5"/>
  <c r="A538" i="5"/>
  <c r="A196" i="5"/>
  <c r="A228" i="5"/>
  <c r="A7" i="5"/>
  <c r="A1231" i="5"/>
  <c r="A121" i="5"/>
  <c r="A1229" i="5"/>
  <c r="A773" i="5"/>
  <c r="A246" i="5"/>
  <c r="A1012" i="5"/>
  <c r="A234" i="5"/>
  <c r="A1045" i="5"/>
  <c r="A407" i="5"/>
  <c r="A1266" i="5"/>
  <c r="A860" i="5"/>
  <c r="A528" i="5"/>
  <c r="A1058" i="5"/>
  <c r="A783" i="5"/>
  <c r="A273" i="5"/>
  <c r="A59" i="5"/>
  <c r="A1034" i="5"/>
  <c r="A972" i="5"/>
  <c r="A1097" i="5"/>
  <c r="A1331" i="5"/>
  <c r="A1328" i="5"/>
  <c r="A1082" i="5"/>
  <c r="A583" i="5"/>
  <c r="A1099" i="5"/>
  <c r="A838" i="5"/>
  <c r="A1322" i="5"/>
  <c r="A264" i="5"/>
  <c r="A344" i="5"/>
  <c r="A250" i="5"/>
  <c r="A1239" i="5"/>
  <c r="A1226" i="5"/>
  <c r="A798" i="5"/>
  <c r="A91" i="5"/>
  <c r="A658" i="5"/>
  <c r="A436" i="5"/>
  <c r="A858" i="5"/>
  <c r="A560" i="5"/>
  <c r="A1142" i="5"/>
  <c r="A485" i="5"/>
  <c r="A859" i="5"/>
  <c r="A134" i="5"/>
  <c r="A299" i="5"/>
  <c r="A1137" i="5"/>
  <c r="A300" i="5"/>
  <c r="A304" i="5"/>
  <c r="A6" i="5"/>
  <c r="A305" i="5"/>
  <c r="A531" i="5"/>
  <c r="A793" i="5"/>
  <c r="A1000" i="5"/>
  <c r="A1217" i="5"/>
  <c r="A919" i="5"/>
  <c r="A371" i="5"/>
  <c r="A429" i="5"/>
  <c r="A769" i="5"/>
  <c r="A278" i="5"/>
  <c r="A771" i="5"/>
  <c r="A997" i="5"/>
  <c r="A1038" i="5"/>
  <c r="A413" i="5"/>
  <c r="A460" i="5"/>
  <c r="A1024" i="5"/>
  <c r="A466" i="5"/>
  <c r="A204" i="5"/>
  <c r="A18" i="5"/>
  <c r="A416" i="5"/>
  <c r="A612" i="5"/>
  <c r="A1171" i="5"/>
  <c r="A294" i="5"/>
  <c r="A1184" i="5"/>
  <c r="A45" i="5"/>
  <c r="A1124" i="5"/>
  <c r="A1242" i="5"/>
  <c r="A1261" i="5"/>
  <c r="A172" i="5"/>
  <c r="A433" i="5"/>
  <c r="A60" i="5"/>
  <c r="A1119" i="5"/>
  <c r="A809" i="5"/>
  <c r="A302" i="5"/>
  <c r="A1215" i="5"/>
  <c r="A1066" i="5"/>
  <c r="A862" i="5"/>
  <c r="A892" i="5"/>
  <c r="A307" i="5"/>
  <c r="A780" i="5"/>
  <c r="A874" i="5"/>
  <c r="A83" i="5"/>
  <c r="A494" i="5"/>
  <c r="A845" i="5"/>
  <c r="A1228" i="5"/>
  <c r="A225" i="5"/>
  <c r="A1091" i="5"/>
  <c r="A749" i="5"/>
  <c r="A706" i="5"/>
  <c r="A1248" i="5"/>
  <c r="A544" i="5"/>
  <c r="A130" i="5"/>
  <c r="A585" i="5"/>
  <c r="A1080" i="5"/>
  <c r="A599" i="5"/>
  <c r="A820" i="5"/>
  <c r="A283" i="5"/>
  <c r="A417" i="5"/>
  <c r="A516" i="5"/>
  <c r="A903" i="5"/>
  <c r="A147" i="5"/>
  <c r="A1134" i="5"/>
  <c r="A609" i="5"/>
  <c r="A1114" i="5"/>
  <c r="A716" i="5"/>
  <c r="A637" i="5"/>
  <c r="A1073" i="5"/>
  <c r="A1278" i="5"/>
  <c r="A512" i="5"/>
  <c r="A579" i="5"/>
  <c r="A995" i="5"/>
  <c r="A940" i="5"/>
  <c r="A123" i="5"/>
  <c r="A742" i="5"/>
  <c r="A1036" i="5"/>
  <c r="A913" i="5"/>
  <c r="A411" i="5"/>
  <c r="A441" i="5"/>
  <c r="A400" i="5"/>
  <c r="A487" i="5"/>
  <c r="A540" i="5"/>
  <c r="A615" i="5"/>
  <c r="A446" i="5"/>
  <c r="A281" i="5"/>
  <c r="A545" i="5"/>
  <c r="A435" i="5"/>
  <c r="A574" i="5"/>
  <c r="A870" i="5"/>
  <c r="A394" i="5"/>
  <c r="A630" i="5"/>
  <c r="A654" i="5"/>
  <c r="A308" i="5"/>
  <c r="A633" i="5"/>
  <c r="A881" i="5"/>
  <c r="A253" i="5"/>
  <c r="A966" i="5"/>
  <c r="A175" i="5"/>
  <c r="A210" i="5"/>
  <c r="A1206" i="5"/>
  <c r="A374" i="5"/>
  <c r="A893" i="5"/>
  <c r="A1255" i="5"/>
  <c r="A286" i="5"/>
  <c r="A1210" i="5"/>
  <c r="A822" i="5"/>
  <c r="A777" i="5"/>
  <c r="A1294" i="5"/>
  <c r="A24" i="5"/>
  <c r="A1323" i="5"/>
  <c r="A517" i="5"/>
  <c r="A1161" i="5"/>
  <c r="A323" i="5"/>
  <c r="A28" i="5"/>
  <c r="A387" i="5"/>
  <c r="A426" i="5"/>
  <c r="A770" i="5"/>
  <c r="A568" i="5"/>
  <c r="A580" i="5"/>
  <c r="A139" i="5"/>
  <c r="A664" i="5"/>
  <c r="A189" i="5"/>
  <c r="A973" i="5"/>
  <c r="A819" i="5"/>
  <c r="A1006" i="5"/>
  <c r="A1104" i="5"/>
  <c r="A22" i="5"/>
  <c r="A660" i="5"/>
  <c r="A1138" i="5"/>
  <c r="A1227" i="5"/>
  <c r="A190" i="5"/>
  <c r="A1054" i="5"/>
  <c r="A497" i="5"/>
  <c r="A632" i="5"/>
  <c r="A62" i="5"/>
  <c r="A379" i="5"/>
  <c r="A603" i="5"/>
  <c r="A351" i="5"/>
  <c r="A906" i="5"/>
  <c r="A1095" i="5"/>
  <c r="A107" i="5"/>
  <c r="A162" i="5"/>
  <c r="A735" i="5"/>
  <c r="A1319" i="5"/>
  <c r="A1310" i="5"/>
  <c r="A707" i="5"/>
  <c r="A157" i="5"/>
  <c r="A1288" i="5"/>
  <c r="A990" i="5"/>
  <c r="A287" i="5"/>
  <c r="A156" i="5"/>
  <c r="A72" i="5"/>
  <c r="A392" i="5"/>
  <c r="A600" i="5"/>
  <c r="A116" i="5"/>
  <c r="A1236" i="5"/>
  <c r="A95" i="5"/>
  <c r="A679" i="5"/>
  <c r="A432" i="5"/>
  <c r="A388" i="5"/>
  <c r="A618" i="5"/>
  <c r="A713" i="5"/>
  <c r="A1086" i="5"/>
  <c r="A1018" i="5"/>
  <c r="A519" i="5"/>
  <c r="A542" i="5"/>
  <c r="A872" i="5"/>
  <c r="A457" i="5"/>
  <c r="A414" i="5"/>
  <c r="A431" i="5"/>
  <c r="A1100" i="5"/>
  <c r="A198" i="5"/>
  <c r="A170" i="5"/>
  <c r="A73" i="5"/>
  <c r="A1250" i="5"/>
  <c r="A284" i="5"/>
  <c r="A445" i="5"/>
  <c r="A843" i="5"/>
  <c r="A353" i="5"/>
  <c r="A692" i="5"/>
  <c r="A981" i="5"/>
  <c r="A1025" i="5"/>
  <c r="A714" i="5"/>
  <c r="A244" i="5"/>
  <c r="A1277" i="5"/>
  <c r="A1078" i="5"/>
  <c r="A40" i="5"/>
  <c r="A1187" i="5"/>
  <c r="A458" i="5"/>
  <c r="A1017" i="5"/>
  <c r="A987" i="5"/>
  <c r="A262" i="5"/>
  <c r="A489" i="5"/>
  <c r="A710" i="5"/>
  <c r="A1087" i="5"/>
  <c r="A518" i="5"/>
  <c r="A812" i="5"/>
  <c r="A347" i="5"/>
  <c r="A48" i="5"/>
  <c r="A1320" i="5"/>
  <c r="A535" i="5"/>
  <c r="A81" i="5"/>
  <c r="A932" i="5"/>
  <c r="A952" i="5"/>
  <c r="A582" i="5"/>
  <c r="A455" i="5"/>
  <c r="A164" i="5"/>
  <c r="A936" i="5"/>
  <c r="A1332" i="5"/>
  <c r="A964" i="5"/>
  <c r="A1033" i="5"/>
  <c r="A1321" i="5"/>
  <c r="A605" i="5"/>
  <c r="A673" i="5"/>
  <c r="A1203" i="5"/>
  <c r="A211" i="5"/>
  <c r="A1039" i="5"/>
  <c r="A891" i="5"/>
  <c r="A746" i="5"/>
  <c r="A555" i="5"/>
  <c r="A985" i="5"/>
  <c r="A252" i="5"/>
  <c r="A29" i="5"/>
  <c r="A1049" i="5"/>
  <c r="A581" i="5"/>
  <c r="A313" i="5"/>
  <c r="A899" i="5"/>
  <c r="A53" i="5"/>
  <c r="A1234" i="5"/>
  <c r="A1211" i="5"/>
  <c r="A1316" i="5"/>
  <c r="A788" i="5"/>
  <c r="A514" i="5"/>
  <c r="A1251" i="5"/>
  <c r="A836" i="5"/>
  <c r="A41" i="5"/>
  <c r="A1070" i="5"/>
  <c r="A1238" i="5"/>
  <c r="A360" i="5"/>
  <c r="A968" i="5"/>
  <c r="A752" i="5"/>
  <c r="A108" i="5"/>
  <c r="A529" i="5"/>
  <c r="A1127" i="5"/>
  <c r="A1232" i="5"/>
  <c r="A826" i="5"/>
  <c r="A1212" i="5"/>
  <c r="A886" i="5"/>
  <c r="A1303" i="5"/>
  <c r="A984" i="5"/>
  <c r="A100" i="5"/>
  <c r="A128" i="5"/>
  <c r="A242" i="5"/>
  <c r="A168" i="5"/>
  <c r="A288" i="5"/>
  <c r="A1274" i="5"/>
  <c r="A1205" i="5"/>
  <c r="A705" i="5"/>
  <c r="A469" i="5"/>
  <c r="A324" i="5"/>
  <c r="A449" i="5"/>
  <c r="A361" i="5"/>
  <c r="A1146" i="5"/>
  <c r="A522" i="5"/>
  <c r="A541" i="5"/>
  <c r="A743" i="5"/>
  <c r="A622" i="5"/>
  <c r="A1327" i="5"/>
  <c r="A369" i="5"/>
  <c r="A648" i="5"/>
  <c r="A155" i="5"/>
  <c r="A729" i="5"/>
  <c r="A105" i="5"/>
  <c r="A1103" i="5"/>
  <c r="A564" i="5"/>
  <c r="A681" i="5"/>
  <c r="A766" i="5"/>
  <c r="A1042" i="5"/>
  <c r="A851" i="5"/>
  <c r="A79" i="5"/>
  <c r="A454" i="5"/>
  <c r="A757" i="5"/>
  <c r="A490" i="5"/>
  <c r="A1167" i="5"/>
  <c r="A591" i="5"/>
  <c r="A1193" i="5"/>
  <c r="A530" i="5"/>
  <c r="A1135" i="5"/>
  <c r="A439" i="5"/>
  <c r="A553" i="5"/>
  <c r="A113" i="5"/>
  <c r="A315" i="5"/>
  <c r="A1030" i="5"/>
  <c r="A499" i="5"/>
  <c r="A194" i="5"/>
  <c r="A611" i="5"/>
  <c r="A1237" i="5"/>
  <c r="A1284" i="5"/>
  <c r="A61" i="5"/>
  <c r="A464" i="5"/>
  <c r="A954" i="5"/>
  <c r="A1071" i="5"/>
  <c r="A13" i="5"/>
  <c r="A1050" i="5"/>
  <c r="A197" i="5"/>
  <c r="A93" i="5"/>
  <c r="A644" i="5"/>
  <c r="A1194" i="5"/>
  <c r="A66" i="5"/>
  <c r="A894" i="5"/>
  <c r="A180" i="5"/>
  <c r="A570" i="5"/>
  <c r="A510" i="5"/>
  <c r="A65" i="5"/>
  <c r="A326" i="5"/>
  <c r="A717" i="5"/>
  <c r="A621" i="5"/>
  <c r="A1222" i="5"/>
  <c r="A11" i="5"/>
  <c r="A928" i="5"/>
  <c r="A786" i="5"/>
  <c r="A486" i="5"/>
  <c r="A602" i="5"/>
  <c r="A3" i="5"/>
  <c r="A505" i="5"/>
  <c r="A334" i="5"/>
  <c r="A391" i="5"/>
  <c r="A684" i="5"/>
  <c r="A565" i="5"/>
  <c r="A467" i="5"/>
  <c r="A1287" i="5"/>
  <c r="A10" i="5"/>
  <c r="A656" i="5"/>
  <c r="A508" i="5"/>
  <c r="A614" i="5"/>
  <c r="A346" i="5"/>
  <c r="A1060" i="5"/>
  <c r="A1243" i="5"/>
  <c r="A889" i="5"/>
  <c r="A1196" i="5"/>
  <c r="A924" i="5"/>
  <c r="A255" i="5"/>
  <c r="A35" i="5"/>
  <c r="A876" i="5"/>
  <c r="A607" i="5"/>
  <c r="A829" i="5"/>
  <c r="A967" i="5"/>
  <c r="A811" i="5"/>
  <c r="A619" i="5"/>
  <c r="A385" i="5"/>
  <c r="A868" i="5"/>
  <c r="A959" i="5"/>
  <c r="A1189" i="5"/>
  <c r="A76" i="5"/>
  <c r="A534" i="5"/>
  <c r="A221" i="5"/>
  <c r="A1174" i="5"/>
  <c r="A799" i="5"/>
  <c r="A1064" i="5"/>
  <c r="A421" i="5"/>
  <c r="A468" i="5"/>
  <c r="A532" i="5"/>
  <c r="A1235" i="5"/>
  <c r="A946" i="5"/>
  <c r="A98" i="5"/>
  <c r="A184" i="5"/>
  <c r="A1271" i="5"/>
  <c r="A406" i="5"/>
  <c r="A734" i="5"/>
  <c r="A563" i="5"/>
  <c r="A110" i="5"/>
  <c r="A176" i="5"/>
  <c r="A461" i="5"/>
  <c r="A875" i="5"/>
  <c r="A1149" i="5"/>
  <c r="A963" i="5"/>
  <c r="A160" i="5"/>
  <c r="A1256" i="5"/>
  <c r="A1115" i="5"/>
  <c r="A645" i="5"/>
  <c r="A1023" i="5"/>
  <c r="A249" i="5"/>
  <c r="A929" i="5"/>
  <c r="A229" i="5"/>
  <c r="A397" i="5"/>
  <c r="A671" i="5"/>
  <c r="A1151" i="5"/>
  <c r="A595" i="5"/>
  <c r="A470" i="5"/>
  <c r="A1057" i="5"/>
  <c r="A451" i="5"/>
  <c r="A1009" i="5"/>
  <c r="A1021" i="5"/>
  <c r="A167" i="5"/>
  <c r="A951" i="5"/>
  <c r="A546" i="5"/>
  <c r="A1126" i="5"/>
  <c r="A1162" i="5"/>
  <c r="A577" i="5"/>
  <c r="A274" i="5"/>
  <c r="A652" i="5"/>
  <c r="A883" i="5"/>
  <c r="A19" i="5"/>
  <c r="A1153" i="5"/>
  <c r="A1156" i="5"/>
  <c r="A1298" i="5"/>
  <c r="A647" i="5"/>
  <c r="A587" i="5"/>
  <c r="A782" i="5"/>
  <c r="A610" i="5"/>
  <c r="A978" i="5"/>
  <c r="A420" i="5"/>
  <c r="A484" i="5"/>
  <c r="A115" i="5"/>
  <c r="A950" i="5"/>
  <c r="A265" i="5"/>
  <c r="A938" i="5"/>
  <c r="A736" i="5"/>
  <c r="A725" i="5"/>
  <c r="A877" i="5"/>
  <c r="A398" i="5"/>
  <c r="A844" i="5"/>
  <c r="A1183" i="5"/>
  <c r="A17" i="5"/>
  <c r="A1022" i="5"/>
  <c r="A158" i="5"/>
  <c r="A559" i="5"/>
  <c r="A993" i="5"/>
  <c r="A672" i="5"/>
  <c r="A1267" i="5"/>
  <c r="A403" i="5"/>
  <c r="A982" i="5"/>
  <c r="A701" i="5"/>
  <c r="A1061" i="5"/>
  <c r="A268" i="5"/>
  <c r="A573" i="5"/>
  <c r="A1221" i="5"/>
  <c r="A1192" i="5"/>
  <c r="A804" i="5"/>
  <c r="A1311" i="5"/>
  <c r="A711" i="5"/>
  <c r="A331" i="5"/>
  <c r="A237" i="5"/>
  <c r="A911" i="5"/>
  <c r="A475" i="5"/>
  <c r="A584" i="5"/>
  <c r="A312" i="5"/>
  <c r="A195" i="5"/>
  <c r="A690" i="5"/>
  <c r="A1111" i="5"/>
  <c r="A39" i="5"/>
  <c r="A152" i="5"/>
  <c r="A71" i="5"/>
  <c r="A1068" i="5"/>
  <c r="A807" i="5"/>
  <c r="A539" i="5"/>
  <c r="A1059" i="5"/>
  <c r="A627" i="5"/>
  <c r="A827" i="5"/>
  <c r="A1120" i="5"/>
  <c r="A642" i="5"/>
  <c r="A126" i="5"/>
  <c r="A1055" i="5"/>
  <c r="A226" i="5"/>
  <c r="A775" i="5"/>
  <c r="A677" i="5"/>
  <c r="A50" i="5"/>
  <c r="A257" i="5"/>
  <c r="A523" i="5"/>
  <c r="A310" i="5"/>
  <c r="A220" i="5"/>
  <c r="A902" i="5"/>
  <c r="A1046" i="5"/>
  <c r="A231" i="5"/>
  <c r="A975" i="5"/>
  <c r="A970" i="5"/>
  <c r="A797" i="5"/>
  <c r="A478" i="5"/>
  <c r="A118" i="5"/>
  <c r="A1028" i="5"/>
  <c r="A1122" i="5"/>
  <c r="A1075" i="5"/>
  <c r="A857" i="5"/>
  <c r="A1198" i="5"/>
  <c r="A492" i="5"/>
  <c r="A905" i="5"/>
  <c r="A74" i="5"/>
  <c r="A979" i="5"/>
  <c r="A1152" i="5"/>
  <c r="A1290" i="5"/>
  <c r="A1318" i="5"/>
  <c r="A1043" i="5"/>
  <c r="A311" i="5"/>
  <c r="A832" i="5"/>
  <c r="A188" i="5"/>
  <c r="A101" i="5"/>
  <c r="A703" i="5"/>
  <c r="A1101" i="5"/>
  <c r="A317" i="5"/>
  <c r="A1176" i="5"/>
  <c r="A1219" i="5"/>
  <c r="A434" i="5"/>
  <c r="A774" i="5"/>
  <c r="A1314" i="5"/>
  <c r="A279" i="5"/>
  <c r="A1283" i="5"/>
  <c r="A141" i="5"/>
  <c r="A298" i="5"/>
  <c r="A668" i="5"/>
  <c r="A846" i="5"/>
  <c r="A438" i="5"/>
  <c r="A248" i="5"/>
  <c r="A715" i="5"/>
  <c r="A728" i="5"/>
  <c r="A741" i="5"/>
  <c r="A336" i="5"/>
  <c r="A442" i="5"/>
  <c r="A988" i="5"/>
  <c r="A368" i="5"/>
  <c r="A1185" i="5"/>
  <c r="A1275" i="5"/>
  <c r="A1335" i="5"/>
  <c r="A260" i="5"/>
  <c r="A183" i="5"/>
  <c r="A202" i="5"/>
  <c r="A666" i="5"/>
  <c r="A760" i="5"/>
  <c r="A1130" i="5"/>
  <c r="A778" i="5"/>
  <c r="A1218" i="5"/>
  <c r="A58" i="5"/>
  <c r="A1240" i="5"/>
  <c r="A372" i="5"/>
  <c r="A1051" i="5"/>
  <c r="A1048" i="5"/>
  <c r="A1272" i="5"/>
  <c r="A290" i="5"/>
  <c r="A293" i="5"/>
  <c r="A1047" i="5"/>
  <c r="A367" i="5"/>
  <c r="A594" i="5"/>
  <c r="A373" i="5"/>
  <c r="A1178" i="5"/>
  <c r="A381" i="5"/>
  <c r="A521" i="5"/>
  <c r="A918" i="5"/>
  <c r="A493" i="5"/>
  <c r="A37" i="5"/>
  <c r="A500" i="5"/>
  <c r="A47" i="5"/>
  <c r="A697" i="5"/>
  <c r="A328" i="5"/>
  <c r="A213" i="5"/>
  <c r="A767" i="5"/>
  <c r="A904" i="5"/>
  <c r="A240" i="5"/>
  <c r="A835" i="5"/>
  <c r="A1032" i="5"/>
  <c r="A1143" i="5"/>
  <c r="A161" i="5"/>
  <c r="A1093" i="5"/>
  <c r="A515" i="5"/>
  <c r="A297" i="5"/>
  <c r="A854" i="5"/>
  <c r="A333" i="5"/>
  <c r="A939" i="5"/>
  <c r="A890" i="5"/>
  <c r="A763" i="5"/>
  <c r="A650" i="5"/>
  <c r="A1067" i="5"/>
  <c r="A842" i="5"/>
  <c r="A44" i="5"/>
  <c r="A814" i="5"/>
  <c r="A1041" i="5"/>
  <c r="A1273" i="5"/>
  <c r="A12" i="5"/>
  <c r="A63" i="5"/>
  <c r="A401" i="5"/>
  <c r="A817" i="5"/>
  <c r="A448" i="5"/>
  <c r="A882" i="5"/>
  <c r="A907" i="5"/>
  <c r="A740" i="5"/>
  <c r="A396" i="5"/>
  <c r="A214" i="5"/>
  <c r="A1163" i="5"/>
  <c r="A1125" i="5"/>
  <c r="A849" i="5"/>
  <c r="A956" i="5"/>
  <c r="A1166" i="5"/>
  <c r="A1245" i="5"/>
  <c r="A375" i="5"/>
  <c r="A852" i="5"/>
  <c r="A572" i="5"/>
  <c r="A96" i="5"/>
  <c r="A613" i="5"/>
  <c r="A159" i="5"/>
  <c r="A329" i="5"/>
  <c r="A366" i="5"/>
  <c r="A1296" i="5"/>
  <c r="A171" i="5"/>
  <c r="A412" i="5"/>
  <c r="A129" i="5"/>
  <c r="A1297" i="5"/>
  <c r="A256" i="5"/>
  <c r="A665" i="5"/>
  <c r="A628" i="5"/>
  <c r="A322" i="5"/>
  <c r="A295" i="5"/>
  <c r="A980" i="5"/>
  <c r="A358" i="5"/>
  <c r="A206" i="5"/>
  <c r="A266" i="5"/>
  <c r="A1053" i="5"/>
  <c r="A1154" i="5"/>
  <c r="A694" i="5"/>
  <c r="A865" i="5"/>
  <c r="A86" i="5"/>
  <c r="A332" i="5"/>
  <c r="A303" i="5"/>
  <c r="A330" i="5"/>
  <c r="A726" i="5"/>
  <c r="A1072" i="5"/>
  <c r="A276" i="5"/>
  <c r="A1173" i="5"/>
  <c r="A450" i="5"/>
  <c r="A378" i="5"/>
  <c r="A1016" i="5"/>
  <c r="A296" i="5"/>
  <c r="A625" i="5"/>
  <c r="A54" i="5"/>
  <c r="A754" i="5"/>
  <c r="A503" i="5"/>
  <c r="A1094" i="5"/>
  <c r="A1308" i="5"/>
  <c r="A422" i="5"/>
  <c r="A576" i="5"/>
  <c r="A218" i="5"/>
  <c r="A962" i="5"/>
  <c r="A685" i="5"/>
  <c r="A737" i="5"/>
  <c r="A1084" i="5"/>
  <c r="A102" i="5"/>
  <c r="A727" i="5"/>
  <c r="A443" i="5"/>
  <c r="A498" i="5"/>
  <c r="A1144" i="5"/>
  <c r="A699" i="5"/>
  <c r="A1155" i="5"/>
  <c r="A923" i="5"/>
  <c r="A504" i="5"/>
  <c r="A1096" i="5"/>
  <c r="A472" i="5"/>
  <c r="A52" i="5"/>
  <c r="A327" i="5"/>
  <c r="A386" i="5"/>
  <c r="A933" i="5"/>
  <c r="A1300" i="5"/>
  <c r="A751" i="5"/>
  <c r="A477" i="5"/>
  <c r="A5" i="5"/>
  <c r="A700" i="5"/>
  <c r="A631" i="5"/>
  <c r="A377" i="5"/>
  <c r="A790" i="5"/>
  <c r="A1074" i="5"/>
  <c r="A895" i="5"/>
  <c r="A319" i="5"/>
  <c r="A1170" i="5"/>
  <c r="A111" i="5"/>
  <c r="A496" i="5"/>
  <c r="A148" i="5"/>
  <c r="A181" i="5"/>
  <c r="A547" i="5"/>
  <c r="A92" i="5"/>
  <c r="A571" i="5"/>
  <c r="A676" i="5"/>
  <c r="A765" i="5"/>
  <c r="A1214" i="5"/>
  <c r="A405" i="5"/>
  <c r="A1249" i="5"/>
  <c r="A1224" i="5"/>
  <c r="A1027" i="5"/>
  <c r="A1252" i="5"/>
  <c r="A1263" i="5"/>
  <c r="A702" i="5"/>
  <c r="A84" i="5"/>
  <c r="A1324" i="5"/>
  <c r="A971" i="5"/>
  <c r="A178" i="5"/>
  <c r="A507" i="5"/>
  <c r="A791" i="5"/>
  <c r="A915" i="5"/>
  <c r="A254" i="5"/>
  <c r="A56" i="5"/>
  <c r="A1337" i="5"/>
  <c r="A511" i="5"/>
  <c r="A1128" i="5"/>
  <c r="A636" i="5"/>
  <c r="A1186" i="5"/>
  <c r="A409" i="5"/>
  <c r="A483" i="5"/>
  <c r="A1026" i="5"/>
  <c r="A931" i="5"/>
  <c r="A1157" i="5"/>
  <c r="A318" i="5"/>
  <c r="A1341" i="5"/>
  <c r="A269" i="5"/>
  <c r="A348" i="5"/>
  <c r="A1108" i="5"/>
  <c r="A695" i="5"/>
  <c r="A1181" i="5"/>
  <c r="A1262" i="5"/>
  <c r="A670" i="5"/>
  <c r="A878" i="5"/>
  <c r="A761" i="5"/>
  <c r="A301" i="5"/>
  <c r="A847" i="5"/>
  <c r="A151" i="5"/>
  <c r="A1065" i="5"/>
  <c r="A1011" i="5"/>
  <c r="A744" i="5"/>
  <c r="A192" i="5"/>
  <c r="A120" i="5"/>
  <c r="A476" i="5"/>
  <c r="A887" i="5"/>
  <c r="A456" i="5"/>
  <c r="A64" i="5"/>
  <c r="A1247" i="5"/>
  <c r="A1107" i="5"/>
  <c r="A696" i="5"/>
  <c r="A712" i="5"/>
  <c r="A653" i="5"/>
  <c r="A920" i="5"/>
  <c r="A292" i="5"/>
  <c r="A1276" i="5"/>
  <c r="A885" i="5"/>
  <c r="A271" i="5"/>
  <c r="A1313" i="5"/>
  <c r="A75" i="5"/>
  <c r="A352" i="5"/>
  <c r="A463" i="5"/>
  <c r="A912" i="5"/>
  <c r="A46" i="5"/>
  <c r="A917" i="5"/>
  <c r="A27" i="5"/>
  <c r="A186" i="5"/>
  <c r="A942" i="5"/>
  <c r="A934" i="5"/>
  <c r="A415" i="5"/>
  <c r="A824" i="5"/>
  <c r="A1015" i="5"/>
  <c r="A427" i="5"/>
  <c r="A840" i="5"/>
  <c r="A550" i="5"/>
  <c r="A199" i="5"/>
  <c r="A143" i="5"/>
  <c r="A1233" i="5"/>
  <c r="A750" i="5"/>
  <c r="A1164" i="5"/>
  <c r="A419" i="5"/>
  <c r="A321" i="5"/>
  <c r="A408" i="5"/>
  <c r="A646" i="5"/>
  <c r="A805" i="5"/>
  <c r="A1200" i="5"/>
  <c r="A649" i="5"/>
  <c r="A357" i="5"/>
  <c r="A145" i="5"/>
  <c r="A1302" i="5"/>
  <c r="A926" i="5"/>
  <c r="A693" i="5"/>
  <c r="A42" i="5"/>
  <c r="A51" i="5"/>
  <c r="A756" i="5"/>
  <c r="A659" i="5"/>
  <c r="A1088" i="5"/>
  <c r="A444" i="5"/>
  <c r="A597" i="5"/>
  <c r="A739" i="5"/>
  <c r="A549" i="5"/>
  <c r="A502" i="5"/>
  <c r="A558" i="5"/>
  <c r="A77" i="5"/>
  <c r="A1079" i="5"/>
  <c r="A513" i="5"/>
  <c r="A1121" i="5"/>
  <c r="A153" i="5"/>
  <c r="A207" i="5"/>
  <c r="A999" i="5"/>
  <c r="A425" i="5"/>
  <c r="A897" i="5"/>
  <c r="A1001" i="5"/>
  <c r="A201" i="5"/>
  <c r="A678" i="5"/>
  <c r="A316" i="5"/>
  <c r="A203" i="5"/>
  <c r="A689" i="5"/>
  <c r="A137" i="5"/>
  <c r="A215" i="5"/>
  <c r="A930" i="5"/>
  <c r="A1102" i="5"/>
  <c r="A428" i="5"/>
  <c r="A1112" i="5"/>
  <c r="A131" i="5"/>
  <c r="A662" i="5"/>
  <c r="A867" i="5"/>
  <c r="A755" i="5"/>
  <c r="A816" i="5"/>
  <c r="A1140" i="5"/>
  <c r="A173" i="5"/>
  <c r="A593" i="5"/>
  <c r="A898" i="5"/>
  <c r="A818" i="5"/>
  <c r="A1110" i="5"/>
  <c r="A430" i="5"/>
  <c r="A119" i="5"/>
  <c r="A309" i="5"/>
  <c r="A586" i="5"/>
  <c r="A1280" i="5"/>
  <c r="A592" i="5"/>
  <c r="A122" i="5"/>
  <c r="A730" i="5"/>
  <c r="A208" i="5"/>
  <c r="A626" i="5"/>
  <c r="A965" i="5"/>
  <c r="A908" i="5"/>
  <c r="A124" i="5"/>
  <c r="A291" i="5"/>
  <c r="A112" i="5"/>
  <c r="A921" i="5"/>
  <c r="A103" i="5"/>
  <c r="A578" i="5"/>
  <c r="A1257" i="5"/>
  <c r="A841" i="5"/>
  <c r="A491" i="5"/>
  <c r="A1150" i="5"/>
  <c r="A762" i="5"/>
  <c r="A629" i="5"/>
  <c r="A1132" i="5"/>
  <c r="A733" i="5"/>
  <c r="A1253" i="5"/>
  <c r="A185" i="5"/>
  <c r="A187" i="5"/>
  <c r="A69" i="5"/>
  <c r="A57" i="5"/>
  <c r="A943" i="5"/>
  <c r="A548" i="5"/>
  <c r="A994" i="5"/>
  <c r="A1285" i="5"/>
  <c r="A864" i="5"/>
  <c r="A683" i="5"/>
  <c r="A144" i="5"/>
  <c r="A230" i="5"/>
  <c r="A345" i="5"/>
  <c r="A1289" i="5"/>
  <c r="A1037" i="5"/>
  <c r="A781" i="5"/>
  <c r="A1090" i="5"/>
  <c r="A15" i="5"/>
  <c r="A343" i="5"/>
  <c r="A796" i="5"/>
  <c r="A25" i="5"/>
  <c r="A909" i="5"/>
  <c r="A901" i="5"/>
  <c r="A471" i="5"/>
  <c r="A410" i="5"/>
  <c r="A808" i="5"/>
  <c r="A537" i="5"/>
  <c r="A1141" i="5"/>
  <c r="A1244" i="5"/>
  <c r="A1307" i="5"/>
  <c r="A606" i="5"/>
  <c r="A616" i="5"/>
  <c r="A718" i="5"/>
  <c r="A916" i="5"/>
  <c r="A135" i="5"/>
  <c r="A721" i="5"/>
  <c r="A481" i="5"/>
  <c r="A850" i="5"/>
  <c r="A355" i="5"/>
  <c r="A680" i="5"/>
  <c r="A1062" i="5"/>
  <c r="A1063" i="5"/>
  <c r="A339" i="5"/>
  <c r="A1105" i="5"/>
  <c r="A223" i="5"/>
  <c r="A239" i="5"/>
  <c r="A635" i="5"/>
  <c r="A1002" i="5"/>
  <c r="A104" i="5"/>
  <c r="A1270" i="5"/>
  <c r="A776" i="5"/>
  <c r="A370" i="5"/>
  <c r="A1007" i="5"/>
  <c r="A955" i="5"/>
  <c r="A1014" i="5"/>
  <c r="A14" i="5"/>
  <c r="A32" i="5"/>
  <c r="A569" i="5"/>
  <c r="A1258" i="5"/>
  <c r="A90" i="5"/>
  <c r="A140" i="5"/>
  <c r="A1191" i="5"/>
  <c r="A106" i="5"/>
  <c r="A794" i="5"/>
  <c r="A1148" i="5"/>
  <c r="A795" i="5"/>
  <c r="A8" i="5"/>
  <c r="A452" i="5"/>
  <c r="A1199" i="5"/>
  <c r="A109" i="5"/>
  <c r="A482" i="5"/>
  <c r="A1159" i="5"/>
  <c r="A753" i="5"/>
  <c r="A977" i="5"/>
  <c r="A9" i="5"/>
  <c r="A1113" i="5"/>
  <c r="A1190" i="5"/>
  <c r="A88" i="5"/>
  <c r="A856" i="5"/>
  <c r="A639" i="5"/>
  <c r="A723" i="5"/>
  <c r="A830" i="5"/>
  <c r="A551" i="5"/>
  <c r="A1317" i="5"/>
  <c r="A608" i="5"/>
  <c r="A719" i="5"/>
  <c r="A342" i="5"/>
  <c r="A524" i="5"/>
  <c r="A1145" i="5"/>
  <c r="A944" i="5"/>
  <c r="A282" i="5"/>
  <c r="A97" i="5"/>
  <c r="A624" i="5"/>
  <c r="A831" i="5"/>
  <c r="A813" i="5"/>
  <c r="A474" i="5"/>
  <c r="A359" i="5"/>
  <c r="A87" i="5"/>
  <c r="A236" i="5"/>
  <c r="A834" i="5"/>
  <c r="A501" i="5"/>
  <c r="A146" i="5"/>
  <c r="A562" i="5"/>
  <c r="A1131" i="5"/>
  <c r="A759" i="5"/>
  <c r="A31" i="5"/>
  <c r="A1241" i="5"/>
  <c r="A232" i="5"/>
  <c r="A1213" i="5"/>
  <c r="A1295" i="5"/>
  <c r="A125" i="5"/>
  <c r="A1207" i="5"/>
  <c r="A1106" i="5"/>
  <c r="A724" i="5"/>
  <c r="A395" i="5"/>
  <c r="A285" i="5"/>
  <c r="A1020" i="5"/>
  <c r="A1188" i="5"/>
  <c r="A193" i="5"/>
  <c r="A258" i="5"/>
  <c r="A556" i="5"/>
  <c r="A520" i="5"/>
  <c r="A1195" i="5"/>
  <c r="A20" i="5"/>
  <c r="A150" i="5"/>
  <c r="A879" i="5"/>
  <c r="A275" i="5"/>
  <c r="A179" i="5"/>
  <c r="A674" i="5"/>
  <c r="A1019" i="5"/>
  <c r="A747" i="5"/>
  <c r="A1338" i="5"/>
  <c r="A833" i="5"/>
  <c r="A900" i="5"/>
  <c r="A142" i="5"/>
  <c r="A732" i="5"/>
  <c r="A623" i="5"/>
  <c r="A543" i="5"/>
  <c r="A320" i="5"/>
  <c r="A1010" i="5"/>
  <c r="A383" i="5"/>
  <c r="A567" i="5"/>
  <c r="A815" i="5"/>
  <c r="A1208" i="5"/>
  <c r="A393" i="5"/>
  <c r="A354" i="5"/>
  <c r="A55" i="5"/>
  <c r="A810" i="5"/>
  <c r="A247" i="5"/>
  <c r="A643" i="5"/>
  <c r="A1052" i="5"/>
  <c r="A1305" i="5"/>
  <c r="A927" i="5"/>
  <c r="A488" i="5"/>
  <c r="A720" i="5"/>
  <c r="A983" i="5"/>
  <c r="A1076" i="5"/>
  <c r="A789" i="5"/>
  <c r="A869" i="5"/>
  <c r="A136" i="5"/>
  <c r="A1180" i="5"/>
  <c r="A704" i="5"/>
  <c r="A801" i="5"/>
  <c r="A828" i="5"/>
  <c r="A1209" i="5"/>
  <c r="A596" i="5"/>
  <c r="A1077" i="5"/>
  <c r="A1334" i="5"/>
  <c r="A620" i="5"/>
  <c r="A245" i="5"/>
  <c r="A669" i="5"/>
  <c r="A554" i="5"/>
  <c r="A1169" i="5"/>
  <c r="A992" i="5"/>
  <c r="A1336" i="5"/>
  <c r="A259" i="5"/>
  <c r="A509" i="5"/>
  <c r="A884" i="5"/>
  <c r="A335" i="5"/>
  <c r="A960" i="5"/>
  <c r="A688" i="5"/>
  <c r="A575" i="5"/>
  <c r="A209" i="5"/>
  <c r="A1109" i="5"/>
  <c r="A177" i="5"/>
  <c r="A138" i="5"/>
  <c r="A566" i="5"/>
  <c r="A1326" i="5"/>
  <c r="A527" i="5"/>
  <c r="A238" i="5"/>
  <c r="A85" i="5"/>
  <c r="A557" i="5"/>
  <c r="A871" i="5"/>
  <c r="A1291" i="5"/>
  <c r="A825" i="5"/>
  <c r="A1223" i="5"/>
  <c r="A1204" i="5"/>
  <c r="A1116" i="5"/>
  <c r="A738" i="5"/>
  <c r="A1092" i="5"/>
  <c r="A1172" i="5"/>
  <c r="A589" i="5"/>
  <c r="K1" i="5"/>
  <c r="L1" i="5"/>
  <c r="M1" i="5"/>
  <c r="G1" i="5"/>
  <c r="H1" i="5"/>
  <c r="I1" i="5"/>
  <c r="J1" i="5"/>
  <c r="F1" i="5"/>
  <c r="E1" i="5"/>
  <c r="D1" i="5"/>
  <c r="Q3" i="1"/>
  <c r="K1286" i="5" s="1"/>
  <c r="Q4" i="1"/>
  <c r="K708" i="5" s="1"/>
  <c r="Q5" i="1"/>
  <c r="K922" i="5" s="1"/>
  <c r="Q6" i="1"/>
  <c r="K1133" i="5" s="1"/>
  <c r="Q7" i="1"/>
  <c r="K945" i="5" s="1"/>
  <c r="Q8" i="1"/>
  <c r="K227" i="5" s="1"/>
  <c r="Q9" i="1"/>
  <c r="K948" i="5" s="1"/>
  <c r="Q10" i="1"/>
  <c r="Q11" i="1"/>
  <c r="K364" i="5" s="1"/>
  <c r="Q12" i="1"/>
  <c r="K1004" i="5" s="1"/>
  <c r="Q13" i="1"/>
  <c r="K1118" i="5" s="1"/>
  <c r="Q14" i="1"/>
  <c r="K1168" i="5" s="1"/>
  <c r="Q15" i="1"/>
  <c r="K165" i="5" s="1"/>
  <c r="Q16" i="1"/>
  <c r="K640" i="5" s="1"/>
  <c r="Q17" i="1"/>
  <c r="K910" i="5" s="1"/>
  <c r="Q18" i="1"/>
  <c r="K969" i="5" s="1"/>
  <c r="Q19" i="1"/>
  <c r="K169" i="5" s="1"/>
  <c r="Q20" i="1"/>
  <c r="K1044" i="5" s="1"/>
  <c r="Q21" i="1"/>
  <c r="K866" i="5" s="1"/>
  <c r="Q22" i="1"/>
  <c r="K880" i="5" s="1"/>
  <c r="Q23" i="1"/>
  <c r="K1260" i="5" s="1"/>
  <c r="Q24" i="1"/>
  <c r="K1139" i="5" s="1"/>
  <c r="Q25" i="1"/>
  <c r="K362" i="5" s="1"/>
  <c r="Q26" i="1"/>
  <c r="Q27" i="1"/>
  <c r="K1330" i="5" s="1"/>
  <c r="Q28" i="1"/>
  <c r="K376" i="5" s="1"/>
  <c r="Q29" i="1"/>
  <c r="K722" i="5" s="1"/>
  <c r="Q30" i="1"/>
  <c r="K325" i="5" s="1"/>
  <c r="Q31" i="1"/>
  <c r="K792" i="5" s="1"/>
  <c r="Q32" i="1"/>
  <c r="K1292" i="5" s="1"/>
  <c r="Q33" i="1"/>
  <c r="K837" i="5" s="1"/>
  <c r="Q34" i="1"/>
  <c r="Q35" i="1"/>
  <c r="K525" i="5" s="1"/>
  <c r="Q36" i="1"/>
  <c r="K1040" i="5" s="1"/>
  <c r="Q37" i="1"/>
  <c r="K989" i="5" s="1"/>
  <c r="Q38" i="1"/>
  <c r="K30" i="5" s="1"/>
  <c r="Q39" i="1"/>
  <c r="K657" i="5" s="1"/>
  <c r="Q40" i="1"/>
  <c r="Q41" i="1"/>
  <c r="K803" i="5" s="1"/>
  <c r="Q42" i="1"/>
  <c r="Q43" i="1"/>
  <c r="K941" i="5" s="1"/>
  <c r="Q44" i="1"/>
  <c r="K561" i="5" s="1"/>
  <c r="Q45" i="1"/>
  <c r="K212" i="5" s="1"/>
  <c r="Q46" i="1"/>
  <c r="K78" i="5" s="1"/>
  <c r="Q47" i="1"/>
  <c r="K1175" i="5" s="1"/>
  <c r="Q48" i="1"/>
  <c r="Q49" i="1"/>
  <c r="K182" i="5" s="1"/>
  <c r="Q50" i="1"/>
  <c r="Q51" i="1"/>
  <c r="K533" i="5" s="1"/>
  <c r="Q52" i="1"/>
  <c r="K363" i="5" s="1"/>
  <c r="Q53" i="1"/>
  <c r="K935" i="5" s="1"/>
  <c r="Q54" i="1"/>
  <c r="K473" i="5" s="1"/>
  <c r="Q55" i="1"/>
  <c r="K235" i="5" s="1"/>
  <c r="Q56" i="1"/>
  <c r="K1282" i="5" s="1"/>
  <c r="Q57" i="1"/>
  <c r="K1329" i="5" s="1"/>
  <c r="Q58" i="1"/>
  <c r="Q59" i="1"/>
  <c r="K1031" i="5" s="1"/>
  <c r="Q60" i="1"/>
  <c r="K26" i="5" s="1"/>
  <c r="Q61" i="1"/>
  <c r="K1029" i="5" s="1"/>
  <c r="Q62" i="1"/>
  <c r="K117" i="5" s="1"/>
  <c r="Q63" i="1"/>
  <c r="K23" i="5" s="1"/>
  <c r="Q64" i="1"/>
  <c r="K937" i="5" s="1"/>
  <c r="Q65" i="1"/>
  <c r="K1035" i="5" s="1"/>
  <c r="Q66" i="1"/>
  <c r="Q67" i="1"/>
  <c r="K976" i="5" s="1"/>
  <c r="Q68" i="1"/>
  <c r="K764" i="5" s="1"/>
  <c r="Q69" i="1"/>
  <c r="K1281" i="5" s="1"/>
  <c r="Q70" i="1"/>
  <c r="K94" i="5" s="1"/>
  <c r="Q71" i="1"/>
  <c r="K270" i="5" s="1"/>
  <c r="Q72" i="1"/>
  <c r="K779" i="5" s="1"/>
  <c r="Q73" i="1"/>
  <c r="K224" i="5" s="1"/>
  <c r="Q74" i="1"/>
  <c r="Q75" i="1"/>
  <c r="K986" i="5" s="1"/>
  <c r="Q76" i="1"/>
  <c r="K604" i="5" s="1"/>
  <c r="Q77" i="1"/>
  <c r="K787" i="5" s="1"/>
  <c r="Q78" i="1"/>
  <c r="K34" i="5" s="1"/>
  <c r="Q79" i="1"/>
  <c r="K1069" i="5" s="1"/>
  <c r="Q80" i="1"/>
  <c r="K1309" i="5" s="1"/>
  <c r="Q81" i="1"/>
  <c r="K1220" i="5" s="1"/>
  <c r="Q82" i="1"/>
  <c r="K205" i="5" s="1"/>
  <c r="Q83" i="1"/>
  <c r="K698" i="5" s="1"/>
  <c r="Q84" i="1"/>
  <c r="K399" i="5" s="1"/>
  <c r="Q85" i="1"/>
  <c r="K233" i="5" s="1"/>
  <c r="Q86" i="1"/>
  <c r="K338" i="5" s="1"/>
  <c r="Q87" i="1"/>
  <c r="K1254" i="5" s="1"/>
  <c r="Q88" i="1"/>
  <c r="K314" i="5" s="1"/>
  <c r="Q89" i="1"/>
  <c r="K306" i="5" s="1"/>
  <c r="Q90" i="1"/>
  <c r="Q91" i="1"/>
  <c r="K784" i="5" s="1"/>
  <c r="Q92" i="1"/>
  <c r="K16" i="5" s="1"/>
  <c r="Q93" i="1"/>
  <c r="K1182" i="5" s="1"/>
  <c r="Q94" i="1"/>
  <c r="K380" i="5" s="1"/>
  <c r="Q95" i="1"/>
  <c r="K667" i="5" s="1"/>
  <c r="Q96" i="1"/>
  <c r="K1123" i="5" s="1"/>
  <c r="Q97" i="1"/>
  <c r="K423" i="5" s="1"/>
  <c r="Q98" i="1"/>
  <c r="Q99" i="1"/>
  <c r="K222" i="5" s="1"/>
  <c r="Q100" i="1"/>
  <c r="K1201" i="5" s="1"/>
  <c r="Q101" i="1"/>
  <c r="K1165" i="5" s="1"/>
  <c r="Q102" i="1"/>
  <c r="K758" i="5" s="1"/>
  <c r="Q103" i="1"/>
  <c r="K1264" i="5" s="1"/>
  <c r="Q104" i="1"/>
  <c r="Q105" i="1"/>
  <c r="K38" i="5" s="1"/>
  <c r="Q106" i="1"/>
  <c r="Q107" i="1"/>
  <c r="K479" i="5" s="1"/>
  <c r="Q108" i="1"/>
  <c r="K217" i="5" s="1"/>
  <c r="Q109" i="1"/>
  <c r="K1333" i="5" s="1"/>
  <c r="Q110" i="1"/>
  <c r="K991" i="5" s="1"/>
  <c r="Q111" i="1"/>
  <c r="K1081" i="5" s="1"/>
  <c r="Q112" i="1"/>
  <c r="Q113" i="1"/>
  <c r="K855" i="5" s="1"/>
  <c r="Q114" i="1"/>
  <c r="Q115" i="1"/>
  <c r="K1216" i="5" s="1"/>
  <c r="Q116" i="1"/>
  <c r="K996" i="5" s="1"/>
  <c r="Q117" i="1"/>
  <c r="K49" i="5" s="1"/>
  <c r="Q118" i="1"/>
  <c r="K80" i="5" s="1"/>
  <c r="Q119" i="1"/>
  <c r="K853" i="5" s="1"/>
  <c r="Q120" i="1"/>
  <c r="K43" i="5" s="1"/>
  <c r="Q121" i="1"/>
  <c r="K382" i="5" s="1"/>
  <c r="Q122" i="1"/>
  <c r="Q123" i="1"/>
  <c r="K1339" i="5" s="1"/>
  <c r="Q124" i="1"/>
  <c r="K163" i="5" s="1"/>
  <c r="Q125" i="1"/>
  <c r="K174" i="5" s="1"/>
  <c r="Q126" i="1"/>
  <c r="K267" i="5" s="1"/>
  <c r="Q127" i="1"/>
  <c r="K462" i="5" s="1"/>
  <c r="Q128" i="1"/>
  <c r="K651" i="5" s="1"/>
  <c r="Q129" i="1"/>
  <c r="K1003" i="5" s="1"/>
  <c r="Q130" i="1"/>
  <c r="Q131" i="1"/>
  <c r="K1246" i="5" s="1"/>
  <c r="Q132" i="1"/>
  <c r="K663" i="5" s="1"/>
  <c r="Q133" i="1"/>
  <c r="K1259" i="5" s="1"/>
  <c r="Q134" i="1"/>
  <c r="K598" i="5" s="1"/>
  <c r="Q135" i="1"/>
  <c r="K1136" i="5" s="1"/>
  <c r="Q136" i="1"/>
  <c r="K1299" i="5" s="1"/>
  <c r="Q137" i="1"/>
  <c r="K68" i="5" s="1"/>
  <c r="Q138" i="1"/>
  <c r="Q139" i="1"/>
  <c r="K1089" i="5" s="1"/>
  <c r="Q140" i="1"/>
  <c r="K634" i="5" s="1"/>
  <c r="Q141" i="1"/>
  <c r="K745" i="5" s="1"/>
  <c r="Q142" i="1"/>
  <c r="K1085" i="5" s="1"/>
  <c r="Q143" i="1"/>
  <c r="K99" i="5" s="1"/>
  <c r="Q144" i="1"/>
  <c r="K748" i="5" s="1"/>
  <c r="Q145" i="1"/>
  <c r="K1005" i="5" s="1"/>
  <c r="Q146" i="1"/>
  <c r="K638" i="5" s="1"/>
  <c r="Q147" i="1"/>
  <c r="K459" i="5" s="1"/>
  <c r="Q148" i="1"/>
  <c r="K958" i="5" s="1"/>
  <c r="Q149" i="1"/>
  <c r="K191" i="5" s="1"/>
  <c r="Q150" i="1"/>
  <c r="K1230" i="5" s="1"/>
  <c r="Q151" i="1"/>
  <c r="K453" i="5" s="1"/>
  <c r="Q152" i="1"/>
  <c r="K873" i="5" s="1"/>
  <c r="Q153" i="1"/>
  <c r="K1202" i="5" s="1"/>
  <c r="Q154" i="1"/>
  <c r="Q155" i="1"/>
  <c r="K67" i="5" s="1"/>
  <c r="Q156" i="1"/>
  <c r="K590" i="5" s="1"/>
  <c r="Q157" i="1"/>
  <c r="K1013" i="5" s="1"/>
  <c r="Q158" i="1"/>
  <c r="K998" i="5" s="1"/>
  <c r="Q159" i="1"/>
  <c r="K661" i="5" s="1"/>
  <c r="Q160" i="1"/>
  <c r="K263" i="5" s="1"/>
  <c r="Q161" i="1"/>
  <c r="K216" i="5" s="1"/>
  <c r="Q162" i="1"/>
  <c r="Q163" i="1"/>
  <c r="K848" i="5" s="1"/>
  <c r="Q164" i="1"/>
  <c r="K424" i="5" s="1"/>
  <c r="Q165" i="1"/>
  <c r="K768" i="5" s="1"/>
  <c r="Q166" i="1"/>
  <c r="K1197" i="5" s="1"/>
  <c r="Q167" i="1"/>
  <c r="K682" i="5" s="1"/>
  <c r="Q168" i="1"/>
  <c r="Q169" i="1"/>
  <c r="K280" i="5" s="1"/>
  <c r="Q170" i="1"/>
  <c r="Q171" i="1"/>
  <c r="K89" i="5" s="1"/>
  <c r="Q172" i="1"/>
  <c r="K1177" i="5" s="1"/>
  <c r="Q173" i="1"/>
  <c r="K365" i="5" s="1"/>
  <c r="Q174" i="1"/>
  <c r="K341" i="5" s="1"/>
  <c r="Q175" i="1"/>
  <c r="K384" i="5" s="1"/>
  <c r="Q176" i="1"/>
  <c r="Q177" i="1"/>
  <c r="K337" i="5" s="1"/>
  <c r="Q178" i="1"/>
  <c r="Q179" i="1"/>
  <c r="K617" i="5" s="1"/>
  <c r="Q180" i="1"/>
  <c r="K861" i="5" s="1"/>
  <c r="Q181" i="1"/>
  <c r="K132" i="5" s="1"/>
  <c r="Q182" i="1"/>
  <c r="K800" i="5" s="1"/>
  <c r="Q183" i="1"/>
  <c r="K691" i="5" s="1"/>
  <c r="Q184" i="1"/>
  <c r="K641" i="5" s="1"/>
  <c r="Q185" i="1"/>
  <c r="K2" i="5" s="1"/>
  <c r="Q186" i="1"/>
  <c r="Q187" i="1"/>
  <c r="K957" i="5" s="1"/>
  <c r="Q188" i="1"/>
  <c r="K526" i="5" s="1"/>
  <c r="Q189" i="1"/>
  <c r="K219" i="5" s="1"/>
  <c r="Q190" i="1"/>
  <c r="K1008" i="5" s="1"/>
  <c r="Q191" i="1"/>
  <c r="K154" i="5" s="1"/>
  <c r="Q192" i="1"/>
  <c r="K200" i="5" s="1"/>
  <c r="Q193" i="1"/>
  <c r="K888" i="5" s="1"/>
  <c r="Q194" i="1"/>
  <c r="Q195" i="1"/>
  <c r="K21" i="5" s="1"/>
  <c r="Q196" i="1"/>
  <c r="K1098" i="5" s="1"/>
  <c r="Q197" i="1"/>
  <c r="K655" i="5" s="1"/>
  <c r="Q198" i="1"/>
  <c r="K437" i="5" s="1"/>
  <c r="Q199" i="1"/>
  <c r="K495" i="5" s="1"/>
  <c r="Q200" i="1"/>
  <c r="K1117" i="5" s="1"/>
  <c r="Q201" i="1"/>
  <c r="K1301" i="5" s="1"/>
  <c r="Q202" i="1"/>
  <c r="Q203" i="1"/>
  <c r="K390" i="5" s="1"/>
  <c r="Q204" i="1"/>
  <c r="K588" i="5" s="1"/>
  <c r="Q205" i="1"/>
  <c r="K418" i="5" s="1"/>
  <c r="Q206" i="1"/>
  <c r="K1268" i="5" s="1"/>
  <c r="Q207" i="1"/>
  <c r="K133" i="5" s="1"/>
  <c r="Q208" i="1"/>
  <c r="K1225" i="5" s="1"/>
  <c r="Q209" i="1"/>
  <c r="K785" i="5" s="1"/>
  <c r="Q210" i="1"/>
  <c r="K1147" i="5" s="1"/>
  <c r="Q211" i="1"/>
  <c r="K356" i="5" s="1"/>
  <c r="Q212" i="1"/>
  <c r="K1293" i="5" s="1"/>
  <c r="Q213" i="1"/>
  <c r="K506" i="5" s="1"/>
  <c r="Q214" i="1"/>
  <c r="K1265" i="5" s="1"/>
  <c r="Q215" i="1"/>
  <c r="K82" i="5" s="1"/>
  <c r="Q216" i="1"/>
  <c r="K1056" i="5" s="1"/>
  <c r="Q217" i="1"/>
  <c r="K4" i="5" s="1"/>
  <c r="Q218" i="1"/>
  <c r="Q219" i="1"/>
  <c r="K823" i="5" s="1"/>
  <c r="Q220" i="1"/>
  <c r="K243" i="5" s="1"/>
  <c r="Q221" i="1"/>
  <c r="K1129" i="5" s="1"/>
  <c r="Q222" i="1"/>
  <c r="K731" i="5" s="1"/>
  <c r="Q223" i="1"/>
  <c r="K241" i="5" s="1"/>
  <c r="Q224" i="1"/>
  <c r="K1340" i="5" s="1"/>
  <c r="Q225" i="1"/>
  <c r="K272" i="5" s="1"/>
  <c r="Q226" i="1"/>
  <c r="Q227" i="1"/>
  <c r="K350" i="5" s="1"/>
  <c r="Q228" i="1"/>
  <c r="K349" i="5" s="1"/>
  <c r="Q229" i="1"/>
  <c r="K166" i="5" s="1"/>
  <c r="Q230" i="1"/>
  <c r="K1083" i="5" s="1"/>
  <c r="Q231" i="1"/>
  <c r="K33" i="5" s="1"/>
  <c r="Q232" i="1"/>
  <c r="K70" i="5" s="1"/>
  <c r="Q233" i="1"/>
  <c r="K601" i="5" s="1"/>
  <c r="Q234" i="1"/>
  <c r="Q235" i="1"/>
  <c r="K277" i="5" s="1"/>
  <c r="Q236" i="1"/>
  <c r="K389" i="5" s="1"/>
  <c r="Q237" i="1"/>
  <c r="K709" i="5" s="1"/>
  <c r="Q238" i="1"/>
  <c r="K947" i="5" s="1"/>
  <c r="Q239" i="1"/>
  <c r="K1279" i="5" s="1"/>
  <c r="Q240" i="1"/>
  <c r="K821" i="5" s="1"/>
  <c r="Q241" i="1"/>
  <c r="K1312" i="5" s="1"/>
  <c r="Q242" i="1"/>
  <c r="Q243" i="1"/>
  <c r="K552" i="5" s="1"/>
  <c r="Q244" i="1"/>
  <c r="K925" i="5" s="1"/>
  <c r="Q245" i="1"/>
  <c r="K340" i="5" s="1"/>
  <c r="Q246" i="1"/>
  <c r="K1158" i="5" s="1"/>
  <c r="Q247" i="1"/>
  <c r="K1269" i="5" s="1"/>
  <c r="Q248" i="1"/>
  <c r="K896" i="5" s="1"/>
  <c r="Q249" i="1"/>
  <c r="K538" i="5" s="1"/>
  <c r="Q250" i="1"/>
  <c r="Q251" i="1"/>
  <c r="K228" i="5" s="1"/>
  <c r="Q252" i="1"/>
  <c r="K7" i="5" s="1"/>
  <c r="Q253" i="1"/>
  <c r="K1231" i="5" s="1"/>
  <c r="Q254" i="1"/>
  <c r="K121" i="5" s="1"/>
  <c r="Q255" i="1"/>
  <c r="K1229" i="5" s="1"/>
  <c r="Q256" i="1"/>
  <c r="K773" i="5" s="1"/>
  <c r="Q257" i="1"/>
  <c r="K246" i="5" s="1"/>
  <c r="Q258" i="1"/>
  <c r="Q259" i="1"/>
  <c r="K234" i="5" s="1"/>
  <c r="Q260" i="1"/>
  <c r="K1045" i="5" s="1"/>
  <c r="Q261" i="1"/>
  <c r="K407" i="5" s="1"/>
  <c r="Q262" i="1"/>
  <c r="K1266" i="5" s="1"/>
  <c r="Q263" i="1"/>
  <c r="K860" i="5" s="1"/>
  <c r="Q264" i="1"/>
  <c r="K528" i="5" s="1"/>
  <c r="Q265" i="1"/>
  <c r="K1058" i="5" s="1"/>
  <c r="Q266" i="1"/>
  <c r="Q267" i="1"/>
  <c r="K273" i="5" s="1"/>
  <c r="Q268" i="1"/>
  <c r="K59" i="5" s="1"/>
  <c r="Q269" i="1"/>
  <c r="K1034" i="5" s="1"/>
  <c r="Q270" i="1"/>
  <c r="K972" i="5" s="1"/>
  <c r="Q271" i="1"/>
  <c r="K1097" i="5" s="1"/>
  <c r="Q272" i="1"/>
  <c r="K1331" i="5" s="1"/>
  <c r="Q273" i="1"/>
  <c r="K1328" i="5" s="1"/>
  <c r="Q274" i="1"/>
  <c r="K1082" i="5" s="1"/>
  <c r="Q275" i="1"/>
  <c r="K583" i="5" s="1"/>
  <c r="Q276" i="1"/>
  <c r="K1099" i="5" s="1"/>
  <c r="Q277" i="1"/>
  <c r="K838" i="5" s="1"/>
  <c r="Q278" i="1"/>
  <c r="K1322" i="5" s="1"/>
  <c r="Q279" i="1"/>
  <c r="K264" i="5" s="1"/>
  <c r="Q280" i="1"/>
  <c r="K344" i="5" s="1"/>
  <c r="Q281" i="1"/>
  <c r="K250" i="5" s="1"/>
  <c r="Q282" i="1"/>
  <c r="Q283" i="1"/>
  <c r="K1226" i="5" s="1"/>
  <c r="Q284" i="1"/>
  <c r="K798" i="5" s="1"/>
  <c r="Q285" i="1"/>
  <c r="K91" i="5" s="1"/>
  <c r="Q286" i="1"/>
  <c r="K658" i="5" s="1"/>
  <c r="Q287" i="1"/>
  <c r="K436" i="5" s="1"/>
  <c r="Q288" i="1"/>
  <c r="K858" i="5" s="1"/>
  <c r="Q289" i="1"/>
  <c r="K560" i="5" s="1"/>
  <c r="Q290" i="1"/>
  <c r="Q291" i="1"/>
  <c r="K485" i="5" s="1"/>
  <c r="Q292" i="1"/>
  <c r="K859" i="5" s="1"/>
  <c r="Q293" i="1"/>
  <c r="K134" i="5" s="1"/>
  <c r="Q294" i="1"/>
  <c r="K299" i="5" s="1"/>
  <c r="Q295" i="1"/>
  <c r="K1137" i="5" s="1"/>
  <c r="Q296" i="1"/>
  <c r="K300" i="5" s="1"/>
  <c r="Q297" i="1"/>
  <c r="K304" i="5" s="1"/>
  <c r="Q298" i="1"/>
  <c r="Q299" i="1"/>
  <c r="K305" i="5" s="1"/>
  <c r="Q300" i="1"/>
  <c r="K531" i="5" s="1"/>
  <c r="Q301" i="1"/>
  <c r="K793" i="5" s="1"/>
  <c r="Q302" i="1"/>
  <c r="K1000" i="5" s="1"/>
  <c r="Q303" i="1"/>
  <c r="K1217" i="5" s="1"/>
  <c r="Q304" i="1"/>
  <c r="K919" i="5" s="1"/>
  <c r="Q305" i="1"/>
  <c r="K371" i="5" s="1"/>
  <c r="Q306" i="1"/>
  <c r="Q307" i="1"/>
  <c r="K769" i="5" s="1"/>
  <c r="Q308" i="1"/>
  <c r="K278" i="5" s="1"/>
  <c r="Q309" i="1"/>
  <c r="K771" i="5" s="1"/>
  <c r="Q310" i="1"/>
  <c r="K997" i="5" s="1"/>
  <c r="Q311" i="1"/>
  <c r="K1038" i="5" s="1"/>
  <c r="Q312" i="1"/>
  <c r="K413" i="5" s="1"/>
  <c r="Q313" i="1"/>
  <c r="K460" i="5" s="1"/>
  <c r="Q314" i="1"/>
  <c r="Q315" i="1"/>
  <c r="K466" i="5" s="1"/>
  <c r="Q316" i="1"/>
  <c r="K204" i="5" s="1"/>
  <c r="Q317" i="1"/>
  <c r="K18" i="5" s="1"/>
  <c r="Q318" i="1"/>
  <c r="K416" i="5" s="1"/>
  <c r="Q319" i="1"/>
  <c r="K612" i="5" s="1"/>
  <c r="Q320" i="1"/>
  <c r="K1171" i="5" s="1"/>
  <c r="Q321" i="1"/>
  <c r="K294" i="5" s="1"/>
  <c r="Q322" i="1"/>
  <c r="Q323" i="1"/>
  <c r="K45" i="5" s="1"/>
  <c r="Q324" i="1"/>
  <c r="K1124" i="5" s="1"/>
  <c r="Q325" i="1"/>
  <c r="K1242" i="5" s="1"/>
  <c r="Q326" i="1"/>
  <c r="K1261" i="5" s="1"/>
  <c r="Q327" i="1"/>
  <c r="K172" i="5" s="1"/>
  <c r="Q328" i="1"/>
  <c r="K433" i="5" s="1"/>
  <c r="Q329" i="1"/>
  <c r="K60" i="5" s="1"/>
  <c r="Q330" i="1"/>
  <c r="Q331" i="1"/>
  <c r="K809" i="5" s="1"/>
  <c r="Q332" i="1"/>
  <c r="K302" i="5" s="1"/>
  <c r="Q333" i="1"/>
  <c r="K1215" i="5" s="1"/>
  <c r="Q334" i="1"/>
  <c r="K1066" i="5" s="1"/>
  <c r="Q335" i="1"/>
  <c r="K862" i="5" s="1"/>
  <c r="Q336" i="1"/>
  <c r="K892" i="5" s="1"/>
  <c r="Q337" i="1"/>
  <c r="K307" i="5" s="1"/>
  <c r="Q338" i="1"/>
  <c r="K780" i="5" s="1"/>
  <c r="Q339" i="1"/>
  <c r="K874" i="5" s="1"/>
  <c r="Q340" i="1"/>
  <c r="K83" i="5" s="1"/>
  <c r="Q341" i="1"/>
  <c r="K494" i="5" s="1"/>
  <c r="Q342" i="1"/>
  <c r="K845" i="5" s="1"/>
  <c r="Q343" i="1"/>
  <c r="K1228" i="5" s="1"/>
  <c r="Q344" i="1"/>
  <c r="K225" i="5" s="1"/>
  <c r="Q345" i="1"/>
  <c r="K1091" i="5" s="1"/>
  <c r="Q346" i="1"/>
  <c r="Q347" i="1"/>
  <c r="K706" i="5" s="1"/>
  <c r="Q348" i="1"/>
  <c r="K1248" i="5" s="1"/>
  <c r="Q349" i="1"/>
  <c r="K544" i="5" s="1"/>
  <c r="Q350" i="1"/>
  <c r="K130" i="5" s="1"/>
  <c r="Q351" i="1"/>
  <c r="K585" i="5" s="1"/>
  <c r="Q352" i="1"/>
  <c r="K1080" i="5" s="1"/>
  <c r="Q353" i="1"/>
  <c r="K599" i="5" s="1"/>
  <c r="Q354" i="1"/>
  <c r="Q355" i="1"/>
  <c r="K283" i="5" s="1"/>
  <c r="Q356" i="1"/>
  <c r="K417" i="5" s="1"/>
  <c r="Q357" i="1"/>
  <c r="K516" i="5" s="1"/>
  <c r="Q358" i="1"/>
  <c r="K903" i="5" s="1"/>
  <c r="Q359" i="1"/>
  <c r="K147" i="5" s="1"/>
  <c r="Q360" i="1"/>
  <c r="K1134" i="5" s="1"/>
  <c r="Q361" i="1"/>
  <c r="K609" i="5" s="1"/>
  <c r="Q362" i="1"/>
  <c r="Q363" i="1"/>
  <c r="K716" i="5" s="1"/>
  <c r="Q364" i="1"/>
  <c r="K637" i="5" s="1"/>
  <c r="Q365" i="1"/>
  <c r="K1073" i="5" s="1"/>
  <c r="Q366" i="1"/>
  <c r="K1278" i="5" s="1"/>
  <c r="Q367" i="1"/>
  <c r="K512" i="5" s="1"/>
  <c r="Q368" i="1"/>
  <c r="K579" i="5" s="1"/>
  <c r="Q369" i="1"/>
  <c r="K995" i="5" s="1"/>
  <c r="Q370" i="1"/>
  <c r="Q371" i="1"/>
  <c r="K123" i="5" s="1"/>
  <c r="Q372" i="1"/>
  <c r="K742" i="5" s="1"/>
  <c r="Q373" i="1"/>
  <c r="K1036" i="5" s="1"/>
  <c r="Q374" i="1"/>
  <c r="K913" i="5" s="1"/>
  <c r="Q375" i="1"/>
  <c r="K411" i="5" s="1"/>
  <c r="Q376" i="1"/>
  <c r="K441" i="5" s="1"/>
  <c r="Q377" i="1"/>
  <c r="K400" i="5" s="1"/>
  <c r="Q378" i="1"/>
  <c r="Q379" i="1"/>
  <c r="K540" i="5" s="1"/>
  <c r="Q380" i="1"/>
  <c r="K615" i="5" s="1"/>
  <c r="Q381" i="1"/>
  <c r="K446" i="5" s="1"/>
  <c r="Q382" i="1"/>
  <c r="K281" i="5" s="1"/>
  <c r="Q383" i="1"/>
  <c r="K545" i="5" s="1"/>
  <c r="Q384" i="1"/>
  <c r="K435" i="5" s="1"/>
  <c r="Q385" i="1"/>
  <c r="K574" i="5" s="1"/>
  <c r="Q386" i="1"/>
  <c r="Q387" i="1"/>
  <c r="K394" i="5" s="1"/>
  <c r="Q388" i="1"/>
  <c r="K630" i="5" s="1"/>
  <c r="Q389" i="1"/>
  <c r="K654" i="5" s="1"/>
  <c r="Q390" i="1"/>
  <c r="K308" i="5" s="1"/>
  <c r="Q391" i="1"/>
  <c r="K633" i="5" s="1"/>
  <c r="Q392" i="1"/>
  <c r="K881" i="5" s="1"/>
  <c r="Q393" i="1"/>
  <c r="K253" i="5" s="1"/>
  <c r="Q394" i="1"/>
  <c r="Q395" i="1"/>
  <c r="K175" i="5" s="1"/>
  <c r="Q396" i="1"/>
  <c r="K210" i="5" s="1"/>
  <c r="Q397" i="1"/>
  <c r="K1206" i="5" s="1"/>
  <c r="Q398" i="1"/>
  <c r="K374" i="5" s="1"/>
  <c r="Q399" i="1"/>
  <c r="K893" i="5" s="1"/>
  <c r="Q400" i="1"/>
  <c r="K1255" i="5" s="1"/>
  <c r="Q401" i="1"/>
  <c r="K286" i="5" s="1"/>
  <c r="Q402" i="1"/>
  <c r="K1210" i="5" s="1"/>
  <c r="Q403" i="1"/>
  <c r="K822" i="5" s="1"/>
  <c r="Q404" i="1"/>
  <c r="K777" i="5" s="1"/>
  <c r="Q405" i="1"/>
  <c r="K1294" i="5" s="1"/>
  <c r="Q406" i="1"/>
  <c r="K24" i="5" s="1"/>
  <c r="Q407" i="1"/>
  <c r="K1323" i="5" s="1"/>
  <c r="Q408" i="1"/>
  <c r="K517" i="5" s="1"/>
  <c r="Q409" i="1"/>
  <c r="K1161" i="5" s="1"/>
  <c r="Q410" i="1"/>
  <c r="Q411" i="1"/>
  <c r="K28" i="5" s="1"/>
  <c r="Q412" i="1"/>
  <c r="K387" i="5" s="1"/>
  <c r="Q413" i="1"/>
  <c r="K426" i="5" s="1"/>
  <c r="Q414" i="1"/>
  <c r="K770" i="5" s="1"/>
  <c r="Q415" i="1"/>
  <c r="K568" i="5" s="1"/>
  <c r="Q416" i="1"/>
  <c r="K580" i="5" s="1"/>
  <c r="Q417" i="1"/>
  <c r="K139" i="5" s="1"/>
  <c r="Q418" i="1"/>
  <c r="Q419" i="1"/>
  <c r="K189" i="5" s="1"/>
  <c r="Q420" i="1"/>
  <c r="K973" i="5" s="1"/>
  <c r="Q421" i="1"/>
  <c r="K819" i="5" s="1"/>
  <c r="Q422" i="1"/>
  <c r="K1006" i="5" s="1"/>
  <c r="Q423" i="1"/>
  <c r="K1104" i="5" s="1"/>
  <c r="Q424" i="1"/>
  <c r="K22" i="5" s="1"/>
  <c r="Q425" i="1"/>
  <c r="K660" i="5" s="1"/>
  <c r="Q426" i="1"/>
  <c r="Q427" i="1"/>
  <c r="K1227" i="5" s="1"/>
  <c r="Q428" i="1"/>
  <c r="K190" i="5" s="1"/>
  <c r="Q429" i="1"/>
  <c r="K1054" i="5" s="1"/>
  <c r="Q430" i="1"/>
  <c r="K497" i="5" s="1"/>
  <c r="Q431" i="1"/>
  <c r="K632" i="5" s="1"/>
  <c r="Q432" i="1"/>
  <c r="K62" i="5" s="1"/>
  <c r="Q433" i="1"/>
  <c r="K379" i="5" s="1"/>
  <c r="Q434" i="1"/>
  <c r="Q435" i="1"/>
  <c r="K351" i="5" s="1"/>
  <c r="Q436" i="1"/>
  <c r="K906" i="5" s="1"/>
  <c r="Q437" i="1"/>
  <c r="K1095" i="5" s="1"/>
  <c r="Q438" i="1"/>
  <c r="K107" i="5" s="1"/>
  <c r="Q439" i="1"/>
  <c r="K162" i="5" s="1"/>
  <c r="Q440" i="1"/>
  <c r="K735" i="5" s="1"/>
  <c r="Q441" i="1"/>
  <c r="K1319" i="5" s="1"/>
  <c r="Q442" i="1"/>
  <c r="Q443" i="1"/>
  <c r="K707" i="5" s="1"/>
  <c r="Q444" i="1"/>
  <c r="K157" i="5" s="1"/>
  <c r="Q445" i="1"/>
  <c r="K1288" i="5" s="1"/>
  <c r="Q446" i="1"/>
  <c r="K990" i="5" s="1"/>
  <c r="Q447" i="1"/>
  <c r="K287" i="5" s="1"/>
  <c r="Q448" i="1"/>
  <c r="K156" i="5" s="1"/>
  <c r="Q449" i="1"/>
  <c r="K72" i="5" s="1"/>
  <c r="Q450" i="1"/>
  <c r="Q451" i="1"/>
  <c r="K600" i="5" s="1"/>
  <c r="Q452" i="1"/>
  <c r="K116" i="5" s="1"/>
  <c r="Q453" i="1"/>
  <c r="K1236" i="5" s="1"/>
  <c r="Q454" i="1"/>
  <c r="K95" i="5" s="1"/>
  <c r="Q455" i="1"/>
  <c r="K679" i="5" s="1"/>
  <c r="Q456" i="1"/>
  <c r="K432" i="5" s="1"/>
  <c r="Q457" i="1"/>
  <c r="K388" i="5" s="1"/>
  <c r="Q458" i="1"/>
  <c r="Q459" i="1"/>
  <c r="K713" i="5" s="1"/>
  <c r="Q460" i="1"/>
  <c r="K1086" i="5" s="1"/>
  <c r="Q461" i="1"/>
  <c r="K1018" i="5" s="1"/>
  <c r="Q462" i="1"/>
  <c r="K519" i="5" s="1"/>
  <c r="Q463" i="1"/>
  <c r="K542" i="5" s="1"/>
  <c r="Q464" i="1"/>
  <c r="K872" i="5" s="1"/>
  <c r="Q465" i="1"/>
  <c r="K457" i="5" s="1"/>
  <c r="Q466" i="1"/>
  <c r="K414" i="5" s="1"/>
  <c r="Q467" i="1"/>
  <c r="K431" i="5" s="1"/>
  <c r="Q468" i="1"/>
  <c r="K1100" i="5" s="1"/>
  <c r="Q469" i="1"/>
  <c r="K198" i="5" s="1"/>
  <c r="Q470" i="1"/>
  <c r="K170" i="5" s="1"/>
  <c r="Q471" i="1"/>
  <c r="K73" i="5" s="1"/>
  <c r="Q472" i="1"/>
  <c r="K1250" i="5" s="1"/>
  <c r="Q473" i="1"/>
  <c r="K284" i="5" s="1"/>
  <c r="Q474" i="1"/>
  <c r="Q475" i="1"/>
  <c r="K843" i="5" s="1"/>
  <c r="Q476" i="1"/>
  <c r="K353" i="5" s="1"/>
  <c r="Q477" i="1"/>
  <c r="K692" i="5" s="1"/>
  <c r="Q478" i="1"/>
  <c r="K981" i="5" s="1"/>
  <c r="Q479" i="1"/>
  <c r="K1025" i="5" s="1"/>
  <c r="Q480" i="1"/>
  <c r="K714" i="5" s="1"/>
  <c r="Q481" i="1"/>
  <c r="K244" i="5" s="1"/>
  <c r="Q482" i="1"/>
  <c r="Q483" i="1"/>
  <c r="K1078" i="5" s="1"/>
  <c r="Q484" i="1"/>
  <c r="K40" i="5" s="1"/>
  <c r="Q485" i="1"/>
  <c r="K1187" i="5" s="1"/>
  <c r="Q486" i="1"/>
  <c r="K458" i="5" s="1"/>
  <c r="Q487" i="1"/>
  <c r="K1017" i="5" s="1"/>
  <c r="Q488" i="1"/>
  <c r="K987" i="5" s="1"/>
  <c r="Q489" i="1"/>
  <c r="K262" i="5" s="1"/>
  <c r="Q490" i="1"/>
  <c r="Q491" i="1"/>
  <c r="K710" i="5" s="1"/>
  <c r="Q492" i="1"/>
  <c r="K1087" i="5" s="1"/>
  <c r="Q493" i="1"/>
  <c r="K518" i="5" s="1"/>
  <c r="Q494" i="1"/>
  <c r="K812" i="5" s="1"/>
  <c r="Q495" i="1"/>
  <c r="K347" i="5" s="1"/>
  <c r="Q496" i="1"/>
  <c r="K48" i="5" s="1"/>
  <c r="Q497" i="1"/>
  <c r="K1320" i="5" s="1"/>
  <c r="Q498" i="1"/>
  <c r="Q499" i="1"/>
  <c r="K81" i="5" s="1"/>
  <c r="Q500" i="1"/>
  <c r="K932" i="5" s="1"/>
  <c r="Q501" i="1"/>
  <c r="K952" i="5" s="1"/>
  <c r="Q502" i="1"/>
  <c r="K582" i="5" s="1"/>
  <c r="Q503" i="1"/>
  <c r="K455" i="5" s="1"/>
  <c r="Q504" i="1"/>
  <c r="K164" i="5" s="1"/>
  <c r="Q505" i="1"/>
  <c r="K936" i="5" s="1"/>
  <c r="Q506" i="1"/>
  <c r="Q507" i="1"/>
  <c r="K964" i="5" s="1"/>
  <c r="Q508" i="1"/>
  <c r="K1033" i="5" s="1"/>
  <c r="Q509" i="1"/>
  <c r="K1321" i="5" s="1"/>
  <c r="Q510" i="1"/>
  <c r="K605" i="5" s="1"/>
  <c r="Q511" i="1"/>
  <c r="K673" i="5" s="1"/>
  <c r="Q512" i="1"/>
  <c r="K1203" i="5" s="1"/>
  <c r="Q513" i="1"/>
  <c r="K211" i="5" s="1"/>
  <c r="Q514" i="1"/>
  <c r="Q515" i="1"/>
  <c r="K891" i="5" s="1"/>
  <c r="Q516" i="1"/>
  <c r="K746" i="5" s="1"/>
  <c r="Q517" i="1"/>
  <c r="K555" i="5" s="1"/>
  <c r="Q518" i="1"/>
  <c r="K985" i="5" s="1"/>
  <c r="Q519" i="1"/>
  <c r="K252" i="5" s="1"/>
  <c r="Q520" i="1"/>
  <c r="K29" i="5" s="1"/>
  <c r="Q521" i="1"/>
  <c r="K1049" i="5" s="1"/>
  <c r="Q522" i="1"/>
  <c r="Q523" i="1"/>
  <c r="K313" i="5" s="1"/>
  <c r="Q524" i="1"/>
  <c r="K899" i="5" s="1"/>
  <c r="Q525" i="1"/>
  <c r="K53" i="5" s="1"/>
  <c r="Q526" i="1"/>
  <c r="K1234" i="5" s="1"/>
  <c r="Q527" i="1"/>
  <c r="K1211" i="5" s="1"/>
  <c r="Q528" i="1"/>
  <c r="K1316" i="5" s="1"/>
  <c r="Q529" i="1"/>
  <c r="K788" i="5" s="1"/>
  <c r="Q530" i="1"/>
  <c r="K514" i="5" s="1"/>
  <c r="Q531" i="1"/>
  <c r="K1251" i="5" s="1"/>
  <c r="Q532" i="1"/>
  <c r="K836" i="5" s="1"/>
  <c r="Q533" i="1"/>
  <c r="K41" i="5" s="1"/>
  <c r="Q534" i="1"/>
  <c r="K1070" i="5" s="1"/>
  <c r="Q535" i="1"/>
  <c r="K1238" i="5" s="1"/>
  <c r="Q536" i="1"/>
  <c r="K360" i="5" s="1"/>
  <c r="Q537" i="1"/>
  <c r="K968" i="5" s="1"/>
  <c r="Q538" i="1"/>
  <c r="Q539" i="1"/>
  <c r="K108" i="5" s="1"/>
  <c r="Q540" i="1"/>
  <c r="K529" i="5" s="1"/>
  <c r="Q541" i="1"/>
  <c r="K1127" i="5" s="1"/>
  <c r="Q542" i="1"/>
  <c r="K1232" i="5" s="1"/>
  <c r="Q543" i="1"/>
  <c r="K826" i="5" s="1"/>
  <c r="Q544" i="1"/>
  <c r="K1212" i="5" s="1"/>
  <c r="Q545" i="1"/>
  <c r="K886" i="5" s="1"/>
  <c r="Q546" i="1"/>
  <c r="Q547" i="1"/>
  <c r="K984" i="5" s="1"/>
  <c r="Q548" i="1"/>
  <c r="K100" i="5" s="1"/>
  <c r="Q549" i="1"/>
  <c r="K128" i="5" s="1"/>
  <c r="Q550" i="1"/>
  <c r="K242" i="5" s="1"/>
  <c r="Q551" i="1"/>
  <c r="K168" i="5" s="1"/>
  <c r="Q552" i="1"/>
  <c r="K288" i="5" s="1"/>
  <c r="Q553" i="1"/>
  <c r="K1274" i="5" s="1"/>
  <c r="Q554" i="1"/>
  <c r="Q555" i="1"/>
  <c r="K705" i="5" s="1"/>
  <c r="Q556" i="1"/>
  <c r="K469" i="5" s="1"/>
  <c r="Q557" i="1"/>
  <c r="K324" i="5" s="1"/>
  <c r="Q558" i="1"/>
  <c r="K449" i="5" s="1"/>
  <c r="Q559" i="1"/>
  <c r="K361" i="5" s="1"/>
  <c r="Q560" i="1"/>
  <c r="K1146" i="5" s="1"/>
  <c r="Q561" i="1"/>
  <c r="K522" i="5" s="1"/>
  <c r="Q562" i="1"/>
  <c r="Q563" i="1"/>
  <c r="K743" i="5" s="1"/>
  <c r="Q564" i="1"/>
  <c r="K622" i="5" s="1"/>
  <c r="Q565" i="1"/>
  <c r="K1327" i="5" s="1"/>
  <c r="Q566" i="1"/>
  <c r="K369" i="5" s="1"/>
  <c r="Q567" i="1"/>
  <c r="K648" i="5" s="1"/>
  <c r="Q568" i="1"/>
  <c r="K155" i="5" s="1"/>
  <c r="Q569" i="1"/>
  <c r="K729" i="5" s="1"/>
  <c r="Q570" i="1"/>
  <c r="Q571" i="1"/>
  <c r="K1103" i="5" s="1"/>
  <c r="Q572" i="1"/>
  <c r="K564" i="5" s="1"/>
  <c r="Q573" i="1"/>
  <c r="K681" i="5" s="1"/>
  <c r="Q574" i="1"/>
  <c r="K766" i="5" s="1"/>
  <c r="Q575" i="1"/>
  <c r="K1042" i="5" s="1"/>
  <c r="Q576" i="1"/>
  <c r="K851" i="5" s="1"/>
  <c r="Q577" i="1"/>
  <c r="K79" i="5" s="1"/>
  <c r="Q578" i="1"/>
  <c r="Q579" i="1"/>
  <c r="K757" i="5" s="1"/>
  <c r="Q580" i="1"/>
  <c r="K490" i="5" s="1"/>
  <c r="Q581" i="1"/>
  <c r="K1167" i="5" s="1"/>
  <c r="Q582" i="1"/>
  <c r="K591" i="5" s="1"/>
  <c r="Q583" i="1"/>
  <c r="K1193" i="5" s="1"/>
  <c r="Q584" i="1"/>
  <c r="K530" i="5" s="1"/>
  <c r="Q585" i="1"/>
  <c r="K1135" i="5" s="1"/>
  <c r="Q586" i="1"/>
  <c r="Q587" i="1"/>
  <c r="K553" i="5" s="1"/>
  <c r="Q588" i="1"/>
  <c r="K113" i="5" s="1"/>
  <c r="Q589" i="1"/>
  <c r="K315" i="5" s="1"/>
  <c r="Q590" i="1"/>
  <c r="K1030" i="5" s="1"/>
  <c r="Q591" i="1"/>
  <c r="K499" i="5" s="1"/>
  <c r="Q592" i="1"/>
  <c r="K194" i="5" s="1"/>
  <c r="Q593" i="1"/>
  <c r="K611" i="5" s="1"/>
  <c r="Q594" i="1"/>
  <c r="K1237" i="5" s="1"/>
  <c r="Q595" i="1"/>
  <c r="K1284" i="5" s="1"/>
  <c r="Q596" i="1"/>
  <c r="K61" i="5" s="1"/>
  <c r="Q597" i="1"/>
  <c r="K464" i="5" s="1"/>
  <c r="Q598" i="1"/>
  <c r="K954" i="5" s="1"/>
  <c r="Q599" i="1"/>
  <c r="K1071" i="5" s="1"/>
  <c r="Q600" i="1"/>
  <c r="K13" i="5" s="1"/>
  <c r="Q601" i="1"/>
  <c r="K1050" i="5" s="1"/>
  <c r="Q602" i="1"/>
  <c r="Q603" i="1"/>
  <c r="K93" i="5" s="1"/>
  <c r="Q604" i="1"/>
  <c r="K644" i="5" s="1"/>
  <c r="Q605" i="1"/>
  <c r="K1194" i="5" s="1"/>
  <c r="Q606" i="1"/>
  <c r="K66" i="5" s="1"/>
  <c r="Q607" i="1"/>
  <c r="K894" i="5" s="1"/>
  <c r="Q608" i="1"/>
  <c r="K180" i="5" s="1"/>
  <c r="Q609" i="1"/>
  <c r="K570" i="5" s="1"/>
  <c r="Q610" i="1"/>
  <c r="Q611" i="1"/>
  <c r="K65" i="5" s="1"/>
  <c r="Q612" i="1"/>
  <c r="K326" i="5" s="1"/>
  <c r="Q613" i="1"/>
  <c r="Q614" i="1"/>
  <c r="K621" i="5" s="1"/>
  <c r="Q615" i="1"/>
  <c r="K1222" i="5" s="1"/>
  <c r="Q616" i="1"/>
  <c r="K11" i="5" s="1"/>
  <c r="Q617" i="1"/>
  <c r="K928" i="5" s="1"/>
  <c r="Q618" i="1"/>
  <c r="Q619" i="1"/>
  <c r="K486" i="5" s="1"/>
  <c r="Q620" i="1"/>
  <c r="K602" i="5" s="1"/>
  <c r="Q621" i="1"/>
  <c r="K3" i="5" s="1"/>
  <c r="Q622" i="1"/>
  <c r="K505" i="5" s="1"/>
  <c r="Q623" i="1"/>
  <c r="K334" i="5" s="1"/>
  <c r="Q624" i="1"/>
  <c r="K391" i="5" s="1"/>
  <c r="Q625" i="1"/>
  <c r="K684" i="5" s="1"/>
  <c r="Q626" i="1"/>
  <c r="Q627" i="1"/>
  <c r="K467" i="5" s="1"/>
  <c r="Q628" i="1"/>
  <c r="K1287" i="5" s="1"/>
  <c r="Q629" i="1"/>
  <c r="K10" i="5" s="1"/>
  <c r="Q630" i="1"/>
  <c r="K656" i="5" s="1"/>
  <c r="Q631" i="1"/>
  <c r="K508" i="5" s="1"/>
  <c r="Q632" i="1"/>
  <c r="K614" i="5" s="1"/>
  <c r="Q633" i="1"/>
  <c r="K346" i="5" s="1"/>
  <c r="Q634" i="1"/>
  <c r="Q635" i="1"/>
  <c r="K1243" i="5" s="1"/>
  <c r="Q636" i="1"/>
  <c r="K889" i="5" s="1"/>
  <c r="Q637" i="1"/>
  <c r="K1196" i="5" s="1"/>
  <c r="Q638" i="1"/>
  <c r="Q639" i="1"/>
  <c r="K255" i="5" s="1"/>
  <c r="Q640" i="1"/>
  <c r="K35" i="5" s="1"/>
  <c r="Q641" i="1"/>
  <c r="K876" i="5" s="1"/>
  <c r="Q642" i="1"/>
  <c r="Q643" i="1"/>
  <c r="K829" i="5" s="1"/>
  <c r="Q644" i="1"/>
  <c r="K967" i="5" s="1"/>
  <c r="Q645" i="1"/>
  <c r="K811" i="5" s="1"/>
  <c r="Q646" i="1"/>
  <c r="K619" i="5" s="1"/>
  <c r="Q647" i="1"/>
  <c r="K385" i="5" s="1"/>
  <c r="Q648" i="1"/>
  <c r="K868" i="5" s="1"/>
  <c r="Q649" i="1"/>
  <c r="K959" i="5" s="1"/>
  <c r="Q650" i="1"/>
  <c r="Q651" i="1"/>
  <c r="K76" i="5" s="1"/>
  <c r="Q652" i="1"/>
  <c r="K534" i="5" s="1"/>
  <c r="Q653" i="1"/>
  <c r="K221" i="5" s="1"/>
  <c r="Q654" i="1"/>
  <c r="K1174" i="5" s="1"/>
  <c r="Q655" i="1"/>
  <c r="K799" i="5" s="1"/>
  <c r="Q656" i="1"/>
  <c r="K1064" i="5" s="1"/>
  <c r="Q657" i="1"/>
  <c r="K421" i="5" s="1"/>
  <c r="Q658" i="1"/>
  <c r="K468" i="5" s="1"/>
  <c r="Q659" i="1"/>
  <c r="K532" i="5" s="1"/>
  <c r="Q660" i="1"/>
  <c r="Q661" i="1"/>
  <c r="K946" i="5" s="1"/>
  <c r="Q662" i="1"/>
  <c r="K98" i="5" s="1"/>
  <c r="Q663" i="1"/>
  <c r="K184" i="5" s="1"/>
  <c r="Q664" i="1"/>
  <c r="K1271" i="5" s="1"/>
  <c r="Q665" i="1"/>
  <c r="K406" i="5" s="1"/>
  <c r="Q666" i="1"/>
  <c r="Q667" i="1"/>
  <c r="K563" i="5" s="1"/>
  <c r="Q668" i="1"/>
  <c r="K110" i="5" s="1"/>
  <c r="Q669" i="1"/>
  <c r="K176" i="5" s="1"/>
  <c r="Q670" i="1"/>
  <c r="K461" i="5" s="1"/>
  <c r="Q671" i="1"/>
  <c r="K875" i="5" s="1"/>
  <c r="Q672" i="1"/>
  <c r="K1149" i="5" s="1"/>
  <c r="Q673" i="1"/>
  <c r="K963" i="5" s="1"/>
  <c r="Q674" i="1"/>
  <c r="L674" i="1" s="1"/>
  <c r="Q675" i="1"/>
  <c r="K1256" i="5" s="1"/>
  <c r="Q676" i="1"/>
  <c r="K1115" i="5" s="1"/>
  <c r="Q677" i="1"/>
  <c r="K645" i="5" s="1"/>
  <c r="Q678" i="1"/>
  <c r="K1023" i="5" s="1"/>
  <c r="Q679" i="1"/>
  <c r="K249" i="5" s="1"/>
  <c r="Q680" i="1"/>
  <c r="K929" i="5" s="1"/>
  <c r="Q681" i="1"/>
  <c r="K229" i="5" s="1"/>
  <c r="Q682" i="1"/>
  <c r="Q683" i="1"/>
  <c r="K671" i="5" s="1"/>
  <c r="Q684" i="1"/>
  <c r="K1151" i="5" s="1"/>
  <c r="Q685" i="1"/>
  <c r="K595" i="5" s="1"/>
  <c r="Q686" i="1"/>
  <c r="K470" i="5" s="1"/>
  <c r="Q687" i="1"/>
  <c r="K1057" i="5" s="1"/>
  <c r="Q688" i="1"/>
  <c r="K451" i="5" s="1"/>
  <c r="Q689" i="1"/>
  <c r="K1009" i="5" s="1"/>
  <c r="Q690" i="1"/>
  <c r="Q691" i="1"/>
  <c r="K167" i="5" s="1"/>
  <c r="Q692" i="1"/>
  <c r="K951" i="5" s="1"/>
  <c r="Q693" i="1"/>
  <c r="K546" i="5" s="1"/>
  <c r="Q694" i="1"/>
  <c r="K1126" i="5" s="1"/>
  <c r="Q695" i="1"/>
  <c r="K1162" i="5" s="1"/>
  <c r="Q696" i="1"/>
  <c r="K577" i="5" s="1"/>
  <c r="Q697" i="1"/>
  <c r="K274" i="5" s="1"/>
  <c r="Q698" i="1"/>
  <c r="Q699" i="1"/>
  <c r="K883" i="5" s="1"/>
  <c r="Q700" i="1"/>
  <c r="K19" i="5" s="1"/>
  <c r="Q701" i="1"/>
  <c r="K1153" i="5" s="1"/>
  <c r="Q702" i="1"/>
  <c r="K1156" i="5" s="1"/>
  <c r="Q703" i="1"/>
  <c r="K1298" i="5" s="1"/>
  <c r="Q704" i="1"/>
  <c r="K647" i="5" s="1"/>
  <c r="Q705" i="1"/>
  <c r="K587" i="5" s="1"/>
  <c r="Q706" i="1"/>
  <c r="Q707" i="1"/>
  <c r="K610" i="5" s="1"/>
  <c r="Q708" i="1"/>
  <c r="K978" i="5" s="1"/>
  <c r="Q709" i="1"/>
  <c r="K420" i="5" s="1"/>
  <c r="Q710" i="1"/>
  <c r="K484" i="5" s="1"/>
  <c r="Q711" i="1"/>
  <c r="K115" i="5" s="1"/>
  <c r="Q712" i="1"/>
  <c r="K950" i="5" s="1"/>
  <c r="Q713" i="1"/>
  <c r="K265" i="5" s="1"/>
  <c r="Q714" i="1"/>
  <c r="Q715" i="1"/>
  <c r="K736" i="5" s="1"/>
  <c r="Q716" i="1"/>
  <c r="K725" i="5" s="1"/>
  <c r="Q717" i="1"/>
  <c r="K877" i="5" s="1"/>
  <c r="Q718" i="1"/>
  <c r="K398" i="5" s="1"/>
  <c r="Q719" i="1"/>
  <c r="K844" i="5" s="1"/>
  <c r="Q720" i="1"/>
  <c r="K1183" i="5" s="1"/>
  <c r="Q721" i="1"/>
  <c r="K17" i="5" s="1"/>
  <c r="Q722" i="1"/>
  <c r="K1022" i="5" s="1"/>
  <c r="Q723" i="1"/>
  <c r="K158" i="5" s="1"/>
  <c r="Q724" i="1"/>
  <c r="K559" i="5" s="1"/>
  <c r="Q725" i="1"/>
  <c r="K993" i="5" s="1"/>
  <c r="Q726" i="1"/>
  <c r="K672" i="5" s="1"/>
  <c r="Q727" i="1"/>
  <c r="K1267" i="5" s="1"/>
  <c r="Q728" i="1"/>
  <c r="K403" i="5" s="1"/>
  <c r="Q729" i="1"/>
  <c r="K982" i="5" s="1"/>
  <c r="Q730" i="1"/>
  <c r="Q731" i="1"/>
  <c r="K1061" i="5" s="1"/>
  <c r="Q732" i="1"/>
  <c r="K268" i="5" s="1"/>
  <c r="Q733" i="1"/>
  <c r="K573" i="5" s="1"/>
  <c r="Q734" i="1"/>
  <c r="K1221" i="5" s="1"/>
  <c r="Q735" i="1"/>
  <c r="Q736" i="1"/>
  <c r="K804" i="5" s="1"/>
  <c r="Q737" i="1"/>
  <c r="K1311" i="5" s="1"/>
  <c r="Q738" i="1"/>
  <c r="Q739" i="1"/>
  <c r="K331" i="5" s="1"/>
  <c r="Q740" i="1"/>
  <c r="K237" i="5" s="1"/>
  <c r="Q741" i="1"/>
  <c r="K911" i="5" s="1"/>
  <c r="Q742" i="1"/>
  <c r="K475" i="5" s="1"/>
  <c r="Q743" i="1"/>
  <c r="K584" i="5" s="1"/>
  <c r="Q744" i="1"/>
  <c r="K312" i="5" s="1"/>
  <c r="Q745" i="1"/>
  <c r="K195" i="5" s="1"/>
  <c r="Q746" i="1"/>
  <c r="Q747" i="1"/>
  <c r="K1111" i="5" s="1"/>
  <c r="Q748" i="1"/>
  <c r="Q749" i="1"/>
  <c r="K152" i="5" s="1"/>
  <c r="Q750" i="1"/>
  <c r="K71" i="5" s="1"/>
  <c r="Q751" i="1"/>
  <c r="K1068" i="5" s="1"/>
  <c r="Q752" i="1"/>
  <c r="K807" i="5" s="1"/>
  <c r="Q753" i="1"/>
  <c r="K539" i="5" s="1"/>
  <c r="Q754" i="1"/>
  <c r="Q755" i="1"/>
  <c r="K627" i="5" s="1"/>
  <c r="Q756" i="1"/>
  <c r="K827" i="5" s="1"/>
  <c r="Q757" i="1"/>
  <c r="K1120" i="5" s="1"/>
  <c r="Q758" i="1"/>
  <c r="Q759" i="1"/>
  <c r="K126" i="5" s="1"/>
  <c r="Q760" i="1"/>
  <c r="K1055" i="5" s="1"/>
  <c r="Q761" i="1"/>
  <c r="K226" i="5" s="1"/>
  <c r="Q762" i="1"/>
  <c r="Q763" i="1"/>
  <c r="K677" i="5" s="1"/>
  <c r="Q764" i="1"/>
  <c r="K50" i="5" s="1"/>
  <c r="Q765" i="1"/>
  <c r="K257" i="5" s="1"/>
  <c r="Q766" i="1"/>
  <c r="K523" i="5" s="1"/>
  <c r="Q767" i="1"/>
  <c r="K310" i="5" s="1"/>
  <c r="Q768" i="1"/>
  <c r="K220" i="5" s="1"/>
  <c r="Q769" i="1"/>
  <c r="K902" i="5" s="1"/>
  <c r="Q770" i="1"/>
  <c r="Q771" i="1"/>
  <c r="K231" i="5" s="1"/>
  <c r="Q772" i="1"/>
  <c r="K975" i="5" s="1"/>
  <c r="Q773" i="1"/>
  <c r="K970" i="5" s="1"/>
  <c r="Q774" i="1"/>
  <c r="K797" i="5" s="1"/>
  <c r="Q775" i="1"/>
  <c r="K478" i="5" s="1"/>
  <c r="Q776" i="1"/>
  <c r="K118" i="5" s="1"/>
  <c r="Q777" i="1"/>
  <c r="K1028" i="5" s="1"/>
  <c r="Q778" i="1"/>
  <c r="Q779" i="1"/>
  <c r="K1075" i="5" s="1"/>
  <c r="Q780" i="1"/>
  <c r="K857" i="5" s="1"/>
  <c r="Q781" i="1"/>
  <c r="K1198" i="5" s="1"/>
  <c r="Q782" i="1"/>
  <c r="K492" i="5" s="1"/>
  <c r="Q783" i="1"/>
  <c r="Q784" i="1"/>
  <c r="K74" i="5" s="1"/>
  <c r="Q785" i="1"/>
  <c r="K979" i="5" s="1"/>
  <c r="Q786" i="1"/>
  <c r="K1152" i="5" s="1"/>
  <c r="Q787" i="1"/>
  <c r="K1290" i="5" s="1"/>
  <c r="Q788" i="1"/>
  <c r="K1318" i="5" s="1"/>
  <c r="Q789" i="1"/>
  <c r="K1043" i="5" s="1"/>
  <c r="Q790" i="1"/>
  <c r="K311" i="5" s="1"/>
  <c r="Q791" i="1"/>
  <c r="K832" i="5" s="1"/>
  <c r="Q792" i="1"/>
  <c r="K188" i="5" s="1"/>
  <c r="Q793" i="1"/>
  <c r="K101" i="5" s="1"/>
  <c r="Q794" i="1"/>
  <c r="Q795" i="1"/>
  <c r="K1101" i="5" s="1"/>
  <c r="Q796" i="1"/>
  <c r="K317" i="5" s="1"/>
  <c r="Q797" i="1"/>
  <c r="K1176" i="5" s="1"/>
  <c r="Q798" i="1"/>
  <c r="K1219" i="5" s="1"/>
  <c r="Q799" i="1"/>
  <c r="K434" i="5" s="1"/>
  <c r="Q800" i="1"/>
  <c r="K774" i="5" s="1"/>
  <c r="Q801" i="1"/>
  <c r="K1314" i="5" s="1"/>
  <c r="Q802" i="1"/>
  <c r="Q803" i="1"/>
  <c r="K1283" i="5" s="1"/>
  <c r="Q804" i="1"/>
  <c r="K141" i="5" s="1"/>
  <c r="Q805" i="1"/>
  <c r="K298" i="5" s="1"/>
  <c r="Q806" i="1"/>
  <c r="K668" i="5" s="1"/>
  <c r="Q807" i="1"/>
  <c r="K846" i="5" s="1"/>
  <c r="Q808" i="1"/>
  <c r="K438" i="5" s="1"/>
  <c r="Q809" i="1"/>
  <c r="K248" i="5" s="1"/>
  <c r="Q810" i="1"/>
  <c r="Q811" i="1"/>
  <c r="K728" i="5" s="1"/>
  <c r="Q812" i="1"/>
  <c r="K741" i="5" s="1"/>
  <c r="Q813" i="1"/>
  <c r="K336" i="5" s="1"/>
  <c r="Q814" i="1"/>
  <c r="K442" i="5" s="1"/>
  <c r="Q815" i="1"/>
  <c r="K988" i="5" s="1"/>
  <c r="Q816" i="1"/>
  <c r="K368" i="5" s="1"/>
  <c r="Q817" i="1"/>
  <c r="K1185" i="5" s="1"/>
  <c r="Q818" i="1"/>
  <c r="Q819" i="1"/>
  <c r="K1335" i="5" s="1"/>
  <c r="Q820" i="1"/>
  <c r="K260" i="5" s="1"/>
  <c r="Q821" i="1"/>
  <c r="K183" i="5" s="1"/>
  <c r="Q822" i="1"/>
  <c r="K202" i="5" s="1"/>
  <c r="Q823" i="1"/>
  <c r="K666" i="5" s="1"/>
  <c r="Q824" i="1"/>
  <c r="K760" i="5" s="1"/>
  <c r="Q825" i="1"/>
  <c r="K1130" i="5" s="1"/>
  <c r="Q826" i="1"/>
  <c r="Q827" i="1"/>
  <c r="K1218" i="5" s="1"/>
  <c r="Q828" i="1"/>
  <c r="K58" i="5" s="1"/>
  <c r="Q829" i="1"/>
  <c r="K1240" i="5" s="1"/>
  <c r="Q830" i="1"/>
  <c r="K372" i="5" s="1"/>
  <c r="Q831" i="1"/>
  <c r="K1051" i="5" s="1"/>
  <c r="Q832" i="1"/>
  <c r="Q833" i="1"/>
  <c r="K1272" i="5" s="1"/>
  <c r="Q834" i="1"/>
  <c r="Q835" i="1"/>
  <c r="K293" i="5" s="1"/>
  <c r="Q836" i="1"/>
  <c r="K1047" i="5" s="1"/>
  <c r="Q837" i="1"/>
  <c r="K367" i="5" s="1"/>
  <c r="Q838" i="1"/>
  <c r="K594" i="5" s="1"/>
  <c r="Q839" i="1"/>
  <c r="K373" i="5" s="1"/>
  <c r="Q840" i="1"/>
  <c r="K1178" i="5" s="1"/>
  <c r="Q841" i="1"/>
  <c r="K381" i="5" s="1"/>
  <c r="Q842" i="1"/>
  <c r="Q843" i="1"/>
  <c r="K918" i="5" s="1"/>
  <c r="Q844" i="1"/>
  <c r="K493" i="5" s="1"/>
  <c r="Q845" i="1"/>
  <c r="K37" i="5" s="1"/>
  <c r="Q846" i="1"/>
  <c r="K500" i="5" s="1"/>
  <c r="Q847" i="1"/>
  <c r="K47" i="5" s="1"/>
  <c r="Q848" i="1"/>
  <c r="K697" i="5" s="1"/>
  <c r="Q849" i="1"/>
  <c r="K328" i="5" s="1"/>
  <c r="Q850" i="1"/>
  <c r="K213" i="5" s="1"/>
  <c r="Q851" i="1"/>
  <c r="K767" i="5" s="1"/>
  <c r="Q852" i="1"/>
  <c r="K904" i="5" s="1"/>
  <c r="Q853" i="1"/>
  <c r="K240" i="5" s="1"/>
  <c r="Q854" i="1"/>
  <c r="K835" i="5" s="1"/>
  <c r="Q855" i="1"/>
  <c r="K1032" i="5" s="1"/>
  <c r="Q856" i="1"/>
  <c r="K1143" i="5" s="1"/>
  <c r="Q857" i="1"/>
  <c r="K161" i="5" s="1"/>
  <c r="Q858" i="1"/>
  <c r="Q859" i="1"/>
  <c r="K515" i="5" s="1"/>
  <c r="Q860" i="1"/>
  <c r="Q861" i="1"/>
  <c r="K854" i="5" s="1"/>
  <c r="Q862" i="1"/>
  <c r="K333" i="5" s="1"/>
  <c r="Q863" i="1"/>
  <c r="K939" i="5" s="1"/>
  <c r="Q864" i="1"/>
  <c r="K890" i="5" s="1"/>
  <c r="Q865" i="1"/>
  <c r="K763" i="5" s="1"/>
  <c r="Q866" i="1"/>
  <c r="Q867" i="1"/>
  <c r="K1067" i="5" s="1"/>
  <c r="Q868" i="1"/>
  <c r="K842" i="5" s="1"/>
  <c r="Q869" i="1"/>
  <c r="K44" i="5" s="1"/>
  <c r="Q870" i="1"/>
  <c r="K814" i="5" s="1"/>
  <c r="Q871" i="1"/>
  <c r="K1041" i="5" s="1"/>
  <c r="Q872" i="1"/>
  <c r="K1273" i="5" s="1"/>
  <c r="Q873" i="1"/>
  <c r="K12" i="5" s="1"/>
  <c r="Q874" i="1"/>
  <c r="Q875" i="1"/>
  <c r="K401" i="5" s="1"/>
  <c r="Q876" i="1"/>
  <c r="K817" i="5" s="1"/>
  <c r="Q877" i="1"/>
  <c r="K448" i="5" s="1"/>
  <c r="Q878" i="1"/>
  <c r="K882" i="5" s="1"/>
  <c r="Q879" i="1"/>
  <c r="K907" i="5" s="1"/>
  <c r="Q880" i="1"/>
  <c r="K740" i="5" s="1"/>
  <c r="Q881" i="1"/>
  <c r="K396" i="5" s="1"/>
  <c r="Q882" i="1"/>
  <c r="Q883" i="1"/>
  <c r="K1163" i="5" s="1"/>
  <c r="Q884" i="1"/>
  <c r="K1125" i="5" s="1"/>
  <c r="Q885" i="1"/>
  <c r="K849" i="5" s="1"/>
  <c r="Q886" i="1"/>
  <c r="K956" i="5" s="1"/>
  <c r="Q887" i="1"/>
  <c r="K1166" i="5" s="1"/>
  <c r="Q888" i="1"/>
  <c r="K1245" i="5" s="1"/>
  <c r="Q889" i="1"/>
  <c r="K375" i="5" s="1"/>
  <c r="Q890" i="1"/>
  <c r="Q891" i="1"/>
  <c r="K572" i="5" s="1"/>
  <c r="Q892" i="1"/>
  <c r="K96" i="5" s="1"/>
  <c r="Q893" i="1"/>
  <c r="K613" i="5" s="1"/>
  <c r="Q894" i="1"/>
  <c r="K159" i="5" s="1"/>
  <c r="Q895" i="1"/>
  <c r="K329" i="5" s="1"/>
  <c r="Q896" i="1"/>
  <c r="Q897" i="1"/>
  <c r="K1296" i="5" s="1"/>
  <c r="Q898" i="1"/>
  <c r="Q899" i="1"/>
  <c r="K412" i="5" s="1"/>
  <c r="Q900" i="1"/>
  <c r="K129" i="5" s="1"/>
  <c r="Q901" i="1"/>
  <c r="K1297" i="5" s="1"/>
  <c r="Q902" i="1"/>
  <c r="K256" i="5" s="1"/>
  <c r="Q903" i="1"/>
  <c r="K665" i="5" s="1"/>
  <c r="Q904" i="1"/>
  <c r="K628" i="5" s="1"/>
  <c r="Q905" i="1"/>
  <c r="K322" i="5" s="1"/>
  <c r="Q906" i="1"/>
  <c r="Q907" i="1"/>
  <c r="K980" i="5" s="1"/>
  <c r="Q908" i="1"/>
  <c r="K358" i="5" s="1"/>
  <c r="Q909" i="1"/>
  <c r="K206" i="5" s="1"/>
  <c r="Q910" i="1"/>
  <c r="K266" i="5" s="1"/>
  <c r="Q911" i="1"/>
  <c r="Q912" i="1"/>
  <c r="K1154" i="5" s="1"/>
  <c r="Q913" i="1"/>
  <c r="K694" i="5" s="1"/>
  <c r="Q914" i="1"/>
  <c r="K865" i="5" s="1"/>
  <c r="Q915" i="1"/>
  <c r="K86" i="5" s="1"/>
  <c r="Q916" i="1"/>
  <c r="K332" i="5" s="1"/>
  <c r="Q917" i="1"/>
  <c r="K303" i="5" s="1"/>
  <c r="Q918" i="1"/>
  <c r="K330" i="5" s="1"/>
  <c r="Q919" i="1"/>
  <c r="K726" i="5" s="1"/>
  <c r="Q920" i="1"/>
  <c r="K1072" i="5" s="1"/>
  <c r="Q921" i="1"/>
  <c r="K276" i="5" s="1"/>
  <c r="Q922" i="1"/>
  <c r="Q923" i="1"/>
  <c r="K450" i="5" s="1"/>
  <c r="Q924" i="1"/>
  <c r="K378" i="5" s="1"/>
  <c r="Q925" i="1"/>
  <c r="Q926" i="1"/>
  <c r="K296" i="5" s="1"/>
  <c r="Q927" i="1"/>
  <c r="K625" i="5" s="1"/>
  <c r="Q928" i="1"/>
  <c r="K54" i="5" s="1"/>
  <c r="Q929" i="1"/>
  <c r="K754" i="5" s="1"/>
  <c r="Q930" i="1"/>
  <c r="Q931" i="1"/>
  <c r="K1094" i="5" s="1"/>
  <c r="Q932" i="1"/>
  <c r="K1308" i="5" s="1"/>
  <c r="Q933" i="1"/>
  <c r="K422" i="5" s="1"/>
  <c r="Q934" i="1"/>
  <c r="K576" i="5" s="1"/>
  <c r="Q935" i="1"/>
  <c r="K218" i="5" s="1"/>
  <c r="Q936" i="1"/>
  <c r="K962" i="5" s="1"/>
  <c r="Q937" i="1"/>
  <c r="K685" i="5" s="1"/>
  <c r="Q938" i="1"/>
  <c r="Q939" i="1"/>
  <c r="K1084" i="5" s="1"/>
  <c r="Q940" i="1"/>
  <c r="Q941" i="1"/>
  <c r="K727" i="5" s="1"/>
  <c r="Q942" i="1"/>
  <c r="K443" i="5" s="1"/>
  <c r="Q943" i="1"/>
  <c r="K498" i="5" s="1"/>
  <c r="Q944" i="1"/>
  <c r="K1144" i="5" s="1"/>
  <c r="Q945" i="1"/>
  <c r="K699" i="5" s="1"/>
  <c r="Q946" i="1"/>
  <c r="Q947" i="1"/>
  <c r="K923" i="5" s="1"/>
  <c r="Q948" i="1"/>
  <c r="K504" i="5" s="1"/>
  <c r="Q949" i="1"/>
  <c r="K1096" i="5" s="1"/>
  <c r="Q950" i="1"/>
  <c r="K472" i="5" s="1"/>
  <c r="Q951" i="1"/>
  <c r="Q952" i="1"/>
  <c r="K327" i="5" s="1"/>
  <c r="Q953" i="1"/>
  <c r="K386" i="5" s="1"/>
  <c r="Q954" i="1"/>
  <c r="Q955" i="1"/>
  <c r="K1300" i="5" s="1"/>
  <c r="Q956" i="1"/>
  <c r="K751" i="5" s="1"/>
  <c r="Q957" i="1"/>
  <c r="K477" i="5" s="1"/>
  <c r="Q958" i="1"/>
  <c r="K5" i="5" s="1"/>
  <c r="Q959" i="1"/>
  <c r="K700" i="5" s="1"/>
  <c r="Q960" i="1"/>
  <c r="K631" i="5" s="1"/>
  <c r="Q961" i="1"/>
  <c r="K377" i="5" s="1"/>
  <c r="Q962" i="1"/>
  <c r="Q963" i="1"/>
  <c r="K1074" i="5" s="1"/>
  <c r="Q964" i="1"/>
  <c r="K895" i="5" s="1"/>
  <c r="Q965" i="1"/>
  <c r="Q966" i="1"/>
  <c r="K1170" i="5" s="1"/>
  <c r="Q967" i="1"/>
  <c r="K111" i="5" s="1"/>
  <c r="Q968" i="1"/>
  <c r="K496" i="5" s="1"/>
  <c r="Q969" i="1"/>
  <c r="K148" i="5" s="1"/>
  <c r="Q970" i="1"/>
  <c r="Q971" i="1"/>
  <c r="K547" i="5" s="1"/>
  <c r="Q972" i="1"/>
  <c r="K92" i="5" s="1"/>
  <c r="Q973" i="1"/>
  <c r="K571" i="5" s="1"/>
  <c r="Q974" i="1"/>
  <c r="K676" i="5" s="1"/>
  <c r="Q975" i="1"/>
  <c r="K765" i="5" s="1"/>
  <c r="Q976" i="1"/>
  <c r="K1214" i="5" s="1"/>
  <c r="Q977" i="1"/>
  <c r="K405" i="5" s="1"/>
  <c r="Q978" i="1"/>
  <c r="K1249" i="5" s="1"/>
  <c r="Q979" i="1"/>
  <c r="K1224" i="5" s="1"/>
  <c r="Q980" i="1"/>
  <c r="K1027" i="5" s="1"/>
  <c r="Q981" i="1"/>
  <c r="K1252" i="5" s="1"/>
  <c r="Q982" i="1"/>
  <c r="K1263" i="5" s="1"/>
  <c r="Q983" i="1"/>
  <c r="Q984" i="1"/>
  <c r="K84" i="5" s="1"/>
  <c r="Q985" i="1"/>
  <c r="K1324" i="5" s="1"/>
  <c r="Q986" i="1"/>
  <c r="Q987" i="1"/>
  <c r="K178" i="5" s="1"/>
  <c r="Q988" i="1"/>
  <c r="K507" i="5" s="1"/>
  <c r="Q989" i="1"/>
  <c r="K791" i="5" s="1"/>
  <c r="Q990" i="1"/>
  <c r="K915" i="5" s="1"/>
  <c r="Q991" i="1"/>
  <c r="K254" i="5" s="1"/>
  <c r="Q992" i="1"/>
  <c r="K56" i="5" s="1"/>
  <c r="Q993" i="1"/>
  <c r="K1337" i="5" s="1"/>
  <c r="Q994" i="1"/>
  <c r="Q995" i="1"/>
  <c r="K1128" i="5" s="1"/>
  <c r="Q996" i="1"/>
  <c r="K636" i="5" s="1"/>
  <c r="Q997" i="1"/>
  <c r="Q998" i="1"/>
  <c r="K409" i="5" s="1"/>
  <c r="Q999" i="1"/>
  <c r="K483" i="5" s="1"/>
  <c r="Q1000" i="1"/>
  <c r="K1026" i="5" s="1"/>
  <c r="Q1001" i="1"/>
  <c r="K931" i="5" s="1"/>
  <c r="Q1002" i="1"/>
  <c r="Q1003" i="1"/>
  <c r="K318" i="5" s="1"/>
  <c r="Q1004" i="1"/>
  <c r="K1341" i="5" s="1"/>
  <c r="Q1005" i="1"/>
  <c r="K269" i="5" s="1"/>
  <c r="Q1006" i="1"/>
  <c r="K348" i="5" s="1"/>
  <c r="Q1007" i="1"/>
  <c r="K1108" i="5" s="1"/>
  <c r="Q1008" i="1"/>
  <c r="K695" i="5" s="1"/>
  <c r="Q1009" i="1"/>
  <c r="K1181" i="5" s="1"/>
  <c r="Q1010" i="1"/>
  <c r="Q1011" i="1"/>
  <c r="K670" i="5" s="1"/>
  <c r="Q1012" i="1"/>
  <c r="Q1013" i="1"/>
  <c r="K761" i="5" s="1"/>
  <c r="Q1014" i="1"/>
  <c r="K301" i="5" s="1"/>
  <c r="Q1015" i="1"/>
  <c r="K847" i="5" s="1"/>
  <c r="Q1016" i="1"/>
  <c r="K151" i="5" s="1"/>
  <c r="Q1017" i="1"/>
  <c r="K1065" i="5" s="1"/>
  <c r="Q1018" i="1"/>
  <c r="Q1019" i="1"/>
  <c r="K744" i="5" s="1"/>
  <c r="Q1020" i="1"/>
  <c r="K192" i="5" s="1"/>
  <c r="Q1021" i="1"/>
  <c r="K120" i="5" s="1"/>
  <c r="Q1022" i="1"/>
  <c r="K476" i="5" s="1"/>
  <c r="Q1023" i="1"/>
  <c r="Q1024" i="1"/>
  <c r="K456" i="5" s="1"/>
  <c r="Q1025" i="1"/>
  <c r="K64" i="5" s="1"/>
  <c r="Q1026" i="1"/>
  <c r="Q1027" i="1"/>
  <c r="K1107" i="5" s="1"/>
  <c r="Q1028" i="1"/>
  <c r="K696" i="5" s="1"/>
  <c r="Q1029" i="1"/>
  <c r="K712" i="5" s="1"/>
  <c r="Q1030" i="1"/>
  <c r="K653" i="5" s="1"/>
  <c r="Q1031" i="1"/>
  <c r="K920" i="5" s="1"/>
  <c r="Q1032" i="1"/>
  <c r="K292" i="5" s="1"/>
  <c r="Q1033" i="1"/>
  <c r="K1276" i="5" s="1"/>
  <c r="Q1034" i="1"/>
  <c r="Q1035" i="1"/>
  <c r="K271" i="5" s="1"/>
  <c r="Q1036" i="1"/>
  <c r="K1313" i="5" s="1"/>
  <c r="Q1037" i="1"/>
  <c r="K75" i="5" s="1"/>
  <c r="Q1038" i="1"/>
  <c r="K352" i="5" s="1"/>
  <c r="Q1039" i="1"/>
  <c r="K463" i="5" s="1"/>
  <c r="Q1040" i="1"/>
  <c r="K912" i="5" s="1"/>
  <c r="Q1041" i="1"/>
  <c r="Q1042" i="1"/>
  <c r="K917" i="5" s="1"/>
  <c r="Q1043" i="1"/>
  <c r="K27" i="5" s="1"/>
  <c r="Q1044" i="1"/>
  <c r="K186" i="5" s="1"/>
  <c r="Q1045" i="1"/>
  <c r="K942" i="5" s="1"/>
  <c r="Q1046" i="1"/>
  <c r="K934" i="5" s="1"/>
  <c r="Q1047" i="1"/>
  <c r="K415" i="5" s="1"/>
  <c r="Q1048" i="1"/>
  <c r="K824" i="5" s="1"/>
  <c r="Q1049" i="1"/>
  <c r="K1015" i="5" s="1"/>
  <c r="Q1050" i="1"/>
  <c r="Q1051" i="1"/>
  <c r="K840" i="5" s="1"/>
  <c r="Q1052" i="1"/>
  <c r="K550" i="5" s="1"/>
  <c r="Q1053" i="1"/>
  <c r="K199" i="5" s="1"/>
  <c r="Q1054" i="1"/>
  <c r="K143" i="5" s="1"/>
  <c r="Q1055" i="1"/>
  <c r="K1233" i="5" s="1"/>
  <c r="Q1056" i="1"/>
  <c r="K750" i="5" s="1"/>
  <c r="Q1057" i="1"/>
  <c r="K1164" i="5" s="1"/>
  <c r="Q1058" i="1"/>
  <c r="Q1059" i="1"/>
  <c r="K321" i="5" s="1"/>
  <c r="Q1060" i="1"/>
  <c r="K408" i="5" s="1"/>
  <c r="Q1061" i="1"/>
  <c r="K646" i="5" s="1"/>
  <c r="Q1062" i="1"/>
  <c r="K805" i="5" s="1"/>
  <c r="Q1063" i="1"/>
  <c r="K1200" i="5" s="1"/>
  <c r="Q1064" i="1"/>
  <c r="K649" i="5" s="1"/>
  <c r="Q1065" i="1"/>
  <c r="K357" i="5" s="1"/>
  <c r="Q1066" i="1"/>
  <c r="Q1067" i="1"/>
  <c r="K1302" i="5" s="1"/>
  <c r="Q1068" i="1"/>
  <c r="K926" i="5" s="1"/>
  <c r="Q1069" i="1"/>
  <c r="K693" i="5" s="1"/>
  <c r="Q1070" i="1"/>
  <c r="K42" i="5" s="1"/>
  <c r="Q1071" i="1"/>
  <c r="Q1072" i="1"/>
  <c r="K756" i="5" s="1"/>
  <c r="Q1073" i="1"/>
  <c r="K659" i="5" s="1"/>
  <c r="Q1074" i="1"/>
  <c r="Q1075" i="1"/>
  <c r="K444" i="5" s="1"/>
  <c r="Q1076" i="1"/>
  <c r="K597" i="5" s="1"/>
  <c r="Q1077" i="1"/>
  <c r="K739" i="5" s="1"/>
  <c r="Q1078" i="1"/>
  <c r="K549" i="5" s="1"/>
  <c r="Q1079" i="1"/>
  <c r="K502" i="5" s="1"/>
  <c r="Q1080" i="1"/>
  <c r="K558" i="5" s="1"/>
  <c r="Q1081" i="1"/>
  <c r="K77" i="5" s="1"/>
  <c r="Q1082" i="1"/>
  <c r="Q1083" i="1"/>
  <c r="K513" i="5" s="1"/>
  <c r="Q1084" i="1"/>
  <c r="K1121" i="5" s="1"/>
  <c r="Q1085" i="1"/>
  <c r="Q1086" i="1"/>
  <c r="K207" i="5" s="1"/>
  <c r="Q1087" i="1"/>
  <c r="K999" i="5" s="1"/>
  <c r="Q1088" i="1"/>
  <c r="K425" i="5" s="1"/>
  <c r="Q1089" i="1"/>
  <c r="K897" i="5" s="1"/>
  <c r="Q1090" i="1"/>
  <c r="Q1091" i="1"/>
  <c r="K201" i="5" s="1"/>
  <c r="Q1092" i="1"/>
  <c r="K678" i="5" s="1"/>
  <c r="Q1093" i="1"/>
  <c r="K316" i="5" s="1"/>
  <c r="Q1094" i="1"/>
  <c r="K203" i="5" s="1"/>
  <c r="Q1095" i="1"/>
  <c r="K689" i="5" s="1"/>
  <c r="Q1096" i="1"/>
  <c r="K137" i="5" s="1"/>
  <c r="Q1097" i="1"/>
  <c r="K215" i="5" s="1"/>
  <c r="Q1098" i="1"/>
  <c r="Q1099" i="1"/>
  <c r="K1102" i="5" s="1"/>
  <c r="Q1100" i="1"/>
  <c r="K428" i="5" s="1"/>
  <c r="Q1101" i="1"/>
  <c r="K1112" i="5" s="1"/>
  <c r="Q1102" i="1"/>
  <c r="K131" i="5" s="1"/>
  <c r="Q1103" i="1"/>
  <c r="K662" i="5" s="1"/>
  <c r="Q1104" i="1"/>
  <c r="K867" i="5" s="1"/>
  <c r="Q1105" i="1"/>
  <c r="K755" i="5" s="1"/>
  <c r="Q1106" i="1"/>
  <c r="K816" i="5" s="1"/>
  <c r="Q1107" i="1"/>
  <c r="K1140" i="5" s="1"/>
  <c r="Q1108" i="1"/>
  <c r="K173" i="5" s="1"/>
  <c r="Q1109" i="1"/>
  <c r="K593" i="5" s="1"/>
  <c r="Q1110" i="1"/>
  <c r="K898" i="5" s="1"/>
  <c r="Q1111" i="1"/>
  <c r="K818" i="5" s="1"/>
  <c r="Q1112" i="1"/>
  <c r="K1110" i="5" s="1"/>
  <c r="Q1113" i="1"/>
  <c r="K430" i="5" s="1"/>
  <c r="Q1114" i="1"/>
  <c r="Q1115" i="1"/>
  <c r="K309" i="5" s="1"/>
  <c r="Q1116" i="1"/>
  <c r="K586" i="5" s="1"/>
  <c r="Q1117" i="1"/>
  <c r="Q1118" i="1"/>
  <c r="K592" i="5" s="1"/>
  <c r="Q1119" i="1"/>
  <c r="K122" i="5" s="1"/>
  <c r="Q1120" i="1"/>
  <c r="K730" i="5" s="1"/>
  <c r="Q1121" i="1"/>
  <c r="K208" i="5" s="1"/>
  <c r="Q1122" i="1"/>
  <c r="Q1123" i="1"/>
  <c r="K965" i="5" s="1"/>
  <c r="Q1124" i="1"/>
  <c r="K908" i="5" s="1"/>
  <c r="Q1125" i="1"/>
  <c r="K124" i="5" s="1"/>
  <c r="Q1126" i="1"/>
  <c r="K291" i="5" s="1"/>
  <c r="Q1127" i="1"/>
  <c r="K112" i="5" s="1"/>
  <c r="Q1128" i="1"/>
  <c r="K921" i="5" s="1"/>
  <c r="Q1129" i="1"/>
  <c r="K103" i="5" s="1"/>
  <c r="Q1130" i="1"/>
  <c r="Q1131" i="1"/>
  <c r="K1257" i="5" s="1"/>
  <c r="Q1132" i="1"/>
  <c r="K841" i="5" s="1"/>
  <c r="Q1133" i="1"/>
  <c r="K491" i="5" s="1"/>
  <c r="Q1134" i="1"/>
  <c r="Q1135" i="1"/>
  <c r="K762" i="5" s="1"/>
  <c r="Q1136" i="1"/>
  <c r="K629" i="5" s="1"/>
  <c r="Q1137" i="1"/>
  <c r="K1132" i="5" s="1"/>
  <c r="Q1138" i="1"/>
  <c r="Q1139" i="1"/>
  <c r="K1253" i="5" s="1"/>
  <c r="Q1140" i="1"/>
  <c r="K185" i="5" s="1"/>
  <c r="Q1141" i="1"/>
  <c r="K187" i="5" s="1"/>
  <c r="Q1142" i="1"/>
  <c r="K69" i="5" s="1"/>
  <c r="Q1143" i="1"/>
  <c r="K57" i="5" s="1"/>
  <c r="Q1144" i="1"/>
  <c r="K943" i="5" s="1"/>
  <c r="Q1145" i="1"/>
  <c r="K548" i="5" s="1"/>
  <c r="Q1146" i="1"/>
  <c r="Q1147" i="1"/>
  <c r="K1285" i="5" s="1"/>
  <c r="Q1148" i="1"/>
  <c r="Q1149" i="1"/>
  <c r="K683" i="5" s="1"/>
  <c r="Q1150" i="1"/>
  <c r="K144" i="5" s="1"/>
  <c r="Q1151" i="1"/>
  <c r="K230" i="5" s="1"/>
  <c r="Q1152" i="1"/>
  <c r="K345" i="5" s="1"/>
  <c r="Q1153" i="1"/>
  <c r="K1289" i="5" s="1"/>
  <c r="Q1154" i="1"/>
  <c r="Q1155" i="1"/>
  <c r="K781" i="5" s="1"/>
  <c r="Q1156" i="1"/>
  <c r="K1090" i="5" s="1"/>
  <c r="Q1157" i="1"/>
  <c r="K15" i="5" s="1"/>
  <c r="Q1158" i="1"/>
  <c r="K343" i="5" s="1"/>
  <c r="Q1159" i="1"/>
  <c r="K796" i="5" s="1"/>
  <c r="Q1160" i="1"/>
  <c r="K25" i="5" s="1"/>
  <c r="Q1161" i="1"/>
  <c r="Q1162" i="1"/>
  <c r="Q1163" i="1"/>
  <c r="K471" i="5" s="1"/>
  <c r="Q1164" i="1"/>
  <c r="K410" i="5" s="1"/>
  <c r="Q1165" i="1"/>
  <c r="K808" i="5" s="1"/>
  <c r="Q1166" i="1"/>
  <c r="K537" i="5" s="1"/>
  <c r="Q1167" i="1"/>
  <c r="K1141" i="5" s="1"/>
  <c r="Q1168" i="1"/>
  <c r="K1244" i="5" s="1"/>
  <c r="Q1169" i="1"/>
  <c r="K1307" i="5" s="1"/>
  <c r="Q1170" i="1"/>
  <c r="K606" i="5" s="1"/>
  <c r="Q1171" i="1"/>
  <c r="K616" i="5" s="1"/>
  <c r="Q1172" i="1"/>
  <c r="K718" i="5" s="1"/>
  <c r="Q1173" i="1"/>
  <c r="K916" i="5" s="1"/>
  <c r="Q1174" i="1"/>
  <c r="K135" i="5" s="1"/>
  <c r="Q1175" i="1"/>
  <c r="K721" i="5" s="1"/>
  <c r="Q1176" i="1"/>
  <c r="K481" i="5" s="1"/>
  <c r="Q1177" i="1"/>
  <c r="K850" i="5" s="1"/>
  <c r="Q1178" i="1"/>
  <c r="Q1179" i="1"/>
  <c r="K680" i="5" s="1"/>
  <c r="Q1180" i="1"/>
  <c r="Q1181" i="1"/>
  <c r="K1063" i="5" s="1"/>
  <c r="Q1182" i="1"/>
  <c r="K339" i="5" s="1"/>
  <c r="Q1183" i="1"/>
  <c r="K1105" i="5" s="1"/>
  <c r="Q1184" i="1"/>
  <c r="K223" i="5" s="1"/>
  <c r="Q1185" i="1"/>
  <c r="K239" i="5" s="1"/>
  <c r="Q1186" i="1"/>
  <c r="Q1187" i="1"/>
  <c r="K1002" i="5" s="1"/>
  <c r="Q1188" i="1"/>
  <c r="K104" i="5" s="1"/>
  <c r="Q1189" i="1"/>
  <c r="K1270" i="5" s="1"/>
  <c r="Q1190" i="1"/>
  <c r="K776" i="5" s="1"/>
  <c r="Q1191" i="1"/>
  <c r="K370" i="5" s="1"/>
  <c r="Q1192" i="1"/>
  <c r="K1007" i="5" s="1"/>
  <c r="Q1193" i="1"/>
  <c r="K955" i="5" s="1"/>
  <c r="Q1194" i="1"/>
  <c r="Q1195" i="1"/>
  <c r="K14" i="5" s="1"/>
  <c r="Q1196" i="1"/>
  <c r="K32" i="5" s="1"/>
  <c r="Q1197" i="1"/>
  <c r="Q1198" i="1"/>
  <c r="K1258" i="5" s="1"/>
  <c r="Q1199" i="1"/>
  <c r="K90" i="5" s="1"/>
  <c r="Q1200" i="1"/>
  <c r="K140" i="5" s="1"/>
  <c r="Q1201" i="1"/>
  <c r="K1191" i="5" s="1"/>
  <c r="Q1202" i="1"/>
  <c r="Q1203" i="1"/>
  <c r="K794" i="5" s="1"/>
  <c r="Q1204" i="1"/>
  <c r="K1148" i="5" s="1"/>
  <c r="Q1205" i="1"/>
  <c r="K795" i="5" s="1"/>
  <c r="Q1206" i="1"/>
  <c r="K8" i="5" s="1"/>
  <c r="Q1207" i="1"/>
  <c r="K452" i="5" s="1"/>
  <c r="Q1208" i="1"/>
  <c r="K1199" i="5" s="1"/>
  <c r="Q1209" i="1"/>
  <c r="K109" i="5" s="1"/>
  <c r="Q1210" i="1"/>
  <c r="Q1211" i="1"/>
  <c r="K1159" i="5" s="1"/>
  <c r="Q1212" i="1"/>
  <c r="Q1213" i="1"/>
  <c r="K977" i="5" s="1"/>
  <c r="Q1214" i="1"/>
  <c r="K9" i="5" s="1"/>
  <c r="Q1215" i="1"/>
  <c r="K1113" i="5" s="1"/>
  <c r="Q1216" i="1"/>
  <c r="K1190" i="5" s="1"/>
  <c r="Q1217" i="1"/>
  <c r="K88" i="5" s="1"/>
  <c r="Q1218" i="1"/>
  <c r="Q1219" i="1"/>
  <c r="K639" i="5" s="1"/>
  <c r="Q1220" i="1"/>
  <c r="K723" i="5" s="1"/>
  <c r="Q1221" i="1"/>
  <c r="K830" i="5" s="1"/>
  <c r="Q1222" i="1"/>
  <c r="K551" i="5" s="1"/>
  <c r="Q1223" i="1"/>
  <c r="K1317" i="5" s="1"/>
  <c r="Q1224" i="1"/>
  <c r="K608" i="5" s="1"/>
  <c r="Q1225" i="1"/>
  <c r="Q1226" i="1"/>
  <c r="Q1227" i="1"/>
  <c r="K524" i="5" s="1"/>
  <c r="Q1228" i="1"/>
  <c r="K1145" i="5" s="1"/>
  <c r="Q1229" i="1"/>
  <c r="K944" i="5" s="1"/>
  <c r="Q1230" i="1"/>
  <c r="K282" i="5" s="1"/>
  <c r="Q1231" i="1"/>
  <c r="K97" i="5" s="1"/>
  <c r="Q1232" i="1"/>
  <c r="K624" i="5" s="1"/>
  <c r="Q1233" i="1"/>
  <c r="K831" i="5" s="1"/>
  <c r="Q1234" i="1"/>
  <c r="K813" i="5" s="1"/>
  <c r="Q1235" i="1"/>
  <c r="K474" i="5" s="1"/>
  <c r="Q1236" i="1"/>
  <c r="K359" i="5" s="1"/>
  <c r="Q1237" i="1"/>
  <c r="K87" i="5" s="1"/>
  <c r="Q1238" i="1"/>
  <c r="K236" i="5" s="1"/>
  <c r="Q1239" i="1"/>
  <c r="K834" i="5" s="1"/>
  <c r="Q1240" i="1"/>
  <c r="K501" i="5" s="1"/>
  <c r="Q1241" i="1"/>
  <c r="K146" i="5" s="1"/>
  <c r="Q1242" i="1"/>
  <c r="Q1243" i="1"/>
  <c r="K1131" i="5" s="1"/>
  <c r="Q1244" i="1"/>
  <c r="K759" i="5" s="1"/>
  <c r="Q1245" i="1"/>
  <c r="Q1246" i="1"/>
  <c r="K1241" i="5" s="1"/>
  <c r="Q1247" i="1"/>
  <c r="K232" i="5" s="1"/>
  <c r="Q1248" i="1"/>
  <c r="K1213" i="5" s="1"/>
  <c r="Q1249" i="1"/>
  <c r="K1295" i="5" s="1"/>
  <c r="Q1250" i="1"/>
  <c r="Q1251" i="1"/>
  <c r="K1207" i="5" s="1"/>
  <c r="Q1252" i="1"/>
  <c r="K1106" i="5" s="1"/>
  <c r="Q1253" i="1"/>
  <c r="K724" i="5" s="1"/>
  <c r="Q1254" i="1"/>
  <c r="K395" i="5" s="1"/>
  <c r="Q1255" i="1"/>
  <c r="K285" i="5" s="1"/>
  <c r="Q1256" i="1"/>
  <c r="K1020" i="5" s="1"/>
  <c r="Q1257" i="1"/>
  <c r="K1188" i="5" s="1"/>
  <c r="Q1258" i="1"/>
  <c r="Q1259" i="1"/>
  <c r="K258" i="5" s="1"/>
  <c r="Q1260" i="1"/>
  <c r="K556" i="5" s="1"/>
  <c r="Q1261" i="1"/>
  <c r="K520" i="5" s="1"/>
  <c r="Q1262" i="1"/>
  <c r="Q1263" i="1"/>
  <c r="K20" i="5" s="1"/>
  <c r="Q1264" i="1"/>
  <c r="K150" i="5" s="1"/>
  <c r="Q1265" i="1"/>
  <c r="K879" i="5" s="1"/>
  <c r="Q1266" i="1"/>
  <c r="Q1267" i="1"/>
  <c r="K179" i="5" s="1"/>
  <c r="Q1268" i="1"/>
  <c r="K674" i="5" s="1"/>
  <c r="Q1269" i="1"/>
  <c r="K1019" i="5" s="1"/>
  <c r="Q1270" i="1"/>
  <c r="K747" i="5" s="1"/>
  <c r="Q1271" i="1"/>
  <c r="K1338" i="5" s="1"/>
  <c r="Q1272" i="1"/>
  <c r="K833" i="5" s="1"/>
  <c r="Q1273" i="1"/>
  <c r="K900" i="5" s="1"/>
  <c r="Q1274" i="1"/>
  <c r="Q1275" i="1"/>
  <c r="K732" i="5" s="1"/>
  <c r="Q1276" i="1"/>
  <c r="K623" i="5" s="1"/>
  <c r="Q1277" i="1"/>
  <c r="Q1278" i="1"/>
  <c r="K320" i="5" s="1"/>
  <c r="Q1279" i="1"/>
  <c r="K1010" i="5" s="1"/>
  <c r="Q1280" i="1"/>
  <c r="K383" i="5" s="1"/>
  <c r="Q1281" i="1"/>
  <c r="K567" i="5" s="1"/>
  <c r="Q1282" i="1"/>
  <c r="Q1283" i="1"/>
  <c r="K1208" i="5" s="1"/>
  <c r="Q1284" i="1"/>
  <c r="K393" i="5" s="1"/>
  <c r="Q1285" i="1"/>
  <c r="K354" i="5" s="1"/>
  <c r="Q1286" i="1"/>
  <c r="L1286" i="1" s="1"/>
  <c r="Q1287" i="1"/>
  <c r="K810" i="5" s="1"/>
  <c r="Q1288" i="1"/>
  <c r="K247" i="5" s="1"/>
  <c r="Q1289" i="1"/>
  <c r="K643" i="5" s="1"/>
  <c r="Q1290" i="1"/>
  <c r="L1290" i="1" s="1"/>
  <c r="Q1291" i="1"/>
  <c r="K1305" i="5" s="1"/>
  <c r="Q1292" i="1"/>
  <c r="L1292" i="1" s="1"/>
  <c r="Q1293" i="1"/>
  <c r="K488" i="5" s="1"/>
  <c r="Q1294" i="1"/>
  <c r="K720" i="5" s="1"/>
  <c r="Q1295" i="1"/>
  <c r="K983" i="5" s="1"/>
  <c r="Q1296" i="1"/>
  <c r="K1076" i="5" s="1"/>
  <c r="Q1297" i="1"/>
  <c r="K789" i="5" s="1"/>
  <c r="Q1298" i="1"/>
  <c r="K869" i="5" s="1"/>
  <c r="Q1299" i="1"/>
  <c r="K136" i="5" s="1"/>
  <c r="Q1300" i="1"/>
  <c r="K1180" i="5" s="1"/>
  <c r="Q1301" i="1"/>
  <c r="K704" i="5" s="1"/>
  <c r="Q1302" i="1"/>
  <c r="L1302" i="1" s="1"/>
  <c r="Q1303" i="1"/>
  <c r="K828" i="5" s="1"/>
  <c r="Q1304" i="1"/>
  <c r="L1304" i="1" s="1"/>
  <c r="Q1305" i="1"/>
  <c r="K596" i="5" s="1"/>
  <c r="Q1306" i="1"/>
  <c r="L1306" i="1" s="1"/>
  <c r="Q1307" i="1"/>
  <c r="K1334" i="5" s="1"/>
  <c r="Q1308" i="1"/>
  <c r="K620" i="5" s="1"/>
  <c r="Q1309" i="1"/>
  <c r="K245" i="5" s="1"/>
  <c r="Q1310" i="1"/>
  <c r="L1310" i="1" s="1"/>
  <c r="Q1311" i="1"/>
  <c r="K554" i="5" s="1"/>
  <c r="Q1312" i="1"/>
  <c r="L1312" i="1" s="1"/>
  <c r="Q1313" i="1"/>
  <c r="K992" i="5" s="1"/>
  <c r="Q1314" i="1"/>
  <c r="L1314" i="1" s="1"/>
  <c r="Q1315" i="1"/>
  <c r="K259" i="5" s="1"/>
  <c r="Q1316" i="1"/>
  <c r="K509" i="5" s="1"/>
  <c r="Q1317" i="1"/>
  <c r="K884" i="5" s="1"/>
  <c r="Q1318" i="1"/>
  <c r="L1318" i="1" s="1"/>
  <c r="Q1319" i="1"/>
  <c r="K960" i="5" s="1"/>
  <c r="Q1320" i="1"/>
  <c r="L1320" i="1" s="1"/>
  <c r="Q1321" i="1"/>
  <c r="K575" i="5" s="1"/>
  <c r="Q1322" i="1"/>
  <c r="L1322" i="1" s="1"/>
  <c r="Q1323" i="1"/>
  <c r="K1109" i="5" s="1"/>
  <c r="Q1324" i="1"/>
  <c r="K177" i="5" s="1"/>
  <c r="Q1325" i="1"/>
  <c r="K138" i="5" s="1"/>
  <c r="Q1326" i="1"/>
  <c r="K566" i="5" s="1"/>
  <c r="Q1327" i="1"/>
  <c r="K1326" i="5" s="1"/>
  <c r="Q1328" i="1"/>
  <c r="L1328" i="1" s="1"/>
  <c r="Q1329" i="1"/>
  <c r="K238" i="5" s="1"/>
  <c r="Q1330" i="1"/>
  <c r="L1330" i="1" s="1"/>
  <c r="Q1331" i="1"/>
  <c r="K557" i="5" s="1"/>
  <c r="Q1332" i="1"/>
  <c r="K871" i="5" s="1"/>
  <c r="Q1333" i="1"/>
  <c r="K1291" i="5" s="1"/>
  <c r="Q1334" i="1"/>
  <c r="K825" i="5" s="1"/>
  <c r="Q1335" i="1"/>
  <c r="K1223" i="5" s="1"/>
  <c r="Q1336" i="1"/>
  <c r="L1336" i="1" s="1"/>
  <c r="Q1337" i="1"/>
  <c r="K1116" i="5" s="1"/>
  <c r="Q1338" i="1"/>
  <c r="L1338" i="1" s="1"/>
  <c r="Q1339" i="1"/>
  <c r="K1092" i="5" s="1"/>
  <c r="Q1340" i="1"/>
  <c r="K1172" i="5" s="1"/>
  <c r="Q1341" i="1"/>
  <c r="K589" i="5" s="1"/>
  <c r="C1" i="5"/>
  <c r="B1" i="5"/>
  <c r="A1" i="5"/>
  <c r="L18" i="1"/>
  <c r="L82" i="1"/>
  <c r="L146" i="1"/>
  <c r="L210" i="1"/>
  <c r="L274" i="1"/>
  <c r="L338" i="1"/>
  <c r="L402" i="1"/>
  <c r="L466" i="1"/>
  <c r="L530" i="1"/>
  <c r="L594" i="1"/>
  <c r="L658" i="1"/>
  <c r="L722" i="1"/>
  <c r="L786" i="1"/>
  <c r="L850" i="1"/>
  <c r="L914" i="1"/>
  <c r="L978" i="1"/>
  <c r="L1042" i="1"/>
  <c r="L1106" i="1"/>
  <c r="L1170" i="1"/>
  <c r="L1234" i="1"/>
  <c r="L1298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2" i="1"/>
  <c r="O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2" i="1"/>
  <c r="L3" i="1"/>
  <c r="L4" i="1"/>
  <c r="L5" i="1"/>
  <c r="L6" i="1"/>
  <c r="L7" i="1"/>
  <c r="L8" i="1"/>
  <c r="L9" i="1"/>
  <c r="L11" i="1"/>
  <c r="L12" i="1"/>
  <c r="L13" i="1"/>
  <c r="L14" i="1"/>
  <c r="L15" i="1"/>
  <c r="L16" i="1"/>
  <c r="L17" i="1"/>
  <c r="L19" i="1"/>
  <c r="L20" i="1"/>
  <c r="L21" i="1"/>
  <c r="L22" i="1"/>
  <c r="L23" i="1"/>
  <c r="L24" i="1"/>
  <c r="L25" i="1"/>
  <c r="L27" i="1"/>
  <c r="L28" i="1"/>
  <c r="L29" i="1"/>
  <c r="L30" i="1"/>
  <c r="L31" i="1"/>
  <c r="L32" i="1"/>
  <c r="L33" i="1"/>
  <c r="L35" i="1"/>
  <c r="L36" i="1"/>
  <c r="L37" i="1"/>
  <c r="L38" i="1"/>
  <c r="L39" i="1"/>
  <c r="L41" i="1"/>
  <c r="L43" i="1"/>
  <c r="L44" i="1"/>
  <c r="L45" i="1"/>
  <c r="L46" i="1"/>
  <c r="L47" i="1"/>
  <c r="L49" i="1"/>
  <c r="L51" i="1"/>
  <c r="L52" i="1"/>
  <c r="L53" i="1"/>
  <c r="L54" i="1"/>
  <c r="L55" i="1"/>
  <c r="L56" i="1"/>
  <c r="L57" i="1"/>
  <c r="L59" i="1"/>
  <c r="L60" i="1"/>
  <c r="L61" i="1"/>
  <c r="L62" i="1"/>
  <c r="L63" i="1"/>
  <c r="L64" i="1"/>
  <c r="L65" i="1"/>
  <c r="L67" i="1"/>
  <c r="L68" i="1"/>
  <c r="L69" i="1"/>
  <c r="L70" i="1"/>
  <c r="L71" i="1"/>
  <c r="L72" i="1"/>
  <c r="L73" i="1"/>
  <c r="L75" i="1"/>
  <c r="L76" i="1"/>
  <c r="L77" i="1"/>
  <c r="L78" i="1"/>
  <c r="L79" i="1"/>
  <c r="L80" i="1"/>
  <c r="L81" i="1"/>
  <c r="L83" i="1"/>
  <c r="L84" i="1"/>
  <c r="L85" i="1"/>
  <c r="L86" i="1"/>
  <c r="L87" i="1"/>
  <c r="L88" i="1"/>
  <c r="L89" i="1"/>
  <c r="L91" i="1"/>
  <c r="L92" i="1"/>
  <c r="L93" i="1"/>
  <c r="L94" i="1"/>
  <c r="L95" i="1"/>
  <c r="L96" i="1"/>
  <c r="L97" i="1"/>
  <c r="L99" i="1"/>
  <c r="L100" i="1"/>
  <c r="L101" i="1"/>
  <c r="L102" i="1"/>
  <c r="L103" i="1"/>
  <c r="L105" i="1"/>
  <c r="L107" i="1"/>
  <c r="L108" i="1"/>
  <c r="L109" i="1"/>
  <c r="L110" i="1"/>
  <c r="L111" i="1"/>
  <c r="L113" i="1"/>
  <c r="L115" i="1"/>
  <c r="L116" i="1"/>
  <c r="L117" i="1"/>
  <c r="L118" i="1"/>
  <c r="L119" i="1"/>
  <c r="L120" i="1"/>
  <c r="L121" i="1"/>
  <c r="L123" i="1"/>
  <c r="L124" i="1"/>
  <c r="L125" i="1"/>
  <c r="L126" i="1"/>
  <c r="L127" i="1"/>
  <c r="L128" i="1"/>
  <c r="L129" i="1"/>
  <c r="L131" i="1"/>
  <c r="L132" i="1"/>
  <c r="L133" i="1"/>
  <c r="L134" i="1"/>
  <c r="L135" i="1"/>
  <c r="L136" i="1"/>
  <c r="L137" i="1"/>
  <c r="L139" i="1"/>
  <c r="L140" i="1"/>
  <c r="L141" i="1"/>
  <c r="L142" i="1"/>
  <c r="L143" i="1"/>
  <c r="L144" i="1"/>
  <c r="L145" i="1"/>
  <c r="L147" i="1"/>
  <c r="L148" i="1"/>
  <c r="L149" i="1"/>
  <c r="L150" i="1"/>
  <c r="L151" i="1"/>
  <c r="L152" i="1"/>
  <c r="L153" i="1"/>
  <c r="L155" i="1"/>
  <c r="L156" i="1"/>
  <c r="L157" i="1"/>
  <c r="L158" i="1"/>
  <c r="L159" i="1"/>
  <c r="L160" i="1"/>
  <c r="L161" i="1"/>
  <c r="L163" i="1"/>
  <c r="L164" i="1"/>
  <c r="L165" i="1"/>
  <c r="L166" i="1"/>
  <c r="L167" i="1"/>
  <c r="L169" i="1"/>
  <c r="L171" i="1"/>
  <c r="L172" i="1"/>
  <c r="L173" i="1"/>
  <c r="L174" i="1"/>
  <c r="L175" i="1"/>
  <c r="L177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5" i="1"/>
  <c r="L196" i="1"/>
  <c r="L197" i="1"/>
  <c r="L198" i="1"/>
  <c r="L199" i="1"/>
  <c r="L200" i="1"/>
  <c r="L201" i="1"/>
  <c r="L203" i="1"/>
  <c r="L204" i="1"/>
  <c r="L205" i="1"/>
  <c r="L206" i="1"/>
  <c r="L207" i="1"/>
  <c r="L208" i="1"/>
  <c r="L209" i="1"/>
  <c r="L211" i="1"/>
  <c r="L212" i="1"/>
  <c r="L213" i="1"/>
  <c r="L214" i="1"/>
  <c r="L215" i="1"/>
  <c r="L216" i="1"/>
  <c r="L217" i="1"/>
  <c r="L219" i="1"/>
  <c r="L220" i="1"/>
  <c r="L221" i="1"/>
  <c r="L222" i="1"/>
  <c r="L223" i="1"/>
  <c r="L224" i="1"/>
  <c r="L225" i="1"/>
  <c r="L227" i="1"/>
  <c r="L228" i="1"/>
  <c r="L229" i="1"/>
  <c r="L230" i="1"/>
  <c r="L232" i="1"/>
  <c r="L233" i="1"/>
  <c r="L235" i="1"/>
  <c r="L236" i="1"/>
  <c r="L237" i="1"/>
  <c r="L238" i="1"/>
  <c r="L239" i="1"/>
  <c r="L241" i="1"/>
  <c r="L243" i="1"/>
  <c r="L244" i="1"/>
  <c r="L245" i="1"/>
  <c r="L246" i="1"/>
  <c r="L247" i="1"/>
  <c r="L249" i="1"/>
  <c r="L251" i="1"/>
  <c r="L252" i="1"/>
  <c r="L253" i="1"/>
  <c r="L254" i="1"/>
  <c r="L255" i="1"/>
  <c r="L256" i="1"/>
  <c r="L257" i="1"/>
  <c r="L259" i="1"/>
  <c r="L260" i="1"/>
  <c r="L261" i="1"/>
  <c r="L262" i="1"/>
  <c r="L263" i="1"/>
  <c r="L265" i="1"/>
  <c r="L267" i="1"/>
  <c r="L268" i="1"/>
  <c r="L269" i="1"/>
  <c r="L270" i="1"/>
  <c r="L273" i="1"/>
  <c r="L275" i="1"/>
  <c r="L276" i="1"/>
  <c r="L277" i="1"/>
  <c r="L278" i="1"/>
  <c r="L279" i="1"/>
  <c r="L281" i="1"/>
  <c r="L283" i="1"/>
  <c r="L284" i="1"/>
  <c r="L285" i="1"/>
  <c r="L286" i="1"/>
  <c r="L287" i="1"/>
  <c r="L289" i="1"/>
  <c r="L291" i="1"/>
  <c r="L292" i="1"/>
  <c r="L293" i="1"/>
  <c r="L294" i="1"/>
  <c r="L295" i="1"/>
  <c r="L297" i="1"/>
  <c r="L299" i="1"/>
  <c r="L300" i="1"/>
  <c r="L301" i="1"/>
  <c r="L302" i="1"/>
  <c r="L305" i="1"/>
  <c r="L307" i="1"/>
  <c r="L308" i="1"/>
  <c r="L309" i="1"/>
  <c r="L310" i="1"/>
  <c r="L311" i="1"/>
  <c r="L313" i="1"/>
  <c r="L315" i="1"/>
  <c r="L316" i="1"/>
  <c r="L317" i="1"/>
  <c r="L318" i="1"/>
  <c r="L319" i="1"/>
  <c r="L320" i="1"/>
  <c r="L321" i="1"/>
  <c r="L323" i="1"/>
  <c r="L325" i="1"/>
  <c r="L326" i="1"/>
  <c r="L327" i="1"/>
  <c r="L329" i="1"/>
  <c r="L331" i="1"/>
  <c r="L332" i="1"/>
  <c r="L333" i="1"/>
  <c r="L335" i="1"/>
  <c r="L337" i="1"/>
  <c r="L339" i="1"/>
  <c r="L340" i="1"/>
  <c r="L341" i="1"/>
  <c r="L342" i="1"/>
  <c r="L343" i="1"/>
  <c r="L347" i="1"/>
  <c r="L348" i="1"/>
  <c r="L349" i="1"/>
  <c r="L350" i="1"/>
  <c r="L351" i="1"/>
  <c r="L353" i="1"/>
  <c r="L355" i="1"/>
  <c r="L357" i="1"/>
  <c r="L358" i="1"/>
  <c r="L359" i="1"/>
  <c r="L361" i="1"/>
  <c r="L363" i="1"/>
  <c r="L364" i="1"/>
  <c r="L365" i="1"/>
  <c r="L367" i="1"/>
  <c r="L369" i="1"/>
  <c r="L371" i="1"/>
  <c r="L372" i="1"/>
  <c r="L373" i="1"/>
  <c r="L374" i="1"/>
  <c r="L375" i="1"/>
  <c r="L379" i="1"/>
  <c r="L380" i="1"/>
  <c r="L381" i="1"/>
  <c r="L382" i="1"/>
  <c r="L383" i="1"/>
  <c r="L384" i="1"/>
  <c r="L385" i="1"/>
  <c r="L387" i="1"/>
  <c r="L388" i="1"/>
  <c r="L389" i="1"/>
  <c r="L390" i="1"/>
  <c r="L391" i="1"/>
  <c r="L393" i="1"/>
  <c r="L395" i="1"/>
  <c r="L396" i="1"/>
  <c r="L397" i="1"/>
  <c r="L398" i="1"/>
  <c r="L399" i="1"/>
  <c r="L401" i="1"/>
  <c r="L403" i="1"/>
  <c r="L404" i="1"/>
  <c r="L405" i="1"/>
  <c r="L406" i="1"/>
  <c r="L409" i="1"/>
  <c r="L411" i="1"/>
  <c r="L412" i="1"/>
  <c r="L413" i="1"/>
  <c r="L414" i="1"/>
  <c r="L415" i="1"/>
  <c r="L417" i="1"/>
  <c r="L419" i="1"/>
  <c r="L420" i="1"/>
  <c r="L421" i="1"/>
  <c r="L422" i="1"/>
  <c r="L423" i="1"/>
  <c r="L425" i="1"/>
  <c r="L427" i="1"/>
  <c r="L428" i="1"/>
  <c r="L429" i="1"/>
  <c r="L430" i="1"/>
  <c r="L431" i="1"/>
  <c r="L433" i="1"/>
  <c r="L435" i="1"/>
  <c r="L436" i="1"/>
  <c r="L437" i="1"/>
  <c r="L438" i="1"/>
  <c r="L441" i="1"/>
  <c r="L443" i="1"/>
  <c r="L444" i="1"/>
  <c r="L445" i="1"/>
  <c r="L446" i="1"/>
  <c r="L447" i="1"/>
  <c r="L448" i="1"/>
  <c r="L451" i="1"/>
  <c r="L452" i="1"/>
  <c r="L453" i="1"/>
  <c r="L454" i="1"/>
  <c r="L455" i="1"/>
  <c r="L457" i="1"/>
  <c r="L459" i="1"/>
  <c r="L461" i="1"/>
  <c r="L462" i="1"/>
  <c r="L463" i="1"/>
  <c r="L465" i="1"/>
  <c r="L467" i="1"/>
  <c r="L468" i="1"/>
  <c r="L469" i="1"/>
  <c r="L473" i="1"/>
  <c r="L475" i="1"/>
  <c r="L476" i="1"/>
  <c r="L477" i="1"/>
  <c r="L479" i="1"/>
  <c r="L481" i="1"/>
  <c r="L483" i="1"/>
  <c r="L485" i="1"/>
  <c r="L486" i="1"/>
  <c r="L487" i="1"/>
  <c r="L489" i="1"/>
  <c r="L491" i="1"/>
  <c r="L492" i="1"/>
  <c r="L493" i="1"/>
  <c r="L495" i="1"/>
  <c r="L497" i="1"/>
  <c r="L499" i="1"/>
  <c r="L500" i="1"/>
  <c r="L501" i="1"/>
  <c r="L502" i="1"/>
  <c r="L503" i="1"/>
  <c r="L507" i="1"/>
  <c r="L508" i="1"/>
  <c r="L509" i="1"/>
  <c r="L510" i="1"/>
  <c r="L511" i="1"/>
  <c r="L512" i="1"/>
  <c r="L513" i="1"/>
  <c r="L516" i="1"/>
  <c r="L517" i="1"/>
  <c r="L518" i="1"/>
  <c r="L519" i="1"/>
  <c r="L521" i="1"/>
  <c r="L523" i="1"/>
  <c r="L524" i="1"/>
  <c r="L527" i="1"/>
  <c r="L529" i="1"/>
  <c r="L531" i="1"/>
  <c r="L532" i="1"/>
  <c r="L533" i="1"/>
  <c r="L535" i="1"/>
  <c r="L539" i="1"/>
  <c r="L540" i="1"/>
  <c r="L541" i="1"/>
  <c r="L543" i="1"/>
  <c r="L545" i="1"/>
  <c r="L547" i="1"/>
  <c r="L548" i="1"/>
  <c r="L550" i="1"/>
  <c r="L551" i="1"/>
  <c r="L553" i="1"/>
  <c r="L555" i="1"/>
  <c r="L556" i="1"/>
  <c r="L557" i="1"/>
  <c r="L558" i="1"/>
  <c r="L561" i="1"/>
  <c r="L563" i="1"/>
  <c r="L564" i="1"/>
  <c r="L565" i="1"/>
  <c r="L566" i="1"/>
  <c r="L567" i="1"/>
  <c r="L571" i="1"/>
  <c r="L573" i="1"/>
  <c r="L574" i="1"/>
  <c r="L575" i="1"/>
  <c r="L576" i="1"/>
  <c r="L577" i="1"/>
  <c r="L579" i="1"/>
  <c r="L580" i="1"/>
  <c r="L582" i="1"/>
  <c r="L583" i="1"/>
  <c r="L585" i="1"/>
  <c r="L587" i="1"/>
  <c r="L588" i="1"/>
  <c r="L589" i="1"/>
  <c r="L590" i="1"/>
  <c r="L593" i="1"/>
  <c r="L595" i="1"/>
  <c r="L596" i="1"/>
  <c r="L597" i="1"/>
  <c r="L599" i="1"/>
  <c r="L601" i="1"/>
  <c r="L603" i="1"/>
  <c r="L605" i="1"/>
  <c r="L607" i="1"/>
  <c r="L609" i="1"/>
  <c r="L611" i="1"/>
  <c r="L612" i="1"/>
  <c r="L613" i="1"/>
  <c r="L614" i="1"/>
  <c r="L617" i="1"/>
  <c r="L619" i="1"/>
  <c r="L620" i="1"/>
  <c r="L621" i="1"/>
  <c r="L622" i="1"/>
  <c r="L623" i="1"/>
  <c r="L625" i="1"/>
  <c r="L628" i="1"/>
  <c r="L629" i="1"/>
  <c r="L630" i="1"/>
  <c r="L631" i="1"/>
  <c r="L635" i="1"/>
  <c r="L636" i="1"/>
  <c r="L637" i="1"/>
  <c r="L639" i="1"/>
  <c r="L640" i="1"/>
  <c r="L641" i="1"/>
  <c r="L643" i="1"/>
  <c r="L644" i="1"/>
  <c r="L645" i="1"/>
  <c r="L646" i="1"/>
  <c r="L649" i="1"/>
  <c r="L651" i="1"/>
  <c r="L653" i="1"/>
  <c r="L655" i="1"/>
  <c r="L657" i="1"/>
  <c r="L659" i="1"/>
  <c r="L663" i="1"/>
  <c r="L665" i="1"/>
  <c r="L667" i="1"/>
  <c r="L668" i="1"/>
  <c r="L669" i="1"/>
  <c r="L671" i="1"/>
  <c r="L673" i="1"/>
  <c r="L676" i="1"/>
  <c r="L677" i="1"/>
  <c r="L678" i="1"/>
  <c r="L679" i="1"/>
  <c r="L681" i="1"/>
  <c r="L683" i="1"/>
  <c r="L684" i="1"/>
  <c r="L686" i="1"/>
  <c r="L687" i="1"/>
  <c r="L689" i="1"/>
  <c r="L691" i="1"/>
  <c r="L692" i="1"/>
  <c r="L693" i="1"/>
  <c r="L699" i="1"/>
  <c r="L700" i="1"/>
  <c r="L701" i="1"/>
  <c r="L702" i="1"/>
  <c r="L703" i="1"/>
  <c r="L704" i="1"/>
  <c r="L705" i="1"/>
  <c r="L708" i="1"/>
  <c r="L709" i="1"/>
  <c r="L711" i="1"/>
  <c r="L713" i="1"/>
  <c r="L715" i="1"/>
  <c r="L717" i="1"/>
  <c r="L719" i="1"/>
  <c r="L723" i="1"/>
  <c r="L724" i="1"/>
  <c r="L727" i="1"/>
  <c r="L729" i="1"/>
  <c r="L731" i="1"/>
  <c r="L732" i="1"/>
  <c r="L733" i="1"/>
  <c r="L737" i="1"/>
  <c r="L739" i="1"/>
  <c r="L740" i="1"/>
  <c r="L741" i="1"/>
  <c r="L742" i="1"/>
  <c r="L745" i="1"/>
  <c r="L747" i="1"/>
  <c r="L749" i="1"/>
  <c r="L750" i="1"/>
  <c r="L751" i="1"/>
  <c r="L753" i="1"/>
  <c r="L755" i="1"/>
  <c r="L756" i="1"/>
  <c r="L757" i="1"/>
  <c r="L759" i="1"/>
  <c r="L763" i="1"/>
  <c r="L764" i="1"/>
  <c r="L765" i="1"/>
  <c r="L767" i="1"/>
  <c r="L768" i="1"/>
  <c r="L771" i="1"/>
  <c r="L772" i="1"/>
  <c r="L773" i="1"/>
  <c r="L775" i="1"/>
  <c r="L777" i="1"/>
  <c r="L779" i="1"/>
  <c r="L781" i="1"/>
  <c r="L785" i="1"/>
  <c r="L787" i="1"/>
  <c r="L788" i="1"/>
  <c r="L791" i="1"/>
  <c r="L793" i="1"/>
  <c r="L795" i="1"/>
  <c r="L796" i="1"/>
  <c r="L799" i="1"/>
  <c r="L801" i="1"/>
  <c r="L803" i="1"/>
  <c r="L804" i="1"/>
  <c r="L805" i="1"/>
  <c r="L806" i="1"/>
  <c r="L809" i="1"/>
  <c r="L812" i="1"/>
  <c r="L813" i="1"/>
  <c r="L814" i="1"/>
  <c r="L815" i="1"/>
  <c r="L817" i="1"/>
  <c r="L819" i="1"/>
  <c r="L820" i="1"/>
  <c r="L822" i="1"/>
  <c r="L827" i="1"/>
  <c r="L828" i="1"/>
  <c r="L829" i="1"/>
  <c r="L830" i="1"/>
  <c r="L831" i="1"/>
  <c r="L833" i="1"/>
  <c r="L835" i="1"/>
  <c r="L836" i="1"/>
  <c r="L837" i="1"/>
  <c r="L839" i="1"/>
  <c r="L841" i="1"/>
  <c r="L843" i="1"/>
  <c r="L847" i="1"/>
  <c r="L849" i="1"/>
  <c r="L851" i="1"/>
  <c r="L852" i="1"/>
  <c r="L855" i="1"/>
  <c r="L857" i="1"/>
  <c r="L859" i="1"/>
  <c r="L861" i="1"/>
  <c r="L863" i="1"/>
  <c r="L865" i="1"/>
  <c r="L867" i="1"/>
  <c r="L868" i="1"/>
  <c r="L869" i="1"/>
  <c r="L870" i="1"/>
  <c r="L875" i="1"/>
  <c r="L876" i="1"/>
  <c r="L877" i="1"/>
  <c r="L878" i="1"/>
  <c r="L879" i="1"/>
  <c r="L883" i="1"/>
  <c r="L884" i="1"/>
  <c r="L886" i="1"/>
  <c r="L887" i="1"/>
  <c r="L891" i="1"/>
  <c r="L892" i="1"/>
  <c r="L893" i="1"/>
  <c r="L894" i="1"/>
  <c r="L897" i="1"/>
  <c r="L899" i="1"/>
  <c r="L901" i="1"/>
  <c r="L903" i="1"/>
  <c r="L905" i="1"/>
  <c r="L907" i="1"/>
  <c r="L909" i="1"/>
  <c r="L913" i="1"/>
  <c r="L915" i="1"/>
  <c r="L916" i="1"/>
  <c r="L919" i="1"/>
  <c r="L921" i="1"/>
  <c r="L923" i="1"/>
  <c r="L924" i="1"/>
  <c r="L929" i="1"/>
  <c r="L931" i="1"/>
  <c r="L932" i="1"/>
  <c r="L933" i="1"/>
  <c r="L934" i="1"/>
  <c r="L937" i="1"/>
  <c r="L939" i="1"/>
  <c r="L941" i="1"/>
  <c r="L942" i="1"/>
  <c r="L947" i="1"/>
  <c r="L948" i="1"/>
  <c r="L949" i="1"/>
  <c r="L950" i="1"/>
  <c r="L955" i="1"/>
  <c r="L956" i="1"/>
  <c r="L957" i="1"/>
  <c r="L959" i="1"/>
  <c r="L961" i="1"/>
  <c r="L967" i="1"/>
  <c r="L969" i="1"/>
  <c r="L971" i="1"/>
  <c r="L975" i="1"/>
  <c r="L977" i="1"/>
  <c r="L979" i="1"/>
  <c r="L980" i="1"/>
  <c r="L985" i="1"/>
  <c r="L987" i="1"/>
  <c r="L988" i="1"/>
  <c r="L989" i="1"/>
  <c r="L993" i="1"/>
  <c r="L995" i="1"/>
  <c r="L996" i="1"/>
  <c r="L1001" i="1"/>
  <c r="L1003" i="1"/>
  <c r="L1004" i="1"/>
  <c r="L1005" i="1"/>
  <c r="L1006" i="1"/>
  <c r="L1007" i="1"/>
  <c r="L1011" i="1"/>
  <c r="L1013" i="1"/>
  <c r="L1015" i="1"/>
  <c r="L1019" i="1"/>
  <c r="L1020" i="1"/>
  <c r="L1021" i="1"/>
  <c r="L1022" i="1"/>
  <c r="L1025" i="1"/>
  <c r="L1029" i="1"/>
  <c r="L1031" i="1"/>
  <c r="L1033" i="1"/>
  <c r="L1035" i="1"/>
  <c r="L1039" i="1"/>
  <c r="L1043" i="1"/>
  <c r="L1049" i="1"/>
  <c r="L1051" i="1"/>
  <c r="L1052" i="1"/>
  <c r="L1053" i="1"/>
  <c r="L1057" i="1"/>
  <c r="L1060" i="1"/>
  <c r="L1061" i="1"/>
  <c r="L1067" i="1"/>
  <c r="L1068" i="1"/>
  <c r="L1069" i="1"/>
  <c r="L1070" i="1"/>
  <c r="L1075" i="1"/>
  <c r="L1076" i="1"/>
  <c r="L1077" i="1"/>
  <c r="L1079" i="1"/>
  <c r="L1083" i="1"/>
  <c r="L1084" i="1"/>
  <c r="L1086" i="1"/>
  <c r="L1087" i="1"/>
  <c r="L1088" i="1"/>
  <c r="L1089" i="1"/>
  <c r="L1093" i="1"/>
  <c r="L1095" i="1"/>
  <c r="L1103" i="1"/>
  <c r="L1105" i="1"/>
  <c r="L1107" i="1"/>
  <c r="L1108" i="1"/>
  <c r="L1113" i="1"/>
  <c r="L1115" i="1"/>
  <c r="L1116" i="1"/>
  <c r="L1123" i="1"/>
  <c r="L1124" i="1"/>
  <c r="L1125" i="1"/>
  <c r="L1131" i="1"/>
  <c r="L1132" i="1"/>
  <c r="L1135" i="1"/>
  <c r="L1139" i="1"/>
  <c r="L1140" i="1"/>
  <c r="L1141" i="1"/>
  <c r="L1142" i="1"/>
  <c r="L1143" i="1"/>
  <c r="L1147" i="1"/>
  <c r="L1151" i="1"/>
  <c r="L1153" i="1"/>
  <c r="L1157" i="1"/>
  <c r="L1159" i="1"/>
  <c r="L1163" i="1"/>
  <c r="L1171" i="1"/>
  <c r="L1172" i="1"/>
  <c r="L1177" i="1"/>
  <c r="L1179" i="1"/>
  <c r="L1181" i="1"/>
  <c r="L1185" i="1"/>
  <c r="L1187" i="1"/>
  <c r="L1188" i="1"/>
  <c r="L1189" i="1"/>
  <c r="L1195" i="1"/>
  <c r="L1196" i="1"/>
  <c r="L1199" i="1"/>
  <c r="L1203" i="1"/>
  <c r="L1205" i="1"/>
  <c r="L1207" i="1"/>
  <c r="L1211" i="1"/>
  <c r="L1213" i="1"/>
  <c r="L1215" i="1"/>
  <c r="L1216" i="1"/>
  <c r="L1221" i="1"/>
  <c r="L1223" i="1"/>
  <c r="L1227" i="1"/>
  <c r="L1233" i="1"/>
  <c r="L1235" i="1"/>
  <c r="L1236" i="1"/>
  <c r="L1241" i="1"/>
  <c r="L1243" i="1"/>
  <c r="L1244" i="1"/>
  <c r="L1251" i="1"/>
  <c r="L1252" i="1"/>
  <c r="L1253" i="1"/>
  <c r="L1259" i="1"/>
  <c r="L1260" i="1"/>
  <c r="L1267" i="1"/>
  <c r="L1268" i="1"/>
  <c r="L1269" i="1"/>
  <c r="L1271" i="1"/>
  <c r="L1275" i="1"/>
  <c r="L1276" i="1"/>
  <c r="L1285" i="1"/>
  <c r="L1287" i="1"/>
  <c r="L1289" i="1"/>
  <c r="L1297" i="1"/>
  <c r="L1299" i="1"/>
  <c r="L1300" i="1"/>
  <c r="L1307" i="1"/>
  <c r="L1308" i="1"/>
  <c r="L1309" i="1"/>
  <c r="L1316" i="1"/>
  <c r="L1317" i="1"/>
  <c r="L1323" i="1"/>
  <c r="L1324" i="1"/>
  <c r="L1327" i="1"/>
  <c r="L1332" i="1"/>
  <c r="L1333" i="1"/>
  <c r="L1335" i="1"/>
  <c r="L1339" i="1"/>
  <c r="L1340" i="1"/>
  <c r="L2" i="1"/>
  <c r="L1281" i="1" l="1"/>
  <c r="L1152" i="1"/>
  <c r="L1305" i="1"/>
  <c r="L1280" i="1"/>
  <c r="L1249" i="1"/>
  <c r="L1121" i="1"/>
  <c r="L1097" i="1"/>
  <c r="U1097" i="1" s="1"/>
  <c r="L1014" i="1"/>
  <c r="K753" i="5"/>
  <c r="L1212" i="1"/>
  <c r="K1062" i="5"/>
  <c r="L1180" i="1"/>
  <c r="K864" i="5"/>
  <c r="L1148" i="1"/>
  <c r="K878" i="5"/>
  <c r="L1012" i="1"/>
  <c r="K102" i="5"/>
  <c r="L940" i="1"/>
  <c r="K297" i="5"/>
  <c r="L860" i="1"/>
  <c r="K39" i="5"/>
  <c r="L748" i="1"/>
  <c r="K1235" i="5"/>
  <c r="L660" i="1"/>
  <c r="L1326" i="1"/>
  <c r="K543" i="5"/>
  <c r="L1277" i="1"/>
  <c r="L1341" i="1"/>
  <c r="L1325" i="1"/>
  <c r="L960" i="1"/>
  <c r="L1279" i="1"/>
  <c r="U1279" i="1" s="1"/>
  <c r="L1263" i="1"/>
  <c r="L1169" i="1"/>
  <c r="L1150" i="1"/>
  <c r="L1278" i="1"/>
  <c r="L1261" i="1"/>
  <c r="L1217" i="1"/>
  <c r="L1204" i="1"/>
  <c r="L1167" i="1"/>
  <c r="U1167" i="1" s="1"/>
  <c r="L1149" i="1"/>
  <c r="L1133" i="1"/>
  <c r="L1078" i="1"/>
  <c r="L1065" i="1"/>
  <c r="L1044" i="1"/>
  <c r="L1024" i="1"/>
  <c r="L958" i="1"/>
  <c r="L943" i="1"/>
  <c r="L895" i="1"/>
  <c r="L823" i="1"/>
  <c r="L766" i="1"/>
  <c r="L694" i="1"/>
  <c r="L654" i="1"/>
  <c r="L526" i="1"/>
  <c r="K719" i="5"/>
  <c r="L1225" i="1"/>
  <c r="F719" i="5" s="1"/>
  <c r="K909" i="5"/>
  <c r="L1161" i="1"/>
  <c r="K46" i="5"/>
  <c r="L1041" i="1"/>
  <c r="K366" i="5"/>
  <c r="L896" i="1"/>
  <c r="K1048" i="5"/>
  <c r="L832" i="1"/>
  <c r="F1048" i="5" s="1"/>
  <c r="K802" i="5"/>
  <c r="L176" i="1"/>
  <c r="K949" i="5"/>
  <c r="L168" i="1"/>
  <c r="K687" i="5"/>
  <c r="L112" i="1"/>
  <c r="K402" i="5"/>
  <c r="L104" i="1"/>
  <c r="K251" i="5"/>
  <c r="L48" i="1"/>
  <c r="K289" i="5"/>
  <c r="L40" i="1"/>
  <c r="L1214" i="1"/>
  <c r="L1198" i="1"/>
  <c r="K51" i="5"/>
  <c r="L1071" i="1"/>
  <c r="K887" i="5"/>
  <c r="L1023" i="1"/>
  <c r="K702" i="5"/>
  <c r="L983" i="1"/>
  <c r="K52" i="5"/>
  <c r="L951" i="1"/>
  <c r="K1053" i="5"/>
  <c r="L911" i="1"/>
  <c r="U911" i="1" s="1"/>
  <c r="K905" i="5"/>
  <c r="L783" i="1"/>
  <c r="K1192" i="5"/>
  <c r="L735" i="1"/>
  <c r="K1195" i="5"/>
  <c r="L1262" i="1"/>
  <c r="K1150" i="5"/>
  <c r="L1134" i="1"/>
  <c r="K642" i="5"/>
  <c r="L758" i="1"/>
  <c r="K924" i="5"/>
  <c r="L638" i="1"/>
  <c r="K31" i="5"/>
  <c r="L1245" i="1"/>
  <c r="K569" i="5"/>
  <c r="L1197" i="1"/>
  <c r="K1280" i="5"/>
  <c r="L1117" i="1"/>
  <c r="K153" i="5"/>
  <c r="L1085" i="1"/>
  <c r="K1186" i="5"/>
  <c r="L997" i="1"/>
  <c r="K319" i="5"/>
  <c r="L965" i="1"/>
  <c r="F319" i="5" s="1"/>
  <c r="K1016" i="5"/>
  <c r="L925" i="1"/>
  <c r="F1052" i="5"/>
  <c r="L1331" i="1"/>
  <c r="L1315" i="1"/>
  <c r="L1291" i="1"/>
  <c r="L1099" i="1"/>
  <c r="L1059" i="1"/>
  <c r="F321" i="5" s="1"/>
  <c r="L885" i="1"/>
  <c r="L873" i="1"/>
  <c r="L845" i="1"/>
  <c r="L821" i="1"/>
  <c r="L811" i="1"/>
  <c r="L797" i="1"/>
  <c r="L769" i="1"/>
  <c r="L721" i="1"/>
  <c r="U721" i="1" s="1"/>
  <c r="L707" i="1"/>
  <c r="L695" i="1"/>
  <c r="L685" i="1"/>
  <c r="L675" i="1"/>
  <c r="L647" i="1"/>
  <c r="L627" i="1"/>
  <c r="L615" i="1"/>
  <c r="L604" i="1"/>
  <c r="L591" i="1"/>
  <c r="L581" i="1"/>
  <c r="L572" i="1"/>
  <c r="L559" i="1"/>
  <c r="L549" i="1"/>
  <c r="L537" i="1"/>
  <c r="L525" i="1"/>
  <c r="L515" i="1"/>
  <c r="U515" i="1" s="1"/>
  <c r="L505" i="1"/>
  <c r="L494" i="1"/>
  <c r="L484" i="1"/>
  <c r="L471" i="1"/>
  <c r="L460" i="1"/>
  <c r="L449" i="1"/>
  <c r="L439" i="1"/>
  <c r="L407" i="1"/>
  <c r="U407" i="1" s="1"/>
  <c r="L377" i="1"/>
  <c r="L366" i="1"/>
  <c r="L356" i="1"/>
  <c r="L345" i="1"/>
  <c r="L334" i="1"/>
  <c r="L324" i="1"/>
  <c r="L303" i="1"/>
  <c r="L271" i="1"/>
  <c r="U271" i="1" s="1"/>
  <c r="L231" i="1"/>
  <c r="F1204" i="5"/>
  <c r="F688" i="5"/>
  <c r="F1209" i="5"/>
  <c r="F669" i="5"/>
  <c r="F55" i="5"/>
  <c r="F1169" i="5"/>
  <c r="F927" i="5"/>
  <c r="F801" i="5"/>
  <c r="F527" i="5"/>
  <c r="F335" i="5"/>
  <c r="F474" i="5"/>
  <c r="U1171" i="1"/>
  <c r="F616" i="5"/>
  <c r="F586" i="5"/>
  <c r="F42" i="5"/>
  <c r="F456" i="5"/>
  <c r="U951" i="1"/>
  <c r="F52" i="5"/>
  <c r="F882" i="5"/>
  <c r="F666" i="5"/>
  <c r="F126" i="5"/>
  <c r="F647" i="5"/>
  <c r="F35" i="5"/>
  <c r="F1135" i="5"/>
  <c r="F1251" i="5"/>
  <c r="F353" i="5"/>
  <c r="F497" i="5"/>
  <c r="F435" i="5"/>
  <c r="F60" i="5"/>
  <c r="U265" i="1"/>
  <c r="F1058" i="5"/>
  <c r="F200" i="5"/>
  <c r="F68" i="5"/>
  <c r="F16" i="5"/>
  <c r="F989" i="5"/>
  <c r="F136" i="5"/>
  <c r="L1334" i="1"/>
  <c r="L1288" i="1"/>
  <c r="L1270" i="1"/>
  <c r="F520" i="5"/>
  <c r="F1106" i="5"/>
  <c r="F1131" i="5"/>
  <c r="F831" i="5"/>
  <c r="L1224" i="1"/>
  <c r="U1215" i="1"/>
  <c r="F1113" i="5"/>
  <c r="L1206" i="1"/>
  <c r="F104" i="5"/>
  <c r="U1179" i="1"/>
  <c r="F680" i="5"/>
  <c r="F1307" i="5"/>
  <c r="L1160" i="1"/>
  <c r="F230" i="5"/>
  <c r="F69" i="5"/>
  <c r="F491" i="5"/>
  <c r="F908" i="5"/>
  <c r="F309" i="5"/>
  <c r="F755" i="5"/>
  <c r="L1096" i="1"/>
  <c r="F999" i="5"/>
  <c r="F549" i="5"/>
  <c r="F693" i="5"/>
  <c r="F408" i="5"/>
  <c r="F840" i="5"/>
  <c r="F46" i="5"/>
  <c r="L1032" i="1"/>
  <c r="F887" i="5"/>
  <c r="F301" i="5"/>
  <c r="F269" i="5"/>
  <c r="F636" i="5"/>
  <c r="F178" i="5"/>
  <c r="U977" i="1"/>
  <c r="F405" i="5"/>
  <c r="L968" i="1"/>
  <c r="F700" i="5"/>
  <c r="F472" i="5"/>
  <c r="F727" i="5"/>
  <c r="F1308" i="5"/>
  <c r="F450" i="5"/>
  <c r="F694" i="5"/>
  <c r="L904" i="1"/>
  <c r="U895" i="1"/>
  <c r="F329" i="5"/>
  <c r="F956" i="5"/>
  <c r="F448" i="5"/>
  <c r="F842" i="5"/>
  <c r="U859" i="1"/>
  <c r="F515" i="5"/>
  <c r="F328" i="5"/>
  <c r="L840" i="1"/>
  <c r="F1051" i="5"/>
  <c r="F202" i="5"/>
  <c r="F336" i="5"/>
  <c r="F141" i="5"/>
  <c r="F1101" i="5"/>
  <c r="U785" i="1"/>
  <c r="F979" i="5"/>
  <c r="L776" i="1"/>
  <c r="F310" i="5"/>
  <c r="F642" i="5"/>
  <c r="F152" i="5"/>
  <c r="F237" i="5"/>
  <c r="F1061" i="5"/>
  <c r="L712" i="1"/>
  <c r="U703" i="1"/>
  <c r="F1298" i="5"/>
  <c r="F1126" i="5"/>
  <c r="F595" i="5"/>
  <c r="F1115" i="5"/>
  <c r="U667" i="1"/>
  <c r="F563" i="5"/>
  <c r="F421" i="5"/>
  <c r="L648" i="1"/>
  <c r="F255" i="5"/>
  <c r="F656" i="5"/>
  <c r="F3" i="5"/>
  <c r="F326" i="5"/>
  <c r="F93" i="5"/>
  <c r="F611" i="5"/>
  <c r="L584" i="1"/>
  <c r="F1042" i="5"/>
  <c r="F369" i="5"/>
  <c r="F324" i="5"/>
  <c r="F100" i="5"/>
  <c r="F108" i="5"/>
  <c r="F788" i="5"/>
  <c r="L520" i="1"/>
  <c r="F673" i="5"/>
  <c r="F582" i="5"/>
  <c r="F518" i="5"/>
  <c r="F40" i="5"/>
  <c r="F843" i="5"/>
  <c r="U465" i="1"/>
  <c r="F457" i="5"/>
  <c r="L456" i="1"/>
  <c r="F287" i="5"/>
  <c r="F107" i="5"/>
  <c r="F1054" i="5"/>
  <c r="F973" i="5"/>
  <c r="F28" i="5"/>
  <c r="F286" i="5"/>
  <c r="L392" i="1"/>
  <c r="U383" i="1"/>
  <c r="F545" i="5"/>
  <c r="F913" i="5"/>
  <c r="F1073" i="5"/>
  <c r="F417" i="5"/>
  <c r="U347" i="1"/>
  <c r="F706" i="5"/>
  <c r="F307" i="5"/>
  <c r="L328" i="1"/>
  <c r="F612" i="5"/>
  <c r="F997" i="5"/>
  <c r="F793" i="5"/>
  <c r="F859" i="5"/>
  <c r="F1226" i="5"/>
  <c r="U273" i="1"/>
  <c r="F1328" i="5"/>
  <c r="L264" i="1"/>
  <c r="F1229" i="5"/>
  <c r="F1158" i="5"/>
  <c r="F709" i="5"/>
  <c r="F349" i="5"/>
  <c r="F823" i="5"/>
  <c r="F785" i="5"/>
  <c r="F1117" i="5"/>
  <c r="U191" i="1"/>
  <c r="F154" i="5"/>
  <c r="F800" i="5"/>
  <c r="F365" i="5"/>
  <c r="F424" i="5"/>
  <c r="U155" i="1"/>
  <c r="F67" i="5"/>
  <c r="F1005" i="5"/>
  <c r="F1299" i="5"/>
  <c r="F462" i="5"/>
  <c r="F80" i="5"/>
  <c r="F1333" i="5"/>
  <c r="F1201" i="5"/>
  <c r="F784" i="5"/>
  <c r="U81" i="1"/>
  <c r="F1220" i="5"/>
  <c r="F779" i="5"/>
  <c r="F23" i="5"/>
  <c r="F473" i="5"/>
  <c r="F212" i="5"/>
  <c r="F1040" i="5"/>
  <c r="F1330" i="5"/>
  <c r="F910" i="5"/>
  <c r="F227" i="5"/>
  <c r="F865" i="5"/>
  <c r="F1210" i="5"/>
  <c r="K801" i="5"/>
  <c r="K55" i="5"/>
  <c r="U1271" i="1"/>
  <c r="F1338" i="5"/>
  <c r="F1190" i="5"/>
  <c r="F502" i="5"/>
  <c r="U1015" i="1"/>
  <c r="F847" i="5"/>
  <c r="F148" i="5"/>
  <c r="F378" i="5"/>
  <c r="F44" i="5"/>
  <c r="F442" i="5"/>
  <c r="F1290" i="5"/>
  <c r="F71" i="5"/>
  <c r="F1162" i="5"/>
  <c r="U649" i="1"/>
  <c r="F959" i="5"/>
  <c r="F1284" i="5"/>
  <c r="F449" i="5"/>
  <c r="F455" i="5"/>
  <c r="U457" i="1"/>
  <c r="F388" i="5"/>
  <c r="F253" i="5"/>
  <c r="F874" i="5"/>
  <c r="F798" i="5"/>
  <c r="F773" i="5"/>
  <c r="F356" i="5"/>
  <c r="F768" i="5"/>
  <c r="F991" i="5"/>
  <c r="F937" i="5"/>
  <c r="F78" i="5"/>
  <c r="F414" i="5"/>
  <c r="F320" i="5"/>
  <c r="U1241" i="1"/>
  <c r="F146" i="5"/>
  <c r="F1002" i="5"/>
  <c r="F187" i="5"/>
  <c r="F689" i="5"/>
  <c r="F761" i="5"/>
  <c r="F111" i="5"/>
  <c r="F1094" i="5"/>
  <c r="F849" i="5"/>
  <c r="F373" i="5"/>
  <c r="L784" i="1"/>
  <c r="F39" i="5"/>
  <c r="F546" i="5"/>
  <c r="F385" i="5"/>
  <c r="F65" i="5"/>
  <c r="F1327" i="5"/>
  <c r="F605" i="5"/>
  <c r="F679" i="5"/>
  <c r="L400" i="1"/>
  <c r="L336" i="1"/>
  <c r="L272" i="1"/>
  <c r="F350" i="5"/>
  <c r="F132" i="5"/>
  <c r="F1136" i="5"/>
  <c r="F270" i="5"/>
  <c r="F640" i="5"/>
  <c r="K738" i="5"/>
  <c r="K1204" i="5"/>
  <c r="K85" i="5"/>
  <c r="K527" i="5"/>
  <c r="K209" i="5"/>
  <c r="K688" i="5"/>
  <c r="K335" i="5"/>
  <c r="K1336" i="5"/>
  <c r="K1169" i="5"/>
  <c r="K669" i="5"/>
  <c r="K1077" i="5"/>
  <c r="K1209" i="5"/>
  <c r="F810" i="5"/>
  <c r="F1261" i="5"/>
  <c r="F383" i="5"/>
  <c r="F1270" i="5"/>
  <c r="F909" i="5"/>
  <c r="F215" i="5"/>
  <c r="U1043" i="1"/>
  <c r="F27" i="5"/>
  <c r="F507" i="5"/>
  <c r="F422" i="5"/>
  <c r="F1166" i="5"/>
  <c r="F220" i="5"/>
  <c r="F158" i="5"/>
  <c r="F110" i="5"/>
  <c r="F717" i="5"/>
  <c r="F128" i="5"/>
  <c r="F812" i="5"/>
  <c r="F819" i="5"/>
  <c r="F1248" i="5"/>
  <c r="F134" i="5"/>
  <c r="F947" i="5"/>
  <c r="F691" i="5"/>
  <c r="F651" i="5"/>
  <c r="F235" i="5"/>
  <c r="F556" i="5"/>
  <c r="F9" i="5"/>
  <c r="U1159" i="1"/>
  <c r="F796" i="5"/>
  <c r="L1104" i="1"/>
  <c r="F1015" i="5"/>
  <c r="F1341" i="5"/>
  <c r="F5" i="5"/>
  <c r="F276" i="5"/>
  <c r="F817" i="5"/>
  <c r="F372" i="5"/>
  <c r="F101" i="5"/>
  <c r="L720" i="1"/>
  <c r="F1256" i="5"/>
  <c r="F10" i="5"/>
  <c r="F1193" i="5"/>
  <c r="F984" i="5"/>
  <c r="F1087" i="5"/>
  <c r="F1095" i="5"/>
  <c r="F281" i="5"/>
  <c r="U327" i="1"/>
  <c r="F172" i="5"/>
  <c r="F485" i="5"/>
  <c r="F340" i="5"/>
  <c r="F1225" i="5"/>
  <c r="F848" i="5"/>
  <c r="F217" i="5"/>
  <c r="F1309" i="5"/>
  <c r="F935" i="5"/>
  <c r="F945" i="5"/>
  <c r="F674" i="5"/>
  <c r="L1240" i="1"/>
  <c r="F1148" i="5"/>
  <c r="L1158" i="1"/>
  <c r="U1131" i="1"/>
  <c r="F1257" i="5"/>
  <c r="L1094" i="1"/>
  <c r="L1048" i="1"/>
  <c r="F120" i="5"/>
  <c r="F1337" i="5"/>
  <c r="L966" i="1"/>
  <c r="F1084" i="5"/>
  <c r="L902" i="1"/>
  <c r="F1125" i="5"/>
  <c r="U875" i="1"/>
  <c r="F401" i="5"/>
  <c r="F763" i="5"/>
  <c r="L838" i="1"/>
  <c r="F1240" i="5"/>
  <c r="F260" i="5"/>
  <c r="F728" i="5"/>
  <c r="F1314" i="5"/>
  <c r="L792" i="1"/>
  <c r="F905" i="5"/>
  <c r="L774" i="1"/>
  <c r="F257" i="5"/>
  <c r="F827" i="5"/>
  <c r="F1111" i="5"/>
  <c r="U737" i="1"/>
  <c r="F1311" i="5"/>
  <c r="L728" i="1"/>
  <c r="F844" i="5"/>
  <c r="L710" i="1"/>
  <c r="F1153" i="5"/>
  <c r="U673" i="1"/>
  <c r="F963" i="5"/>
  <c r="L664" i="1"/>
  <c r="F799" i="5"/>
  <c r="F619" i="5"/>
  <c r="F1196" i="5"/>
  <c r="F1287" i="5"/>
  <c r="F486" i="5"/>
  <c r="F570" i="5"/>
  <c r="L600" i="1"/>
  <c r="U591" i="1"/>
  <c r="F499" i="5"/>
  <c r="F591" i="5"/>
  <c r="F681" i="5"/>
  <c r="F622" i="5"/>
  <c r="U555" i="1"/>
  <c r="F705" i="5"/>
  <c r="F886" i="5"/>
  <c r="L536" i="1"/>
  <c r="F1211" i="5"/>
  <c r="F985" i="5"/>
  <c r="F1321" i="5"/>
  <c r="F932" i="5"/>
  <c r="F710" i="5"/>
  <c r="F244" i="5"/>
  <c r="L472" i="1"/>
  <c r="F542" i="5"/>
  <c r="F95" i="5"/>
  <c r="F1288" i="5"/>
  <c r="F906" i="5"/>
  <c r="F1227" i="5"/>
  <c r="F139" i="5"/>
  <c r="L408" i="1"/>
  <c r="F893" i="5"/>
  <c r="F308" i="5"/>
  <c r="F446" i="5"/>
  <c r="F742" i="5"/>
  <c r="F716" i="5"/>
  <c r="U353" i="1"/>
  <c r="F599" i="5"/>
  <c r="L344" i="1"/>
  <c r="F862" i="5"/>
  <c r="F18" i="5"/>
  <c r="F278" i="5"/>
  <c r="F305" i="5"/>
  <c r="F560" i="5"/>
  <c r="L280" i="1"/>
  <c r="F1097" i="5"/>
  <c r="F1231" i="5"/>
  <c r="F925" i="5"/>
  <c r="F277" i="5"/>
  <c r="F272" i="5"/>
  <c r="F1056" i="5"/>
  <c r="F133" i="5"/>
  <c r="F219" i="5"/>
  <c r="F861" i="5"/>
  <c r="U171" i="1"/>
  <c r="F89" i="5"/>
  <c r="F216" i="5"/>
  <c r="F99" i="5"/>
  <c r="F598" i="5"/>
  <c r="F174" i="5"/>
  <c r="F996" i="5"/>
  <c r="F423" i="5"/>
  <c r="F314" i="5"/>
  <c r="U79" i="1"/>
  <c r="F1069" i="5"/>
  <c r="F94" i="5"/>
  <c r="F1029" i="5"/>
  <c r="F363" i="5"/>
  <c r="U43" i="1"/>
  <c r="F941" i="5"/>
  <c r="F837" i="5"/>
  <c r="F1139" i="5"/>
  <c r="F165" i="5"/>
  <c r="F1133" i="5"/>
  <c r="F1152" i="5"/>
  <c r="F1082" i="5"/>
  <c r="F589" i="5"/>
  <c r="F1092" i="5"/>
  <c r="F1223" i="5"/>
  <c r="F1291" i="5"/>
  <c r="F557" i="5"/>
  <c r="F1326" i="5"/>
  <c r="F138" i="5"/>
  <c r="F1109" i="5"/>
  <c r="F884" i="5"/>
  <c r="F259" i="5"/>
  <c r="F245" i="5"/>
  <c r="F1334" i="5"/>
  <c r="F596" i="5"/>
  <c r="K1052" i="5"/>
  <c r="F643" i="5"/>
  <c r="F1266" i="5"/>
  <c r="F1195" i="5"/>
  <c r="U1207" i="1"/>
  <c r="F452" i="5"/>
  <c r="F345" i="5"/>
  <c r="F1140" i="5"/>
  <c r="F550" i="5"/>
  <c r="F348" i="5"/>
  <c r="F443" i="5"/>
  <c r="F366" i="5"/>
  <c r="F381" i="5"/>
  <c r="U777" i="1"/>
  <c r="F1028" i="5"/>
  <c r="F265" i="5"/>
  <c r="F532" i="5"/>
  <c r="F644" i="5"/>
  <c r="F529" i="5"/>
  <c r="F1187" i="5"/>
  <c r="F162" i="5"/>
  <c r="F1278" i="5"/>
  <c r="F1171" i="5"/>
  <c r="F166" i="5"/>
  <c r="F341" i="5"/>
  <c r="F853" i="5"/>
  <c r="U73" i="1"/>
  <c r="F224" i="5"/>
  <c r="F169" i="5"/>
  <c r="F1249" i="5"/>
  <c r="L1296" i="1"/>
  <c r="U1251" i="1"/>
  <c r="F1207" i="5"/>
  <c r="F795" i="5"/>
  <c r="L1168" i="1"/>
  <c r="F965" i="5"/>
  <c r="F739" i="5"/>
  <c r="L1040" i="1"/>
  <c r="F1324" i="5"/>
  <c r="F102" i="5"/>
  <c r="F159" i="5"/>
  <c r="L848" i="1"/>
  <c r="U803" i="1"/>
  <c r="F1283" i="5"/>
  <c r="F1120" i="5"/>
  <c r="F115" i="5"/>
  <c r="F406" i="5"/>
  <c r="F602" i="5"/>
  <c r="F766" i="5"/>
  <c r="F968" i="5"/>
  <c r="F952" i="5"/>
  <c r="U473" i="1"/>
  <c r="F284" i="5"/>
  <c r="F990" i="5"/>
  <c r="F1161" i="5"/>
  <c r="F633" i="5"/>
  <c r="F283" i="5"/>
  <c r="F531" i="5"/>
  <c r="F121" i="5"/>
  <c r="F495" i="5"/>
  <c r="F748" i="5"/>
  <c r="F222" i="5"/>
  <c r="F362" i="5"/>
  <c r="L1295" i="1"/>
  <c r="F543" i="5"/>
  <c r="F1295" i="5"/>
  <c r="L1222" i="1"/>
  <c r="F14" i="5"/>
  <c r="L1176" i="1"/>
  <c r="F683" i="5"/>
  <c r="F208" i="5"/>
  <c r="F662" i="5"/>
  <c r="F597" i="5"/>
  <c r="U1057" i="1"/>
  <c r="F1164" i="5"/>
  <c r="L1030" i="1"/>
  <c r="F318" i="5"/>
  <c r="F765" i="5"/>
  <c r="F504" i="5"/>
  <c r="L920" i="1"/>
  <c r="L856" i="1"/>
  <c r="F671" i="5"/>
  <c r="F873" i="5"/>
  <c r="L1294" i="1"/>
  <c r="F623" i="5"/>
  <c r="L1257" i="1"/>
  <c r="L1239" i="1"/>
  <c r="F753" i="5"/>
  <c r="L1184" i="1"/>
  <c r="L1175" i="1"/>
  <c r="F15" i="5"/>
  <c r="F1253" i="5"/>
  <c r="L1129" i="1"/>
  <c r="L1102" i="1"/>
  <c r="F1121" i="5"/>
  <c r="U1065" i="1"/>
  <c r="F357" i="5"/>
  <c r="L1047" i="1"/>
  <c r="F192" i="5"/>
  <c r="F931" i="5"/>
  <c r="F702" i="5"/>
  <c r="F685" i="5"/>
  <c r="F726" i="5"/>
  <c r="F1297" i="5"/>
  <c r="U873" i="1"/>
  <c r="F12" i="5"/>
  <c r="F1032" i="5"/>
  <c r="F58" i="5"/>
  <c r="L800" i="1"/>
  <c r="L782" i="1"/>
  <c r="F50" i="5"/>
  <c r="F195" i="5"/>
  <c r="F1267" i="5"/>
  <c r="F19" i="5"/>
  <c r="L672" i="1"/>
  <c r="F1174" i="5"/>
  <c r="F889" i="5"/>
  <c r="L608" i="1"/>
  <c r="F1030" i="5"/>
  <c r="F564" i="5"/>
  <c r="L544" i="1"/>
  <c r="F1234" i="5"/>
  <c r="F1033" i="5"/>
  <c r="U489" i="1"/>
  <c r="F262" i="5"/>
  <c r="F519" i="5"/>
  <c r="F157" i="5"/>
  <c r="L416" i="1"/>
  <c r="F374" i="5"/>
  <c r="L352" i="1"/>
  <c r="F1066" i="5"/>
  <c r="F204" i="5"/>
  <c r="F769" i="5"/>
  <c r="U297" i="1"/>
  <c r="F304" i="5"/>
  <c r="F264" i="5"/>
  <c r="F407" i="5"/>
  <c r="F601" i="5"/>
  <c r="U215" i="1"/>
  <c r="F82" i="5"/>
  <c r="F263" i="5"/>
  <c r="F803" i="5"/>
  <c r="F869" i="5"/>
  <c r="K927" i="5"/>
  <c r="F1305" i="5"/>
  <c r="F437" i="5"/>
  <c r="F724" i="5"/>
  <c r="F1258" i="5"/>
  <c r="F57" i="5"/>
  <c r="F425" i="5"/>
  <c r="F1276" i="5"/>
  <c r="F1224" i="5"/>
  <c r="F322" i="5"/>
  <c r="F297" i="5"/>
  <c r="F298" i="5"/>
  <c r="F911" i="5"/>
  <c r="F470" i="5"/>
  <c r="U631" i="1"/>
  <c r="F508" i="5"/>
  <c r="F851" i="5"/>
  <c r="F1203" i="5"/>
  <c r="F156" i="5"/>
  <c r="F822" i="5"/>
  <c r="F516" i="5"/>
  <c r="F1038" i="5"/>
  <c r="F583" i="5"/>
  <c r="F243" i="5"/>
  <c r="F459" i="5"/>
  <c r="F698" i="5"/>
  <c r="F376" i="5"/>
  <c r="F1019" i="5"/>
  <c r="F1317" i="5"/>
  <c r="F850" i="5"/>
  <c r="F841" i="5"/>
  <c r="F207" i="5"/>
  <c r="F920" i="5"/>
  <c r="F1128" i="5"/>
  <c r="F1096" i="5"/>
  <c r="U903" i="1"/>
  <c r="F665" i="5"/>
  <c r="F161" i="5"/>
  <c r="F741" i="5"/>
  <c r="F523" i="5"/>
  <c r="F982" i="5"/>
  <c r="F1151" i="5"/>
  <c r="F924" i="5"/>
  <c r="F1050" i="5"/>
  <c r="L528" i="1"/>
  <c r="L464" i="1"/>
  <c r="F189" i="5"/>
  <c r="F637" i="5"/>
  <c r="F416" i="5"/>
  <c r="U281" i="1"/>
  <c r="F250" i="5"/>
  <c r="F389" i="5"/>
  <c r="F1008" i="5"/>
  <c r="F1202" i="5"/>
  <c r="F267" i="5"/>
  <c r="F306" i="5"/>
  <c r="F117" i="5"/>
  <c r="F525" i="5"/>
  <c r="U850" i="1"/>
  <c r="F213" i="5"/>
  <c r="F780" i="5"/>
  <c r="L1313" i="1"/>
  <c r="F258" i="5"/>
  <c r="L1231" i="1"/>
  <c r="F977" i="5"/>
  <c r="F239" i="5"/>
  <c r="F185" i="5"/>
  <c r="L1112" i="1"/>
  <c r="F153" i="5"/>
  <c r="F1302" i="5"/>
  <c r="F463" i="5"/>
  <c r="F878" i="5"/>
  <c r="L984" i="1"/>
  <c r="F477" i="5"/>
  <c r="F754" i="5"/>
  <c r="F613" i="5"/>
  <c r="F47" i="5"/>
  <c r="F951" i="5"/>
  <c r="F479" i="5"/>
  <c r="L1321" i="1"/>
  <c r="L1303" i="1"/>
  <c r="F354" i="5"/>
  <c r="F179" i="5"/>
  <c r="L1248" i="1"/>
  <c r="L1230" i="1"/>
  <c r="F830" i="5"/>
  <c r="F794" i="5"/>
  <c r="L1193" i="1"/>
  <c r="L1166" i="1"/>
  <c r="F864" i="5"/>
  <c r="L1120" i="1"/>
  <c r="L1111" i="1"/>
  <c r="F316" i="5"/>
  <c r="F444" i="5"/>
  <c r="L1056" i="1"/>
  <c r="L1038" i="1"/>
  <c r="F712" i="5"/>
  <c r="F670" i="5"/>
  <c r="L992" i="1"/>
  <c r="L974" i="1"/>
  <c r="F751" i="5"/>
  <c r="F923" i="5"/>
  <c r="L928" i="1"/>
  <c r="L910" i="1"/>
  <c r="F96" i="5"/>
  <c r="F1163" i="5"/>
  <c r="L864" i="1"/>
  <c r="L846" i="1"/>
  <c r="F367" i="5"/>
  <c r="F1335" i="5"/>
  <c r="F248" i="5"/>
  <c r="F832" i="5"/>
  <c r="F970" i="5"/>
  <c r="F627" i="5"/>
  <c r="L736" i="1"/>
  <c r="L718" i="1"/>
  <c r="F420" i="5"/>
  <c r="F167" i="5"/>
  <c r="F229" i="5"/>
  <c r="F184" i="5"/>
  <c r="F811" i="5"/>
  <c r="F467" i="5"/>
  <c r="F928" i="5"/>
  <c r="F1071" i="5"/>
  <c r="F1167" i="5"/>
  <c r="F743" i="5"/>
  <c r="F1274" i="5"/>
  <c r="F1238" i="5"/>
  <c r="F555" i="5"/>
  <c r="F81" i="5"/>
  <c r="L480" i="1"/>
  <c r="F73" i="5"/>
  <c r="F1236" i="5"/>
  <c r="F351" i="5"/>
  <c r="U425" i="1"/>
  <c r="F660" i="5"/>
  <c r="F654" i="5"/>
  <c r="F615" i="5"/>
  <c r="F123" i="5"/>
  <c r="F609" i="5"/>
  <c r="F1228" i="5"/>
  <c r="F1242" i="5"/>
  <c r="L288" i="1"/>
  <c r="F972" i="5"/>
  <c r="F7" i="5"/>
  <c r="F552" i="5"/>
  <c r="F1340" i="5"/>
  <c r="F1268" i="5"/>
  <c r="F655" i="5"/>
  <c r="F526" i="5"/>
  <c r="F617" i="5"/>
  <c r="F280" i="5"/>
  <c r="F453" i="5"/>
  <c r="F1085" i="5"/>
  <c r="F1259" i="5"/>
  <c r="F163" i="5"/>
  <c r="F1216" i="5"/>
  <c r="F38" i="5"/>
  <c r="F1123" i="5"/>
  <c r="F1254" i="5"/>
  <c r="F34" i="5"/>
  <c r="F1281" i="5"/>
  <c r="F26" i="5"/>
  <c r="F533" i="5"/>
  <c r="F1292" i="5"/>
  <c r="F1260" i="5"/>
  <c r="F1168" i="5"/>
  <c r="F922" i="5"/>
  <c r="F813" i="5"/>
  <c r="F1022" i="5"/>
  <c r="F1147" i="5"/>
  <c r="L1284" i="1"/>
  <c r="L1265" i="1"/>
  <c r="L1247" i="1"/>
  <c r="L1229" i="1"/>
  <c r="F1159" i="5"/>
  <c r="L1192" i="1"/>
  <c r="L1174" i="1"/>
  <c r="L1156" i="1"/>
  <c r="L1137" i="1"/>
  <c r="L1119" i="1"/>
  <c r="L1101" i="1"/>
  <c r="F513" i="5"/>
  <c r="L1064" i="1"/>
  <c r="L1046" i="1"/>
  <c r="L1028" i="1"/>
  <c r="L1009" i="1"/>
  <c r="L991" i="1"/>
  <c r="L973" i="1"/>
  <c r="F1300" i="5"/>
  <c r="L936" i="1"/>
  <c r="L918" i="1"/>
  <c r="L900" i="1"/>
  <c r="L881" i="1"/>
  <c r="F939" i="5"/>
  <c r="F37" i="5"/>
  <c r="U827" i="1"/>
  <c r="F1218" i="5"/>
  <c r="L808" i="1"/>
  <c r="F434" i="5"/>
  <c r="F1198" i="5"/>
  <c r="F677" i="5"/>
  <c r="U753" i="1"/>
  <c r="F539" i="5"/>
  <c r="F1192" i="5"/>
  <c r="F877" i="5"/>
  <c r="F1009" i="5"/>
  <c r="L662" i="1"/>
  <c r="F967" i="5"/>
  <c r="L616" i="1"/>
  <c r="L598" i="1"/>
  <c r="F1103" i="5"/>
  <c r="L552" i="1"/>
  <c r="L534" i="1"/>
  <c r="F746" i="5"/>
  <c r="F1320" i="5"/>
  <c r="L470" i="1"/>
  <c r="F116" i="5"/>
  <c r="L424" i="1"/>
  <c r="F1206" i="5"/>
  <c r="L360" i="1"/>
  <c r="F845" i="5"/>
  <c r="F371" i="5"/>
  <c r="U241" i="1"/>
  <c r="F1312" i="5"/>
  <c r="F880" i="5"/>
  <c r="F606" i="5"/>
  <c r="F468" i="5"/>
  <c r="U146" i="1"/>
  <c r="F638" i="5"/>
  <c r="F1180" i="5"/>
  <c r="L1329" i="1"/>
  <c r="L1311" i="1"/>
  <c r="L1293" i="1"/>
  <c r="F732" i="5"/>
  <c r="L1256" i="1"/>
  <c r="L1238" i="1"/>
  <c r="L1220" i="1"/>
  <c r="L1201" i="1"/>
  <c r="L1183" i="1"/>
  <c r="L1165" i="1"/>
  <c r="F1285" i="5"/>
  <c r="L1128" i="1"/>
  <c r="L1110" i="1"/>
  <c r="L1092" i="1"/>
  <c r="L1073" i="1"/>
  <c r="L1055" i="1"/>
  <c r="L1037" i="1"/>
  <c r="F744" i="5"/>
  <c r="L1000" i="1"/>
  <c r="L982" i="1"/>
  <c r="L964" i="1"/>
  <c r="L945" i="1"/>
  <c r="L927" i="1"/>
  <c r="F206" i="5"/>
  <c r="U891" i="1"/>
  <c r="F572" i="5"/>
  <c r="L872" i="1"/>
  <c r="L854" i="1"/>
  <c r="F1047" i="5"/>
  <c r="F1185" i="5"/>
  <c r="L790" i="1"/>
  <c r="F975" i="5"/>
  <c r="L744" i="1"/>
  <c r="L726" i="1"/>
  <c r="F978" i="5"/>
  <c r="F883" i="5"/>
  <c r="L680" i="1"/>
  <c r="F875" i="5"/>
  <c r="F221" i="5"/>
  <c r="F1243" i="5"/>
  <c r="U625" i="1"/>
  <c r="F684" i="5"/>
  <c r="F894" i="5"/>
  <c r="F315" i="5"/>
  <c r="F490" i="5"/>
  <c r="U561" i="1"/>
  <c r="F522" i="5"/>
  <c r="F826" i="5"/>
  <c r="F53" i="5"/>
  <c r="F964" i="5"/>
  <c r="L488" i="1"/>
  <c r="U479" i="1"/>
  <c r="F1025" i="5"/>
  <c r="F1018" i="5"/>
  <c r="F707" i="5"/>
  <c r="F379" i="5"/>
  <c r="U415" i="1"/>
  <c r="F568" i="5"/>
  <c r="F24" i="5"/>
  <c r="F630" i="5"/>
  <c r="F540" i="5"/>
  <c r="U369" i="1"/>
  <c r="F995" i="5"/>
  <c r="F585" i="5"/>
  <c r="F1215" i="5"/>
  <c r="F1124" i="5"/>
  <c r="U315" i="1"/>
  <c r="F466" i="5"/>
  <c r="L296" i="1"/>
  <c r="F436" i="5"/>
  <c r="F1322" i="5"/>
  <c r="F1034" i="5"/>
  <c r="F1045" i="5"/>
  <c r="F228" i="5"/>
  <c r="F70" i="5"/>
  <c r="U223" i="1"/>
  <c r="F241" i="5"/>
  <c r="F1265" i="5"/>
  <c r="F418" i="5"/>
  <c r="F1098" i="5"/>
  <c r="U187" i="1"/>
  <c r="F957" i="5"/>
  <c r="F337" i="5"/>
  <c r="F949" i="5"/>
  <c r="F661" i="5"/>
  <c r="F1230" i="5"/>
  <c r="F745" i="5"/>
  <c r="F663" i="5"/>
  <c r="F1339" i="5"/>
  <c r="U113" i="1"/>
  <c r="F855" i="5"/>
  <c r="F667" i="5"/>
  <c r="F338" i="5"/>
  <c r="F787" i="5"/>
  <c r="F764" i="5"/>
  <c r="F1031" i="5"/>
  <c r="F182" i="5"/>
  <c r="F289" i="5"/>
  <c r="F792" i="5"/>
  <c r="F1118" i="5"/>
  <c r="F708" i="5"/>
  <c r="L1337" i="1"/>
  <c r="L1319" i="1"/>
  <c r="L1301" i="1"/>
  <c r="L1283" i="1"/>
  <c r="L1273" i="1"/>
  <c r="L1264" i="1"/>
  <c r="L1255" i="1"/>
  <c r="L1246" i="1"/>
  <c r="L1237" i="1"/>
  <c r="L1228" i="1"/>
  <c r="L1219" i="1"/>
  <c r="L1209" i="1"/>
  <c r="L1200" i="1"/>
  <c r="L1191" i="1"/>
  <c r="L1182" i="1"/>
  <c r="L1173" i="1"/>
  <c r="L1164" i="1"/>
  <c r="L1155" i="1"/>
  <c r="L1145" i="1"/>
  <c r="L1136" i="1"/>
  <c r="L1127" i="1"/>
  <c r="L1118" i="1"/>
  <c r="L1109" i="1"/>
  <c r="L1100" i="1"/>
  <c r="L1091" i="1"/>
  <c r="L1081" i="1"/>
  <c r="L1072" i="1"/>
  <c r="L1063" i="1"/>
  <c r="L1054" i="1"/>
  <c r="L1045" i="1"/>
  <c r="L1036" i="1"/>
  <c r="L1027" i="1"/>
  <c r="L1017" i="1"/>
  <c r="L1008" i="1"/>
  <c r="L999" i="1"/>
  <c r="L990" i="1"/>
  <c r="L981" i="1"/>
  <c r="L972" i="1"/>
  <c r="L963" i="1"/>
  <c r="L953" i="1"/>
  <c r="L944" i="1"/>
  <c r="L935" i="1"/>
  <c r="L926" i="1"/>
  <c r="L917" i="1"/>
  <c r="L908" i="1"/>
  <c r="F412" i="5"/>
  <c r="L889" i="1"/>
  <c r="L880" i="1"/>
  <c r="L871" i="1"/>
  <c r="L862" i="1"/>
  <c r="L853" i="1"/>
  <c r="L844" i="1"/>
  <c r="F293" i="5"/>
  <c r="L825" i="1"/>
  <c r="L816" i="1"/>
  <c r="L807" i="1"/>
  <c r="L798" i="1"/>
  <c r="L789" i="1"/>
  <c r="L780" i="1"/>
  <c r="F231" i="5"/>
  <c r="L761" i="1"/>
  <c r="L752" i="1"/>
  <c r="L743" i="1"/>
  <c r="L734" i="1"/>
  <c r="L725" i="1"/>
  <c r="L716" i="1"/>
  <c r="F610" i="5"/>
  <c r="L697" i="1"/>
  <c r="L688" i="1"/>
  <c r="U679" i="1"/>
  <c r="F249" i="5"/>
  <c r="L670" i="1"/>
  <c r="L661" i="1"/>
  <c r="L652" i="1"/>
  <c r="F829" i="5"/>
  <c r="L633" i="1"/>
  <c r="L624" i="1"/>
  <c r="F1222" i="5"/>
  <c r="L606" i="1"/>
  <c r="F464" i="5"/>
  <c r="F113" i="5"/>
  <c r="F757" i="5"/>
  <c r="L569" i="1"/>
  <c r="L560" i="1"/>
  <c r="F168" i="5"/>
  <c r="L542" i="1"/>
  <c r="F41" i="5"/>
  <c r="F899" i="5"/>
  <c r="F936" i="5"/>
  <c r="L496" i="1"/>
  <c r="U487" i="1"/>
  <c r="F1017" i="5"/>
  <c r="L478" i="1"/>
  <c r="F198" i="5"/>
  <c r="F1086" i="5"/>
  <c r="F600" i="5"/>
  <c r="F1319" i="5"/>
  <c r="L432" i="1"/>
  <c r="F1104" i="5"/>
  <c r="F770" i="5"/>
  <c r="F1294" i="5"/>
  <c r="F210" i="5"/>
  <c r="F394" i="5"/>
  <c r="F400" i="5"/>
  <c r="L368" i="1"/>
  <c r="F147" i="5"/>
  <c r="F130" i="5"/>
  <c r="F494" i="5"/>
  <c r="F302" i="5"/>
  <c r="F45" i="5"/>
  <c r="F460" i="5"/>
  <c r="L304" i="1"/>
  <c r="F1137" i="5"/>
  <c r="F658" i="5"/>
  <c r="F838" i="5"/>
  <c r="F59" i="5"/>
  <c r="F234" i="5"/>
  <c r="U249" i="1"/>
  <c r="F538" i="5"/>
  <c r="L240" i="1"/>
  <c r="F33" i="5"/>
  <c r="F731" i="5"/>
  <c r="F506" i="5"/>
  <c r="F588" i="5"/>
  <c r="F21" i="5"/>
  <c r="F2" i="5"/>
  <c r="F802" i="5"/>
  <c r="F682" i="5"/>
  <c r="F998" i="5"/>
  <c r="F191" i="5"/>
  <c r="F634" i="5"/>
  <c r="F1246" i="5"/>
  <c r="F382" i="5"/>
  <c r="F687" i="5"/>
  <c r="U103" i="1"/>
  <c r="F1264" i="5"/>
  <c r="F380" i="5"/>
  <c r="F233" i="5"/>
  <c r="F604" i="5"/>
  <c r="F976" i="5"/>
  <c r="F1329" i="5"/>
  <c r="F251" i="5"/>
  <c r="F657" i="5"/>
  <c r="F325" i="5"/>
  <c r="F866" i="5"/>
  <c r="F1004" i="5"/>
  <c r="F816" i="5"/>
  <c r="F1237" i="5"/>
  <c r="F205" i="5"/>
  <c r="L1282" i="1"/>
  <c r="K815" i="5"/>
  <c r="L1274" i="1"/>
  <c r="K142" i="5"/>
  <c r="L1266" i="1"/>
  <c r="K275" i="5"/>
  <c r="L1258" i="1"/>
  <c r="K193" i="5"/>
  <c r="L1250" i="1"/>
  <c r="K125" i="5"/>
  <c r="L1242" i="1"/>
  <c r="K562" i="5"/>
  <c r="L1226" i="1"/>
  <c r="K342" i="5"/>
  <c r="L1218" i="1"/>
  <c r="K856" i="5"/>
  <c r="L1210" i="1"/>
  <c r="K482" i="5"/>
  <c r="L1202" i="1"/>
  <c r="K106" i="5"/>
  <c r="L1194" i="1"/>
  <c r="K1014" i="5"/>
  <c r="L1186" i="1"/>
  <c r="K635" i="5"/>
  <c r="L1178" i="1"/>
  <c r="K355" i="5"/>
  <c r="L1162" i="1"/>
  <c r="K901" i="5"/>
  <c r="L1154" i="1"/>
  <c r="K1037" i="5"/>
  <c r="L1146" i="1"/>
  <c r="K994" i="5"/>
  <c r="L1138" i="1"/>
  <c r="K733" i="5"/>
  <c r="L1130" i="1"/>
  <c r="K578" i="5"/>
  <c r="L1122" i="1"/>
  <c r="K626" i="5"/>
  <c r="L1114" i="1"/>
  <c r="K119" i="5"/>
  <c r="L1098" i="1"/>
  <c r="K930" i="5"/>
  <c r="L1090" i="1"/>
  <c r="K1001" i="5"/>
  <c r="L1082" i="1"/>
  <c r="K1079" i="5"/>
  <c r="L1074" i="1"/>
  <c r="K1088" i="5"/>
  <c r="L1066" i="1"/>
  <c r="K145" i="5"/>
  <c r="L1058" i="1"/>
  <c r="K419" i="5"/>
  <c r="L1050" i="1"/>
  <c r="K427" i="5"/>
  <c r="L1034" i="1"/>
  <c r="K885" i="5"/>
  <c r="L1026" i="1"/>
  <c r="K1247" i="5"/>
  <c r="L1018" i="1"/>
  <c r="K1011" i="5"/>
  <c r="L1010" i="1"/>
  <c r="K1262" i="5"/>
  <c r="L1002" i="1"/>
  <c r="K1157" i="5"/>
  <c r="L994" i="1"/>
  <c r="K511" i="5"/>
  <c r="L986" i="1"/>
  <c r="K971" i="5"/>
  <c r="L970" i="1"/>
  <c r="K181" i="5"/>
  <c r="L962" i="1"/>
  <c r="K790" i="5"/>
  <c r="L954" i="1"/>
  <c r="K933" i="5"/>
  <c r="L946" i="1"/>
  <c r="K1155" i="5"/>
  <c r="L938" i="1"/>
  <c r="K737" i="5"/>
  <c r="L930" i="1"/>
  <c r="K503" i="5"/>
  <c r="L922" i="1"/>
  <c r="K1173" i="5"/>
  <c r="L906" i="1"/>
  <c r="K295" i="5"/>
  <c r="L898" i="1"/>
  <c r="K171" i="5"/>
  <c r="L890" i="1"/>
  <c r="K852" i="5"/>
  <c r="L882" i="1"/>
  <c r="K214" i="5"/>
  <c r="L874" i="1"/>
  <c r="K63" i="5"/>
  <c r="L866" i="1"/>
  <c r="K650" i="5"/>
  <c r="L858" i="1"/>
  <c r="K1093" i="5"/>
  <c r="L842" i="1"/>
  <c r="K521" i="5"/>
  <c r="L834" i="1"/>
  <c r="K290" i="5"/>
  <c r="L826" i="1"/>
  <c r="K778" i="5"/>
  <c r="L818" i="1"/>
  <c r="K1275" i="5"/>
  <c r="L810" i="1"/>
  <c r="K715" i="5"/>
  <c r="L802" i="1"/>
  <c r="K279" i="5"/>
  <c r="L794" i="1"/>
  <c r="K703" i="5"/>
  <c r="L778" i="1"/>
  <c r="K1122" i="5"/>
  <c r="L770" i="1"/>
  <c r="K1046" i="5"/>
  <c r="L762" i="1"/>
  <c r="K775" i="5"/>
  <c r="L754" i="1"/>
  <c r="K1059" i="5"/>
  <c r="L746" i="1"/>
  <c r="K690" i="5"/>
  <c r="L738" i="1"/>
  <c r="K711" i="5"/>
  <c r="L730" i="1"/>
  <c r="K701" i="5"/>
  <c r="L714" i="1"/>
  <c r="K938" i="5"/>
  <c r="L706" i="1"/>
  <c r="K782" i="5"/>
  <c r="L698" i="1"/>
  <c r="K652" i="5"/>
  <c r="L690" i="1"/>
  <c r="K1021" i="5"/>
  <c r="L682" i="1"/>
  <c r="K397" i="5"/>
  <c r="F160" i="5"/>
  <c r="L666" i="1"/>
  <c r="K734" i="5"/>
  <c r="L650" i="1"/>
  <c r="K1189" i="5"/>
  <c r="L642" i="1"/>
  <c r="K607" i="5"/>
  <c r="L634" i="1"/>
  <c r="K1060" i="5"/>
  <c r="L626" i="1"/>
  <c r="K565" i="5"/>
  <c r="L618" i="1"/>
  <c r="K786" i="5"/>
  <c r="L610" i="1"/>
  <c r="K510" i="5"/>
  <c r="L602" i="1"/>
  <c r="K197" i="5"/>
  <c r="L586" i="1"/>
  <c r="K439" i="5"/>
  <c r="L578" i="1"/>
  <c r="K454" i="5"/>
  <c r="L570" i="1"/>
  <c r="K105" i="5"/>
  <c r="L562" i="1"/>
  <c r="K541" i="5"/>
  <c r="L554" i="1"/>
  <c r="K1205" i="5"/>
  <c r="L546" i="1"/>
  <c r="K1303" i="5"/>
  <c r="L538" i="1"/>
  <c r="K752" i="5"/>
  <c r="L522" i="1"/>
  <c r="K581" i="5"/>
  <c r="L514" i="1"/>
  <c r="K1039" i="5"/>
  <c r="L506" i="1"/>
  <c r="K1332" i="5"/>
  <c r="L498" i="1"/>
  <c r="K535" i="5"/>
  <c r="L490" i="1"/>
  <c r="K489" i="5"/>
  <c r="L482" i="1"/>
  <c r="K1277" i="5"/>
  <c r="L474" i="1"/>
  <c r="K445" i="5"/>
  <c r="L458" i="1"/>
  <c r="K618" i="5"/>
  <c r="L450" i="1"/>
  <c r="K392" i="5"/>
  <c r="L442" i="1"/>
  <c r="K1310" i="5"/>
  <c r="L434" i="1"/>
  <c r="K603" i="5"/>
  <c r="L426" i="1"/>
  <c r="K1138" i="5"/>
  <c r="L418" i="1"/>
  <c r="K664" i="5"/>
  <c r="L410" i="1"/>
  <c r="K323" i="5"/>
  <c r="L394" i="1"/>
  <c r="K966" i="5"/>
  <c r="L386" i="1"/>
  <c r="K870" i="5"/>
  <c r="L378" i="1"/>
  <c r="K487" i="5"/>
  <c r="L370" i="1"/>
  <c r="K940" i="5"/>
  <c r="L362" i="1"/>
  <c r="K1114" i="5"/>
  <c r="L354" i="1"/>
  <c r="K820" i="5"/>
  <c r="L346" i="1"/>
  <c r="K749" i="5"/>
  <c r="L330" i="1"/>
  <c r="K1119" i="5"/>
  <c r="L322" i="1"/>
  <c r="K1184" i="5"/>
  <c r="L314" i="1"/>
  <c r="K1024" i="5"/>
  <c r="L306" i="1"/>
  <c r="K429" i="5"/>
  <c r="L298" i="1"/>
  <c r="K6" i="5"/>
  <c r="L290" i="1"/>
  <c r="K1142" i="5"/>
  <c r="L282" i="1"/>
  <c r="K1239" i="5"/>
  <c r="L266" i="1"/>
  <c r="K783" i="5"/>
  <c r="L258" i="1"/>
  <c r="K1012" i="5"/>
  <c r="L250" i="1"/>
  <c r="K196" i="5"/>
  <c r="L242" i="1"/>
  <c r="K1306" i="5"/>
  <c r="L234" i="1"/>
  <c r="K149" i="5"/>
  <c r="L226" i="1"/>
  <c r="K261" i="5"/>
  <c r="L218" i="1"/>
  <c r="K440" i="5"/>
  <c r="L202" i="1"/>
  <c r="K806" i="5"/>
  <c r="L194" i="1"/>
  <c r="K465" i="5"/>
  <c r="L186" i="1"/>
  <c r="K404" i="5"/>
  <c r="L178" i="1"/>
  <c r="K1325" i="5"/>
  <c r="L170" i="1"/>
  <c r="K127" i="5"/>
  <c r="L162" i="1"/>
  <c r="K536" i="5"/>
  <c r="L154" i="1"/>
  <c r="K1304" i="5"/>
  <c r="L138" i="1"/>
  <c r="K114" i="5"/>
  <c r="L130" i="1"/>
  <c r="K953" i="5"/>
  <c r="L122" i="1"/>
  <c r="K675" i="5"/>
  <c r="L114" i="1"/>
  <c r="K480" i="5"/>
  <c r="L106" i="1"/>
  <c r="K1179" i="5"/>
  <c r="L98" i="1"/>
  <c r="K447" i="5"/>
  <c r="L90" i="1"/>
  <c r="K863" i="5"/>
  <c r="L74" i="1"/>
  <c r="K36" i="5"/>
  <c r="L66" i="1"/>
  <c r="K914" i="5"/>
  <c r="L58" i="1"/>
  <c r="K1160" i="5"/>
  <c r="L50" i="1"/>
  <c r="K1315" i="5"/>
  <c r="L42" i="1"/>
  <c r="K772" i="5"/>
  <c r="L34" i="1"/>
  <c r="K839" i="5"/>
  <c r="L26" i="1"/>
  <c r="K686" i="5"/>
  <c r="L10" i="1"/>
  <c r="K961" i="5"/>
  <c r="F759" i="5"/>
  <c r="F1062" i="5"/>
  <c r="F124" i="5"/>
  <c r="F646" i="5"/>
  <c r="F1186" i="5"/>
  <c r="F631" i="5"/>
  <c r="U915" i="1"/>
  <c r="F86" i="5"/>
  <c r="F767" i="5"/>
  <c r="F317" i="5"/>
  <c r="F268" i="5"/>
  <c r="F645" i="5"/>
  <c r="F505" i="5"/>
  <c r="F648" i="5"/>
  <c r="F1049" i="5"/>
  <c r="F431" i="5"/>
  <c r="F387" i="5"/>
  <c r="F411" i="5"/>
  <c r="F1000" i="5"/>
  <c r="U247" i="1"/>
  <c r="F1269" i="5"/>
  <c r="F1301" i="5"/>
  <c r="F590" i="5"/>
  <c r="F1165" i="5"/>
  <c r="U9" i="1"/>
  <c r="F948" i="5"/>
  <c r="L1232" i="1"/>
  <c r="F32" i="5"/>
  <c r="F144" i="5"/>
  <c r="F430" i="5"/>
  <c r="F926" i="5"/>
  <c r="F476" i="5"/>
  <c r="L976" i="1"/>
  <c r="L912" i="1"/>
  <c r="F1067" i="5"/>
  <c r="F183" i="5"/>
  <c r="F478" i="5"/>
  <c r="F331" i="5"/>
  <c r="F1156" i="5"/>
  <c r="L656" i="1"/>
  <c r="L592" i="1"/>
  <c r="F469" i="5"/>
  <c r="F252" i="5"/>
  <c r="F1078" i="5"/>
  <c r="F190" i="5"/>
  <c r="F1036" i="5"/>
  <c r="F1091" i="5"/>
  <c r="F771" i="5"/>
  <c r="U263" i="1"/>
  <c r="F860" i="5"/>
  <c r="F4" i="5"/>
  <c r="F1177" i="5"/>
  <c r="F49" i="5"/>
  <c r="F561" i="5"/>
  <c r="F567" i="5"/>
  <c r="L1272" i="1"/>
  <c r="F20" i="5"/>
  <c r="L1254" i="1"/>
  <c r="F31" i="5"/>
  <c r="F359" i="5"/>
  <c r="F524" i="5"/>
  <c r="F88" i="5"/>
  <c r="L1208" i="1"/>
  <c r="F90" i="5"/>
  <c r="L1190" i="1"/>
  <c r="F1063" i="5"/>
  <c r="F718" i="5"/>
  <c r="U1163" i="1"/>
  <c r="F471" i="5"/>
  <c r="F1289" i="5"/>
  <c r="L1144" i="1"/>
  <c r="F762" i="5"/>
  <c r="L1126" i="1"/>
  <c r="F1280" i="5"/>
  <c r="F173" i="5"/>
  <c r="F1102" i="5"/>
  <c r="F897" i="5"/>
  <c r="L1080" i="1"/>
  <c r="F51" i="5"/>
  <c r="L1062" i="1"/>
  <c r="F199" i="5"/>
  <c r="F186" i="5"/>
  <c r="U1035" i="1"/>
  <c r="F271" i="5"/>
  <c r="F64" i="5"/>
  <c r="L1016" i="1"/>
  <c r="F1108" i="5"/>
  <c r="L998" i="1"/>
  <c r="F791" i="5"/>
  <c r="F1027" i="5"/>
  <c r="F547" i="5"/>
  <c r="F377" i="5"/>
  <c r="L952" i="1"/>
  <c r="F498" i="5"/>
  <c r="F576" i="5"/>
  <c r="F1016" i="5"/>
  <c r="F332" i="5"/>
  <c r="F980" i="5"/>
  <c r="F1296" i="5"/>
  <c r="L888" i="1"/>
  <c r="F907" i="5"/>
  <c r="F814" i="5"/>
  <c r="F854" i="5"/>
  <c r="F904" i="5"/>
  <c r="F918" i="5"/>
  <c r="F1272" i="5"/>
  <c r="L824" i="1"/>
  <c r="F988" i="5"/>
  <c r="F668" i="5"/>
  <c r="F1176" i="5"/>
  <c r="F1318" i="5"/>
  <c r="F1075" i="5"/>
  <c r="F902" i="5"/>
  <c r="L760" i="1"/>
  <c r="U751" i="1"/>
  <c r="F1068" i="5"/>
  <c r="F475" i="5"/>
  <c r="F573" i="5"/>
  <c r="F559" i="5"/>
  <c r="U715" i="1"/>
  <c r="F736" i="5"/>
  <c r="F587" i="5"/>
  <c r="L696" i="1"/>
  <c r="F1057" i="5"/>
  <c r="F1023" i="5"/>
  <c r="F176" i="5"/>
  <c r="F1235" i="5"/>
  <c r="F76" i="5"/>
  <c r="U641" i="1"/>
  <c r="F876" i="5"/>
  <c r="L632" i="1"/>
  <c r="F334" i="5"/>
  <c r="F621" i="5"/>
  <c r="F1194" i="5"/>
  <c r="F61" i="5"/>
  <c r="F553" i="5"/>
  <c r="F79" i="5"/>
  <c r="L568" i="1"/>
  <c r="U559" i="1"/>
  <c r="F361" i="5"/>
  <c r="F242" i="5"/>
  <c r="F1127" i="5"/>
  <c r="F836" i="5"/>
  <c r="U523" i="1"/>
  <c r="F313" i="5"/>
  <c r="F211" i="5"/>
  <c r="L504" i="1"/>
  <c r="F347" i="5"/>
  <c r="F458" i="5"/>
  <c r="F692" i="5"/>
  <c r="F1100" i="5"/>
  <c r="F713" i="5"/>
  <c r="F72" i="5"/>
  <c r="L440" i="1"/>
  <c r="F632" i="5"/>
  <c r="F1006" i="5"/>
  <c r="F426" i="5"/>
  <c r="F777" i="5"/>
  <c r="F175" i="5"/>
  <c r="F574" i="5"/>
  <c r="L376" i="1"/>
  <c r="F512" i="5"/>
  <c r="F903" i="5"/>
  <c r="F544" i="5"/>
  <c r="F83" i="5"/>
  <c r="F809" i="5"/>
  <c r="U321" i="1"/>
  <c r="F294" i="5"/>
  <c r="L312" i="1"/>
  <c r="F1217" i="5"/>
  <c r="F299" i="5"/>
  <c r="F91" i="5"/>
  <c r="F1099" i="5"/>
  <c r="F273" i="5"/>
  <c r="F246" i="5"/>
  <c r="L248" i="1"/>
  <c r="U239" i="1"/>
  <c r="F1279" i="5"/>
  <c r="F1083" i="5"/>
  <c r="F1129" i="5"/>
  <c r="F1293" i="5"/>
  <c r="U203" i="1"/>
  <c r="F390" i="5"/>
  <c r="F888" i="5"/>
  <c r="F641" i="5"/>
  <c r="F384" i="5"/>
  <c r="F1197" i="5"/>
  <c r="F1013" i="5"/>
  <c r="F958" i="5"/>
  <c r="F1089" i="5"/>
  <c r="U129" i="1"/>
  <c r="F1003" i="5"/>
  <c r="F43" i="5"/>
  <c r="F1081" i="5"/>
  <c r="F758" i="5"/>
  <c r="F1182" i="5"/>
  <c r="F399" i="5"/>
  <c r="F986" i="5"/>
  <c r="F1035" i="5"/>
  <c r="F1282" i="5"/>
  <c r="F1175" i="5"/>
  <c r="F30" i="5"/>
  <c r="F722" i="5"/>
  <c r="F1044" i="5"/>
  <c r="F364" i="5"/>
  <c r="F917" i="5"/>
  <c r="F514" i="5"/>
  <c r="U18" i="1"/>
  <c r="F969" i="5"/>
  <c r="F1172" i="5"/>
  <c r="F738" i="5"/>
  <c r="F871" i="5"/>
  <c r="F85" i="5"/>
  <c r="F566" i="5"/>
  <c r="F177" i="5"/>
  <c r="F209" i="5"/>
  <c r="F509" i="5"/>
  <c r="F1336" i="5"/>
  <c r="F620" i="5"/>
  <c r="F1077" i="5"/>
  <c r="F789" i="5"/>
  <c r="K160" i="5"/>
  <c r="F1286" i="5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2" i="1"/>
  <c r="Q2" i="1"/>
  <c r="U3" i="1"/>
  <c r="U11" i="1"/>
  <c r="U15" i="1"/>
  <c r="U17" i="1"/>
  <c r="U19" i="1"/>
  <c r="U23" i="1"/>
  <c r="U25" i="1"/>
  <c r="U27" i="1"/>
  <c r="U31" i="1"/>
  <c r="U33" i="1"/>
  <c r="U35" i="1"/>
  <c r="U39" i="1"/>
  <c r="U41" i="1"/>
  <c r="U47" i="1"/>
  <c r="U49" i="1"/>
  <c r="U51" i="1"/>
  <c r="U55" i="1"/>
  <c r="U57" i="1"/>
  <c r="U59" i="1"/>
  <c r="U63" i="1"/>
  <c r="U65" i="1"/>
  <c r="U67" i="1"/>
  <c r="U71" i="1"/>
  <c r="U75" i="1"/>
  <c r="U82" i="1"/>
  <c r="U83" i="1"/>
  <c r="U87" i="1"/>
  <c r="U89" i="1"/>
  <c r="U91" i="1"/>
  <c r="U95" i="1"/>
  <c r="U97" i="1"/>
  <c r="U99" i="1"/>
  <c r="U105" i="1"/>
  <c r="U107" i="1"/>
  <c r="U111" i="1"/>
  <c r="U115" i="1"/>
  <c r="U119" i="1"/>
  <c r="U121" i="1"/>
  <c r="U123" i="1"/>
  <c r="U127" i="1"/>
  <c r="U131" i="1"/>
  <c r="U135" i="1"/>
  <c r="U137" i="1"/>
  <c r="U139" i="1"/>
  <c r="U143" i="1"/>
  <c r="U145" i="1"/>
  <c r="U147" i="1"/>
  <c r="U151" i="1"/>
  <c r="U153" i="1"/>
  <c r="U159" i="1"/>
  <c r="U161" i="1"/>
  <c r="U163" i="1"/>
  <c r="U167" i="1"/>
  <c r="U169" i="1"/>
  <c r="U175" i="1"/>
  <c r="U177" i="1"/>
  <c r="U179" i="1"/>
  <c r="U183" i="1"/>
  <c r="U185" i="1"/>
  <c r="U193" i="1"/>
  <c r="U195" i="1"/>
  <c r="U199" i="1"/>
  <c r="U201" i="1"/>
  <c r="U207" i="1"/>
  <c r="U209" i="1"/>
  <c r="U210" i="1"/>
  <c r="U211" i="1"/>
  <c r="U217" i="1"/>
  <c r="U219" i="1"/>
  <c r="U225" i="1"/>
  <c r="U227" i="1"/>
  <c r="U231" i="1"/>
  <c r="U233" i="1"/>
  <c r="U235" i="1"/>
  <c r="U243" i="1"/>
  <c r="U251" i="1"/>
  <c r="U255" i="1"/>
  <c r="U257" i="1"/>
  <c r="U259" i="1"/>
  <c r="U267" i="1"/>
  <c r="U274" i="1"/>
  <c r="U275" i="1"/>
  <c r="U279" i="1"/>
  <c r="U283" i="1"/>
  <c r="U287" i="1"/>
  <c r="U289" i="1"/>
  <c r="U291" i="1"/>
  <c r="U295" i="1"/>
  <c r="U299" i="1"/>
  <c r="U303" i="1"/>
  <c r="U305" i="1"/>
  <c r="U307" i="1"/>
  <c r="U311" i="1"/>
  <c r="U313" i="1"/>
  <c r="U319" i="1"/>
  <c r="U323" i="1"/>
  <c r="U329" i="1"/>
  <c r="U331" i="1"/>
  <c r="U335" i="1"/>
  <c r="U337" i="1"/>
  <c r="U338" i="1"/>
  <c r="U339" i="1"/>
  <c r="U343" i="1"/>
  <c r="U345" i="1"/>
  <c r="U351" i="1"/>
  <c r="U355" i="1"/>
  <c r="U359" i="1"/>
  <c r="U361" i="1"/>
  <c r="U363" i="1"/>
  <c r="U367" i="1"/>
  <c r="U371" i="1"/>
  <c r="U375" i="1"/>
  <c r="U377" i="1"/>
  <c r="U379" i="1"/>
  <c r="U385" i="1"/>
  <c r="U387" i="1"/>
  <c r="U391" i="1"/>
  <c r="U393" i="1"/>
  <c r="U395" i="1"/>
  <c r="U399" i="1"/>
  <c r="U401" i="1"/>
  <c r="U402" i="1"/>
  <c r="U403" i="1"/>
  <c r="U409" i="1"/>
  <c r="U411" i="1"/>
  <c r="U417" i="1"/>
  <c r="U419" i="1"/>
  <c r="U423" i="1"/>
  <c r="U427" i="1"/>
  <c r="U431" i="1"/>
  <c r="U433" i="1"/>
  <c r="U435" i="1"/>
  <c r="U439" i="1"/>
  <c r="U441" i="1"/>
  <c r="U443" i="1"/>
  <c r="U447" i="1"/>
  <c r="U449" i="1"/>
  <c r="U451" i="1"/>
  <c r="U455" i="1"/>
  <c r="U459" i="1"/>
  <c r="U463" i="1"/>
  <c r="U466" i="1"/>
  <c r="U467" i="1"/>
  <c r="U471" i="1"/>
  <c r="U475" i="1"/>
  <c r="U481" i="1"/>
  <c r="U483" i="1"/>
  <c r="U491" i="1"/>
  <c r="U495" i="1"/>
  <c r="U497" i="1"/>
  <c r="U499" i="1"/>
  <c r="U503" i="1"/>
  <c r="U505" i="1"/>
  <c r="U507" i="1"/>
  <c r="U511" i="1"/>
  <c r="U513" i="1"/>
  <c r="U519" i="1"/>
  <c r="U521" i="1"/>
  <c r="U527" i="1"/>
  <c r="U529" i="1"/>
  <c r="U530" i="1"/>
  <c r="U531" i="1"/>
  <c r="U535" i="1"/>
  <c r="U537" i="1"/>
  <c r="U539" i="1"/>
  <c r="U543" i="1"/>
  <c r="U545" i="1"/>
  <c r="U547" i="1"/>
  <c r="U551" i="1"/>
  <c r="U553" i="1"/>
  <c r="U563" i="1"/>
  <c r="U567" i="1"/>
  <c r="U571" i="1"/>
  <c r="U575" i="1"/>
  <c r="U577" i="1"/>
  <c r="U579" i="1"/>
  <c r="U583" i="1"/>
  <c r="U585" i="1"/>
  <c r="U587" i="1"/>
  <c r="U593" i="1"/>
  <c r="U594" i="1"/>
  <c r="U595" i="1"/>
  <c r="U599" i="1"/>
  <c r="U601" i="1"/>
  <c r="U603" i="1"/>
  <c r="U607" i="1"/>
  <c r="U609" i="1"/>
  <c r="U611" i="1"/>
  <c r="U615" i="1"/>
  <c r="U617" i="1"/>
  <c r="U619" i="1"/>
  <c r="U623" i="1"/>
  <c r="U627" i="1"/>
  <c r="U635" i="1"/>
  <c r="U639" i="1"/>
  <c r="U643" i="1"/>
  <c r="U647" i="1"/>
  <c r="U651" i="1"/>
  <c r="U655" i="1"/>
  <c r="U657" i="1"/>
  <c r="U658" i="1"/>
  <c r="U659" i="1"/>
  <c r="U663" i="1"/>
  <c r="U665" i="1"/>
  <c r="U671" i="1"/>
  <c r="U674" i="1"/>
  <c r="U675" i="1"/>
  <c r="U681" i="1"/>
  <c r="U683" i="1"/>
  <c r="U687" i="1"/>
  <c r="U689" i="1"/>
  <c r="U691" i="1"/>
  <c r="U695" i="1"/>
  <c r="U699" i="1"/>
  <c r="U704" i="1"/>
  <c r="U705" i="1"/>
  <c r="U707" i="1"/>
  <c r="U711" i="1"/>
  <c r="U713" i="1"/>
  <c r="U719" i="1"/>
  <c r="U722" i="1"/>
  <c r="U723" i="1"/>
  <c r="U727" i="1"/>
  <c r="U729" i="1"/>
  <c r="U731" i="1"/>
  <c r="U735" i="1"/>
  <c r="U739" i="1"/>
  <c r="U745" i="1"/>
  <c r="U747" i="1"/>
  <c r="U755" i="1"/>
  <c r="U759" i="1"/>
  <c r="U763" i="1"/>
  <c r="U767" i="1"/>
  <c r="U768" i="1"/>
  <c r="U769" i="1"/>
  <c r="U771" i="1"/>
  <c r="U775" i="1"/>
  <c r="U779" i="1"/>
  <c r="U783" i="1"/>
  <c r="U786" i="1"/>
  <c r="U787" i="1"/>
  <c r="U791" i="1"/>
  <c r="U793" i="1"/>
  <c r="U795" i="1"/>
  <c r="U799" i="1"/>
  <c r="U801" i="1"/>
  <c r="U809" i="1"/>
  <c r="U811" i="1"/>
  <c r="U815" i="1"/>
  <c r="U817" i="1"/>
  <c r="U819" i="1"/>
  <c r="U823" i="1"/>
  <c r="U831" i="1"/>
  <c r="U833" i="1"/>
  <c r="U835" i="1"/>
  <c r="U839" i="1"/>
  <c r="U841" i="1"/>
  <c r="U843" i="1"/>
  <c r="U847" i="1"/>
  <c r="U849" i="1"/>
  <c r="U851" i="1"/>
  <c r="U855" i="1"/>
  <c r="U857" i="1"/>
  <c r="U863" i="1"/>
  <c r="U865" i="1"/>
  <c r="U867" i="1"/>
  <c r="U879" i="1"/>
  <c r="U883" i="1"/>
  <c r="U887" i="1"/>
  <c r="U896" i="1"/>
  <c r="U897" i="1"/>
  <c r="U899" i="1"/>
  <c r="U905" i="1"/>
  <c r="U907" i="1"/>
  <c r="U913" i="1"/>
  <c r="U914" i="1"/>
  <c r="U919" i="1"/>
  <c r="U921" i="1"/>
  <c r="U923" i="1"/>
  <c r="U929" i="1"/>
  <c r="U931" i="1"/>
  <c r="U937" i="1"/>
  <c r="U939" i="1"/>
  <c r="U943" i="1"/>
  <c r="U947" i="1"/>
  <c r="U955" i="1"/>
  <c r="U959" i="1"/>
  <c r="U960" i="1"/>
  <c r="U961" i="1"/>
  <c r="U967" i="1"/>
  <c r="U969" i="1"/>
  <c r="U971" i="1"/>
  <c r="U975" i="1"/>
  <c r="U978" i="1"/>
  <c r="U979" i="1"/>
  <c r="U983" i="1"/>
  <c r="U985" i="1"/>
  <c r="U987" i="1"/>
  <c r="U993" i="1"/>
  <c r="U995" i="1"/>
  <c r="U1001" i="1"/>
  <c r="U1003" i="1"/>
  <c r="U1007" i="1"/>
  <c r="U1011" i="1"/>
  <c r="U1019" i="1"/>
  <c r="U1023" i="1"/>
  <c r="U1024" i="1"/>
  <c r="U1025" i="1"/>
  <c r="U1031" i="1"/>
  <c r="U1033" i="1"/>
  <c r="U1039" i="1"/>
  <c r="U1041" i="1"/>
  <c r="U1042" i="1"/>
  <c r="U1049" i="1"/>
  <c r="U1051" i="1"/>
  <c r="U1067" i="1"/>
  <c r="U1071" i="1"/>
  <c r="U1075" i="1"/>
  <c r="U1079" i="1"/>
  <c r="U1083" i="1"/>
  <c r="U1087" i="1"/>
  <c r="U1088" i="1"/>
  <c r="U1089" i="1"/>
  <c r="U1095" i="1"/>
  <c r="U1099" i="1"/>
  <c r="U1103" i="1"/>
  <c r="U1105" i="1"/>
  <c r="U1106" i="1"/>
  <c r="U1107" i="1"/>
  <c r="U1113" i="1"/>
  <c r="U1115" i="1"/>
  <c r="U1121" i="1"/>
  <c r="U1123" i="1"/>
  <c r="U1135" i="1"/>
  <c r="U1139" i="1"/>
  <c r="U1143" i="1"/>
  <c r="U1147" i="1"/>
  <c r="U1151" i="1"/>
  <c r="U1152" i="1"/>
  <c r="U1153" i="1"/>
  <c r="U1161" i="1"/>
  <c r="U1169" i="1"/>
  <c r="U1170" i="1"/>
  <c r="U1177" i="1"/>
  <c r="U1185" i="1"/>
  <c r="U1187" i="1"/>
  <c r="U1195" i="1"/>
  <c r="U1199" i="1"/>
  <c r="U1203" i="1"/>
  <c r="U1211" i="1"/>
  <c r="U1216" i="1"/>
  <c r="U1217" i="1"/>
  <c r="U1223" i="1"/>
  <c r="U1227" i="1"/>
  <c r="U1233" i="1"/>
  <c r="U1234" i="1"/>
  <c r="U1235" i="1"/>
  <c r="U1243" i="1"/>
  <c r="U1249" i="1"/>
  <c r="U1259" i="1"/>
  <c r="U1263" i="1"/>
  <c r="U1267" i="1"/>
  <c r="U1275" i="1"/>
  <c r="U1280" i="1"/>
  <c r="U1281" i="1"/>
  <c r="U1287" i="1"/>
  <c r="U1289" i="1"/>
  <c r="U1290" i="1"/>
  <c r="U1291" i="1"/>
  <c r="U1297" i="1"/>
  <c r="U1298" i="1"/>
  <c r="U1299" i="1"/>
  <c r="U1304" i="1"/>
  <c r="U1305" i="1"/>
  <c r="U1306" i="1"/>
  <c r="U1307" i="1"/>
  <c r="U1312" i="1"/>
  <c r="U1314" i="1"/>
  <c r="U1315" i="1"/>
  <c r="U1320" i="1"/>
  <c r="U1322" i="1"/>
  <c r="U1323" i="1"/>
  <c r="U1327" i="1"/>
  <c r="U1328" i="1"/>
  <c r="U1330" i="1"/>
  <c r="U1331" i="1"/>
  <c r="U1335" i="1"/>
  <c r="U1336" i="1"/>
  <c r="U1338" i="1"/>
  <c r="U133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2" i="1"/>
  <c r="U832" i="1" l="1"/>
  <c r="U1225" i="1"/>
  <c r="U1059" i="1"/>
  <c r="F1150" i="5"/>
  <c r="F17" i="5"/>
  <c r="F1010" i="5"/>
  <c r="F891" i="5"/>
  <c r="F1141" i="5"/>
  <c r="F1053" i="5"/>
  <c r="F569" i="5"/>
  <c r="F1323" i="5"/>
  <c r="F402" i="5"/>
  <c r="U440" i="1"/>
  <c r="F735" i="5"/>
  <c r="U1128" i="1"/>
  <c r="F921" i="5"/>
  <c r="F330" i="5"/>
  <c r="F1080" i="5"/>
  <c r="U672" i="1"/>
  <c r="F1149" i="5"/>
  <c r="F291" i="5"/>
  <c r="U130" i="1"/>
  <c r="F953" i="5"/>
  <c r="U282" i="1"/>
  <c r="F1239" i="5"/>
  <c r="U498" i="1"/>
  <c r="F535" i="5"/>
  <c r="U754" i="1"/>
  <c r="F1059" i="5"/>
  <c r="U1050" i="1"/>
  <c r="F427" i="5"/>
  <c r="U880" i="1"/>
  <c r="F740" i="5"/>
  <c r="U1091" i="1"/>
  <c r="F201" i="5"/>
  <c r="U1337" i="1"/>
  <c r="F1116" i="5"/>
  <c r="F288" i="5"/>
  <c r="U904" i="1"/>
  <c r="F628" i="5"/>
  <c r="U1224" i="1"/>
  <c r="F608" i="5"/>
  <c r="F155" i="5"/>
  <c r="F1232" i="5"/>
  <c r="U697" i="1"/>
  <c r="F274" i="5"/>
  <c r="U761" i="1"/>
  <c r="F226" i="5"/>
  <c r="U825" i="1"/>
  <c r="F1130" i="5"/>
  <c r="U889" i="1"/>
  <c r="F375" i="5"/>
  <c r="U953" i="1"/>
  <c r="F386" i="5"/>
  <c r="U1027" i="1"/>
  <c r="F1107" i="5"/>
  <c r="F428" i="5"/>
  <c r="F916" i="5"/>
  <c r="F1241" i="5"/>
  <c r="U846" i="1"/>
  <c r="F500" i="5"/>
  <c r="U1111" i="1"/>
  <c r="F818" i="5"/>
  <c r="U1303" i="1"/>
  <c r="F828" i="5"/>
  <c r="U1231" i="1"/>
  <c r="F97" i="5"/>
  <c r="U800" i="1"/>
  <c r="F774" i="5"/>
  <c r="U1175" i="1"/>
  <c r="F721" i="5"/>
  <c r="F720" i="5"/>
  <c r="U1176" i="1"/>
  <c r="F481" i="5"/>
  <c r="U1295" i="1"/>
  <c r="F983" i="5"/>
  <c r="U1296" i="1"/>
  <c r="F1076" i="5"/>
  <c r="F13" i="5"/>
  <c r="U712" i="1"/>
  <c r="F950" i="5"/>
  <c r="F747" i="5"/>
  <c r="F391" i="5"/>
  <c r="U807" i="1"/>
  <c r="F846" i="5"/>
  <c r="U1081" i="1"/>
  <c r="F77" i="5"/>
  <c r="U1000" i="1"/>
  <c r="F1026" i="5"/>
  <c r="F98" i="5"/>
  <c r="F858" i="5"/>
  <c r="U920" i="1"/>
  <c r="F1072" i="5"/>
  <c r="U248" i="1"/>
  <c r="F896" i="5"/>
  <c r="U26" i="1"/>
  <c r="F686" i="5"/>
  <c r="U202" i="1"/>
  <c r="F806" i="5"/>
  <c r="U386" i="1"/>
  <c r="F870" i="5"/>
  <c r="U610" i="1"/>
  <c r="F510" i="5"/>
  <c r="U794" i="1"/>
  <c r="F703" i="5"/>
  <c r="U938" i="1"/>
  <c r="F737" i="5"/>
  <c r="U1082" i="1"/>
  <c r="F1079" i="5"/>
  <c r="U1194" i="1"/>
  <c r="F1014" i="5"/>
  <c r="F48" i="5"/>
  <c r="F451" i="5"/>
  <c r="U1017" i="1"/>
  <c r="F1065" i="5"/>
  <c r="U1237" i="1"/>
  <c r="F87" i="5"/>
  <c r="F1316" i="5"/>
  <c r="F881" i="5"/>
  <c r="U376" i="1"/>
  <c r="F441" i="5"/>
  <c r="U888" i="1"/>
  <c r="F1245" i="5"/>
  <c r="U912" i="1"/>
  <c r="F1154" i="5"/>
  <c r="U34" i="1"/>
  <c r="F839" i="5"/>
  <c r="U66" i="1"/>
  <c r="F914" i="5"/>
  <c r="U106" i="1"/>
  <c r="F1179" i="5"/>
  <c r="U138" i="1"/>
  <c r="F114" i="5"/>
  <c r="U178" i="1"/>
  <c r="F1325" i="5"/>
  <c r="U218" i="1"/>
  <c r="F440" i="5"/>
  <c r="U250" i="1"/>
  <c r="F196" i="5"/>
  <c r="U290" i="1"/>
  <c r="F1142" i="5"/>
  <c r="U322" i="1"/>
  <c r="F1184" i="5"/>
  <c r="U362" i="1"/>
  <c r="F1114" i="5"/>
  <c r="U394" i="1"/>
  <c r="F966" i="5"/>
  <c r="U434" i="1"/>
  <c r="F603" i="5"/>
  <c r="U474" i="1"/>
  <c r="F445" i="5"/>
  <c r="U506" i="1"/>
  <c r="F1332" i="5"/>
  <c r="U546" i="1"/>
  <c r="F1303" i="5"/>
  <c r="U578" i="1"/>
  <c r="F454" i="5"/>
  <c r="U618" i="1"/>
  <c r="F786" i="5"/>
  <c r="U650" i="1"/>
  <c r="F1189" i="5"/>
  <c r="U690" i="1"/>
  <c r="F1021" i="5"/>
  <c r="U730" i="1"/>
  <c r="F701" i="5"/>
  <c r="U762" i="1"/>
  <c r="F775" i="5"/>
  <c r="U802" i="1"/>
  <c r="F279" i="5"/>
  <c r="U834" i="1"/>
  <c r="F290" i="5"/>
  <c r="U874" i="1"/>
  <c r="F63" i="5"/>
  <c r="U906" i="1"/>
  <c r="F295" i="5"/>
  <c r="U946" i="1"/>
  <c r="F1155" i="5"/>
  <c r="U986" i="1"/>
  <c r="F971" i="5"/>
  <c r="U1018" i="1"/>
  <c r="F1011" i="5"/>
  <c r="U1058" i="1"/>
  <c r="F419" i="5"/>
  <c r="U1090" i="1"/>
  <c r="F1001" i="5"/>
  <c r="U1130" i="1"/>
  <c r="F578" i="5"/>
  <c r="U1162" i="1"/>
  <c r="F901" i="5"/>
  <c r="U1202" i="1"/>
  <c r="F106" i="5"/>
  <c r="U1242" i="1"/>
  <c r="F562" i="5"/>
  <c r="U1274" i="1"/>
  <c r="F142" i="5"/>
  <c r="F919" i="5"/>
  <c r="U963" i="1"/>
  <c r="F1074" i="5"/>
  <c r="U1036" i="1"/>
  <c r="F1313" i="5"/>
  <c r="U1109" i="1"/>
  <c r="F593" i="5"/>
  <c r="F339" i="5"/>
  <c r="U1255" i="1"/>
  <c r="F285" i="5"/>
  <c r="U1037" i="1"/>
  <c r="F75" i="5"/>
  <c r="U1165" i="1"/>
  <c r="F808" i="5"/>
  <c r="F488" i="5"/>
  <c r="F170" i="5"/>
  <c r="U864" i="1"/>
  <c r="F890" i="5"/>
  <c r="U1120" i="1"/>
  <c r="F730" i="5"/>
  <c r="U1321" i="1"/>
  <c r="F575" i="5"/>
  <c r="F580" i="5"/>
  <c r="F180" i="5"/>
  <c r="U1184" i="1"/>
  <c r="F223" i="5"/>
  <c r="F344" i="5"/>
  <c r="F517" i="5"/>
  <c r="U792" i="1"/>
  <c r="F188" i="5"/>
  <c r="F256" i="5"/>
  <c r="F1331" i="5"/>
  <c r="F29" i="5"/>
  <c r="U1032" i="1"/>
  <c r="F292" i="5"/>
  <c r="U1208" i="1"/>
  <c r="F1199" i="5"/>
  <c r="F579" i="5"/>
  <c r="U1155" i="1"/>
  <c r="F781" i="5"/>
  <c r="U680" i="1"/>
  <c r="F929" i="5"/>
  <c r="U1256" i="1"/>
  <c r="F1020" i="5"/>
  <c r="F135" i="5"/>
  <c r="F266" i="5"/>
  <c r="U1096" i="1"/>
  <c r="F137" i="5"/>
  <c r="U760" i="1"/>
  <c r="F1055" i="5"/>
  <c r="U426" i="1"/>
  <c r="F1138" i="5"/>
  <c r="U682" i="1"/>
  <c r="F397" i="5"/>
  <c r="U970" i="1"/>
  <c r="F181" i="5"/>
  <c r="U816" i="1"/>
  <c r="F368" i="5"/>
  <c r="F987" i="5"/>
  <c r="U696" i="1"/>
  <c r="F577" i="5"/>
  <c r="U1016" i="1"/>
  <c r="F151" i="5"/>
  <c r="U1144" i="1"/>
  <c r="F943" i="5"/>
  <c r="U1272" i="1"/>
  <c r="F833" i="5"/>
  <c r="U976" i="1"/>
  <c r="F1214" i="5"/>
  <c r="U652" i="1"/>
  <c r="F534" i="5"/>
  <c r="U972" i="1"/>
  <c r="F92" i="5"/>
  <c r="F942" i="5"/>
  <c r="F592" i="5"/>
  <c r="U1191" i="1"/>
  <c r="F370" i="5"/>
  <c r="U1264" i="1"/>
  <c r="F150" i="5"/>
  <c r="U927" i="1"/>
  <c r="F625" i="5"/>
  <c r="U1055" i="1"/>
  <c r="F1233" i="5"/>
  <c r="U1183" i="1"/>
  <c r="F1105" i="5"/>
  <c r="U1311" i="1"/>
  <c r="F554" i="5"/>
  <c r="F954" i="5"/>
  <c r="F571" i="5"/>
  <c r="U1101" i="1"/>
  <c r="F1112" i="5"/>
  <c r="U1229" i="1"/>
  <c r="F944" i="5"/>
  <c r="F398" i="5"/>
  <c r="F352" i="5"/>
  <c r="U1230" i="1"/>
  <c r="F282" i="5"/>
  <c r="F131" i="5"/>
  <c r="F484" i="5"/>
  <c r="F594" i="5"/>
  <c r="U1240" i="1"/>
  <c r="F501" i="5"/>
  <c r="F892" i="5"/>
  <c r="U784" i="1"/>
  <c r="F74" i="5"/>
  <c r="F433" i="5"/>
  <c r="U840" i="1"/>
  <c r="F1178" i="5"/>
  <c r="U1319" i="1"/>
  <c r="F960" i="5"/>
  <c r="F22" i="5"/>
  <c r="F934" i="5"/>
  <c r="U984" i="1"/>
  <c r="F84" i="5"/>
  <c r="U464" i="1"/>
  <c r="F872" i="5"/>
  <c r="U1040" i="1"/>
  <c r="F912" i="5"/>
  <c r="F797" i="5"/>
  <c r="U966" i="1"/>
  <c r="F1170" i="5"/>
  <c r="U1254" i="1"/>
  <c r="F395" i="5"/>
  <c r="U98" i="1"/>
  <c r="F447" i="5"/>
  <c r="U314" i="1"/>
  <c r="F1024" i="5"/>
  <c r="U570" i="1"/>
  <c r="F105" i="5"/>
  <c r="U826" i="1"/>
  <c r="F778" i="5"/>
  <c r="U1122" i="1"/>
  <c r="F626" i="5"/>
  <c r="U633" i="1"/>
  <c r="F346" i="5"/>
  <c r="U790" i="1"/>
  <c r="F311" i="5"/>
  <c r="U936" i="1"/>
  <c r="F962" i="5"/>
  <c r="U928" i="1"/>
  <c r="F54" i="5"/>
  <c r="U848" i="1"/>
  <c r="F697" i="5"/>
  <c r="U1158" i="1"/>
  <c r="F343" i="5"/>
  <c r="U504" i="1"/>
  <c r="F164" i="5"/>
  <c r="F805" i="5"/>
  <c r="F776" i="5"/>
  <c r="U42" i="1"/>
  <c r="F772" i="5"/>
  <c r="U74" i="1"/>
  <c r="F36" i="5"/>
  <c r="U114" i="1"/>
  <c r="F480" i="5"/>
  <c r="U154" i="1"/>
  <c r="F1304" i="5"/>
  <c r="U186" i="1"/>
  <c r="F404" i="5"/>
  <c r="U226" i="1"/>
  <c r="F261" i="5"/>
  <c r="U258" i="1"/>
  <c r="F1012" i="5"/>
  <c r="U298" i="1"/>
  <c r="F6" i="5"/>
  <c r="U330" i="1"/>
  <c r="F1119" i="5"/>
  <c r="U370" i="1"/>
  <c r="F940" i="5"/>
  <c r="U410" i="1"/>
  <c r="F323" i="5"/>
  <c r="U442" i="1"/>
  <c r="F1310" i="5"/>
  <c r="U482" i="1"/>
  <c r="F1277" i="5"/>
  <c r="U514" i="1"/>
  <c r="F1039" i="5"/>
  <c r="U554" i="1"/>
  <c r="F1205" i="5"/>
  <c r="U586" i="1"/>
  <c r="F439" i="5"/>
  <c r="U626" i="1"/>
  <c r="F565" i="5"/>
  <c r="U666" i="1"/>
  <c r="F734" i="5"/>
  <c r="U698" i="1"/>
  <c r="F652" i="5"/>
  <c r="U738" i="1"/>
  <c r="F711" i="5"/>
  <c r="U770" i="1"/>
  <c r="F1046" i="5"/>
  <c r="U810" i="1"/>
  <c r="F715" i="5"/>
  <c r="U842" i="1"/>
  <c r="F521" i="5"/>
  <c r="U882" i="1"/>
  <c r="F214" i="5"/>
  <c r="U922" i="1"/>
  <c r="F1173" i="5"/>
  <c r="U954" i="1"/>
  <c r="F933" i="5"/>
  <c r="U994" i="1"/>
  <c r="F511" i="5"/>
  <c r="U1026" i="1"/>
  <c r="F1247" i="5"/>
  <c r="U1066" i="1"/>
  <c r="F145" i="5"/>
  <c r="U1098" i="1"/>
  <c r="F930" i="5"/>
  <c r="U1138" i="1"/>
  <c r="F733" i="5"/>
  <c r="U1178" i="1"/>
  <c r="F355" i="5"/>
  <c r="U1210" i="1"/>
  <c r="F482" i="5"/>
  <c r="U1250" i="1"/>
  <c r="F125" i="5"/>
  <c r="U1282" i="1"/>
  <c r="F815" i="5"/>
  <c r="F62" i="5"/>
  <c r="U560" i="1"/>
  <c r="F1146" i="5"/>
  <c r="U606" i="1"/>
  <c r="F66" i="5"/>
  <c r="F946" i="5"/>
  <c r="U716" i="1"/>
  <c r="F725" i="5"/>
  <c r="U780" i="1"/>
  <c r="F857" i="5"/>
  <c r="U844" i="1"/>
  <c r="F493" i="5"/>
  <c r="U908" i="1"/>
  <c r="F358" i="5"/>
  <c r="F1252" i="5"/>
  <c r="F143" i="5"/>
  <c r="U1127" i="1"/>
  <c r="F112" i="5"/>
  <c r="U1200" i="1"/>
  <c r="F140" i="5"/>
  <c r="U1273" i="1"/>
  <c r="F900" i="5"/>
  <c r="U726" i="1"/>
  <c r="F672" i="5"/>
  <c r="U945" i="1"/>
  <c r="F699" i="5"/>
  <c r="U1073" i="1"/>
  <c r="F659" i="5"/>
  <c r="U1201" i="1"/>
  <c r="F1191" i="5"/>
  <c r="U1329" i="1"/>
  <c r="F238" i="5"/>
  <c r="U360" i="1"/>
  <c r="F1134" i="5"/>
  <c r="F11" i="5"/>
  <c r="U991" i="1"/>
  <c r="F254" i="5"/>
  <c r="U1119" i="1"/>
  <c r="F122" i="5"/>
  <c r="U1247" i="1"/>
  <c r="F232" i="5"/>
  <c r="U736" i="1"/>
  <c r="F804" i="5"/>
  <c r="U1056" i="1"/>
  <c r="F750" i="5"/>
  <c r="U1248" i="1"/>
  <c r="F1213" i="5"/>
  <c r="U1313" i="1"/>
  <c r="F992" i="5"/>
  <c r="U1129" i="1"/>
  <c r="F103" i="5"/>
  <c r="F551" i="5"/>
  <c r="U1168" i="1"/>
  <c r="F1244" i="5"/>
  <c r="U536" i="1"/>
  <c r="F360" i="5"/>
  <c r="U1048" i="1"/>
  <c r="F824" i="5"/>
  <c r="F1255" i="5"/>
  <c r="U648" i="1"/>
  <c r="F868" i="5"/>
  <c r="U1160" i="1"/>
  <c r="F25" i="5"/>
  <c r="U1288" i="1"/>
  <c r="F247" i="5"/>
  <c r="U743" i="1"/>
  <c r="F584" i="5"/>
  <c r="U871" i="1"/>
  <c r="F1041" i="5"/>
  <c r="U935" i="1"/>
  <c r="F218" i="5"/>
  <c r="U1228" i="1"/>
  <c r="F1145" i="5"/>
  <c r="F1070" i="5"/>
  <c r="F1250" i="5"/>
  <c r="U170" i="1"/>
  <c r="F127" i="5"/>
  <c r="U354" i="1"/>
  <c r="F820" i="5"/>
  <c r="U538" i="1"/>
  <c r="F752" i="5"/>
  <c r="U714" i="1"/>
  <c r="F938" i="5"/>
  <c r="U866" i="1"/>
  <c r="F650" i="5"/>
  <c r="U1010" i="1"/>
  <c r="F1262" i="5"/>
  <c r="U1154" i="1"/>
  <c r="F1037" i="5"/>
  <c r="U1226" i="1"/>
  <c r="F342" i="5"/>
  <c r="U1266" i="1"/>
  <c r="F275" i="5"/>
  <c r="U752" i="1"/>
  <c r="F807" i="5"/>
  <c r="U1164" i="1"/>
  <c r="F410" i="5"/>
  <c r="U312" i="1"/>
  <c r="F413" i="5"/>
  <c r="U824" i="1"/>
  <c r="F760" i="5"/>
  <c r="F821" i="5"/>
  <c r="F981" i="5"/>
  <c r="U569" i="1"/>
  <c r="F729" i="5"/>
  <c r="U670" i="1"/>
  <c r="F461" i="5"/>
  <c r="F993" i="5"/>
  <c r="F1043" i="5"/>
  <c r="U853" i="1"/>
  <c r="F240" i="5"/>
  <c r="F303" i="5"/>
  <c r="F915" i="5"/>
  <c r="U1063" i="1"/>
  <c r="F1200" i="5"/>
  <c r="U1136" i="1"/>
  <c r="F629" i="5"/>
  <c r="U1209" i="1"/>
  <c r="F109" i="5"/>
  <c r="U1283" i="1"/>
  <c r="F1208" i="5"/>
  <c r="F300" i="5"/>
  <c r="U744" i="1"/>
  <c r="F312" i="5"/>
  <c r="U854" i="1"/>
  <c r="F835" i="5"/>
  <c r="F895" i="5"/>
  <c r="F678" i="5"/>
  <c r="U1220" i="1"/>
  <c r="F723" i="5"/>
  <c r="U881" i="1"/>
  <c r="F396" i="5"/>
  <c r="U1009" i="1"/>
  <c r="F1181" i="5"/>
  <c r="U1137" i="1"/>
  <c r="F1132" i="5"/>
  <c r="U1265" i="1"/>
  <c r="F879" i="5"/>
  <c r="U974" i="1"/>
  <c r="F676" i="5"/>
  <c r="U1166" i="1"/>
  <c r="F537" i="5"/>
  <c r="F1212" i="5"/>
  <c r="U1239" i="1"/>
  <c r="F834" i="5"/>
  <c r="F225" i="5"/>
  <c r="F203" i="5"/>
  <c r="U1104" i="1"/>
  <c r="F867" i="5"/>
  <c r="U456" i="1"/>
  <c r="F432" i="5"/>
  <c r="U968" i="1"/>
  <c r="F496" i="5"/>
  <c r="F8" i="5"/>
  <c r="F825" i="5"/>
  <c r="U952" i="1"/>
  <c r="F327" i="5"/>
  <c r="U1080" i="1"/>
  <c r="F558" i="5"/>
  <c r="U656" i="1"/>
  <c r="F1064" i="5"/>
  <c r="U1008" i="1"/>
  <c r="F695" i="5"/>
  <c r="U584" i="1"/>
  <c r="F530" i="5"/>
  <c r="U998" i="1"/>
  <c r="F409" i="5"/>
  <c r="U58" i="1"/>
  <c r="F1160" i="5"/>
  <c r="U242" i="1"/>
  <c r="F1306" i="5"/>
  <c r="U458" i="1"/>
  <c r="F618" i="5"/>
  <c r="U642" i="1"/>
  <c r="F607" i="5"/>
  <c r="U898" i="1"/>
  <c r="F171" i="5"/>
  <c r="U944" i="1"/>
  <c r="F1144" i="5"/>
  <c r="U1064" i="1"/>
  <c r="F649" i="5"/>
  <c r="U1192" i="1"/>
  <c r="F1007" i="5"/>
  <c r="U1112" i="1"/>
  <c r="F1110" i="5"/>
  <c r="U782" i="1"/>
  <c r="F492" i="5"/>
  <c r="U632" i="1"/>
  <c r="F614" i="5"/>
  <c r="U592" i="1"/>
  <c r="F194" i="5"/>
  <c r="U1232" i="1"/>
  <c r="F624" i="5"/>
  <c r="U10" i="1"/>
  <c r="F961" i="5"/>
  <c r="U50" i="1"/>
  <c r="F1315" i="5"/>
  <c r="U90" i="1"/>
  <c r="F863" i="5"/>
  <c r="U122" i="1"/>
  <c r="F675" i="5"/>
  <c r="U162" i="1"/>
  <c r="F536" i="5"/>
  <c r="U194" i="1"/>
  <c r="F465" i="5"/>
  <c r="U234" i="1"/>
  <c r="F149" i="5"/>
  <c r="U266" i="1"/>
  <c r="F783" i="5"/>
  <c r="U306" i="1"/>
  <c r="F429" i="5"/>
  <c r="U346" i="1"/>
  <c r="F749" i="5"/>
  <c r="U378" i="1"/>
  <c r="F487" i="5"/>
  <c r="U418" i="1"/>
  <c r="F664" i="5"/>
  <c r="U450" i="1"/>
  <c r="F392" i="5"/>
  <c r="U490" i="1"/>
  <c r="F489" i="5"/>
  <c r="U522" i="1"/>
  <c r="F581" i="5"/>
  <c r="U562" i="1"/>
  <c r="F541" i="5"/>
  <c r="U602" i="1"/>
  <c r="F197" i="5"/>
  <c r="U634" i="1"/>
  <c r="F1060" i="5"/>
  <c r="U706" i="1"/>
  <c r="F782" i="5"/>
  <c r="U746" i="1"/>
  <c r="F690" i="5"/>
  <c r="U778" i="1"/>
  <c r="F1122" i="5"/>
  <c r="U818" i="1"/>
  <c r="F1275" i="5"/>
  <c r="U858" i="1"/>
  <c r="F1093" i="5"/>
  <c r="U890" i="1"/>
  <c r="F852" i="5"/>
  <c r="U930" i="1"/>
  <c r="F503" i="5"/>
  <c r="U962" i="1"/>
  <c r="F790" i="5"/>
  <c r="U1002" i="1"/>
  <c r="F1157" i="5"/>
  <c r="U1034" i="1"/>
  <c r="F885" i="5"/>
  <c r="U1074" i="1"/>
  <c r="F1088" i="5"/>
  <c r="U1114" i="1"/>
  <c r="F119" i="5"/>
  <c r="U1146" i="1"/>
  <c r="F994" i="5"/>
  <c r="U1186" i="1"/>
  <c r="F635" i="5"/>
  <c r="U1218" i="1"/>
  <c r="F856" i="5"/>
  <c r="U1258" i="1"/>
  <c r="F193" i="5"/>
  <c r="U734" i="1"/>
  <c r="F1221" i="5"/>
  <c r="F1219" i="5"/>
  <c r="F333" i="5"/>
  <c r="F296" i="5"/>
  <c r="U999" i="1"/>
  <c r="F483" i="5"/>
  <c r="U1072" i="1"/>
  <c r="F756" i="5"/>
  <c r="U1145" i="1"/>
  <c r="F548" i="5"/>
  <c r="U1219" i="1"/>
  <c r="F639" i="5"/>
  <c r="U1301" i="1"/>
  <c r="F704" i="5"/>
  <c r="U872" i="1"/>
  <c r="F1273" i="5"/>
  <c r="F1263" i="5"/>
  <c r="U1110" i="1"/>
  <c r="F898" i="5"/>
  <c r="U1238" i="1"/>
  <c r="F236" i="5"/>
  <c r="U808" i="1"/>
  <c r="F438" i="5"/>
  <c r="U900" i="1"/>
  <c r="F129" i="5"/>
  <c r="U1028" i="1"/>
  <c r="F696" i="5"/>
  <c r="U1156" i="1"/>
  <c r="F1090" i="5"/>
  <c r="F393" i="5"/>
  <c r="F714" i="5"/>
  <c r="U992" i="1"/>
  <c r="F56" i="5"/>
  <c r="U1193" i="1"/>
  <c r="F955" i="5"/>
  <c r="U1047" i="1"/>
  <c r="F415" i="5"/>
  <c r="U1257" i="1"/>
  <c r="F1188" i="5"/>
  <c r="U856" i="1"/>
  <c r="F1143" i="5"/>
  <c r="U1030" i="1"/>
  <c r="F653" i="5"/>
  <c r="U664" i="1"/>
  <c r="F1271" i="5"/>
  <c r="U728" i="1"/>
  <c r="F403" i="5"/>
  <c r="U720" i="1"/>
  <c r="F1183" i="5"/>
  <c r="U264" i="1"/>
  <c r="F528" i="5"/>
  <c r="U776" i="1"/>
  <c r="F118" i="5"/>
  <c r="U688" i="1"/>
  <c r="U640" i="1"/>
  <c r="U624" i="1"/>
  <c r="U616" i="1"/>
  <c r="U608" i="1"/>
  <c r="U600" i="1"/>
  <c r="U576" i="1"/>
  <c r="U568" i="1"/>
  <c r="U552" i="1"/>
  <c r="U544" i="1"/>
  <c r="U528" i="1"/>
  <c r="U520" i="1"/>
  <c r="U512" i="1"/>
  <c r="U496" i="1"/>
  <c r="U488" i="1"/>
  <c r="U480" i="1"/>
  <c r="U472" i="1"/>
  <c r="U448" i="1"/>
  <c r="U432" i="1"/>
  <c r="U424" i="1"/>
  <c r="U416" i="1"/>
  <c r="U408" i="1"/>
  <c r="U400" i="1"/>
  <c r="U392" i="1"/>
  <c r="U384" i="1"/>
  <c r="U368" i="1"/>
  <c r="U352" i="1"/>
  <c r="U344" i="1"/>
  <c r="U336" i="1"/>
  <c r="U328" i="1"/>
  <c r="U320" i="1"/>
  <c r="U304" i="1"/>
  <c r="U296" i="1"/>
  <c r="U288" i="1"/>
  <c r="U280" i="1"/>
  <c r="U272" i="1"/>
  <c r="U256" i="1"/>
  <c r="U240" i="1"/>
  <c r="U232" i="1"/>
  <c r="U224" i="1"/>
  <c r="U216" i="1"/>
  <c r="U208" i="1"/>
  <c r="U200" i="1"/>
  <c r="U192" i="1"/>
  <c r="U184" i="1"/>
  <c r="U176" i="1"/>
  <c r="U168" i="1"/>
  <c r="U160" i="1"/>
  <c r="U152" i="1"/>
  <c r="U144" i="1"/>
  <c r="U136" i="1"/>
  <c r="U128" i="1"/>
  <c r="U120" i="1"/>
  <c r="U112" i="1"/>
  <c r="U104" i="1"/>
  <c r="U96" i="1"/>
  <c r="U88" i="1"/>
  <c r="U80" i="1"/>
  <c r="U72" i="1"/>
  <c r="U64" i="1"/>
  <c r="U56" i="1"/>
  <c r="U48" i="1"/>
  <c r="U40" i="1"/>
  <c r="U32" i="1"/>
  <c r="U24" i="1"/>
  <c r="U16" i="1"/>
  <c r="U8" i="1"/>
  <c r="U7" i="1"/>
  <c r="U1340" i="1"/>
  <c r="U1332" i="1"/>
  <c r="U1324" i="1"/>
  <c r="U1316" i="1"/>
  <c r="U1308" i="1"/>
  <c r="U1300" i="1"/>
  <c r="U1292" i="1"/>
  <c r="U1284" i="1"/>
  <c r="U1276" i="1"/>
  <c r="U1268" i="1"/>
  <c r="U1260" i="1"/>
  <c r="U1252" i="1"/>
  <c r="U1244" i="1"/>
  <c r="U1236" i="1"/>
  <c r="U1212" i="1"/>
  <c r="U1204" i="1"/>
  <c r="U1196" i="1"/>
  <c r="U1188" i="1"/>
  <c r="U1180" i="1"/>
  <c r="U1172" i="1"/>
  <c r="U1148" i="1"/>
  <c r="U1140" i="1"/>
  <c r="U1132" i="1"/>
  <c r="U1124" i="1"/>
  <c r="U1116" i="1"/>
  <c r="U1108" i="1"/>
  <c r="U1100" i="1"/>
  <c r="U1092" i="1"/>
  <c r="U1084" i="1"/>
  <c r="U1076" i="1"/>
  <c r="U1068" i="1"/>
  <c r="U1060" i="1"/>
  <c r="U1052" i="1"/>
  <c r="U1044" i="1"/>
  <c r="U1020" i="1"/>
  <c r="U1012" i="1"/>
  <c r="U1004" i="1"/>
  <c r="U996" i="1"/>
  <c r="U988" i="1"/>
  <c r="U980" i="1"/>
  <c r="U964" i="1"/>
  <c r="U956" i="1"/>
  <c r="U948" i="1"/>
  <c r="U940" i="1"/>
  <c r="U932" i="1"/>
  <c r="U924" i="1"/>
  <c r="U916" i="1"/>
  <c r="U892" i="1"/>
  <c r="U884" i="1"/>
  <c r="U876" i="1"/>
  <c r="U868" i="1"/>
  <c r="U860" i="1"/>
  <c r="U852" i="1"/>
  <c r="U836" i="1"/>
  <c r="U828" i="1"/>
  <c r="U820" i="1"/>
  <c r="U812" i="1"/>
  <c r="U804" i="1"/>
  <c r="U796" i="1"/>
  <c r="U788" i="1"/>
  <c r="U772" i="1"/>
  <c r="U764" i="1"/>
  <c r="U756" i="1"/>
  <c r="U748" i="1"/>
  <c r="U740" i="1"/>
  <c r="U732" i="1"/>
  <c r="U724" i="1"/>
  <c r="U708" i="1"/>
  <c r="U700" i="1"/>
  <c r="U692" i="1"/>
  <c r="U684" i="1"/>
  <c r="U676" i="1"/>
  <c r="U668" i="1"/>
  <c r="U660" i="1"/>
  <c r="U644" i="1"/>
  <c r="U636" i="1"/>
  <c r="U628" i="1"/>
  <c r="U620" i="1"/>
  <c r="U612" i="1"/>
  <c r="U604" i="1"/>
  <c r="U596" i="1"/>
  <c r="U588" i="1"/>
  <c r="U580" i="1"/>
  <c r="U572" i="1"/>
  <c r="U564" i="1"/>
  <c r="U556" i="1"/>
  <c r="U548" i="1"/>
  <c r="U540" i="1"/>
  <c r="U532" i="1"/>
  <c r="U524" i="1"/>
  <c r="U516" i="1"/>
  <c r="U508" i="1"/>
  <c r="U500" i="1"/>
  <c r="U492" i="1"/>
  <c r="U484" i="1"/>
  <c r="U476" i="1"/>
  <c r="U468" i="1"/>
  <c r="U460" i="1"/>
  <c r="U452" i="1"/>
  <c r="U444" i="1"/>
  <c r="U436" i="1"/>
  <c r="U428" i="1"/>
  <c r="U420" i="1"/>
  <c r="U412" i="1"/>
  <c r="U404" i="1"/>
  <c r="U396" i="1"/>
  <c r="U388" i="1"/>
  <c r="U380" i="1"/>
  <c r="U372" i="1"/>
  <c r="U364" i="1"/>
  <c r="U356" i="1"/>
  <c r="U348" i="1"/>
  <c r="U340" i="1"/>
  <c r="U332" i="1"/>
  <c r="U324" i="1"/>
  <c r="U316" i="1"/>
  <c r="U308" i="1"/>
  <c r="U300" i="1"/>
  <c r="U292" i="1"/>
  <c r="U284" i="1"/>
  <c r="U276" i="1"/>
  <c r="U268" i="1"/>
  <c r="U260" i="1"/>
  <c r="U252" i="1"/>
  <c r="U244" i="1"/>
  <c r="U236" i="1"/>
  <c r="U228" i="1"/>
  <c r="U220" i="1"/>
  <c r="U212" i="1"/>
  <c r="U204" i="1"/>
  <c r="U196" i="1"/>
  <c r="U188" i="1"/>
  <c r="U180" i="1"/>
  <c r="U172" i="1"/>
  <c r="U164" i="1"/>
  <c r="U156" i="1"/>
  <c r="U148" i="1"/>
  <c r="U140" i="1"/>
  <c r="U132" i="1"/>
  <c r="U124" i="1"/>
  <c r="U116" i="1"/>
  <c r="U108" i="1"/>
  <c r="U100" i="1"/>
  <c r="U92" i="1"/>
  <c r="U84" i="1"/>
  <c r="U76" i="1"/>
  <c r="U68" i="1"/>
  <c r="U60" i="1"/>
  <c r="U52" i="1"/>
  <c r="U44" i="1"/>
  <c r="U36" i="1"/>
  <c r="U28" i="1"/>
  <c r="U20" i="1"/>
  <c r="U12" i="1"/>
  <c r="U4" i="1"/>
  <c r="R1342" i="1"/>
  <c r="U1334" i="1"/>
  <c r="U1326" i="1"/>
  <c r="U1318" i="1"/>
  <c r="U1310" i="1"/>
  <c r="U1302" i="1"/>
  <c r="U1294" i="1"/>
  <c r="U1286" i="1"/>
  <c r="U1278" i="1"/>
  <c r="U1270" i="1"/>
  <c r="U1262" i="1"/>
  <c r="U1246" i="1"/>
  <c r="U1222" i="1"/>
  <c r="U1214" i="1"/>
  <c r="U1206" i="1"/>
  <c r="U1198" i="1"/>
  <c r="U1190" i="1"/>
  <c r="U1182" i="1"/>
  <c r="U1174" i="1"/>
  <c r="U1150" i="1"/>
  <c r="U1142" i="1"/>
  <c r="U1134" i="1"/>
  <c r="U1126" i="1"/>
  <c r="U1118" i="1"/>
  <c r="U1102" i="1"/>
  <c r="U1094" i="1"/>
  <c r="U1086" i="1"/>
  <c r="U1078" i="1"/>
  <c r="U1070" i="1"/>
  <c r="U1062" i="1"/>
  <c r="U1054" i="1"/>
  <c r="U1046" i="1"/>
  <c r="U1038" i="1"/>
  <c r="U1022" i="1"/>
  <c r="U1014" i="1"/>
  <c r="U1006" i="1"/>
  <c r="U990" i="1"/>
  <c r="U982" i="1"/>
  <c r="U958" i="1"/>
  <c r="U950" i="1"/>
  <c r="U942" i="1"/>
  <c r="U934" i="1"/>
  <c r="U926" i="1"/>
  <c r="U918" i="1"/>
  <c r="U910" i="1"/>
  <c r="U902" i="1"/>
  <c r="U894" i="1"/>
  <c r="U886" i="1"/>
  <c r="U878" i="1"/>
  <c r="U870" i="1"/>
  <c r="U862" i="1"/>
  <c r="U838" i="1"/>
  <c r="U830" i="1"/>
  <c r="U822" i="1"/>
  <c r="U814" i="1"/>
  <c r="U806" i="1"/>
  <c r="U798" i="1"/>
  <c r="U774" i="1"/>
  <c r="U766" i="1"/>
  <c r="U758" i="1"/>
  <c r="U750" i="1"/>
  <c r="U742" i="1"/>
  <c r="U718" i="1"/>
  <c r="U710" i="1"/>
  <c r="U702" i="1"/>
  <c r="U694" i="1"/>
  <c r="U686" i="1"/>
  <c r="U678" i="1"/>
  <c r="U662" i="1"/>
  <c r="U654" i="1"/>
  <c r="U646" i="1"/>
  <c r="U638" i="1"/>
  <c r="U630" i="1"/>
  <c r="U622" i="1"/>
  <c r="U614" i="1"/>
  <c r="U598" i="1"/>
  <c r="U590" i="1"/>
  <c r="U582" i="1"/>
  <c r="U574" i="1"/>
  <c r="U566" i="1"/>
  <c r="U558" i="1"/>
  <c r="U550" i="1"/>
  <c r="U542" i="1"/>
  <c r="U534" i="1"/>
  <c r="U526" i="1"/>
  <c r="U518" i="1"/>
  <c r="U510" i="1"/>
  <c r="U502" i="1"/>
  <c r="U494" i="1"/>
  <c r="U486" i="1"/>
  <c r="U478" i="1"/>
  <c r="U470" i="1"/>
  <c r="U462" i="1"/>
  <c r="U454" i="1"/>
  <c r="U446" i="1"/>
  <c r="U438" i="1"/>
  <c r="U430" i="1"/>
  <c r="U422" i="1"/>
  <c r="U414" i="1"/>
  <c r="U406" i="1"/>
  <c r="U398" i="1"/>
  <c r="U390" i="1"/>
  <c r="U382" i="1"/>
  <c r="U374" i="1"/>
  <c r="U366" i="1"/>
  <c r="U358" i="1"/>
  <c r="U350" i="1"/>
  <c r="U342" i="1"/>
  <c r="U334" i="1"/>
  <c r="U326" i="1"/>
  <c r="U318" i="1"/>
  <c r="U310" i="1"/>
  <c r="U302" i="1"/>
  <c r="U294" i="1"/>
  <c r="U286" i="1"/>
  <c r="U278" i="1"/>
  <c r="U270" i="1"/>
  <c r="U262" i="1"/>
  <c r="U254" i="1"/>
  <c r="U246" i="1"/>
  <c r="U238" i="1"/>
  <c r="U230" i="1"/>
  <c r="U222" i="1"/>
  <c r="U214" i="1"/>
  <c r="U206" i="1"/>
  <c r="U198" i="1"/>
  <c r="U190" i="1"/>
  <c r="U182" i="1"/>
  <c r="U174" i="1"/>
  <c r="U166" i="1"/>
  <c r="U158" i="1"/>
  <c r="U150" i="1"/>
  <c r="U142" i="1"/>
  <c r="U134" i="1"/>
  <c r="U126" i="1"/>
  <c r="U118" i="1"/>
  <c r="U110" i="1"/>
  <c r="U102" i="1"/>
  <c r="U94" i="1"/>
  <c r="U86" i="1"/>
  <c r="U78" i="1"/>
  <c r="U70" i="1"/>
  <c r="U62" i="1"/>
  <c r="U54" i="1"/>
  <c r="U46" i="1"/>
  <c r="U38" i="1"/>
  <c r="U30" i="1"/>
  <c r="U22" i="1"/>
  <c r="U14" i="1"/>
  <c r="U6" i="1"/>
  <c r="U1341" i="1"/>
  <c r="U1333" i="1"/>
  <c r="U1325" i="1"/>
  <c r="U1317" i="1"/>
  <c r="U1309" i="1"/>
  <c r="U1293" i="1"/>
  <c r="U1285" i="1"/>
  <c r="U1277" i="1"/>
  <c r="U1269" i="1"/>
  <c r="U1261" i="1"/>
  <c r="U1253" i="1"/>
  <c r="U1245" i="1"/>
  <c r="U1221" i="1"/>
  <c r="U1213" i="1"/>
  <c r="U1205" i="1"/>
  <c r="U1197" i="1"/>
  <c r="U1189" i="1"/>
  <c r="U1181" i="1"/>
  <c r="U1173" i="1"/>
  <c r="U1157" i="1"/>
  <c r="U1149" i="1"/>
  <c r="U1141" i="1"/>
  <c r="U1133" i="1"/>
  <c r="U1125" i="1"/>
  <c r="U1117" i="1"/>
  <c r="U1093" i="1"/>
  <c r="U1085" i="1"/>
  <c r="U1077" i="1"/>
  <c r="U1069" i="1"/>
  <c r="U1061" i="1"/>
  <c r="U1053" i="1"/>
  <c r="U1045" i="1"/>
  <c r="U1029" i="1"/>
  <c r="U1021" i="1"/>
  <c r="U1013" i="1"/>
  <c r="U1005" i="1"/>
  <c r="U997" i="1"/>
  <c r="U989" i="1"/>
  <c r="U981" i="1"/>
  <c r="U973" i="1"/>
  <c r="U965" i="1"/>
  <c r="U957" i="1"/>
  <c r="U949" i="1"/>
  <c r="U941" i="1"/>
  <c r="U933" i="1"/>
  <c r="U925" i="1"/>
  <c r="U917" i="1"/>
  <c r="U909" i="1"/>
  <c r="U901" i="1"/>
  <c r="U893" i="1"/>
  <c r="U885" i="1"/>
  <c r="U877" i="1"/>
  <c r="U869" i="1"/>
  <c r="U861" i="1"/>
  <c r="U845" i="1"/>
  <c r="U837" i="1"/>
  <c r="U829" i="1"/>
  <c r="U821" i="1"/>
  <c r="U813" i="1"/>
  <c r="U805" i="1"/>
  <c r="U797" i="1"/>
  <c r="U789" i="1"/>
  <c r="U781" i="1"/>
  <c r="U773" i="1"/>
  <c r="U765" i="1"/>
  <c r="U757" i="1"/>
  <c r="U749" i="1"/>
  <c r="U741" i="1"/>
  <c r="U733" i="1"/>
  <c r="U725" i="1"/>
  <c r="U717" i="1"/>
  <c r="U709" i="1"/>
  <c r="U701" i="1"/>
  <c r="U693" i="1"/>
  <c r="U685" i="1"/>
  <c r="U677" i="1"/>
  <c r="U669" i="1"/>
  <c r="U661" i="1"/>
  <c r="U653" i="1"/>
  <c r="U645" i="1"/>
  <c r="U637" i="1"/>
  <c r="U629" i="1"/>
  <c r="U621" i="1"/>
  <c r="U613" i="1"/>
  <c r="U605" i="1"/>
  <c r="U597" i="1"/>
  <c r="U589" i="1"/>
  <c r="U581" i="1"/>
  <c r="U573" i="1"/>
  <c r="U565" i="1"/>
  <c r="U557" i="1"/>
  <c r="U549" i="1"/>
  <c r="U541" i="1"/>
  <c r="U533" i="1"/>
  <c r="U525" i="1"/>
  <c r="U517" i="1"/>
  <c r="U509" i="1"/>
  <c r="U501" i="1"/>
  <c r="U493" i="1"/>
  <c r="U485" i="1"/>
  <c r="U477" i="1"/>
  <c r="U469" i="1"/>
  <c r="U461" i="1"/>
  <c r="U453" i="1"/>
  <c r="U445" i="1"/>
  <c r="U437" i="1"/>
  <c r="U429" i="1"/>
  <c r="U421" i="1"/>
  <c r="U413" i="1"/>
  <c r="U405" i="1"/>
  <c r="U397" i="1"/>
  <c r="U389" i="1"/>
  <c r="U381" i="1"/>
  <c r="U373" i="1"/>
  <c r="U365" i="1"/>
  <c r="U357" i="1"/>
  <c r="U349" i="1"/>
  <c r="U341" i="1"/>
  <c r="U333" i="1"/>
  <c r="U325" i="1"/>
  <c r="U317" i="1"/>
  <c r="U309" i="1"/>
  <c r="U301" i="1"/>
  <c r="U293" i="1"/>
  <c r="U285" i="1"/>
  <c r="U277" i="1"/>
  <c r="U269" i="1"/>
  <c r="U261" i="1"/>
  <c r="U253" i="1"/>
  <c r="U245" i="1"/>
  <c r="U237" i="1"/>
  <c r="U229" i="1"/>
  <c r="U221" i="1"/>
  <c r="U213" i="1"/>
  <c r="U205" i="1"/>
  <c r="U197" i="1"/>
  <c r="U189" i="1"/>
  <c r="U181" i="1"/>
  <c r="U173" i="1"/>
  <c r="U165" i="1"/>
  <c r="U157" i="1"/>
  <c r="U149" i="1"/>
  <c r="U141" i="1"/>
  <c r="U133" i="1"/>
  <c r="U125" i="1"/>
  <c r="U117" i="1"/>
  <c r="U109" i="1"/>
  <c r="U101" i="1"/>
  <c r="U93" i="1"/>
  <c r="U85" i="1"/>
  <c r="U77" i="1"/>
  <c r="U69" i="1"/>
  <c r="U61" i="1"/>
  <c r="U53" i="1"/>
  <c r="U45" i="1"/>
  <c r="U37" i="1"/>
  <c r="U29" i="1"/>
  <c r="U21" i="1"/>
  <c r="U13" i="1"/>
  <c r="U5" i="1"/>
  <c r="Q1342" i="1"/>
  <c r="U2" i="1"/>
  <c r="S1342" i="1"/>
</calcChain>
</file>

<file path=xl/sharedStrings.xml><?xml version="1.0" encoding="utf-8"?>
<sst xmlns="http://schemas.openxmlformats.org/spreadsheetml/2006/main" count="5464" uniqueCount="81">
  <si>
    <t>PatientID</t>
  </si>
  <si>
    <t>age</t>
  </si>
  <si>
    <t>gender</t>
  </si>
  <si>
    <t>bmi</t>
  </si>
  <si>
    <t>bloodpressure</t>
  </si>
  <si>
    <t>diabetic</t>
  </si>
  <si>
    <t>children</t>
  </si>
  <si>
    <t>smoker</t>
  </si>
  <si>
    <t>region</t>
  </si>
  <si>
    <t>claim</t>
  </si>
  <si>
    <t>male</t>
  </si>
  <si>
    <t>Yes</t>
  </si>
  <si>
    <t>No</t>
  </si>
  <si>
    <t>southeast</t>
  </si>
  <si>
    <t>northwest</t>
  </si>
  <si>
    <t>southwest</t>
  </si>
  <si>
    <t>female</t>
  </si>
  <si>
    <t>northeast</t>
  </si>
  <si>
    <t>BMI Group</t>
  </si>
  <si>
    <t>Is Smoker</t>
  </si>
  <si>
    <t xml:space="preserve"> </t>
  </si>
  <si>
    <t>Is Diabetic</t>
  </si>
  <si>
    <t>Is Female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</si>
  <si>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</si>
  <si>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</si>
  <si>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</si>
  <si>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</si>
  <si>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</si>
  <si>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</si>
  <si>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</si>
  <si>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</si>
  <si>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</si>
  <si>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</si>
  <si>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</si>
  <si>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</si>
  <si>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</si>
  <si>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</si>
  <si>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</si>
  <si>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</si>
  <si>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</si>
  <si>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</si>
  <si>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</si>
  <si>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</si>
  <si>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</si>
  <si>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</si>
  <si>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</si>
  <si>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</si>
  <si>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Grand Total</t>
  </si>
  <si>
    <t>Average of claim</t>
  </si>
  <si>
    <t>Smokers</t>
  </si>
  <si>
    <t>&lt;20</t>
  </si>
  <si>
    <t>20-25</t>
  </si>
  <si>
    <t>25-30</t>
  </si>
  <si>
    <t>30-35</t>
  </si>
  <si>
    <t>35+</t>
  </si>
  <si>
    <t>BMI Groups</t>
  </si>
  <si>
    <t>Children</t>
  </si>
  <si>
    <t>Smoker vs Non-Smoker Column Chart</t>
  </si>
  <si>
    <t>BMI Group Column Chart</t>
  </si>
  <si>
    <t>Children Column Chart</t>
  </si>
  <si>
    <t>Predicted Claim</t>
  </si>
  <si>
    <t>BMI</t>
  </si>
  <si>
    <t>Actual vs Predicted</t>
  </si>
  <si>
    <t>Residual Plot</t>
  </si>
  <si>
    <t>Actuarial Premium Drivers &amp; Model Diagnostic</t>
  </si>
  <si>
    <t>BMI_Smoker</t>
  </si>
  <si>
    <t>Is Southeast</t>
  </si>
  <si>
    <t>Is Southwest</t>
  </si>
  <si>
    <t>Is Northwest</t>
  </si>
  <si>
    <t>Randomizer</t>
  </si>
  <si>
    <t>BMI vs Smoking Status</t>
  </si>
  <si>
    <t>Smoker</t>
  </si>
  <si>
    <t>Average claims</t>
  </si>
  <si>
    <t>BMI vs Actual Claim</t>
  </si>
  <si>
    <t>Variable</t>
  </si>
  <si>
    <t>Absolute Coefficient</t>
  </si>
  <si>
    <t>Smoker Penalty</t>
  </si>
  <si>
    <t>Region (Southeast)</t>
  </si>
  <si>
    <t>BMI × Smoker</t>
  </si>
  <si>
    <t>Dependents</t>
  </si>
  <si>
    <t>Blood 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</si>
</sst>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9" fillId="0" borderId="0" xfId="0" applyFont="1"/>
    <xf numFmtId="0" fontId="20" fillId="0" borderId="0" xfId="0" applyFont="1"/>
    <xf numFmtId="0" fontId="0" fillId="0" borderId="0" xfId="0" applyBorder="1"/>
    <xf numFmtId="0" fontId="22" fillId="0" borderId="12" xfId="0" applyFont="1" applyBorder="1" applyAlignment="1">
      <alignment horizontal="left" vertical="center" wrapText="1" indent="1" readingOrder="1"/>
    </xf>
    <xf numFmtId="0" fontId="21" fillId="0" borderId="12" xfId="0" applyFont="1" applyBorder="1" applyAlignment="1">
      <alignment horizontal="left" vertical="center" wrapText="1" indent="1" readingOrder="1"/>
    </xf>
    <xf numFmtId="0" fontId="23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final cleaned.xlsx]Sheet3!PivotTable1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Claim  by Smoking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Sheet3!$A$4:$A$6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2"/>
                <c:pt idx="0">
                  <c:v>32050.231970802903</c:v>
                </c:pt>
                <c:pt idx="1">
                  <c:v>8421.1215759849892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3-4CF8-B2E5-7361B60D9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0847887"/>
        <c:axId val="960848847"/>
      </c:barChart>
      <c:catAx>
        <c:axId val="960847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48847"/>
        <c:crosses val="autoZero"/>
        <c:auto val="1"/>
        <c:lblAlgn val="ctr"/>
        <c:lblOffset val="100"/>
        <c:noMultiLvlLbl val="0"/>
      </c:catAx>
      <c:valAx>
        <c:axId val="96084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47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final cleaned.xlsx]Sheet3!PivotTable3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Claim by Number of Dependents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Sheet3!$A$21:$A$27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Sheet3!$B$21:$B$27</c:f>
              <c:numCache>
                <c:formatCode>General</c:formatCode>
                <c:ptCount val="6"/>
                <c:pt idx="0">
                  <c:v>12327.993159722228</c:v>
                </c:pt>
                <c:pt idx="1">
                  <c:v>12731.171820987651</c:v>
                </c:pt>
                <c:pt idx="2">
                  <c:v>15073.564000000004</c:v>
                </c:pt>
                <c:pt idx="3">
                  <c:v>15355.318535031845</c:v>
                </c:pt>
                <c:pt idx="4">
                  <c:v>13850.656799999997</c:v>
                </c:pt>
                <c:pt idx="5">
                  <c:v>8786.0355555555543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23-4506-A6A1-2098404E5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5114703"/>
        <c:axId val="895107983"/>
      </c:barChart>
      <c:catAx>
        <c:axId val="895114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107983"/>
        <c:crosses val="autoZero"/>
        <c:auto val="1"/>
        <c:lblAlgn val="ctr"/>
        <c:lblOffset val="100"/>
        <c:noMultiLvlLbl val="0"/>
      </c:catAx>
      <c:valAx>
        <c:axId val="89510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11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final cleaned.xlsx]Sheet3!PivotTable2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Impact of BMI on claims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Sheet3!$A$12:$A$17</c:f>
              <c:strCache>
                <c:ptCount val="5"/>
                <c:pt idx="0">
                  <c:v>&lt;20</c:v>
                </c:pt>
                <c:pt idx="1">
                  <c:v>20-25</c:v>
                </c:pt>
                <c:pt idx="2">
                  <c:v>25-30</c:v>
                </c:pt>
                <c:pt idx="3">
                  <c:v>30-35</c:v>
                </c:pt>
                <c:pt idx="4">
                  <c:v>35+</c:v>
                </c:pt>
              </c:strCache>
            </c:strRef>
          </c:cat>
          <c:val>
            <c:numRef>
              <c:f>Sheet3!$B$12:$B$17</c:f>
              <c:numCache>
                <c:formatCode>General</c:formatCode>
                <c:ptCount val="5"/>
                <c:pt idx="0">
                  <c:v>8802.4537142857153</c:v>
                </c:pt>
                <c:pt idx="1">
                  <c:v>10456.306105769228</c:v>
                </c:pt>
                <c:pt idx="2">
                  <c:v>11000.079305912595</c:v>
                </c:pt>
                <c:pt idx="3">
                  <c:v>14298.842680412366</c:v>
                </c:pt>
                <c:pt idx="4">
                  <c:v>17027.186875000007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E1-447E-936E-4FD4D33E0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0572735"/>
        <c:axId val="720571295"/>
      </c:barChart>
      <c:catAx>
        <c:axId val="720572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571295"/>
        <c:crosses val="autoZero"/>
        <c:auto val="1"/>
        <c:lblAlgn val="ctr"/>
        <c:lblOffset val="100"/>
        <c:noMultiLvlLbl val="0"/>
      </c:catAx>
      <c:valAx>
        <c:axId val="72057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57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'insurance final cleaned'!$U$1</c:f>
              <c:strCache>
                <c:ptCount val="1"/>
                <c:pt idx="0">
                  <c:v>Residual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'insurance final cleaned'!$T$2:$T$1341</c:f>
              <c:numCache>
                <c:formatCode>General</c:formatCode>
                <c:ptCount val="1340"/>
                <c:pt idx="0">
                  <c:v>5464.87</c:v>
                </c:pt>
                <c:pt idx="1">
                  <c:v>5504.7200000000012</c:v>
                </c:pt>
                <c:pt idx="2">
                  <c:v>4893.3900000000003</c:v>
                </c:pt>
                <c:pt idx="3">
                  <c:v>5374.1600000000008</c:v>
                </c:pt>
                <c:pt idx="4">
                  <c:v>8600.16</c:v>
                </c:pt>
                <c:pt idx="5">
                  <c:v>7918.3899999999976</c:v>
                </c:pt>
                <c:pt idx="6">
                  <c:v>6570.4399999999987</c:v>
                </c:pt>
                <c:pt idx="7">
                  <c:v>9222.98</c:v>
                </c:pt>
                <c:pt idx="8">
                  <c:v>7149.89</c:v>
                </c:pt>
                <c:pt idx="9">
                  <c:v>9756.130000000001</c:v>
                </c:pt>
                <c:pt idx="10">
                  <c:v>5395.93</c:v>
                </c:pt>
                <c:pt idx="11">
                  <c:v>5756.58</c:v>
                </c:pt>
                <c:pt idx="12">
                  <c:v>4446.5700000000006</c:v>
                </c:pt>
                <c:pt idx="13">
                  <c:v>8052.0900000000011</c:v>
                </c:pt>
                <c:pt idx="14">
                  <c:v>5034.630000000001</c:v>
                </c:pt>
                <c:pt idx="15">
                  <c:v>5988.17</c:v>
                </c:pt>
                <c:pt idx="16">
                  <c:v>7000.0299999999988</c:v>
                </c:pt>
                <c:pt idx="17">
                  <c:v>6060.4599999999991</c:v>
                </c:pt>
                <c:pt idx="18">
                  <c:v>8141.329999999999</c:v>
                </c:pt>
                <c:pt idx="19">
                  <c:v>6316.9000000000005</c:v>
                </c:pt>
                <c:pt idx="20">
                  <c:v>4499.6499999999987</c:v>
                </c:pt>
                <c:pt idx="21">
                  <c:v>7702.3499999999985</c:v>
                </c:pt>
                <c:pt idx="22">
                  <c:v>7979.71</c:v>
                </c:pt>
                <c:pt idx="23">
                  <c:v>7020.6200000000008</c:v>
                </c:pt>
                <c:pt idx="24">
                  <c:v>4733</c:v>
                </c:pt>
                <c:pt idx="25">
                  <c:v>7146.05</c:v>
                </c:pt>
                <c:pt idx="26">
                  <c:v>7170.4499999999989</c:v>
                </c:pt>
                <c:pt idx="27">
                  <c:v>6004.9100000000017</c:v>
                </c:pt>
                <c:pt idx="28">
                  <c:v>5991.6500000000005</c:v>
                </c:pt>
                <c:pt idx="29">
                  <c:v>7004.2800000000016</c:v>
                </c:pt>
                <c:pt idx="30">
                  <c:v>4179.47</c:v>
                </c:pt>
                <c:pt idx="31">
                  <c:v>4342.63</c:v>
                </c:pt>
                <c:pt idx="32">
                  <c:v>6931.2499999999982</c:v>
                </c:pt>
                <c:pt idx="33">
                  <c:v>5537.6900000000014</c:v>
                </c:pt>
                <c:pt idx="34">
                  <c:v>6389.25</c:v>
                </c:pt>
                <c:pt idx="35">
                  <c:v>7578.8700000000017</c:v>
                </c:pt>
                <c:pt idx="36">
                  <c:v>7507.2300000000005</c:v>
                </c:pt>
                <c:pt idx="37">
                  <c:v>5165.5000000000009</c:v>
                </c:pt>
                <c:pt idx="38">
                  <c:v>6722.6000000000013</c:v>
                </c:pt>
                <c:pt idx="39">
                  <c:v>8752.630000000001</c:v>
                </c:pt>
                <c:pt idx="40">
                  <c:v>7932.5000000000009</c:v>
                </c:pt>
                <c:pt idx="41">
                  <c:v>6969.9800000000005</c:v>
                </c:pt>
                <c:pt idx="42">
                  <c:v>7191.46</c:v>
                </c:pt>
                <c:pt idx="43">
                  <c:v>5420.6100000000015</c:v>
                </c:pt>
                <c:pt idx="44">
                  <c:v>7284.8300000000008</c:v>
                </c:pt>
                <c:pt idx="45">
                  <c:v>6264.2400000000007</c:v>
                </c:pt>
                <c:pt idx="46">
                  <c:v>6140.25</c:v>
                </c:pt>
                <c:pt idx="47">
                  <c:v>5801.89</c:v>
                </c:pt>
                <c:pt idx="48">
                  <c:v>7292.7400000000007</c:v>
                </c:pt>
                <c:pt idx="49">
                  <c:v>7699.0500000000011</c:v>
                </c:pt>
                <c:pt idx="50">
                  <c:v>7488.92</c:v>
                </c:pt>
                <c:pt idx="51">
                  <c:v>4567.3500000000004</c:v>
                </c:pt>
                <c:pt idx="52">
                  <c:v>6224.380000000001</c:v>
                </c:pt>
                <c:pt idx="53">
                  <c:v>4928.3</c:v>
                </c:pt>
                <c:pt idx="54">
                  <c:v>5794.1900000000005</c:v>
                </c:pt>
                <c:pt idx="55">
                  <c:v>5175.8999999999996</c:v>
                </c:pt>
                <c:pt idx="56">
                  <c:v>6156.42</c:v>
                </c:pt>
                <c:pt idx="57">
                  <c:v>7768.77</c:v>
                </c:pt>
                <c:pt idx="58">
                  <c:v>6360.7200000000012</c:v>
                </c:pt>
                <c:pt idx="59">
                  <c:v>7008.6399999999994</c:v>
                </c:pt>
                <c:pt idx="60">
                  <c:v>5460.8200000000006</c:v>
                </c:pt>
                <c:pt idx="61">
                  <c:v>6055.1699999999992</c:v>
                </c:pt>
                <c:pt idx="62">
                  <c:v>7306.91</c:v>
                </c:pt>
                <c:pt idx="63">
                  <c:v>6258.7299999999987</c:v>
                </c:pt>
                <c:pt idx="64">
                  <c:v>6485.53</c:v>
                </c:pt>
                <c:pt idx="65">
                  <c:v>6432.07</c:v>
                </c:pt>
                <c:pt idx="66">
                  <c:v>8683.4699999999993</c:v>
                </c:pt>
                <c:pt idx="67">
                  <c:v>8704.51</c:v>
                </c:pt>
                <c:pt idx="68">
                  <c:v>7455.869999999999</c:v>
                </c:pt>
                <c:pt idx="69">
                  <c:v>4970.7800000000007</c:v>
                </c:pt>
                <c:pt idx="70">
                  <c:v>5282.329999999999</c:v>
                </c:pt>
                <c:pt idx="71">
                  <c:v>4501.5600000000022</c:v>
                </c:pt>
                <c:pt idx="72">
                  <c:v>8249.98</c:v>
                </c:pt>
                <c:pt idx="73">
                  <c:v>7905.5899999999983</c:v>
                </c:pt>
                <c:pt idx="74">
                  <c:v>6906.82</c:v>
                </c:pt>
                <c:pt idx="75">
                  <c:v>7713.6000000000013</c:v>
                </c:pt>
                <c:pt idx="76">
                  <c:v>6768.3099999999977</c:v>
                </c:pt>
                <c:pt idx="77">
                  <c:v>7838.9800000000005</c:v>
                </c:pt>
                <c:pt idx="78">
                  <c:v>8120.9999999999991</c:v>
                </c:pt>
                <c:pt idx="79">
                  <c:v>5453.0800000000017</c:v>
                </c:pt>
                <c:pt idx="80">
                  <c:v>6201.91</c:v>
                </c:pt>
                <c:pt idx="81">
                  <c:v>6652.34</c:v>
                </c:pt>
                <c:pt idx="82">
                  <c:v>8036.46</c:v>
                </c:pt>
                <c:pt idx="83">
                  <c:v>7327.7899999999991</c:v>
                </c:pt>
                <c:pt idx="84">
                  <c:v>6314.199999999998</c:v>
                </c:pt>
                <c:pt idx="85">
                  <c:v>10015.820000000002</c:v>
                </c:pt>
                <c:pt idx="86">
                  <c:v>7230.86</c:v>
                </c:pt>
                <c:pt idx="87">
                  <c:v>5657.53</c:v>
                </c:pt>
                <c:pt idx="88">
                  <c:v>7639.369999999999</c:v>
                </c:pt>
                <c:pt idx="89">
                  <c:v>6002.6900000000005</c:v>
                </c:pt>
                <c:pt idx="90">
                  <c:v>7679.1800000000012</c:v>
                </c:pt>
                <c:pt idx="91">
                  <c:v>7675.760000000002</c:v>
                </c:pt>
                <c:pt idx="92">
                  <c:v>7574.76</c:v>
                </c:pt>
                <c:pt idx="93">
                  <c:v>8273.6899999999987</c:v>
                </c:pt>
                <c:pt idx="94">
                  <c:v>8907.4000000000015</c:v>
                </c:pt>
                <c:pt idx="95">
                  <c:v>6800.4400000000014</c:v>
                </c:pt>
                <c:pt idx="96">
                  <c:v>7616.25</c:v>
                </c:pt>
                <c:pt idx="97">
                  <c:v>6395.22</c:v>
                </c:pt>
                <c:pt idx="98">
                  <c:v>5385.4300000000012</c:v>
                </c:pt>
                <c:pt idx="99">
                  <c:v>7967.670000000001</c:v>
                </c:pt>
                <c:pt idx="100">
                  <c:v>5549.5800000000008</c:v>
                </c:pt>
                <c:pt idx="101">
                  <c:v>10981.75</c:v>
                </c:pt>
                <c:pt idx="102">
                  <c:v>5951.7599999999984</c:v>
                </c:pt>
                <c:pt idx="103">
                  <c:v>8572.5999999999985</c:v>
                </c:pt>
                <c:pt idx="104">
                  <c:v>7829.5900000000011</c:v>
                </c:pt>
                <c:pt idx="105">
                  <c:v>5940.9600000000009</c:v>
                </c:pt>
                <c:pt idx="106">
                  <c:v>7657.84</c:v>
                </c:pt>
                <c:pt idx="107">
                  <c:v>7122.61</c:v>
                </c:pt>
                <c:pt idx="108">
                  <c:v>6560.53</c:v>
                </c:pt>
                <c:pt idx="109">
                  <c:v>6689.93</c:v>
                </c:pt>
                <c:pt idx="110">
                  <c:v>6468.48</c:v>
                </c:pt>
                <c:pt idx="111">
                  <c:v>4644.9000000000005</c:v>
                </c:pt>
                <c:pt idx="112">
                  <c:v>5904.73</c:v>
                </c:pt>
                <c:pt idx="113">
                  <c:v>6017.9299999999994</c:v>
                </c:pt>
                <c:pt idx="114">
                  <c:v>4375.6000000000013</c:v>
                </c:pt>
                <c:pt idx="115">
                  <c:v>5553.15</c:v>
                </c:pt>
                <c:pt idx="116">
                  <c:v>7441.65</c:v>
                </c:pt>
                <c:pt idx="117">
                  <c:v>5332.1600000000008</c:v>
                </c:pt>
                <c:pt idx="118">
                  <c:v>4879.5500000000011</c:v>
                </c:pt>
                <c:pt idx="119">
                  <c:v>7004.6</c:v>
                </c:pt>
                <c:pt idx="120">
                  <c:v>6406.11</c:v>
                </c:pt>
                <c:pt idx="121">
                  <c:v>7779.9000000000005</c:v>
                </c:pt>
                <c:pt idx="122">
                  <c:v>6703.2600000000011</c:v>
                </c:pt>
                <c:pt idx="123">
                  <c:v>5975.5900000000029</c:v>
                </c:pt>
                <c:pt idx="124">
                  <c:v>7858.32</c:v>
                </c:pt>
                <c:pt idx="125">
                  <c:v>7356.9199999999983</c:v>
                </c:pt>
                <c:pt idx="126">
                  <c:v>6392.7500000000009</c:v>
                </c:pt>
                <c:pt idx="127">
                  <c:v>5109.2700000000004</c:v>
                </c:pt>
                <c:pt idx="128">
                  <c:v>6808.0199999999995</c:v>
                </c:pt>
                <c:pt idx="129">
                  <c:v>5502.67</c:v>
                </c:pt>
                <c:pt idx="130">
                  <c:v>7111.76</c:v>
                </c:pt>
                <c:pt idx="131">
                  <c:v>5538.97</c:v>
                </c:pt>
                <c:pt idx="132">
                  <c:v>7254.1100000000006</c:v>
                </c:pt>
                <c:pt idx="133">
                  <c:v>7205.1500000000015</c:v>
                </c:pt>
                <c:pt idx="134">
                  <c:v>7132.6799999999985</c:v>
                </c:pt>
                <c:pt idx="135">
                  <c:v>5897.93</c:v>
                </c:pt>
                <c:pt idx="136">
                  <c:v>6158.28</c:v>
                </c:pt>
                <c:pt idx="137">
                  <c:v>6177.5700000000006</c:v>
                </c:pt>
                <c:pt idx="138">
                  <c:v>5425.39</c:v>
                </c:pt>
                <c:pt idx="139">
                  <c:v>7532.31</c:v>
                </c:pt>
                <c:pt idx="140">
                  <c:v>6221.0600000000013</c:v>
                </c:pt>
                <c:pt idx="141">
                  <c:v>8200.5700000000015</c:v>
                </c:pt>
                <c:pt idx="142">
                  <c:v>6860.9900000000016</c:v>
                </c:pt>
                <c:pt idx="143">
                  <c:v>6544.58</c:v>
                </c:pt>
                <c:pt idx="144">
                  <c:v>7343.0299999999988</c:v>
                </c:pt>
                <c:pt idx="145">
                  <c:v>4551.880000000001</c:v>
                </c:pt>
                <c:pt idx="146">
                  <c:v>5774.9099999999989</c:v>
                </c:pt>
                <c:pt idx="147">
                  <c:v>5872.2800000000007</c:v>
                </c:pt>
                <c:pt idx="148">
                  <c:v>5444.8</c:v>
                </c:pt>
                <c:pt idx="149">
                  <c:v>5432.1500000000015</c:v>
                </c:pt>
                <c:pt idx="150">
                  <c:v>6662.8000000000029</c:v>
                </c:pt>
                <c:pt idx="151">
                  <c:v>7725.0400000000009</c:v>
                </c:pt>
                <c:pt idx="152">
                  <c:v>7043.4100000000017</c:v>
                </c:pt>
                <c:pt idx="153">
                  <c:v>4996.84</c:v>
                </c:pt>
                <c:pt idx="154">
                  <c:v>8415.630000000001</c:v>
                </c:pt>
                <c:pt idx="155">
                  <c:v>7125.2300000000005</c:v>
                </c:pt>
                <c:pt idx="156">
                  <c:v>6279.1599999999989</c:v>
                </c:pt>
                <c:pt idx="157">
                  <c:v>4374.3400000000011</c:v>
                </c:pt>
                <c:pt idx="158">
                  <c:v>6858.3499999999976</c:v>
                </c:pt>
                <c:pt idx="159">
                  <c:v>7695.7800000000007</c:v>
                </c:pt>
                <c:pt idx="160">
                  <c:v>6534.0599999999995</c:v>
                </c:pt>
                <c:pt idx="161">
                  <c:v>7693.0000000000009</c:v>
                </c:pt>
                <c:pt idx="162">
                  <c:v>5840.66</c:v>
                </c:pt>
                <c:pt idx="163">
                  <c:v>5157.0000000000009</c:v>
                </c:pt>
                <c:pt idx="164">
                  <c:v>6849.2300000000005</c:v>
                </c:pt>
                <c:pt idx="165">
                  <c:v>6917.5900000000011</c:v>
                </c:pt>
                <c:pt idx="166">
                  <c:v>5685.05</c:v>
                </c:pt>
                <c:pt idx="167">
                  <c:v>6801.7699999999995</c:v>
                </c:pt>
                <c:pt idx="168">
                  <c:v>7165.43</c:v>
                </c:pt>
                <c:pt idx="169">
                  <c:v>7598.72</c:v>
                </c:pt>
                <c:pt idx="170">
                  <c:v>4664.34</c:v>
                </c:pt>
                <c:pt idx="171">
                  <c:v>6985.0600000000013</c:v>
                </c:pt>
                <c:pt idx="172">
                  <c:v>8753.35</c:v>
                </c:pt>
                <c:pt idx="173">
                  <c:v>4236.1900000000014</c:v>
                </c:pt>
                <c:pt idx="174">
                  <c:v>5543.5599999999995</c:v>
                </c:pt>
                <c:pt idx="175">
                  <c:v>9352.35</c:v>
                </c:pt>
                <c:pt idx="176">
                  <c:v>6165.3</c:v>
                </c:pt>
                <c:pt idx="177">
                  <c:v>7315.1600000000008</c:v>
                </c:pt>
                <c:pt idx="178">
                  <c:v>9306.5600000000013</c:v>
                </c:pt>
                <c:pt idx="179">
                  <c:v>7631.5900000000011</c:v>
                </c:pt>
                <c:pt idx="180">
                  <c:v>6274.619999999999</c:v>
                </c:pt>
                <c:pt idx="181">
                  <c:v>7069.630000000001</c:v>
                </c:pt>
                <c:pt idx="182">
                  <c:v>7645.0099999999993</c:v>
                </c:pt>
                <c:pt idx="183">
                  <c:v>5859.69</c:v>
                </c:pt>
                <c:pt idx="184">
                  <c:v>4418.8900000000003</c:v>
                </c:pt>
                <c:pt idx="185">
                  <c:v>9864.1</c:v>
                </c:pt>
                <c:pt idx="186">
                  <c:v>12078.19</c:v>
                </c:pt>
                <c:pt idx="187">
                  <c:v>7447.85</c:v>
                </c:pt>
                <c:pt idx="188">
                  <c:v>6749.3599999999988</c:v>
                </c:pt>
                <c:pt idx="189">
                  <c:v>8961.59</c:v>
                </c:pt>
                <c:pt idx="190">
                  <c:v>8757.1700000000019</c:v>
                </c:pt>
                <c:pt idx="191">
                  <c:v>5003.04</c:v>
                </c:pt>
                <c:pt idx="192">
                  <c:v>6913.8200000000006</c:v>
                </c:pt>
                <c:pt idx="193">
                  <c:v>11220.27</c:v>
                </c:pt>
                <c:pt idx="194">
                  <c:v>8614.5500000000011</c:v>
                </c:pt>
                <c:pt idx="195">
                  <c:v>9246.4100000000017</c:v>
                </c:pt>
                <c:pt idx="196">
                  <c:v>6512.25</c:v>
                </c:pt>
                <c:pt idx="197">
                  <c:v>10453.33</c:v>
                </c:pt>
                <c:pt idx="198">
                  <c:v>7514.52</c:v>
                </c:pt>
                <c:pt idx="199">
                  <c:v>8967.3399999999983</c:v>
                </c:pt>
                <c:pt idx="200">
                  <c:v>8230.1699999999983</c:v>
                </c:pt>
                <c:pt idx="201">
                  <c:v>10517.94</c:v>
                </c:pt>
                <c:pt idx="202">
                  <c:v>6170.3300000000008</c:v>
                </c:pt>
                <c:pt idx="203">
                  <c:v>8821.4399999999987</c:v>
                </c:pt>
                <c:pt idx="204">
                  <c:v>6914.3700000000008</c:v>
                </c:pt>
                <c:pt idx="205">
                  <c:v>7091.52</c:v>
                </c:pt>
                <c:pt idx="206">
                  <c:v>5604.0800000000008</c:v>
                </c:pt>
                <c:pt idx="207">
                  <c:v>6681.2400000000016</c:v>
                </c:pt>
                <c:pt idx="208">
                  <c:v>10439.529999999999</c:v>
                </c:pt>
                <c:pt idx="209">
                  <c:v>6500.7999999999993</c:v>
                </c:pt>
                <c:pt idx="210">
                  <c:v>8623.4000000000015</c:v>
                </c:pt>
                <c:pt idx="211">
                  <c:v>7096.5299999999988</c:v>
                </c:pt>
                <c:pt idx="212">
                  <c:v>8004.9299999999994</c:v>
                </c:pt>
                <c:pt idx="213">
                  <c:v>5509.5</c:v>
                </c:pt>
                <c:pt idx="214">
                  <c:v>9349.6299999999992</c:v>
                </c:pt>
                <c:pt idx="215">
                  <c:v>7934.6699999999992</c:v>
                </c:pt>
                <c:pt idx="216">
                  <c:v>10885.53</c:v>
                </c:pt>
                <c:pt idx="217">
                  <c:v>6308.2900000000018</c:v>
                </c:pt>
                <c:pt idx="218">
                  <c:v>8622.3100000000013</c:v>
                </c:pt>
                <c:pt idx="219">
                  <c:v>7843.0899999999992</c:v>
                </c:pt>
                <c:pt idx="220">
                  <c:v>6687.25</c:v>
                </c:pt>
                <c:pt idx="221">
                  <c:v>7613.91</c:v>
                </c:pt>
                <c:pt idx="222">
                  <c:v>7347.24</c:v>
                </c:pt>
                <c:pt idx="223">
                  <c:v>11324.150000000001</c:v>
                </c:pt>
                <c:pt idx="224">
                  <c:v>8690.8000000000011</c:v>
                </c:pt>
                <c:pt idx="225">
                  <c:v>5757.7200000000012</c:v>
                </c:pt>
                <c:pt idx="226">
                  <c:v>7828.19</c:v>
                </c:pt>
                <c:pt idx="227">
                  <c:v>9213.33</c:v>
                </c:pt>
                <c:pt idx="228">
                  <c:v>7831.8899999999994</c:v>
                </c:pt>
                <c:pt idx="229">
                  <c:v>8089.4500000000007</c:v>
                </c:pt>
                <c:pt idx="230">
                  <c:v>8955.3100000000031</c:v>
                </c:pt>
                <c:pt idx="231">
                  <c:v>7268.1299999999992</c:v>
                </c:pt>
                <c:pt idx="232">
                  <c:v>7304.64</c:v>
                </c:pt>
                <c:pt idx="233">
                  <c:v>9003.0200000000023</c:v>
                </c:pt>
                <c:pt idx="234">
                  <c:v>9231.3599999999988</c:v>
                </c:pt>
                <c:pt idx="235">
                  <c:v>5591.62</c:v>
                </c:pt>
                <c:pt idx="236">
                  <c:v>6615.1699999999992</c:v>
                </c:pt>
                <c:pt idx="237">
                  <c:v>4702.050000000002</c:v>
                </c:pt>
                <c:pt idx="238">
                  <c:v>6337.84</c:v>
                </c:pt>
                <c:pt idx="239">
                  <c:v>7929.0099999999975</c:v>
                </c:pt>
                <c:pt idx="240">
                  <c:v>7844.8199999999988</c:v>
                </c:pt>
                <c:pt idx="241">
                  <c:v>7764.6300000000019</c:v>
                </c:pt>
                <c:pt idx="242">
                  <c:v>7288.7399999999989</c:v>
                </c:pt>
                <c:pt idx="243">
                  <c:v>10571.74</c:v>
                </c:pt>
                <c:pt idx="244">
                  <c:v>10609.85</c:v>
                </c:pt>
                <c:pt idx="245">
                  <c:v>7203.5999999999985</c:v>
                </c:pt>
                <c:pt idx="246">
                  <c:v>10621.739999999998</c:v>
                </c:pt>
                <c:pt idx="247">
                  <c:v>6310.8100000000013</c:v>
                </c:pt>
                <c:pt idx="248">
                  <c:v>7618.91</c:v>
                </c:pt>
                <c:pt idx="249">
                  <c:v>6423.4</c:v>
                </c:pt>
                <c:pt idx="250">
                  <c:v>4429.46</c:v>
                </c:pt>
                <c:pt idx="251">
                  <c:v>5892.8600000000006</c:v>
                </c:pt>
                <c:pt idx="252">
                  <c:v>6995.72</c:v>
                </c:pt>
                <c:pt idx="253">
                  <c:v>6824.79</c:v>
                </c:pt>
                <c:pt idx="254">
                  <c:v>6483.85</c:v>
                </c:pt>
                <c:pt idx="255">
                  <c:v>8987.92</c:v>
                </c:pt>
                <c:pt idx="256">
                  <c:v>9387.7900000000009</c:v>
                </c:pt>
                <c:pt idx="257">
                  <c:v>6087.29</c:v>
                </c:pt>
                <c:pt idx="258">
                  <c:v>7126.95</c:v>
                </c:pt>
                <c:pt idx="259">
                  <c:v>8551.9200000000019</c:v>
                </c:pt>
                <c:pt idx="260">
                  <c:v>8918.7400000000016</c:v>
                </c:pt>
                <c:pt idx="261">
                  <c:v>10315.460000000001</c:v>
                </c:pt>
                <c:pt idx="262">
                  <c:v>7207.1600000000008</c:v>
                </c:pt>
                <c:pt idx="263">
                  <c:v>9750.8200000000015</c:v>
                </c:pt>
                <c:pt idx="264">
                  <c:v>6388.3499999999985</c:v>
                </c:pt>
                <c:pt idx="265">
                  <c:v>7240.6299999999983</c:v>
                </c:pt>
                <c:pt idx="266">
                  <c:v>6767.4900000000007</c:v>
                </c:pt>
                <c:pt idx="267">
                  <c:v>8283.4500000000007</c:v>
                </c:pt>
                <c:pt idx="268">
                  <c:v>10280.620000000001</c:v>
                </c:pt>
                <c:pt idx="269">
                  <c:v>7637.32</c:v>
                </c:pt>
                <c:pt idx="270">
                  <c:v>7696.3600000000006</c:v>
                </c:pt>
                <c:pt idx="271">
                  <c:v>9671.9500000000007</c:v>
                </c:pt>
                <c:pt idx="272">
                  <c:v>6241.46</c:v>
                </c:pt>
                <c:pt idx="273">
                  <c:v>10407.68</c:v>
                </c:pt>
                <c:pt idx="274">
                  <c:v>9442.82</c:v>
                </c:pt>
                <c:pt idx="275">
                  <c:v>8336.01</c:v>
                </c:pt>
                <c:pt idx="276">
                  <c:v>7443.3500000000013</c:v>
                </c:pt>
                <c:pt idx="277">
                  <c:v>8256.380000000001</c:v>
                </c:pt>
                <c:pt idx="278">
                  <c:v>5807.3099999999986</c:v>
                </c:pt>
                <c:pt idx="279">
                  <c:v>7662.76</c:v>
                </c:pt>
                <c:pt idx="280">
                  <c:v>5850.82</c:v>
                </c:pt>
                <c:pt idx="281">
                  <c:v>8645.51</c:v>
                </c:pt>
                <c:pt idx="282">
                  <c:v>8936.4000000000015</c:v>
                </c:pt>
                <c:pt idx="283">
                  <c:v>5850.68</c:v>
                </c:pt>
                <c:pt idx="284">
                  <c:v>9594.9000000000015</c:v>
                </c:pt>
                <c:pt idx="285">
                  <c:v>7891.63</c:v>
                </c:pt>
                <c:pt idx="286">
                  <c:v>6500.3000000000011</c:v>
                </c:pt>
                <c:pt idx="287">
                  <c:v>6018.6399999999976</c:v>
                </c:pt>
                <c:pt idx="288">
                  <c:v>7683.24</c:v>
                </c:pt>
                <c:pt idx="289">
                  <c:v>7293.9500000000007</c:v>
                </c:pt>
                <c:pt idx="290">
                  <c:v>7037.6200000000008</c:v>
                </c:pt>
                <c:pt idx="291">
                  <c:v>9315.0600000000031</c:v>
                </c:pt>
                <c:pt idx="292">
                  <c:v>6852.19</c:v>
                </c:pt>
                <c:pt idx="293">
                  <c:v>6568.670000000001</c:v>
                </c:pt>
                <c:pt idx="294">
                  <c:v>7485.82</c:v>
                </c:pt>
                <c:pt idx="295">
                  <c:v>6184.5199999999995</c:v>
                </c:pt>
                <c:pt idx="296">
                  <c:v>7922.9400000000005</c:v>
                </c:pt>
                <c:pt idx="297">
                  <c:v>6529.9699999999993</c:v>
                </c:pt>
                <c:pt idx="298">
                  <c:v>7562.02</c:v>
                </c:pt>
                <c:pt idx="299">
                  <c:v>8757.8600000000024</c:v>
                </c:pt>
                <c:pt idx="300">
                  <c:v>4496.340000000002</c:v>
                </c:pt>
                <c:pt idx="301">
                  <c:v>6401.0099999999993</c:v>
                </c:pt>
                <c:pt idx="302">
                  <c:v>6451.6</c:v>
                </c:pt>
                <c:pt idx="303">
                  <c:v>6393.7699999999995</c:v>
                </c:pt>
                <c:pt idx="304">
                  <c:v>7097.0300000000007</c:v>
                </c:pt>
                <c:pt idx="305">
                  <c:v>7128.67</c:v>
                </c:pt>
                <c:pt idx="306">
                  <c:v>8696.1600000000017</c:v>
                </c:pt>
                <c:pt idx="307">
                  <c:v>5698.45</c:v>
                </c:pt>
                <c:pt idx="308">
                  <c:v>6426.3700000000008</c:v>
                </c:pt>
                <c:pt idx="309">
                  <c:v>9005.220000000003</c:v>
                </c:pt>
                <c:pt idx="310">
                  <c:v>5761.14</c:v>
                </c:pt>
                <c:pt idx="311">
                  <c:v>7718.13</c:v>
                </c:pt>
                <c:pt idx="312">
                  <c:v>7625.63</c:v>
                </c:pt>
                <c:pt idx="313">
                  <c:v>9822.4500000000025</c:v>
                </c:pt>
                <c:pt idx="314">
                  <c:v>5064.6900000000005</c:v>
                </c:pt>
                <c:pt idx="315">
                  <c:v>10176.19</c:v>
                </c:pt>
                <c:pt idx="316">
                  <c:v>5176.5200000000013</c:v>
                </c:pt>
                <c:pt idx="317">
                  <c:v>8162.23</c:v>
                </c:pt>
                <c:pt idx="318">
                  <c:v>8024.7899999999991</c:v>
                </c:pt>
                <c:pt idx="319">
                  <c:v>9231.08</c:v>
                </c:pt>
                <c:pt idx="320">
                  <c:v>5345.7099999999991</c:v>
                </c:pt>
                <c:pt idx="321">
                  <c:v>10904.54</c:v>
                </c:pt>
                <c:pt idx="322">
                  <c:v>7493.9600000000009</c:v>
                </c:pt>
                <c:pt idx="323">
                  <c:v>8730.9900000000016</c:v>
                </c:pt>
                <c:pt idx="324">
                  <c:v>7426.7100000000009</c:v>
                </c:pt>
                <c:pt idx="325">
                  <c:v>8222.3100000000013</c:v>
                </c:pt>
                <c:pt idx="326">
                  <c:v>7787.7099999999982</c:v>
                </c:pt>
                <c:pt idx="327">
                  <c:v>7062.3600000000015</c:v>
                </c:pt>
                <c:pt idx="328">
                  <c:v>6627.3499999999995</c:v>
                </c:pt>
                <c:pt idx="329">
                  <c:v>8039.37</c:v>
                </c:pt>
                <c:pt idx="330">
                  <c:v>6780.0600000000013</c:v>
                </c:pt>
                <c:pt idx="331">
                  <c:v>7651.6600000000008</c:v>
                </c:pt>
                <c:pt idx="332">
                  <c:v>9055.9500000000007</c:v>
                </c:pt>
                <c:pt idx="333">
                  <c:v>7951.4599999999991</c:v>
                </c:pt>
                <c:pt idx="334">
                  <c:v>7162.56</c:v>
                </c:pt>
                <c:pt idx="335">
                  <c:v>6374.96</c:v>
                </c:pt>
                <c:pt idx="336">
                  <c:v>8852.9000000000015</c:v>
                </c:pt>
                <c:pt idx="337">
                  <c:v>5801.6699999999992</c:v>
                </c:pt>
                <c:pt idx="338">
                  <c:v>5844.02</c:v>
                </c:pt>
                <c:pt idx="339">
                  <c:v>7701.0700000000006</c:v>
                </c:pt>
                <c:pt idx="340">
                  <c:v>10259.86</c:v>
                </c:pt>
                <c:pt idx="341">
                  <c:v>6922.7500000000009</c:v>
                </c:pt>
                <c:pt idx="342">
                  <c:v>7421.2799999999988</c:v>
                </c:pt>
                <c:pt idx="343">
                  <c:v>8498.66</c:v>
                </c:pt>
                <c:pt idx="344">
                  <c:v>7111.0999999999985</c:v>
                </c:pt>
                <c:pt idx="345">
                  <c:v>6681.2599999999993</c:v>
                </c:pt>
                <c:pt idx="346">
                  <c:v>10172.340000000002</c:v>
                </c:pt>
                <c:pt idx="347">
                  <c:v>8142.5500000000011</c:v>
                </c:pt>
                <c:pt idx="348">
                  <c:v>7038.0200000000013</c:v>
                </c:pt>
                <c:pt idx="349">
                  <c:v>9791.77</c:v>
                </c:pt>
                <c:pt idx="350">
                  <c:v>8173.8399999999992</c:v>
                </c:pt>
                <c:pt idx="351">
                  <c:v>5604.4299999999994</c:v>
                </c:pt>
                <c:pt idx="352">
                  <c:v>9059.33</c:v>
                </c:pt>
                <c:pt idx="353">
                  <c:v>7148.4100000000008</c:v>
                </c:pt>
                <c:pt idx="354">
                  <c:v>8841.57</c:v>
                </c:pt>
                <c:pt idx="355">
                  <c:v>9178</c:v>
                </c:pt>
                <c:pt idx="356">
                  <c:v>9481.0200000000023</c:v>
                </c:pt>
                <c:pt idx="357">
                  <c:v>8826.7800000000007</c:v>
                </c:pt>
                <c:pt idx="358">
                  <c:v>9272.68</c:v>
                </c:pt>
                <c:pt idx="359">
                  <c:v>7405.91</c:v>
                </c:pt>
                <c:pt idx="360">
                  <c:v>5318.4599999999991</c:v>
                </c:pt>
                <c:pt idx="361">
                  <c:v>8308.4500000000007</c:v>
                </c:pt>
                <c:pt idx="362">
                  <c:v>8820.18</c:v>
                </c:pt>
                <c:pt idx="363">
                  <c:v>8959.77</c:v>
                </c:pt>
                <c:pt idx="364">
                  <c:v>7192.65</c:v>
                </c:pt>
                <c:pt idx="365">
                  <c:v>8828.0400000000009</c:v>
                </c:pt>
                <c:pt idx="366">
                  <c:v>8875.6699999999983</c:v>
                </c:pt>
                <c:pt idx="367">
                  <c:v>6381.72</c:v>
                </c:pt>
                <c:pt idx="368">
                  <c:v>10062.67</c:v>
                </c:pt>
                <c:pt idx="369">
                  <c:v>6508.2199999999993</c:v>
                </c:pt>
                <c:pt idx="370">
                  <c:v>8708.9700000000012</c:v>
                </c:pt>
                <c:pt idx="371">
                  <c:v>6636.4999999999991</c:v>
                </c:pt>
                <c:pt idx="372">
                  <c:v>10081.93</c:v>
                </c:pt>
                <c:pt idx="373">
                  <c:v>8016.9400000000023</c:v>
                </c:pt>
                <c:pt idx="374">
                  <c:v>4563.1499999999996</c:v>
                </c:pt>
                <c:pt idx="375">
                  <c:v>6946.5499999999984</c:v>
                </c:pt>
                <c:pt idx="376">
                  <c:v>7884.7000000000007</c:v>
                </c:pt>
                <c:pt idx="377">
                  <c:v>9172.4499999999989</c:v>
                </c:pt>
                <c:pt idx="378">
                  <c:v>8719.31</c:v>
                </c:pt>
                <c:pt idx="379">
                  <c:v>8010.71</c:v>
                </c:pt>
                <c:pt idx="380">
                  <c:v>6823.6300000000019</c:v>
                </c:pt>
                <c:pt idx="381">
                  <c:v>6731.880000000001</c:v>
                </c:pt>
                <c:pt idx="382">
                  <c:v>7773.23</c:v>
                </c:pt>
                <c:pt idx="383">
                  <c:v>6718.0999999999995</c:v>
                </c:pt>
                <c:pt idx="384">
                  <c:v>7647.4100000000008</c:v>
                </c:pt>
                <c:pt idx="385">
                  <c:v>9299.1200000000008</c:v>
                </c:pt>
                <c:pt idx="386">
                  <c:v>7394.8700000000008</c:v>
                </c:pt>
                <c:pt idx="387">
                  <c:v>7521.7899999999991</c:v>
                </c:pt>
                <c:pt idx="388">
                  <c:v>7636.1699999999992</c:v>
                </c:pt>
                <c:pt idx="389">
                  <c:v>8885.0700000000015</c:v>
                </c:pt>
                <c:pt idx="390">
                  <c:v>8666.7099999999991</c:v>
                </c:pt>
                <c:pt idx="391">
                  <c:v>7132.9500000000007</c:v>
                </c:pt>
                <c:pt idx="392">
                  <c:v>7115.2599999999993</c:v>
                </c:pt>
                <c:pt idx="393">
                  <c:v>8025.54</c:v>
                </c:pt>
                <c:pt idx="394">
                  <c:v>6418.58</c:v>
                </c:pt>
                <c:pt idx="395">
                  <c:v>7075.1500000000005</c:v>
                </c:pt>
                <c:pt idx="396">
                  <c:v>8251.2199999999993</c:v>
                </c:pt>
                <c:pt idx="397">
                  <c:v>7701.3900000000012</c:v>
                </c:pt>
                <c:pt idx="398">
                  <c:v>6261.47</c:v>
                </c:pt>
                <c:pt idx="399">
                  <c:v>4116.1900000000005</c:v>
                </c:pt>
                <c:pt idx="400">
                  <c:v>7229.07</c:v>
                </c:pt>
                <c:pt idx="401">
                  <c:v>8908.1899999999987</c:v>
                </c:pt>
                <c:pt idx="402">
                  <c:v>6950.31</c:v>
                </c:pt>
                <c:pt idx="403">
                  <c:v>6628.920000000001</c:v>
                </c:pt>
                <c:pt idx="404">
                  <c:v>7488.58</c:v>
                </c:pt>
                <c:pt idx="405">
                  <c:v>8311.51</c:v>
                </c:pt>
                <c:pt idx="406">
                  <c:v>7985.26</c:v>
                </c:pt>
                <c:pt idx="407">
                  <c:v>8672.26</c:v>
                </c:pt>
                <c:pt idx="408">
                  <c:v>7441.4699999999984</c:v>
                </c:pt>
                <c:pt idx="409">
                  <c:v>6602.0899999999983</c:v>
                </c:pt>
                <c:pt idx="410">
                  <c:v>8156.4000000000015</c:v>
                </c:pt>
                <c:pt idx="411">
                  <c:v>9043.0400000000027</c:v>
                </c:pt>
                <c:pt idx="412">
                  <c:v>7791.6600000000008</c:v>
                </c:pt>
                <c:pt idx="413">
                  <c:v>8384.2300000000014</c:v>
                </c:pt>
                <c:pt idx="414">
                  <c:v>5355.3400000000011</c:v>
                </c:pt>
                <c:pt idx="415">
                  <c:v>8401.48</c:v>
                </c:pt>
                <c:pt idx="416">
                  <c:v>5785.3500000000022</c:v>
                </c:pt>
                <c:pt idx="417">
                  <c:v>7102.3400000000011</c:v>
                </c:pt>
                <c:pt idx="418">
                  <c:v>9028.4000000000015</c:v>
                </c:pt>
                <c:pt idx="419">
                  <c:v>6697.8200000000006</c:v>
                </c:pt>
                <c:pt idx="420">
                  <c:v>7759.68</c:v>
                </c:pt>
                <c:pt idx="421">
                  <c:v>6846.3700000000008</c:v>
                </c:pt>
                <c:pt idx="422">
                  <c:v>9349.69</c:v>
                </c:pt>
                <c:pt idx="423">
                  <c:v>8300.5000000000018</c:v>
                </c:pt>
                <c:pt idx="424">
                  <c:v>6175.9700000000012</c:v>
                </c:pt>
                <c:pt idx="425">
                  <c:v>6370.3499999999985</c:v>
                </c:pt>
                <c:pt idx="426">
                  <c:v>11590.54</c:v>
                </c:pt>
                <c:pt idx="427">
                  <c:v>8098.07</c:v>
                </c:pt>
                <c:pt idx="428">
                  <c:v>7205.1799999999994</c:v>
                </c:pt>
                <c:pt idx="429">
                  <c:v>6996.1899999999987</c:v>
                </c:pt>
                <c:pt idx="430">
                  <c:v>9934.5800000000036</c:v>
                </c:pt>
                <c:pt idx="431">
                  <c:v>10504.839999999998</c:v>
                </c:pt>
                <c:pt idx="432">
                  <c:v>8135.52</c:v>
                </c:pt>
                <c:pt idx="433">
                  <c:v>6985.6900000000005</c:v>
                </c:pt>
                <c:pt idx="434">
                  <c:v>9566.92</c:v>
                </c:pt>
                <c:pt idx="435">
                  <c:v>8666.2200000000012</c:v>
                </c:pt>
                <c:pt idx="436">
                  <c:v>7326.4600000000009</c:v>
                </c:pt>
                <c:pt idx="437">
                  <c:v>6801.4499999999989</c:v>
                </c:pt>
                <c:pt idx="438">
                  <c:v>6030.2099999999991</c:v>
                </c:pt>
                <c:pt idx="439">
                  <c:v>9336.5700000000015</c:v>
                </c:pt>
                <c:pt idx="440">
                  <c:v>7594.1799999999994</c:v>
                </c:pt>
                <c:pt idx="441">
                  <c:v>7603.3199999999988</c:v>
                </c:pt>
                <c:pt idx="442">
                  <c:v>7325.5999999999985</c:v>
                </c:pt>
                <c:pt idx="443">
                  <c:v>10316.170000000002</c:v>
                </c:pt>
                <c:pt idx="444">
                  <c:v>6380.2</c:v>
                </c:pt>
                <c:pt idx="445">
                  <c:v>8444.36</c:v>
                </c:pt>
                <c:pt idx="446">
                  <c:v>9655.119999999999</c:v>
                </c:pt>
                <c:pt idx="447">
                  <c:v>6374.4599999999991</c:v>
                </c:pt>
                <c:pt idx="448">
                  <c:v>4825.8900000000003</c:v>
                </c:pt>
                <c:pt idx="449">
                  <c:v>7753.65</c:v>
                </c:pt>
                <c:pt idx="450">
                  <c:v>6848.7500000000009</c:v>
                </c:pt>
                <c:pt idx="451">
                  <c:v>9309.4700000000012</c:v>
                </c:pt>
                <c:pt idx="452">
                  <c:v>8173.93</c:v>
                </c:pt>
                <c:pt idx="453">
                  <c:v>10315.27</c:v>
                </c:pt>
                <c:pt idx="454">
                  <c:v>7898.19</c:v>
                </c:pt>
                <c:pt idx="455">
                  <c:v>8907.2300000000014</c:v>
                </c:pt>
                <c:pt idx="456">
                  <c:v>6937.2500000000009</c:v>
                </c:pt>
                <c:pt idx="457">
                  <c:v>11677.689999999999</c:v>
                </c:pt>
                <c:pt idx="458">
                  <c:v>10025.040000000001</c:v>
                </c:pt>
                <c:pt idx="459">
                  <c:v>6230.3499999999985</c:v>
                </c:pt>
                <c:pt idx="460">
                  <c:v>8785.9199999999983</c:v>
                </c:pt>
                <c:pt idx="461">
                  <c:v>7955.9400000000014</c:v>
                </c:pt>
                <c:pt idx="462">
                  <c:v>8559.1299999999992</c:v>
                </c:pt>
                <c:pt idx="463">
                  <c:v>7655.7100000000019</c:v>
                </c:pt>
                <c:pt idx="464">
                  <c:v>9445.94</c:v>
                </c:pt>
                <c:pt idx="465">
                  <c:v>8364.6</c:v>
                </c:pt>
                <c:pt idx="466">
                  <c:v>8567.0299999999988</c:v>
                </c:pt>
                <c:pt idx="467">
                  <c:v>7898.7499999999991</c:v>
                </c:pt>
                <c:pt idx="468">
                  <c:v>6170.22</c:v>
                </c:pt>
                <c:pt idx="469">
                  <c:v>8540.2200000000012</c:v>
                </c:pt>
                <c:pt idx="470">
                  <c:v>7876.6</c:v>
                </c:pt>
                <c:pt idx="471">
                  <c:v>8049.7300000000023</c:v>
                </c:pt>
                <c:pt idx="472">
                  <c:v>6210.9</c:v>
                </c:pt>
                <c:pt idx="473">
                  <c:v>8778.6700000000019</c:v>
                </c:pt>
                <c:pt idx="474">
                  <c:v>7290.75</c:v>
                </c:pt>
                <c:pt idx="475">
                  <c:v>7155.35</c:v>
                </c:pt>
                <c:pt idx="476">
                  <c:v>7994.3899999999994</c:v>
                </c:pt>
                <c:pt idx="477">
                  <c:v>9489.7799999999988</c:v>
                </c:pt>
                <c:pt idx="478">
                  <c:v>6147.4900000000007</c:v>
                </c:pt>
                <c:pt idx="479">
                  <c:v>7585.4599999999991</c:v>
                </c:pt>
                <c:pt idx="480">
                  <c:v>6121.2700000000023</c:v>
                </c:pt>
                <c:pt idx="481">
                  <c:v>9733.31</c:v>
                </c:pt>
                <c:pt idx="482">
                  <c:v>6787.8999999999987</c:v>
                </c:pt>
                <c:pt idx="483">
                  <c:v>11634.36</c:v>
                </c:pt>
                <c:pt idx="484">
                  <c:v>7122.0699999999988</c:v>
                </c:pt>
                <c:pt idx="485">
                  <c:v>7022.86</c:v>
                </c:pt>
                <c:pt idx="486">
                  <c:v>7884.6800000000012</c:v>
                </c:pt>
                <c:pt idx="487">
                  <c:v>8238.5600000000013</c:v>
                </c:pt>
                <c:pt idx="488">
                  <c:v>6629.1100000000006</c:v>
                </c:pt>
                <c:pt idx="489">
                  <c:v>7693.8500000000022</c:v>
                </c:pt>
                <c:pt idx="490">
                  <c:v>7836.86</c:v>
                </c:pt>
                <c:pt idx="491">
                  <c:v>6063.300000000002</c:v>
                </c:pt>
                <c:pt idx="492">
                  <c:v>9119.0499999999993</c:v>
                </c:pt>
                <c:pt idx="493">
                  <c:v>8084.9400000000023</c:v>
                </c:pt>
                <c:pt idx="494">
                  <c:v>5622.7000000000007</c:v>
                </c:pt>
                <c:pt idx="495">
                  <c:v>6515.1799999999976</c:v>
                </c:pt>
                <c:pt idx="496">
                  <c:v>5158.6299999999983</c:v>
                </c:pt>
                <c:pt idx="497">
                  <c:v>9828.1</c:v>
                </c:pt>
                <c:pt idx="498">
                  <c:v>8397.4600000000009</c:v>
                </c:pt>
                <c:pt idx="499">
                  <c:v>8447.18</c:v>
                </c:pt>
                <c:pt idx="500">
                  <c:v>8191.45</c:v>
                </c:pt>
                <c:pt idx="501">
                  <c:v>7144.22</c:v>
                </c:pt>
                <c:pt idx="502">
                  <c:v>6295.1900000000023</c:v>
                </c:pt>
                <c:pt idx="503">
                  <c:v>7776.4499999999989</c:v>
                </c:pt>
                <c:pt idx="504">
                  <c:v>7495.75</c:v>
                </c:pt>
                <c:pt idx="505">
                  <c:v>6432.1899999999987</c:v>
                </c:pt>
                <c:pt idx="506">
                  <c:v>5600.2799999999988</c:v>
                </c:pt>
                <c:pt idx="507">
                  <c:v>8237.4600000000009</c:v>
                </c:pt>
                <c:pt idx="508">
                  <c:v>6283.0899999999992</c:v>
                </c:pt>
                <c:pt idx="509">
                  <c:v>6779.4400000000005</c:v>
                </c:pt>
                <c:pt idx="510">
                  <c:v>6003.630000000001</c:v>
                </c:pt>
                <c:pt idx="511">
                  <c:v>4575.3000000000011</c:v>
                </c:pt>
                <c:pt idx="512">
                  <c:v>6893.08</c:v>
                </c:pt>
                <c:pt idx="513">
                  <c:v>9439.41</c:v>
                </c:pt>
                <c:pt idx="514">
                  <c:v>7544.84</c:v>
                </c:pt>
                <c:pt idx="515">
                  <c:v>7386.4499999999989</c:v>
                </c:pt>
                <c:pt idx="516">
                  <c:v>7259.44</c:v>
                </c:pt>
                <c:pt idx="517">
                  <c:v>8450.8700000000008</c:v>
                </c:pt>
                <c:pt idx="518">
                  <c:v>8961.9000000000015</c:v>
                </c:pt>
                <c:pt idx="519">
                  <c:v>6439.03</c:v>
                </c:pt>
                <c:pt idx="520">
                  <c:v>10292.809999999998</c:v>
                </c:pt>
                <c:pt idx="521">
                  <c:v>8078.7199999999993</c:v>
                </c:pt>
                <c:pt idx="522">
                  <c:v>9381.07</c:v>
                </c:pt>
                <c:pt idx="523">
                  <c:v>5592.829999999999</c:v>
                </c:pt>
                <c:pt idx="524">
                  <c:v>6766.5700000000015</c:v>
                </c:pt>
                <c:pt idx="525">
                  <c:v>8221.07</c:v>
                </c:pt>
                <c:pt idx="526">
                  <c:v>8204.5299999999988</c:v>
                </c:pt>
                <c:pt idx="527">
                  <c:v>6982.6400000000012</c:v>
                </c:pt>
                <c:pt idx="528">
                  <c:v>7219.0700000000015</c:v>
                </c:pt>
                <c:pt idx="529">
                  <c:v>7989.3600000000006</c:v>
                </c:pt>
                <c:pt idx="530">
                  <c:v>6654.0300000000016</c:v>
                </c:pt>
                <c:pt idx="531">
                  <c:v>6568.9600000000009</c:v>
                </c:pt>
                <c:pt idx="532">
                  <c:v>6291.869999999999</c:v>
                </c:pt>
                <c:pt idx="533">
                  <c:v>7932.619999999999</c:v>
                </c:pt>
                <c:pt idx="534">
                  <c:v>5994.95</c:v>
                </c:pt>
                <c:pt idx="535">
                  <c:v>9140.92</c:v>
                </c:pt>
                <c:pt idx="536">
                  <c:v>7414.8400000000011</c:v>
                </c:pt>
                <c:pt idx="537">
                  <c:v>8870.3000000000011</c:v>
                </c:pt>
                <c:pt idx="538">
                  <c:v>8365.0600000000013</c:v>
                </c:pt>
                <c:pt idx="539">
                  <c:v>7891.3499999999985</c:v>
                </c:pt>
                <c:pt idx="540">
                  <c:v>6712.1100000000006</c:v>
                </c:pt>
                <c:pt idx="541">
                  <c:v>5794.84</c:v>
                </c:pt>
                <c:pt idx="542">
                  <c:v>8938.0400000000009</c:v>
                </c:pt>
                <c:pt idx="543">
                  <c:v>9333.5</c:v>
                </c:pt>
                <c:pt idx="544">
                  <c:v>8034.77</c:v>
                </c:pt>
                <c:pt idx="545">
                  <c:v>6488.5400000000009</c:v>
                </c:pt>
                <c:pt idx="546">
                  <c:v>8775.41</c:v>
                </c:pt>
                <c:pt idx="547">
                  <c:v>8265.1299999999974</c:v>
                </c:pt>
                <c:pt idx="548">
                  <c:v>6594.5100000000011</c:v>
                </c:pt>
                <c:pt idx="549">
                  <c:v>10137.39</c:v>
                </c:pt>
                <c:pt idx="550">
                  <c:v>8531.2599999999984</c:v>
                </c:pt>
                <c:pt idx="551">
                  <c:v>6992.2399999999989</c:v>
                </c:pt>
                <c:pt idx="552">
                  <c:v>8508.6799999999967</c:v>
                </c:pt>
                <c:pt idx="553">
                  <c:v>8681.0700000000015</c:v>
                </c:pt>
                <c:pt idx="554">
                  <c:v>6301.800000000002</c:v>
                </c:pt>
                <c:pt idx="555">
                  <c:v>6377.6300000000019</c:v>
                </c:pt>
                <c:pt idx="556">
                  <c:v>8886.3900000000012</c:v>
                </c:pt>
                <c:pt idx="557">
                  <c:v>8385.4600000000009</c:v>
                </c:pt>
                <c:pt idx="558">
                  <c:v>7570.4</c:v>
                </c:pt>
                <c:pt idx="559">
                  <c:v>7092.59</c:v>
                </c:pt>
                <c:pt idx="560">
                  <c:v>7973.1699999999992</c:v>
                </c:pt>
                <c:pt idx="561">
                  <c:v>6523.01</c:v>
                </c:pt>
                <c:pt idx="562">
                  <c:v>9136.76</c:v>
                </c:pt>
                <c:pt idx="563">
                  <c:v>8731.73</c:v>
                </c:pt>
                <c:pt idx="564">
                  <c:v>7228.1100000000006</c:v>
                </c:pt>
                <c:pt idx="565">
                  <c:v>8976.7400000000016</c:v>
                </c:pt>
                <c:pt idx="566">
                  <c:v>7469.7300000000005</c:v>
                </c:pt>
                <c:pt idx="567">
                  <c:v>6904.2900000000018</c:v>
                </c:pt>
                <c:pt idx="568">
                  <c:v>10182.92</c:v>
                </c:pt>
                <c:pt idx="569">
                  <c:v>10630.66</c:v>
                </c:pt>
                <c:pt idx="570">
                  <c:v>10921.76</c:v>
                </c:pt>
                <c:pt idx="571">
                  <c:v>11112.58</c:v>
                </c:pt>
                <c:pt idx="572">
                  <c:v>6621.79</c:v>
                </c:pt>
                <c:pt idx="573">
                  <c:v>6834.380000000001</c:v>
                </c:pt>
                <c:pt idx="574">
                  <c:v>6494.5699999999988</c:v>
                </c:pt>
                <c:pt idx="575">
                  <c:v>7686.6699999999983</c:v>
                </c:pt>
                <c:pt idx="576">
                  <c:v>8875.369999999999</c:v>
                </c:pt>
                <c:pt idx="577">
                  <c:v>8873.89</c:v>
                </c:pt>
                <c:pt idx="578">
                  <c:v>9461.3000000000011</c:v>
                </c:pt>
                <c:pt idx="579">
                  <c:v>7181.55</c:v>
                </c:pt>
                <c:pt idx="580">
                  <c:v>6821.42</c:v>
                </c:pt>
                <c:pt idx="581">
                  <c:v>5482.54</c:v>
                </c:pt>
                <c:pt idx="582">
                  <c:v>6475.5499999999993</c:v>
                </c:pt>
                <c:pt idx="583">
                  <c:v>7177.6500000000015</c:v>
                </c:pt>
                <c:pt idx="584">
                  <c:v>9466.49</c:v>
                </c:pt>
                <c:pt idx="585">
                  <c:v>7696.1500000000005</c:v>
                </c:pt>
                <c:pt idx="586">
                  <c:v>6919.1699999999992</c:v>
                </c:pt>
                <c:pt idx="587">
                  <c:v>8518.9800000000014</c:v>
                </c:pt>
                <c:pt idx="588">
                  <c:v>7303.3400000000011</c:v>
                </c:pt>
                <c:pt idx="589">
                  <c:v>9028.09</c:v>
                </c:pt>
                <c:pt idx="590">
                  <c:v>12585.6</c:v>
                </c:pt>
                <c:pt idx="591">
                  <c:v>5138.17</c:v>
                </c:pt>
                <c:pt idx="592">
                  <c:v>5327.74</c:v>
                </c:pt>
                <c:pt idx="593">
                  <c:v>6970.9500000000016</c:v>
                </c:pt>
                <c:pt idx="594">
                  <c:v>7100.23</c:v>
                </c:pt>
                <c:pt idx="595">
                  <c:v>8980.5500000000011</c:v>
                </c:pt>
                <c:pt idx="596">
                  <c:v>8885.1100000000024</c:v>
                </c:pt>
                <c:pt idx="597">
                  <c:v>11054.890000000001</c:v>
                </c:pt>
                <c:pt idx="598">
                  <c:v>11266.490000000002</c:v>
                </c:pt>
                <c:pt idx="599">
                  <c:v>11718.11</c:v>
                </c:pt>
                <c:pt idx="600">
                  <c:v>6616.4300000000012</c:v>
                </c:pt>
                <c:pt idx="601">
                  <c:v>8230.9399999999987</c:v>
                </c:pt>
                <c:pt idx="602">
                  <c:v>7635.35</c:v>
                </c:pt>
                <c:pt idx="603">
                  <c:v>6592</c:v>
                </c:pt>
                <c:pt idx="604">
                  <c:v>7156.1900000000005</c:v>
                </c:pt>
                <c:pt idx="605">
                  <c:v>7782.2899999999991</c:v>
                </c:pt>
                <c:pt idx="606">
                  <c:v>6367.5499999999993</c:v>
                </c:pt>
                <c:pt idx="607">
                  <c:v>6079.0900000000011</c:v>
                </c:pt>
                <c:pt idx="608">
                  <c:v>6066.91</c:v>
                </c:pt>
                <c:pt idx="609">
                  <c:v>6971.3799999999992</c:v>
                </c:pt>
                <c:pt idx="610">
                  <c:v>8897.64</c:v>
                </c:pt>
                <c:pt idx="611">
                  <c:v>8519.15</c:v>
                </c:pt>
                <c:pt idx="612">
                  <c:v>9981.8600000000024</c:v>
                </c:pt>
                <c:pt idx="613">
                  <c:v>13814.300000000001</c:v>
                </c:pt>
                <c:pt idx="614">
                  <c:v>7547.1100000000006</c:v>
                </c:pt>
                <c:pt idx="615">
                  <c:v>7956.91</c:v>
                </c:pt>
                <c:pt idx="616">
                  <c:v>6566.0800000000008</c:v>
                </c:pt>
                <c:pt idx="617">
                  <c:v>8313.67</c:v>
                </c:pt>
                <c:pt idx="618">
                  <c:v>9339.4</c:v>
                </c:pt>
                <c:pt idx="619">
                  <c:v>10518.92</c:v>
                </c:pt>
                <c:pt idx="620">
                  <c:v>11411.96</c:v>
                </c:pt>
                <c:pt idx="621">
                  <c:v>6890.18</c:v>
                </c:pt>
                <c:pt idx="622">
                  <c:v>9895.23</c:v>
                </c:pt>
                <c:pt idx="623">
                  <c:v>11147.330000000002</c:v>
                </c:pt>
                <c:pt idx="624">
                  <c:v>8462.9500000000007</c:v>
                </c:pt>
                <c:pt idx="625">
                  <c:v>11928.710000000001</c:v>
                </c:pt>
                <c:pt idx="626">
                  <c:v>9782.9399999999987</c:v>
                </c:pt>
                <c:pt idx="627">
                  <c:v>10777.44</c:v>
                </c:pt>
                <c:pt idx="628">
                  <c:v>9235.82</c:v>
                </c:pt>
                <c:pt idx="629">
                  <c:v>10018.81</c:v>
                </c:pt>
                <c:pt idx="630">
                  <c:v>7766.8600000000006</c:v>
                </c:pt>
                <c:pt idx="631">
                  <c:v>10317.869999999999</c:v>
                </c:pt>
                <c:pt idx="632">
                  <c:v>8821.8599999999988</c:v>
                </c:pt>
                <c:pt idx="633">
                  <c:v>5716.03</c:v>
                </c:pt>
                <c:pt idx="634">
                  <c:v>6229.0599999999986</c:v>
                </c:pt>
                <c:pt idx="635">
                  <c:v>9264.5700000000015</c:v>
                </c:pt>
                <c:pt idx="636">
                  <c:v>9602.3200000000015</c:v>
                </c:pt>
                <c:pt idx="637">
                  <c:v>9941.18</c:v>
                </c:pt>
                <c:pt idx="638">
                  <c:v>7881.7099999999991</c:v>
                </c:pt>
                <c:pt idx="639">
                  <c:v>7591.1800000000021</c:v>
                </c:pt>
                <c:pt idx="640">
                  <c:v>8221.91</c:v>
                </c:pt>
                <c:pt idx="641">
                  <c:v>12564.07</c:v>
                </c:pt>
                <c:pt idx="642">
                  <c:v>9209.98</c:v>
                </c:pt>
                <c:pt idx="643">
                  <c:v>8234.8299999999981</c:v>
                </c:pt>
                <c:pt idx="644">
                  <c:v>9125.1400000000012</c:v>
                </c:pt>
                <c:pt idx="645">
                  <c:v>11667.35</c:v>
                </c:pt>
                <c:pt idx="646">
                  <c:v>11561.719999999998</c:v>
                </c:pt>
                <c:pt idx="647">
                  <c:v>8956.3700000000008</c:v>
                </c:pt>
                <c:pt idx="648">
                  <c:v>7267.3799999999992</c:v>
                </c:pt>
                <c:pt idx="649">
                  <c:v>6293.4399999999987</c:v>
                </c:pt>
                <c:pt idx="650">
                  <c:v>8244.49</c:v>
                </c:pt>
                <c:pt idx="651">
                  <c:v>8231.26</c:v>
                </c:pt>
                <c:pt idx="652">
                  <c:v>9585.6500000000015</c:v>
                </c:pt>
                <c:pt idx="653">
                  <c:v>9403.630000000001</c:v>
                </c:pt>
                <c:pt idx="654">
                  <c:v>6072.5200000000013</c:v>
                </c:pt>
                <c:pt idx="655">
                  <c:v>7542.7900000000009</c:v>
                </c:pt>
                <c:pt idx="656">
                  <c:v>6939.8600000000015</c:v>
                </c:pt>
                <c:pt idx="657">
                  <c:v>8657.84</c:v>
                </c:pt>
                <c:pt idx="658">
                  <c:v>7815.79</c:v>
                </c:pt>
                <c:pt idx="659">
                  <c:v>13921.43</c:v>
                </c:pt>
                <c:pt idx="660">
                  <c:v>9970.7000000000007</c:v>
                </c:pt>
                <c:pt idx="661">
                  <c:v>6709.8499999999995</c:v>
                </c:pt>
                <c:pt idx="662">
                  <c:v>7539.29</c:v>
                </c:pt>
                <c:pt idx="663">
                  <c:v>9611.85</c:v>
                </c:pt>
                <c:pt idx="664">
                  <c:v>5309.81</c:v>
                </c:pt>
                <c:pt idx="665">
                  <c:v>8969.4300000000021</c:v>
                </c:pt>
                <c:pt idx="666">
                  <c:v>11048.19</c:v>
                </c:pt>
                <c:pt idx="667">
                  <c:v>6911.28</c:v>
                </c:pt>
                <c:pt idx="668">
                  <c:v>8004.4100000000008</c:v>
                </c:pt>
                <c:pt idx="669">
                  <c:v>7756.8</c:v>
                </c:pt>
                <c:pt idx="670">
                  <c:v>7494.4900000000016</c:v>
                </c:pt>
                <c:pt idx="671">
                  <c:v>8740.2199999999993</c:v>
                </c:pt>
                <c:pt idx="672">
                  <c:v>8236.27</c:v>
                </c:pt>
                <c:pt idx="673">
                  <c:v>10383.010000000002</c:v>
                </c:pt>
                <c:pt idx="674">
                  <c:v>9826.880000000001</c:v>
                </c:pt>
                <c:pt idx="675">
                  <c:v>11551.280000000002</c:v>
                </c:pt>
                <c:pt idx="676">
                  <c:v>12147.43</c:v>
                </c:pt>
                <c:pt idx="677">
                  <c:v>9920.44</c:v>
                </c:pt>
                <c:pt idx="678">
                  <c:v>7189.7099999999991</c:v>
                </c:pt>
                <c:pt idx="679">
                  <c:v>10575.2</c:v>
                </c:pt>
                <c:pt idx="680">
                  <c:v>5657.1500000000015</c:v>
                </c:pt>
                <c:pt idx="681">
                  <c:v>12594.35</c:v>
                </c:pt>
                <c:pt idx="682">
                  <c:v>11084.280000000002</c:v>
                </c:pt>
                <c:pt idx="683">
                  <c:v>11626.98</c:v>
                </c:pt>
                <c:pt idx="684">
                  <c:v>8298.2899999999991</c:v>
                </c:pt>
                <c:pt idx="685">
                  <c:v>7744.2099999999991</c:v>
                </c:pt>
                <c:pt idx="686">
                  <c:v>8618.3100000000013</c:v>
                </c:pt>
                <c:pt idx="687">
                  <c:v>8128.55</c:v>
                </c:pt>
                <c:pt idx="688">
                  <c:v>6776.7899999999991</c:v>
                </c:pt>
                <c:pt idx="689">
                  <c:v>7917.7299999999987</c:v>
                </c:pt>
                <c:pt idx="690">
                  <c:v>9744.26</c:v>
                </c:pt>
                <c:pt idx="691">
                  <c:v>5049.4899999999989</c:v>
                </c:pt>
                <c:pt idx="692">
                  <c:v>14066.28</c:v>
                </c:pt>
                <c:pt idx="693">
                  <c:v>10088.470000000001</c:v>
                </c:pt>
                <c:pt idx="694">
                  <c:v>11737.6</c:v>
                </c:pt>
                <c:pt idx="695">
                  <c:v>8852.65</c:v>
                </c:pt>
                <c:pt idx="696">
                  <c:v>7875.35</c:v>
                </c:pt>
                <c:pt idx="697">
                  <c:v>13227.990000000002</c:v>
                </c:pt>
                <c:pt idx="698">
                  <c:v>9017.9200000000019</c:v>
                </c:pt>
                <c:pt idx="699">
                  <c:v>11354.310000000003</c:v>
                </c:pt>
                <c:pt idx="700">
                  <c:v>9325.64</c:v>
                </c:pt>
                <c:pt idx="701">
                  <c:v>9387.720000000003</c:v>
                </c:pt>
                <c:pt idx="702">
                  <c:v>10676.890000000001</c:v>
                </c:pt>
                <c:pt idx="703">
                  <c:v>5962.0300000000007</c:v>
                </c:pt>
                <c:pt idx="704">
                  <c:v>9427.73</c:v>
                </c:pt>
                <c:pt idx="705">
                  <c:v>5212.6000000000004</c:v>
                </c:pt>
                <c:pt idx="706">
                  <c:v>7562.3699999999981</c:v>
                </c:pt>
                <c:pt idx="707">
                  <c:v>12571.53</c:v>
                </c:pt>
                <c:pt idx="708">
                  <c:v>6212.9000000000005</c:v>
                </c:pt>
                <c:pt idx="709">
                  <c:v>8655.16</c:v>
                </c:pt>
                <c:pt idx="710">
                  <c:v>9358.2100000000009</c:v>
                </c:pt>
                <c:pt idx="711">
                  <c:v>13124.410000000002</c:v>
                </c:pt>
                <c:pt idx="712">
                  <c:v>12948.41</c:v>
                </c:pt>
                <c:pt idx="713">
                  <c:v>8483.2000000000007</c:v>
                </c:pt>
                <c:pt idx="714">
                  <c:v>13401.140000000001</c:v>
                </c:pt>
                <c:pt idx="715">
                  <c:v>8877.7199999999993</c:v>
                </c:pt>
                <c:pt idx="716">
                  <c:v>9801.5300000000007</c:v>
                </c:pt>
                <c:pt idx="717">
                  <c:v>10084.710000000001</c:v>
                </c:pt>
                <c:pt idx="718">
                  <c:v>11509.699999999999</c:v>
                </c:pt>
                <c:pt idx="719">
                  <c:v>12625.740000000002</c:v>
                </c:pt>
                <c:pt idx="720">
                  <c:v>7783.55</c:v>
                </c:pt>
                <c:pt idx="721">
                  <c:v>11165.99</c:v>
                </c:pt>
                <c:pt idx="722">
                  <c:v>10142.74</c:v>
                </c:pt>
                <c:pt idx="723">
                  <c:v>12548.830000000002</c:v>
                </c:pt>
                <c:pt idx="724">
                  <c:v>11037.470000000001</c:v>
                </c:pt>
                <c:pt idx="725">
                  <c:v>11633.060000000001</c:v>
                </c:pt>
                <c:pt idx="726">
                  <c:v>6647.33</c:v>
                </c:pt>
                <c:pt idx="727">
                  <c:v>6924.47</c:v>
                </c:pt>
                <c:pt idx="728">
                  <c:v>6502.2599999999993</c:v>
                </c:pt>
                <c:pt idx="729">
                  <c:v>11410.210000000001</c:v>
                </c:pt>
                <c:pt idx="730">
                  <c:v>9499.1100000000024</c:v>
                </c:pt>
                <c:pt idx="731">
                  <c:v>7523.1600000000008</c:v>
                </c:pt>
                <c:pt idx="732">
                  <c:v>5777.9499999999989</c:v>
                </c:pt>
                <c:pt idx="733">
                  <c:v>9144.2700000000023</c:v>
                </c:pt>
                <c:pt idx="734">
                  <c:v>10157.010000000002</c:v>
                </c:pt>
                <c:pt idx="735">
                  <c:v>11398.610000000002</c:v>
                </c:pt>
                <c:pt idx="736">
                  <c:v>13217.960000000003</c:v>
                </c:pt>
                <c:pt idx="737">
                  <c:v>8460.630000000001</c:v>
                </c:pt>
                <c:pt idx="738">
                  <c:v>9216.869999999999</c:v>
                </c:pt>
                <c:pt idx="739">
                  <c:v>10348.970000000001</c:v>
                </c:pt>
                <c:pt idx="740">
                  <c:v>9905.19</c:v>
                </c:pt>
                <c:pt idx="741">
                  <c:v>8795.59</c:v>
                </c:pt>
                <c:pt idx="742">
                  <c:v>11217.230000000001</c:v>
                </c:pt>
                <c:pt idx="743">
                  <c:v>10135.200000000001</c:v>
                </c:pt>
                <c:pt idx="744">
                  <c:v>8800.44</c:v>
                </c:pt>
                <c:pt idx="745">
                  <c:v>4781.4400000000014</c:v>
                </c:pt>
                <c:pt idx="746">
                  <c:v>8098.8400000000011</c:v>
                </c:pt>
                <c:pt idx="747">
                  <c:v>8891.7800000000007</c:v>
                </c:pt>
                <c:pt idx="748">
                  <c:v>9587.8900000000012</c:v>
                </c:pt>
                <c:pt idx="749">
                  <c:v>10547.27</c:v>
                </c:pt>
                <c:pt idx="750">
                  <c:v>7797.1399999999994</c:v>
                </c:pt>
                <c:pt idx="751">
                  <c:v>6719.44</c:v>
                </c:pt>
                <c:pt idx="752">
                  <c:v>8481.2699999999986</c:v>
                </c:pt>
                <c:pt idx="753">
                  <c:v>7824.4299999999994</c:v>
                </c:pt>
                <c:pt idx="754">
                  <c:v>5829.7400000000007</c:v>
                </c:pt>
                <c:pt idx="755">
                  <c:v>9372.5500000000011</c:v>
                </c:pt>
                <c:pt idx="756">
                  <c:v>15533.250000000002</c:v>
                </c:pt>
                <c:pt idx="757">
                  <c:v>6188.5999999999985</c:v>
                </c:pt>
                <c:pt idx="758">
                  <c:v>6330.369999999999</c:v>
                </c:pt>
                <c:pt idx="759">
                  <c:v>12644.110000000002</c:v>
                </c:pt>
                <c:pt idx="760">
                  <c:v>13331.320000000002</c:v>
                </c:pt>
                <c:pt idx="761">
                  <c:v>10849.710000000001</c:v>
                </c:pt>
                <c:pt idx="762">
                  <c:v>9013.5800000000017</c:v>
                </c:pt>
                <c:pt idx="763">
                  <c:v>6034.7899999999991</c:v>
                </c:pt>
                <c:pt idx="764">
                  <c:v>11231.620000000003</c:v>
                </c:pt>
                <c:pt idx="765">
                  <c:v>10223.850000000002</c:v>
                </c:pt>
                <c:pt idx="766">
                  <c:v>9132.0400000000027</c:v>
                </c:pt>
                <c:pt idx="767">
                  <c:v>7162.37</c:v>
                </c:pt>
                <c:pt idx="768">
                  <c:v>6198.8</c:v>
                </c:pt>
                <c:pt idx="769">
                  <c:v>6791.8400000000011</c:v>
                </c:pt>
                <c:pt idx="770">
                  <c:v>8966.2900000000009</c:v>
                </c:pt>
                <c:pt idx="771">
                  <c:v>8985.9100000000017</c:v>
                </c:pt>
                <c:pt idx="772">
                  <c:v>9512.07</c:v>
                </c:pt>
                <c:pt idx="773">
                  <c:v>6635.4899999999989</c:v>
                </c:pt>
                <c:pt idx="774">
                  <c:v>5788.03</c:v>
                </c:pt>
                <c:pt idx="775">
                  <c:v>8670.5200000000023</c:v>
                </c:pt>
                <c:pt idx="776">
                  <c:v>11245.26</c:v>
                </c:pt>
                <c:pt idx="777">
                  <c:v>8834.7400000000016</c:v>
                </c:pt>
                <c:pt idx="778">
                  <c:v>6757.8099999999995</c:v>
                </c:pt>
                <c:pt idx="779">
                  <c:v>5884.619999999999</c:v>
                </c:pt>
                <c:pt idx="780">
                  <c:v>11637.87</c:v>
                </c:pt>
                <c:pt idx="781">
                  <c:v>7621.42</c:v>
                </c:pt>
                <c:pt idx="782">
                  <c:v>8773.8700000000008</c:v>
                </c:pt>
                <c:pt idx="783">
                  <c:v>10120.700000000001</c:v>
                </c:pt>
                <c:pt idx="784">
                  <c:v>11294.26</c:v>
                </c:pt>
                <c:pt idx="785">
                  <c:v>7991.1200000000008</c:v>
                </c:pt>
                <c:pt idx="786">
                  <c:v>11220.230000000001</c:v>
                </c:pt>
                <c:pt idx="787">
                  <c:v>9801.369999999999</c:v>
                </c:pt>
                <c:pt idx="788">
                  <c:v>8111.2599999999984</c:v>
                </c:pt>
                <c:pt idx="789">
                  <c:v>8453.0399999999991</c:v>
                </c:pt>
                <c:pt idx="790">
                  <c:v>10347.83</c:v>
                </c:pt>
                <c:pt idx="791">
                  <c:v>11699.390000000001</c:v>
                </c:pt>
                <c:pt idx="792">
                  <c:v>7979.1800000000012</c:v>
                </c:pt>
                <c:pt idx="793">
                  <c:v>10451.710000000001</c:v>
                </c:pt>
                <c:pt idx="794">
                  <c:v>8257.260000000002</c:v>
                </c:pt>
                <c:pt idx="795">
                  <c:v>8710.0299999999988</c:v>
                </c:pt>
                <c:pt idx="796">
                  <c:v>7349.5099999999984</c:v>
                </c:pt>
                <c:pt idx="797">
                  <c:v>9660.98</c:v>
                </c:pt>
                <c:pt idx="798">
                  <c:v>9378.0400000000009</c:v>
                </c:pt>
                <c:pt idx="799">
                  <c:v>7302.82</c:v>
                </c:pt>
                <c:pt idx="800">
                  <c:v>4890.3500000000022</c:v>
                </c:pt>
                <c:pt idx="801">
                  <c:v>10286.390000000001</c:v>
                </c:pt>
                <c:pt idx="802">
                  <c:v>10548.100000000002</c:v>
                </c:pt>
                <c:pt idx="803">
                  <c:v>11126.810000000001</c:v>
                </c:pt>
                <c:pt idx="804">
                  <c:v>13451.6</c:v>
                </c:pt>
                <c:pt idx="805">
                  <c:v>9127.130000000001</c:v>
                </c:pt>
                <c:pt idx="806">
                  <c:v>9993.2900000000009</c:v>
                </c:pt>
                <c:pt idx="807">
                  <c:v>5528.1800000000012</c:v>
                </c:pt>
                <c:pt idx="808">
                  <c:v>7769.71</c:v>
                </c:pt>
                <c:pt idx="809">
                  <c:v>7142.57</c:v>
                </c:pt>
                <c:pt idx="810">
                  <c:v>11213.02</c:v>
                </c:pt>
                <c:pt idx="811">
                  <c:v>12002.78</c:v>
                </c:pt>
                <c:pt idx="812">
                  <c:v>11124.519999999999</c:v>
                </c:pt>
                <c:pt idx="813">
                  <c:v>9403.19</c:v>
                </c:pt>
                <c:pt idx="814">
                  <c:v>11657.03</c:v>
                </c:pt>
                <c:pt idx="815">
                  <c:v>10886.7</c:v>
                </c:pt>
                <c:pt idx="816">
                  <c:v>7579.14</c:v>
                </c:pt>
                <c:pt idx="817">
                  <c:v>8872.58</c:v>
                </c:pt>
                <c:pt idx="818">
                  <c:v>10336.32</c:v>
                </c:pt>
                <c:pt idx="819">
                  <c:v>9098.2800000000007</c:v>
                </c:pt>
                <c:pt idx="820">
                  <c:v>13112.400000000001</c:v>
                </c:pt>
                <c:pt idx="821">
                  <c:v>8824.4100000000017</c:v>
                </c:pt>
                <c:pt idx="822">
                  <c:v>11365.900000000001</c:v>
                </c:pt>
                <c:pt idx="823">
                  <c:v>12573.62</c:v>
                </c:pt>
                <c:pt idx="824">
                  <c:v>5678.5199999999986</c:v>
                </c:pt>
                <c:pt idx="825">
                  <c:v>6680.71</c:v>
                </c:pt>
                <c:pt idx="826">
                  <c:v>8005.2500000000009</c:v>
                </c:pt>
                <c:pt idx="827">
                  <c:v>7979.13</c:v>
                </c:pt>
                <c:pt idx="828">
                  <c:v>9914.0499999999993</c:v>
                </c:pt>
                <c:pt idx="829">
                  <c:v>11584.25</c:v>
                </c:pt>
                <c:pt idx="830">
                  <c:v>6342.3099999999995</c:v>
                </c:pt>
                <c:pt idx="831">
                  <c:v>6835.7199999999993</c:v>
                </c:pt>
                <c:pt idx="832">
                  <c:v>6764.32</c:v>
                </c:pt>
                <c:pt idx="833">
                  <c:v>10349.850000000002</c:v>
                </c:pt>
                <c:pt idx="834">
                  <c:v>6517.36</c:v>
                </c:pt>
                <c:pt idx="835">
                  <c:v>8056.9100000000017</c:v>
                </c:pt>
                <c:pt idx="836">
                  <c:v>10562.800000000003</c:v>
                </c:pt>
                <c:pt idx="837">
                  <c:v>8760.5600000000013</c:v>
                </c:pt>
                <c:pt idx="838">
                  <c:v>9855.09</c:v>
                </c:pt>
                <c:pt idx="839">
                  <c:v>10614.81</c:v>
                </c:pt>
                <c:pt idx="840">
                  <c:v>8137.1200000000008</c:v>
                </c:pt>
                <c:pt idx="841">
                  <c:v>7070.7800000000007</c:v>
                </c:pt>
                <c:pt idx="842">
                  <c:v>10943</c:v>
                </c:pt>
                <c:pt idx="843">
                  <c:v>11465.740000000002</c:v>
                </c:pt>
                <c:pt idx="844">
                  <c:v>9635.02</c:v>
                </c:pt>
                <c:pt idx="845">
                  <c:v>8804.0799999999981</c:v>
                </c:pt>
                <c:pt idx="846">
                  <c:v>5740.1700000000019</c:v>
                </c:pt>
                <c:pt idx="847">
                  <c:v>7017.7400000000007</c:v>
                </c:pt>
                <c:pt idx="848">
                  <c:v>10741.93</c:v>
                </c:pt>
                <c:pt idx="849">
                  <c:v>8407.17</c:v>
                </c:pt>
                <c:pt idx="850">
                  <c:v>7486.0999999999995</c:v>
                </c:pt>
                <c:pt idx="851">
                  <c:v>7036.73</c:v>
                </c:pt>
                <c:pt idx="852">
                  <c:v>12077.730000000001</c:v>
                </c:pt>
                <c:pt idx="853">
                  <c:v>10435.859999999999</c:v>
                </c:pt>
                <c:pt idx="854">
                  <c:v>5774.829999999999</c:v>
                </c:pt>
                <c:pt idx="855">
                  <c:v>5931.95</c:v>
                </c:pt>
                <c:pt idx="856">
                  <c:v>5524.1500000000005</c:v>
                </c:pt>
                <c:pt idx="857">
                  <c:v>5384.5999999999995</c:v>
                </c:pt>
                <c:pt idx="858">
                  <c:v>7821.9199999999983</c:v>
                </c:pt>
                <c:pt idx="859">
                  <c:v>7839.6399999999985</c:v>
                </c:pt>
                <c:pt idx="860">
                  <c:v>6364.0399999999981</c:v>
                </c:pt>
                <c:pt idx="861">
                  <c:v>6161.739999999998</c:v>
                </c:pt>
                <c:pt idx="862">
                  <c:v>6004.81</c:v>
                </c:pt>
                <c:pt idx="863">
                  <c:v>5674.4600000000009</c:v>
                </c:pt>
                <c:pt idx="864">
                  <c:v>9539.61</c:v>
                </c:pt>
                <c:pt idx="865">
                  <c:v>8160.82</c:v>
                </c:pt>
                <c:pt idx="866">
                  <c:v>9964.64</c:v>
                </c:pt>
                <c:pt idx="867">
                  <c:v>8180.82</c:v>
                </c:pt>
                <c:pt idx="868">
                  <c:v>9327.65</c:v>
                </c:pt>
                <c:pt idx="869">
                  <c:v>6961.7699999999977</c:v>
                </c:pt>
                <c:pt idx="870">
                  <c:v>7723.3499999999995</c:v>
                </c:pt>
                <c:pt idx="871">
                  <c:v>12683.920000000002</c:v>
                </c:pt>
                <c:pt idx="872">
                  <c:v>8959.9800000000014</c:v>
                </c:pt>
                <c:pt idx="873">
                  <c:v>7946.99</c:v>
                </c:pt>
                <c:pt idx="874">
                  <c:v>7203.3600000000015</c:v>
                </c:pt>
                <c:pt idx="875">
                  <c:v>9005.0600000000013</c:v>
                </c:pt>
                <c:pt idx="876">
                  <c:v>12847.890000000003</c:v>
                </c:pt>
                <c:pt idx="877">
                  <c:v>8026.4599999999991</c:v>
                </c:pt>
                <c:pt idx="878">
                  <c:v>5869.0099999999993</c:v>
                </c:pt>
                <c:pt idx="879">
                  <c:v>8751.4399999999987</c:v>
                </c:pt>
                <c:pt idx="880">
                  <c:v>14095.810000000001</c:v>
                </c:pt>
                <c:pt idx="881">
                  <c:v>6732.67</c:v>
                </c:pt>
                <c:pt idx="882">
                  <c:v>6398.65</c:v>
                </c:pt>
                <c:pt idx="883">
                  <c:v>8124.8400000000011</c:v>
                </c:pt>
                <c:pt idx="884">
                  <c:v>5519.16</c:v>
                </c:pt>
                <c:pt idx="885">
                  <c:v>8103.6799999999994</c:v>
                </c:pt>
                <c:pt idx="886">
                  <c:v>8201.58</c:v>
                </c:pt>
                <c:pt idx="887">
                  <c:v>6473.159999999998</c:v>
                </c:pt>
                <c:pt idx="888">
                  <c:v>12386.610000000002</c:v>
                </c:pt>
                <c:pt idx="889">
                  <c:v>5797.3200000000024</c:v>
                </c:pt>
                <c:pt idx="890">
                  <c:v>8087.7800000000007</c:v>
                </c:pt>
                <c:pt idx="891">
                  <c:v>10455.49</c:v>
                </c:pt>
                <c:pt idx="892">
                  <c:v>12047.720000000001</c:v>
                </c:pt>
                <c:pt idx="893">
                  <c:v>10384.530000000002</c:v>
                </c:pt>
                <c:pt idx="894">
                  <c:v>12601.737000000003</c:v>
                </c:pt>
                <c:pt idx="895">
                  <c:v>12211.74</c:v>
                </c:pt>
                <c:pt idx="896">
                  <c:v>9159.8499999999985</c:v>
                </c:pt>
                <c:pt idx="897">
                  <c:v>6857.46</c:v>
                </c:pt>
                <c:pt idx="898">
                  <c:v>8307.3300000000017</c:v>
                </c:pt>
                <c:pt idx="899">
                  <c:v>10509.45</c:v>
                </c:pt>
                <c:pt idx="900">
                  <c:v>6092.6300000000019</c:v>
                </c:pt>
                <c:pt idx="901">
                  <c:v>5067.6499999999987</c:v>
                </c:pt>
                <c:pt idx="902">
                  <c:v>5835.630000000001</c:v>
                </c:pt>
                <c:pt idx="903">
                  <c:v>7442.1500000000005</c:v>
                </c:pt>
                <c:pt idx="904">
                  <c:v>6500.93</c:v>
                </c:pt>
                <c:pt idx="905">
                  <c:v>9592.27</c:v>
                </c:pt>
                <c:pt idx="906">
                  <c:v>13852.52</c:v>
                </c:pt>
                <c:pt idx="907">
                  <c:v>9265.3200000000015</c:v>
                </c:pt>
                <c:pt idx="908">
                  <c:v>13403.92</c:v>
                </c:pt>
                <c:pt idx="909">
                  <c:v>7915.989999999998</c:v>
                </c:pt>
                <c:pt idx="910">
                  <c:v>6923.8</c:v>
                </c:pt>
                <c:pt idx="911">
                  <c:v>9222.6200000000008</c:v>
                </c:pt>
                <c:pt idx="912">
                  <c:v>8857.49</c:v>
                </c:pt>
                <c:pt idx="913">
                  <c:v>11607.910000000002</c:v>
                </c:pt>
                <c:pt idx="914">
                  <c:v>8294.5600000000013</c:v>
                </c:pt>
                <c:pt idx="915">
                  <c:v>7686.49</c:v>
                </c:pt>
                <c:pt idx="916">
                  <c:v>12159.890000000001</c:v>
                </c:pt>
                <c:pt idx="917">
                  <c:v>11974.960000000001</c:v>
                </c:pt>
                <c:pt idx="918">
                  <c:v>8492.59</c:v>
                </c:pt>
                <c:pt idx="919">
                  <c:v>9429.7700000000023</c:v>
                </c:pt>
                <c:pt idx="920">
                  <c:v>9776.4500000000025</c:v>
                </c:pt>
                <c:pt idx="921">
                  <c:v>8004.8399999999983</c:v>
                </c:pt>
                <c:pt idx="922">
                  <c:v>5965.9499999999989</c:v>
                </c:pt>
                <c:pt idx="923">
                  <c:v>8936.92</c:v>
                </c:pt>
                <c:pt idx="924">
                  <c:v>6967.1100000000006</c:v>
                </c:pt>
                <c:pt idx="925">
                  <c:v>7446.2599999999993</c:v>
                </c:pt>
                <c:pt idx="926">
                  <c:v>11255.240000000003</c:v>
                </c:pt>
                <c:pt idx="927">
                  <c:v>7081.7599999999984</c:v>
                </c:pt>
                <c:pt idx="928">
                  <c:v>5895.45</c:v>
                </c:pt>
                <c:pt idx="929">
                  <c:v>9932.9900000000016</c:v>
                </c:pt>
                <c:pt idx="930">
                  <c:v>8084.73</c:v>
                </c:pt>
                <c:pt idx="931">
                  <c:v>6917.0899999999992</c:v>
                </c:pt>
                <c:pt idx="932">
                  <c:v>9929.3700000000008</c:v>
                </c:pt>
                <c:pt idx="933">
                  <c:v>14812.620000000003</c:v>
                </c:pt>
                <c:pt idx="934">
                  <c:v>9199.27</c:v>
                </c:pt>
                <c:pt idx="935">
                  <c:v>10364.68</c:v>
                </c:pt>
                <c:pt idx="936">
                  <c:v>10540.850000000002</c:v>
                </c:pt>
                <c:pt idx="937">
                  <c:v>20743.984000000008</c:v>
                </c:pt>
                <c:pt idx="938">
                  <c:v>5720.6500000000005</c:v>
                </c:pt>
                <c:pt idx="939">
                  <c:v>7846.26</c:v>
                </c:pt>
                <c:pt idx="940">
                  <c:v>8215.6200000000008</c:v>
                </c:pt>
                <c:pt idx="941">
                  <c:v>14353.223</c:v>
                </c:pt>
                <c:pt idx="942">
                  <c:v>10457.370000000001</c:v>
                </c:pt>
                <c:pt idx="943">
                  <c:v>8046.28</c:v>
                </c:pt>
                <c:pt idx="944">
                  <c:v>8123.9599999999991</c:v>
                </c:pt>
                <c:pt idx="945">
                  <c:v>6579.3600000000006</c:v>
                </c:pt>
                <c:pt idx="946">
                  <c:v>9896.14</c:v>
                </c:pt>
                <c:pt idx="947">
                  <c:v>10225.36</c:v>
                </c:pt>
                <c:pt idx="948">
                  <c:v>8453.69</c:v>
                </c:pt>
                <c:pt idx="949">
                  <c:v>9378.7999999999993</c:v>
                </c:pt>
                <c:pt idx="950">
                  <c:v>7720.2999999999993</c:v>
                </c:pt>
                <c:pt idx="951">
                  <c:v>6748.27</c:v>
                </c:pt>
                <c:pt idx="952">
                  <c:v>12444.170000000004</c:v>
                </c:pt>
                <c:pt idx="953">
                  <c:v>9069.8000000000011</c:v>
                </c:pt>
                <c:pt idx="954">
                  <c:v>9461.89</c:v>
                </c:pt>
                <c:pt idx="955">
                  <c:v>8398.5800000000017</c:v>
                </c:pt>
                <c:pt idx="956">
                  <c:v>9392.3100000000013</c:v>
                </c:pt>
                <c:pt idx="957">
                  <c:v>8204.9500000000007</c:v>
                </c:pt>
                <c:pt idx="958">
                  <c:v>8767.18</c:v>
                </c:pt>
                <c:pt idx="959">
                  <c:v>9241.5000000000018</c:v>
                </c:pt>
                <c:pt idx="960">
                  <c:v>18750.762999999999</c:v>
                </c:pt>
                <c:pt idx="961">
                  <c:v>5797.8400000000011</c:v>
                </c:pt>
                <c:pt idx="962">
                  <c:v>9196.66</c:v>
                </c:pt>
                <c:pt idx="963">
                  <c:v>9323.7100000000009</c:v>
                </c:pt>
                <c:pt idx="964">
                  <c:v>7386.949999999998</c:v>
                </c:pt>
                <c:pt idx="965">
                  <c:v>9596.69</c:v>
                </c:pt>
                <c:pt idx="966">
                  <c:v>14643.59</c:v>
                </c:pt>
                <c:pt idx="967">
                  <c:v>11290.6</c:v>
                </c:pt>
                <c:pt idx="968">
                  <c:v>11352.2</c:v>
                </c:pt>
                <c:pt idx="969">
                  <c:v>7650.41</c:v>
                </c:pt>
                <c:pt idx="970">
                  <c:v>9266.619999999999</c:v>
                </c:pt>
                <c:pt idx="971">
                  <c:v>9085.36</c:v>
                </c:pt>
                <c:pt idx="972">
                  <c:v>9764.4100000000017</c:v>
                </c:pt>
                <c:pt idx="973">
                  <c:v>12575.118000000004</c:v>
                </c:pt>
                <c:pt idx="974">
                  <c:v>8198.8500000000022</c:v>
                </c:pt>
                <c:pt idx="975">
                  <c:v>8290.57</c:v>
                </c:pt>
                <c:pt idx="976">
                  <c:v>16668.605000000003</c:v>
                </c:pt>
                <c:pt idx="977">
                  <c:v>14293.44</c:v>
                </c:pt>
                <c:pt idx="978">
                  <c:v>9752.8500000000022</c:v>
                </c:pt>
                <c:pt idx="979">
                  <c:v>18368.065999999999</c:v>
                </c:pt>
                <c:pt idx="980">
                  <c:v>9567.6900000000023</c:v>
                </c:pt>
                <c:pt idx="981">
                  <c:v>8565.630000000001</c:v>
                </c:pt>
                <c:pt idx="982">
                  <c:v>16859.310000000005</c:v>
                </c:pt>
                <c:pt idx="983">
                  <c:v>10158.81</c:v>
                </c:pt>
                <c:pt idx="984">
                  <c:v>10261.5</c:v>
                </c:pt>
                <c:pt idx="985">
                  <c:v>10445.070000000002</c:v>
                </c:pt>
                <c:pt idx="986">
                  <c:v>12353.560000000001</c:v>
                </c:pt>
                <c:pt idx="987">
                  <c:v>19612.431000000004</c:v>
                </c:pt>
                <c:pt idx="988">
                  <c:v>25249.047999999999</c:v>
                </c:pt>
                <c:pt idx="989">
                  <c:v>8989.33</c:v>
                </c:pt>
                <c:pt idx="990">
                  <c:v>10210.800000000003</c:v>
                </c:pt>
                <c:pt idx="991">
                  <c:v>19478.919000000009</c:v>
                </c:pt>
                <c:pt idx="992">
                  <c:v>11187.947000000006</c:v>
                </c:pt>
                <c:pt idx="993">
                  <c:v>9440.99</c:v>
                </c:pt>
                <c:pt idx="994">
                  <c:v>12615.42</c:v>
                </c:pt>
                <c:pt idx="995">
                  <c:v>8186.7900000000009</c:v>
                </c:pt>
                <c:pt idx="996">
                  <c:v>19363.201000000001</c:v>
                </c:pt>
                <c:pt idx="997">
                  <c:v>22884.161</c:v>
                </c:pt>
                <c:pt idx="998">
                  <c:v>22738.297000000002</c:v>
                </c:pt>
                <c:pt idx="999">
                  <c:v>24144.463000000003</c:v>
                </c:pt>
                <c:pt idx="1000">
                  <c:v>15963.960000000003</c:v>
                </c:pt>
                <c:pt idx="1001">
                  <c:v>20439.310000000001</c:v>
                </c:pt>
                <c:pt idx="1002">
                  <c:v>11639.040000000003</c:v>
                </c:pt>
                <c:pt idx="1003">
                  <c:v>18234.182000000004</c:v>
                </c:pt>
                <c:pt idx="1004">
                  <c:v>5715.66</c:v>
                </c:pt>
                <c:pt idx="1005">
                  <c:v>22076.142000000003</c:v>
                </c:pt>
                <c:pt idx="1006">
                  <c:v>19670.169000000005</c:v>
                </c:pt>
                <c:pt idx="1007">
                  <c:v>10029.33</c:v>
                </c:pt>
                <c:pt idx="1008">
                  <c:v>25302.560999999998</c:v>
                </c:pt>
                <c:pt idx="1009">
                  <c:v>21317.329000000002</c:v>
                </c:pt>
                <c:pt idx="1010">
                  <c:v>27412.077000000005</c:v>
                </c:pt>
                <c:pt idx="1011">
                  <c:v>25823.941999999999</c:v>
                </c:pt>
                <c:pt idx="1012">
                  <c:v>12797.29</c:v>
                </c:pt>
                <c:pt idx="1013">
                  <c:v>25664.555999999997</c:v>
                </c:pt>
                <c:pt idx="1014">
                  <c:v>15472.032000000007</c:v>
                </c:pt>
                <c:pt idx="1015">
                  <c:v>26495.949000000008</c:v>
                </c:pt>
                <c:pt idx="1016">
                  <c:v>20055.780000000002</c:v>
                </c:pt>
                <c:pt idx="1017">
                  <c:v>25086.397000000008</c:v>
                </c:pt>
                <c:pt idx="1018">
                  <c:v>20655.634000000005</c:v>
                </c:pt>
                <c:pt idx="1019">
                  <c:v>23961.200000000001</c:v>
                </c:pt>
                <c:pt idx="1020">
                  <c:v>6663.93</c:v>
                </c:pt>
                <c:pt idx="1021">
                  <c:v>18478.870000000003</c:v>
                </c:pt>
                <c:pt idx="1022">
                  <c:v>24354.561000000002</c:v>
                </c:pt>
                <c:pt idx="1023">
                  <c:v>12272.93</c:v>
                </c:pt>
                <c:pt idx="1024">
                  <c:v>24172.592000000004</c:v>
                </c:pt>
                <c:pt idx="1025">
                  <c:v>8534.6</c:v>
                </c:pt>
                <c:pt idx="1026">
                  <c:v>24654.323</c:v>
                </c:pt>
                <c:pt idx="1027">
                  <c:v>26845.727000000003</c:v>
                </c:pt>
                <c:pt idx="1028">
                  <c:v>9956.9600000000009</c:v>
                </c:pt>
                <c:pt idx="1029">
                  <c:v>9976.1200000000026</c:v>
                </c:pt>
                <c:pt idx="1030">
                  <c:v>27149.217000000001</c:v>
                </c:pt>
                <c:pt idx="1031">
                  <c:v>24432.197999999993</c:v>
                </c:pt>
                <c:pt idx="1032">
                  <c:v>20111.236000000001</c:v>
                </c:pt>
                <c:pt idx="1033">
                  <c:v>25719.855000000003</c:v>
                </c:pt>
                <c:pt idx="1034">
                  <c:v>24593.814999999999</c:v>
                </c:pt>
                <c:pt idx="1035">
                  <c:v>19511.794000000005</c:v>
                </c:pt>
                <c:pt idx="1036">
                  <c:v>28731.831999999999</c:v>
                </c:pt>
                <c:pt idx="1037">
                  <c:v>21561.032999999999</c:v>
                </c:pt>
                <c:pt idx="1038">
                  <c:v>16962.299000000006</c:v>
                </c:pt>
                <c:pt idx="1039">
                  <c:v>9596.42</c:v>
                </c:pt>
                <c:pt idx="1040">
                  <c:v>7716.82</c:v>
                </c:pt>
                <c:pt idx="1041">
                  <c:v>8186.5299999999988</c:v>
                </c:pt>
                <c:pt idx="1042">
                  <c:v>9569.1900000000023</c:v>
                </c:pt>
                <c:pt idx="1043">
                  <c:v>6721.96</c:v>
                </c:pt>
                <c:pt idx="1044">
                  <c:v>8886.5299999999988</c:v>
                </c:pt>
                <c:pt idx="1045">
                  <c:v>21882.577000000005</c:v>
                </c:pt>
                <c:pt idx="1046">
                  <c:v>13621.827000000007</c:v>
                </c:pt>
                <c:pt idx="1047">
                  <c:v>25679.469000000005</c:v>
                </c:pt>
                <c:pt idx="1048">
                  <c:v>23130.720999999994</c:v>
                </c:pt>
                <c:pt idx="1049">
                  <c:v>12913.09</c:v>
                </c:pt>
                <c:pt idx="1050">
                  <c:v>21851.271000000001</c:v>
                </c:pt>
                <c:pt idx="1051">
                  <c:v>8089.4200000000019</c:v>
                </c:pt>
                <c:pt idx="1052">
                  <c:v>26897.572</c:v>
                </c:pt>
                <c:pt idx="1053">
                  <c:v>22278.596000000001</c:v>
                </c:pt>
                <c:pt idx="1054">
                  <c:v>8827.17</c:v>
                </c:pt>
                <c:pt idx="1055">
                  <c:v>18880.197999999997</c:v>
                </c:pt>
                <c:pt idx="1056">
                  <c:v>16049.790000000003</c:v>
                </c:pt>
                <c:pt idx="1057">
                  <c:v>18185.534</c:v>
                </c:pt>
                <c:pt idx="1058">
                  <c:v>27896.145999999993</c:v>
                </c:pt>
                <c:pt idx="1059">
                  <c:v>23906.905999999999</c:v>
                </c:pt>
                <c:pt idx="1060">
                  <c:v>17055.858000000004</c:v>
                </c:pt>
                <c:pt idx="1061">
                  <c:v>8243.8099999999977</c:v>
                </c:pt>
                <c:pt idx="1062">
                  <c:v>27716.391000000003</c:v>
                </c:pt>
                <c:pt idx="1063">
                  <c:v>9555.9600000000028</c:v>
                </c:pt>
                <c:pt idx="1064">
                  <c:v>18924.410000000003</c:v>
                </c:pt>
                <c:pt idx="1065">
                  <c:v>29790.253000000001</c:v>
                </c:pt>
                <c:pt idx="1066">
                  <c:v>19766.415999999997</c:v>
                </c:pt>
                <c:pt idx="1067">
                  <c:v>24856.692000000003</c:v>
                </c:pt>
                <c:pt idx="1068">
                  <c:v>24184.206000000002</c:v>
                </c:pt>
                <c:pt idx="1069">
                  <c:v>14587.472000000005</c:v>
                </c:pt>
                <c:pt idx="1070">
                  <c:v>11470.940000000002</c:v>
                </c:pt>
                <c:pt idx="1071">
                  <c:v>23002.67</c:v>
                </c:pt>
                <c:pt idx="1072">
                  <c:v>10419.36</c:v>
                </c:pt>
                <c:pt idx="1073">
                  <c:v>26331.754000000008</c:v>
                </c:pt>
                <c:pt idx="1074">
                  <c:v>6388.37</c:v>
                </c:pt>
                <c:pt idx="1075">
                  <c:v>10509.220000000003</c:v>
                </c:pt>
                <c:pt idx="1076">
                  <c:v>9140.1299999999992</c:v>
                </c:pt>
                <c:pt idx="1077">
                  <c:v>13698.52</c:v>
                </c:pt>
                <c:pt idx="1078">
                  <c:v>25629.593000000008</c:v>
                </c:pt>
                <c:pt idx="1079">
                  <c:v>30136.82</c:v>
                </c:pt>
                <c:pt idx="1080">
                  <c:v>5409.17</c:v>
                </c:pt>
                <c:pt idx="1081">
                  <c:v>13036.760000000002</c:v>
                </c:pt>
                <c:pt idx="1082">
                  <c:v>27713.883000000005</c:v>
                </c:pt>
                <c:pt idx="1083">
                  <c:v>28009.187000000009</c:v>
                </c:pt>
                <c:pt idx="1084">
                  <c:v>21007.721000000001</c:v>
                </c:pt>
                <c:pt idx="1085">
                  <c:v>14943.910999999993</c:v>
                </c:pt>
                <c:pt idx="1086">
                  <c:v>21557.726000000002</c:v>
                </c:pt>
                <c:pt idx="1087">
                  <c:v>6694.29</c:v>
                </c:pt>
                <c:pt idx="1088">
                  <c:v>23222.324000000004</c:v>
                </c:pt>
                <c:pt idx="1089">
                  <c:v>8860.1000000000022</c:v>
                </c:pt>
                <c:pt idx="1090">
                  <c:v>23889.394000000004</c:v>
                </c:pt>
                <c:pt idx="1091">
                  <c:v>27747.979000000003</c:v>
                </c:pt>
                <c:pt idx="1092">
                  <c:v>5512.61</c:v>
                </c:pt>
                <c:pt idx="1093">
                  <c:v>28196.090999999997</c:v>
                </c:pt>
                <c:pt idx="1094">
                  <c:v>19896.862999999998</c:v>
                </c:pt>
                <c:pt idx="1095">
                  <c:v>26576.947</c:v>
                </c:pt>
                <c:pt idx="1096">
                  <c:v>25275.941000000003</c:v>
                </c:pt>
                <c:pt idx="1097">
                  <c:v>8644.31</c:v>
                </c:pt>
                <c:pt idx="1098">
                  <c:v>20092.813000000006</c:v>
                </c:pt>
                <c:pt idx="1099">
                  <c:v>21880.046000000002</c:v>
                </c:pt>
                <c:pt idx="1100">
                  <c:v>8678.65</c:v>
                </c:pt>
                <c:pt idx="1101">
                  <c:v>29143.370000000003</c:v>
                </c:pt>
                <c:pt idx="1102">
                  <c:v>6076.82</c:v>
                </c:pt>
                <c:pt idx="1103">
                  <c:v>15835.817999999997</c:v>
                </c:pt>
                <c:pt idx="1104">
                  <c:v>27191.179</c:v>
                </c:pt>
                <c:pt idx="1105">
                  <c:v>13092.99</c:v>
                </c:pt>
                <c:pt idx="1106">
                  <c:v>19221.880000000008</c:v>
                </c:pt>
                <c:pt idx="1107">
                  <c:v>29293.041000000001</c:v>
                </c:pt>
                <c:pt idx="1108">
                  <c:v>23743.183000000001</c:v>
                </c:pt>
                <c:pt idx="1109">
                  <c:v>8545.380000000001</c:v>
                </c:pt>
                <c:pt idx="1110">
                  <c:v>8982.2000000000007</c:v>
                </c:pt>
                <c:pt idx="1111">
                  <c:v>22856.752</c:v>
                </c:pt>
                <c:pt idx="1112">
                  <c:v>7090.76</c:v>
                </c:pt>
                <c:pt idx="1113">
                  <c:v>9004.9700000000012</c:v>
                </c:pt>
                <c:pt idx="1114">
                  <c:v>16506.760999999999</c:v>
                </c:pt>
                <c:pt idx="1115">
                  <c:v>12504.970000000001</c:v>
                </c:pt>
                <c:pt idx="1116">
                  <c:v>24631.594000000001</c:v>
                </c:pt>
                <c:pt idx="1117">
                  <c:v>26870.109000000004</c:v>
                </c:pt>
                <c:pt idx="1118">
                  <c:v>7627.02</c:v>
                </c:pt>
                <c:pt idx="1119">
                  <c:v>25112.440000000002</c:v>
                </c:pt>
                <c:pt idx="1120">
                  <c:v>24104.252000000004</c:v>
                </c:pt>
                <c:pt idx="1121">
                  <c:v>19913.729000000007</c:v>
                </c:pt>
                <c:pt idx="1122">
                  <c:v>21347.572000000004</c:v>
                </c:pt>
                <c:pt idx="1123">
                  <c:v>7800.33</c:v>
                </c:pt>
                <c:pt idx="1124">
                  <c:v>23153.531999999999</c:v>
                </c:pt>
                <c:pt idx="1125">
                  <c:v>24939.791000000001</c:v>
                </c:pt>
                <c:pt idx="1126">
                  <c:v>9956.2200000000012</c:v>
                </c:pt>
                <c:pt idx="1127">
                  <c:v>25645.005999999994</c:v>
                </c:pt>
                <c:pt idx="1128">
                  <c:v>5687.21</c:v>
                </c:pt>
                <c:pt idx="1129">
                  <c:v>8198.0800000000017</c:v>
                </c:pt>
                <c:pt idx="1130">
                  <c:v>26712.344000000005</c:v>
                </c:pt>
                <c:pt idx="1131">
                  <c:v>28001.364000000005</c:v>
                </c:pt>
                <c:pt idx="1132">
                  <c:v>5472.66</c:v>
                </c:pt>
                <c:pt idx="1133">
                  <c:v>21929.046999999999</c:v>
                </c:pt>
                <c:pt idx="1134">
                  <c:v>14404.330000000002</c:v>
                </c:pt>
                <c:pt idx="1135">
                  <c:v>25234.917000000009</c:v>
                </c:pt>
                <c:pt idx="1136">
                  <c:v>21238.644000000008</c:v>
                </c:pt>
                <c:pt idx="1137">
                  <c:v>12828.490000000002</c:v>
                </c:pt>
                <c:pt idx="1138">
                  <c:v>29061.848000000002</c:v>
                </c:pt>
                <c:pt idx="1139">
                  <c:v>5186.05</c:v>
                </c:pt>
                <c:pt idx="1140">
                  <c:v>28403.002</c:v>
                </c:pt>
                <c:pt idx="1141">
                  <c:v>10471.35</c:v>
                </c:pt>
                <c:pt idx="1142">
                  <c:v>21435.639000000003</c:v>
                </c:pt>
                <c:pt idx="1143">
                  <c:v>9112.5500000000011</c:v>
                </c:pt>
                <c:pt idx="1144">
                  <c:v>8216.9800000000014</c:v>
                </c:pt>
                <c:pt idx="1145">
                  <c:v>17593.382999999998</c:v>
                </c:pt>
                <c:pt idx="1146">
                  <c:v>8600.510000000002</c:v>
                </c:pt>
                <c:pt idx="1147">
                  <c:v>14812.87</c:v>
                </c:pt>
                <c:pt idx="1148">
                  <c:v>26829.693000000003</c:v>
                </c:pt>
                <c:pt idx="1149">
                  <c:v>20959.436000000002</c:v>
                </c:pt>
                <c:pt idx="1150">
                  <c:v>14740.670000000002</c:v>
                </c:pt>
                <c:pt idx="1151">
                  <c:v>6279.8599999999969</c:v>
                </c:pt>
                <c:pt idx="1152">
                  <c:v>17353.810000000001</c:v>
                </c:pt>
                <c:pt idx="1153">
                  <c:v>14450.43</c:v>
                </c:pt>
                <c:pt idx="1154">
                  <c:v>23251.931999999997</c:v>
                </c:pt>
                <c:pt idx="1155">
                  <c:v>7405.6100000000015</c:v>
                </c:pt>
                <c:pt idx="1156">
                  <c:v>24357.42</c:v>
                </c:pt>
                <c:pt idx="1157">
                  <c:v>6066.6900000000005</c:v>
                </c:pt>
                <c:pt idx="1158">
                  <c:v>29982.440000000002</c:v>
                </c:pt>
                <c:pt idx="1159">
                  <c:v>8241.5499999999993</c:v>
                </c:pt>
                <c:pt idx="1160">
                  <c:v>4573.9100000000008</c:v>
                </c:pt>
                <c:pt idx="1161">
                  <c:v>17880.580000000002</c:v>
                </c:pt>
                <c:pt idx="1162">
                  <c:v>26315.921999999999</c:v>
                </c:pt>
                <c:pt idx="1163">
                  <c:v>5713.380000000001</c:v>
                </c:pt>
                <c:pt idx="1164">
                  <c:v>25982.376999999997</c:v>
                </c:pt>
                <c:pt idx="1165">
                  <c:v>7806.4900000000016</c:v>
                </c:pt>
                <c:pt idx="1166">
                  <c:v>30327.732999999997</c:v>
                </c:pt>
                <c:pt idx="1167">
                  <c:v>12170.880000000001</c:v>
                </c:pt>
                <c:pt idx="1168">
                  <c:v>12102.779999999999</c:v>
                </c:pt>
                <c:pt idx="1169">
                  <c:v>14362.48</c:v>
                </c:pt>
                <c:pt idx="1170">
                  <c:v>9623.630000000001</c:v>
                </c:pt>
                <c:pt idx="1171">
                  <c:v>25531.597000000009</c:v>
                </c:pt>
                <c:pt idx="1172">
                  <c:v>7922.8999999999987</c:v>
                </c:pt>
                <c:pt idx="1173">
                  <c:v>26692.250000000004</c:v>
                </c:pt>
                <c:pt idx="1174">
                  <c:v>33647.519</c:v>
                </c:pt>
                <c:pt idx="1175">
                  <c:v>13069.16</c:v>
                </c:pt>
                <c:pt idx="1176">
                  <c:v>26626.551000000007</c:v>
                </c:pt>
                <c:pt idx="1177">
                  <c:v>30161.333000000006</c:v>
                </c:pt>
                <c:pt idx="1178">
                  <c:v>10338.810000000001</c:v>
                </c:pt>
                <c:pt idx="1179">
                  <c:v>8011.1899999999987</c:v>
                </c:pt>
                <c:pt idx="1180">
                  <c:v>34684.902000000009</c:v>
                </c:pt>
                <c:pt idx="1181">
                  <c:v>16192.510000000002</c:v>
                </c:pt>
                <c:pt idx="1182">
                  <c:v>6781.9099999999989</c:v>
                </c:pt>
                <c:pt idx="1183">
                  <c:v>29168.201000000001</c:v>
                </c:pt>
                <c:pt idx="1184">
                  <c:v>16403.75</c:v>
                </c:pt>
                <c:pt idx="1185">
                  <c:v>13152.85</c:v>
                </c:pt>
                <c:pt idx="1186">
                  <c:v>30058.136999999999</c:v>
                </c:pt>
                <c:pt idx="1187">
                  <c:v>11016.282000000003</c:v>
                </c:pt>
                <c:pt idx="1188">
                  <c:v>26211.407000000007</c:v>
                </c:pt>
                <c:pt idx="1189">
                  <c:v>25546.540000000008</c:v>
                </c:pt>
                <c:pt idx="1190">
                  <c:v>11712.290000000003</c:v>
                </c:pt>
                <c:pt idx="1191">
                  <c:v>31139.763000000006</c:v>
                </c:pt>
                <c:pt idx="1192">
                  <c:v>37978.003000000004</c:v>
                </c:pt>
                <c:pt idx="1193">
                  <c:v>27799.450999999997</c:v>
                </c:pt>
                <c:pt idx="1194">
                  <c:v>33448.527999999998</c:v>
                </c:pt>
                <c:pt idx="1195">
                  <c:v>25960.605999999996</c:v>
                </c:pt>
                <c:pt idx="1196">
                  <c:v>36194.646000000001</c:v>
                </c:pt>
                <c:pt idx="1197">
                  <c:v>38379.139000000003</c:v>
                </c:pt>
                <c:pt idx="1198">
                  <c:v>33676.553</c:v>
                </c:pt>
                <c:pt idx="1199">
                  <c:v>30937.309000000008</c:v>
                </c:pt>
                <c:pt idx="1200">
                  <c:v>31497.313000000009</c:v>
                </c:pt>
                <c:pt idx="1201">
                  <c:v>32809.745000000003</c:v>
                </c:pt>
                <c:pt idx="1202">
                  <c:v>33783.173000000003</c:v>
                </c:pt>
                <c:pt idx="1203">
                  <c:v>33631.662000000004</c:v>
                </c:pt>
                <c:pt idx="1204">
                  <c:v>31890.048999999995</c:v>
                </c:pt>
                <c:pt idx="1205">
                  <c:v>38561.511000000006</c:v>
                </c:pt>
                <c:pt idx="1206">
                  <c:v>32261.155999999999</c:v>
                </c:pt>
                <c:pt idx="1207">
                  <c:v>18425.881000000001</c:v>
                </c:pt>
                <c:pt idx="1208">
                  <c:v>30104.205000000002</c:v>
                </c:pt>
                <c:pt idx="1209">
                  <c:v>10275.94</c:v>
                </c:pt>
                <c:pt idx="1210">
                  <c:v>35595.322000000007</c:v>
                </c:pt>
                <c:pt idx="1211">
                  <c:v>35191.304000000011</c:v>
                </c:pt>
                <c:pt idx="1212">
                  <c:v>36040.14</c:v>
                </c:pt>
                <c:pt idx="1213">
                  <c:v>32877.391999999993</c:v>
                </c:pt>
                <c:pt idx="1214">
                  <c:v>31418.181</c:v>
                </c:pt>
                <c:pt idx="1215">
                  <c:v>36147.237000000001</c:v>
                </c:pt>
                <c:pt idx="1216">
                  <c:v>42175.490999999995</c:v>
                </c:pt>
                <c:pt idx="1217">
                  <c:v>36386.883000000009</c:v>
                </c:pt>
                <c:pt idx="1218">
                  <c:v>38255.646000000001</c:v>
                </c:pt>
                <c:pt idx="1219">
                  <c:v>38820.79</c:v>
                </c:pt>
                <c:pt idx="1220">
                  <c:v>44050.498000000007</c:v>
                </c:pt>
                <c:pt idx="1221">
                  <c:v>35800.463000000003</c:v>
                </c:pt>
                <c:pt idx="1222">
                  <c:v>8976.9600000000009</c:v>
                </c:pt>
                <c:pt idx="1223">
                  <c:v>33104.026999999995</c:v>
                </c:pt>
                <c:pt idx="1224">
                  <c:v>31496.205000000005</c:v>
                </c:pt>
                <c:pt idx="1225">
                  <c:v>16872.55</c:v>
                </c:pt>
                <c:pt idx="1226">
                  <c:v>41199.865000000005</c:v>
                </c:pt>
                <c:pt idx="1227">
                  <c:v>37157.115000000005</c:v>
                </c:pt>
                <c:pt idx="1228">
                  <c:v>35607.179000000004</c:v>
                </c:pt>
                <c:pt idx="1229">
                  <c:v>42693.684000000001</c:v>
                </c:pt>
                <c:pt idx="1230">
                  <c:v>38863.612000000001</c:v>
                </c:pt>
                <c:pt idx="1231">
                  <c:v>38907.944000000003</c:v>
                </c:pt>
                <c:pt idx="1232">
                  <c:v>41553.199000000001</c:v>
                </c:pt>
                <c:pt idx="1233">
                  <c:v>37225.434000000008</c:v>
                </c:pt>
                <c:pt idx="1234">
                  <c:v>33046.531000000003</c:v>
                </c:pt>
                <c:pt idx="1235">
                  <c:v>34398.265999999996</c:v>
                </c:pt>
                <c:pt idx="1236">
                  <c:v>22116.002000000004</c:v>
                </c:pt>
                <c:pt idx="1237">
                  <c:v>39449.878000000012</c:v>
                </c:pt>
                <c:pt idx="1238">
                  <c:v>27866.829000000002</c:v>
                </c:pt>
                <c:pt idx="1239">
                  <c:v>39878.892</c:v>
                </c:pt>
                <c:pt idx="1240">
                  <c:v>39916.226000000002</c:v>
                </c:pt>
                <c:pt idx="1241">
                  <c:v>36090.516000000011</c:v>
                </c:pt>
                <c:pt idx="1242">
                  <c:v>48473.033000000018</c:v>
                </c:pt>
                <c:pt idx="1243">
                  <c:v>32848.067999999999</c:v>
                </c:pt>
                <c:pt idx="1244">
                  <c:v>41827.466999999997</c:v>
                </c:pt>
                <c:pt idx="1245">
                  <c:v>42245.445999999996</c:v>
                </c:pt>
                <c:pt idx="1246">
                  <c:v>49244.808000000012</c:v>
                </c:pt>
                <c:pt idx="1247">
                  <c:v>28034.088000000003</c:v>
                </c:pt>
                <c:pt idx="1248">
                  <c:v>37632.488000000005</c:v>
                </c:pt>
                <c:pt idx="1249">
                  <c:v>35442.262000000002</c:v>
                </c:pt>
                <c:pt idx="1250">
                  <c:v>41105.871999999996</c:v>
                </c:pt>
                <c:pt idx="1251">
                  <c:v>31962.516</c:v>
                </c:pt>
                <c:pt idx="1252">
                  <c:v>38356.942000000003</c:v>
                </c:pt>
                <c:pt idx="1253">
                  <c:v>46823.209000000003</c:v>
                </c:pt>
                <c:pt idx="1254">
                  <c:v>53520.771000000015</c:v>
                </c:pt>
                <c:pt idx="1255">
                  <c:v>28863.244999999995</c:v>
                </c:pt>
                <c:pt idx="1256">
                  <c:v>35636.701000000001</c:v>
                </c:pt>
                <c:pt idx="1257">
                  <c:v>47040.713000000011</c:v>
                </c:pt>
                <c:pt idx="1258">
                  <c:v>41671.211999999992</c:v>
                </c:pt>
                <c:pt idx="1259">
                  <c:v>39938.989000000001</c:v>
                </c:pt>
                <c:pt idx="1260">
                  <c:v>33412.319000000003</c:v>
                </c:pt>
                <c:pt idx="1261">
                  <c:v>34928.531999999999</c:v>
                </c:pt>
                <c:pt idx="1262">
                  <c:v>35046.476999999999</c:v>
                </c:pt>
                <c:pt idx="1263">
                  <c:v>34404.959000000003</c:v>
                </c:pt>
                <c:pt idx="1264">
                  <c:v>38612.411999999997</c:v>
                </c:pt>
                <c:pt idx="1265">
                  <c:v>36756.725999999995</c:v>
                </c:pt>
                <c:pt idx="1266">
                  <c:v>30369.704999999998</c:v>
                </c:pt>
                <c:pt idx="1267">
                  <c:v>50262.212000000007</c:v>
                </c:pt>
                <c:pt idx="1268">
                  <c:v>47269.229000000007</c:v>
                </c:pt>
                <c:pt idx="1269">
                  <c:v>34854.334000000003</c:v>
                </c:pt>
                <c:pt idx="1270">
                  <c:v>36595.858999999997</c:v>
                </c:pt>
                <c:pt idx="1271">
                  <c:v>40046.340000000004</c:v>
                </c:pt>
                <c:pt idx="1272">
                  <c:v>32775.952000000012</c:v>
                </c:pt>
                <c:pt idx="1273">
                  <c:v>33306.254000000001</c:v>
                </c:pt>
                <c:pt idx="1274">
                  <c:v>35531.748000000007</c:v>
                </c:pt>
                <c:pt idx="1275">
                  <c:v>37370.656999999999</c:v>
                </c:pt>
                <c:pt idx="1276">
                  <c:v>44794.025999999998</c:v>
                </c:pt>
                <c:pt idx="1277">
                  <c:v>32495.322</c:v>
                </c:pt>
                <c:pt idx="1278">
                  <c:v>44574.735000000001</c:v>
                </c:pt>
                <c:pt idx="1279">
                  <c:v>53581.325000000004</c:v>
                </c:pt>
                <c:pt idx="1280">
                  <c:v>37393.11</c:v>
                </c:pt>
                <c:pt idx="1281">
                  <c:v>37806.589000000007</c:v>
                </c:pt>
                <c:pt idx="1282">
                  <c:v>34724.633000000002</c:v>
                </c:pt>
                <c:pt idx="1283">
                  <c:v>43801.729000000007</c:v>
                </c:pt>
                <c:pt idx="1284">
                  <c:v>38999.365000000005</c:v>
                </c:pt>
                <c:pt idx="1285">
                  <c:v>34910.248000000007</c:v>
                </c:pt>
                <c:pt idx="1286">
                  <c:v>40727.953999999998</c:v>
                </c:pt>
                <c:pt idx="1287">
                  <c:v>40043.880000000005</c:v>
                </c:pt>
                <c:pt idx="1288">
                  <c:v>37954.929000000004</c:v>
                </c:pt>
                <c:pt idx="1289">
                  <c:v>34546.048000000003</c:v>
                </c:pt>
                <c:pt idx="1290">
                  <c:v>55664.051000000014</c:v>
                </c:pt>
                <c:pt idx="1291">
                  <c:v>30372.652000000006</c:v>
                </c:pt>
                <c:pt idx="1292">
                  <c:v>47067.585999999996</c:v>
                </c:pt>
                <c:pt idx="1293">
                  <c:v>33140.674000000014</c:v>
                </c:pt>
                <c:pt idx="1294">
                  <c:v>34438.847999999998</c:v>
                </c:pt>
                <c:pt idx="1295">
                  <c:v>41178.751000000004</c:v>
                </c:pt>
                <c:pt idx="1296">
                  <c:v>34479.718000000001</c:v>
                </c:pt>
                <c:pt idx="1297">
                  <c:v>41152.539000000004</c:v>
                </c:pt>
                <c:pt idx="1298">
                  <c:v>34080.338000000003</c:v>
                </c:pt>
                <c:pt idx="1299">
                  <c:v>60208.544000000002</c:v>
                </c:pt>
                <c:pt idx="1300">
                  <c:v>36753.005000000005</c:v>
                </c:pt>
                <c:pt idx="1301">
                  <c:v>38415.440000000002</c:v>
                </c:pt>
                <c:pt idx="1302">
                  <c:v>36667.285000000003</c:v>
                </c:pt>
                <c:pt idx="1303">
                  <c:v>42803.124000000003</c:v>
                </c:pt>
                <c:pt idx="1304">
                  <c:v>31046.670000000002</c:v>
                </c:pt>
                <c:pt idx="1305">
                  <c:v>49066.018000000018</c:v>
                </c:pt>
                <c:pt idx="1306">
                  <c:v>55615.984000000004</c:v>
                </c:pt>
                <c:pt idx="1307">
                  <c:v>38187.055999999997</c:v>
                </c:pt>
                <c:pt idx="1308">
                  <c:v>47050.046000000002</c:v>
                </c:pt>
                <c:pt idx="1309">
                  <c:v>48739.231000000007</c:v>
                </c:pt>
                <c:pt idx="1310">
                  <c:v>42568.879000000001</c:v>
                </c:pt>
                <c:pt idx="1311">
                  <c:v>38077.411</c:v>
                </c:pt>
                <c:pt idx="1312">
                  <c:v>41707.350999999995</c:v>
                </c:pt>
                <c:pt idx="1313">
                  <c:v>33798.120999999999</c:v>
                </c:pt>
                <c:pt idx="1314">
                  <c:v>32285.770999999993</c:v>
                </c:pt>
                <c:pt idx="1315">
                  <c:v>37728.279000000002</c:v>
                </c:pt>
                <c:pt idx="1316">
                  <c:v>46207.002000000008</c:v>
                </c:pt>
                <c:pt idx="1317">
                  <c:v>33599.327000000005</c:v>
                </c:pt>
                <c:pt idx="1318">
                  <c:v>35407.008000000009</c:v>
                </c:pt>
                <c:pt idx="1319">
                  <c:v>36369.017000000007</c:v>
                </c:pt>
                <c:pt idx="1320">
                  <c:v>46916.370999999999</c:v>
                </c:pt>
                <c:pt idx="1321">
                  <c:v>36068.92</c:v>
                </c:pt>
                <c:pt idx="1322">
                  <c:v>44121.951999999997</c:v>
                </c:pt>
                <c:pt idx="1323">
                  <c:v>35584.451999999997</c:v>
                </c:pt>
                <c:pt idx="1324">
                  <c:v>43893.390999999996</c:v>
                </c:pt>
                <c:pt idx="1325">
                  <c:v>46113.196000000004</c:v>
                </c:pt>
                <c:pt idx="1326">
                  <c:v>49633.904000000017</c:v>
                </c:pt>
                <c:pt idx="1327">
                  <c:v>43259.940999999999</c:v>
                </c:pt>
                <c:pt idx="1328">
                  <c:v>47212.828999999998</c:v>
                </c:pt>
                <c:pt idx="1329">
                  <c:v>40336.783000000003</c:v>
                </c:pt>
                <c:pt idx="1330">
                  <c:v>40608.839</c:v>
                </c:pt>
                <c:pt idx="1331">
                  <c:v>43828.029000000002</c:v>
                </c:pt>
                <c:pt idx="1332">
                  <c:v>41596.239999999998</c:v>
                </c:pt>
                <c:pt idx="1333">
                  <c:v>41833.896000000001</c:v>
                </c:pt>
                <c:pt idx="1334">
                  <c:v>35936.872000000003</c:v>
                </c:pt>
                <c:pt idx="1335">
                  <c:v>34045.385000000002</c:v>
                </c:pt>
                <c:pt idx="1336">
                  <c:v>46384.599000000002</c:v>
                </c:pt>
                <c:pt idx="1337">
                  <c:v>34967.155000000006</c:v>
                </c:pt>
                <c:pt idx="1338">
                  <c:v>28996.466</c:v>
                </c:pt>
                <c:pt idx="1339">
                  <c:v>51512.155999999995</c:v>
                </c:pt>
              </c:numCache>
            </c:numRef>
          </c:xVal>
          <c:yVal>
            <c:numRef>
              <c:f>'insurance final cleaned'!$U$2:$U$1341</c:f>
              <c:numCache>
                <c:formatCode>General</c:formatCode>
                <c:ptCount val="1340"/>
                <c:pt idx="0">
                  <c:v>-4343</c:v>
                </c:pt>
                <c:pt idx="1">
                  <c:v>-4373.2100000000009</c:v>
                </c:pt>
                <c:pt idx="2">
                  <c:v>-3757.4500000000003</c:v>
                </c:pt>
                <c:pt idx="3">
                  <c:v>-4237.76</c:v>
                </c:pt>
                <c:pt idx="4">
                  <c:v>-7463.15</c:v>
                </c:pt>
                <c:pt idx="5">
                  <c:v>-6780.9199999999973</c:v>
                </c:pt>
                <c:pt idx="6">
                  <c:v>-5428.9899999999989</c:v>
                </c:pt>
                <c:pt idx="7">
                  <c:v>-8076.1799999999994</c:v>
                </c:pt>
                <c:pt idx="8">
                  <c:v>-6000.49</c:v>
                </c:pt>
                <c:pt idx="9">
                  <c:v>-8592.6700000000019</c:v>
                </c:pt>
                <c:pt idx="10">
                  <c:v>-4154.3600000000006</c:v>
                </c:pt>
                <c:pt idx="11">
                  <c:v>-4514.32</c:v>
                </c:pt>
                <c:pt idx="12">
                  <c:v>-3203.7500000000009</c:v>
                </c:pt>
                <c:pt idx="13">
                  <c:v>-6799.6800000000012</c:v>
                </c:pt>
                <c:pt idx="14">
                  <c:v>-3780.690000000001</c:v>
                </c:pt>
                <c:pt idx="15">
                  <c:v>-4731.87</c:v>
                </c:pt>
                <c:pt idx="16">
                  <c:v>-5738.5899999999983</c:v>
                </c:pt>
                <c:pt idx="17">
                  <c:v>-4798.5999999999995</c:v>
                </c:pt>
                <c:pt idx="18">
                  <c:v>-6878.079999999999</c:v>
                </c:pt>
                <c:pt idx="19">
                  <c:v>-4925.3700000000008</c:v>
                </c:pt>
                <c:pt idx="20">
                  <c:v>-2984.3099999999986</c:v>
                </c:pt>
                <c:pt idx="21">
                  <c:v>-6176.0399999999991</c:v>
                </c:pt>
                <c:pt idx="22">
                  <c:v>-6447.24</c:v>
                </c:pt>
                <c:pt idx="23">
                  <c:v>-5486.3200000000006</c:v>
                </c:pt>
                <c:pt idx="24">
                  <c:v>-3125.49</c:v>
                </c:pt>
                <c:pt idx="25">
                  <c:v>-5996.65</c:v>
                </c:pt>
                <c:pt idx="26">
                  <c:v>-5554.6799999999985</c:v>
                </c:pt>
                <c:pt idx="27">
                  <c:v>-4383.5700000000015</c:v>
                </c:pt>
                <c:pt idx="28">
                  <c:v>-4369.7700000000004</c:v>
                </c:pt>
                <c:pt idx="29">
                  <c:v>-5382.090000000002</c:v>
                </c:pt>
                <c:pt idx="30">
                  <c:v>-2554.04</c:v>
                </c:pt>
                <c:pt idx="31">
                  <c:v>-2715.3500000000004</c:v>
                </c:pt>
                <c:pt idx="32">
                  <c:v>-5302.7799999999979</c:v>
                </c:pt>
                <c:pt idx="33">
                  <c:v>-3907.8600000000015</c:v>
                </c:pt>
                <c:pt idx="34">
                  <c:v>-4757.58</c:v>
                </c:pt>
                <c:pt idx="35">
                  <c:v>-5947.050000000002</c:v>
                </c:pt>
                <c:pt idx="36">
                  <c:v>-5875.1900000000005</c:v>
                </c:pt>
                <c:pt idx="37">
                  <c:v>-3532.940000000001</c:v>
                </c:pt>
                <c:pt idx="38">
                  <c:v>-5089.5600000000013</c:v>
                </c:pt>
                <c:pt idx="39">
                  <c:v>-7118.670000000001</c:v>
                </c:pt>
                <c:pt idx="40">
                  <c:v>-6297.9300000000012</c:v>
                </c:pt>
                <c:pt idx="41">
                  <c:v>-5334.25</c:v>
                </c:pt>
                <c:pt idx="42">
                  <c:v>-5551.9</c:v>
                </c:pt>
                <c:pt idx="43">
                  <c:v>-3781.0500000000015</c:v>
                </c:pt>
                <c:pt idx="44">
                  <c:v>-5638.4000000000005</c:v>
                </c:pt>
                <c:pt idx="45">
                  <c:v>-4599.2400000000007</c:v>
                </c:pt>
                <c:pt idx="46">
                  <c:v>-4465.62</c:v>
                </c:pt>
                <c:pt idx="47">
                  <c:v>-4119.2900000000009</c:v>
                </c:pt>
                <c:pt idx="48">
                  <c:v>-5597.9400000000005</c:v>
                </c:pt>
                <c:pt idx="49">
                  <c:v>-5996.5900000000011</c:v>
                </c:pt>
                <c:pt idx="50">
                  <c:v>-5784.35</c:v>
                </c:pt>
                <c:pt idx="51">
                  <c:v>-2862.6500000000005</c:v>
                </c:pt>
                <c:pt idx="52">
                  <c:v>-4518.7600000000011</c:v>
                </c:pt>
                <c:pt idx="53">
                  <c:v>-3220.3</c:v>
                </c:pt>
                <c:pt idx="54">
                  <c:v>-4085.26</c:v>
                </c:pt>
                <c:pt idx="55">
                  <c:v>-3464.87</c:v>
                </c:pt>
                <c:pt idx="56">
                  <c:v>-4444.1900000000005</c:v>
                </c:pt>
                <c:pt idx="57">
                  <c:v>-6049.33</c:v>
                </c:pt>
                <c:pt idx="58">
                  <c:v>-4640.3700000000008</c:v>
                </c:pt>
                <c:pt idx="59">
                  <c:v>-5283.0899999999992</c:v>
                </c:pt>
                <c:pt idx="60">
                  <c:v>-3733.2800000000007</c:v>
                </c:pt>
                <c:pt idx="61">
                  <c:v>-4327.3799999999992</c:v>
                </c:pt>
                <c:pt idx="62">
                  <c:v>-5578.01</c:v>
                </c:pt>
                <c:pt idx="63">
                  <c:v>-4527.0499999999984</c:v>
                </c:pt>
                <c:pt idx="64">
                  <c:v>-4748.1499999999996</c:v>
                </c:pt>
                <c:pt idx="65">
                  <c:v>-4688.8599999999997</c:v>
                </c:pt>
                <c:pt idx="66">
                  <c:v>-6938.9999999999991</c:v>
                </c:pt>
                <c:pt idx="67">
                  <c:v>-6955.74</c:v>
                </c:pt>
                <c:pt idx="68">
                  <c:v>-5696.5299999999988</c:v>
                </c:pt>
                <c:pt idx="69">
                  <c:v>-3201.2500000000009</c:v>
                </c:pt>
                <c:pt idx="70">
                  <c:v>-3466.4499999999989</c:v>
                </c:pt>
                <c:pt idx="71">
                  <c:v>-2677.2700000000023</c:v>
                </c:pt>
                <c:pt idx="72">
                  <c:v>-6423.1399999999994</c:v>
                </c:pt>
                <c:pt idx="73">
                  <c:v>-6073.4999999999982</c:v>
                </c:pt>
                <c:pt idx="74">
                  <c:v>-5069.58</c:v>
                </c:pt>
                <c:pt idx="75">
                  <c:v>-5876.3200000000015</c:v>
                </c:pt>
                <c:pt idx="76">
                  <c:v>-4925.7899999999972</c:v>
                </c:pt>
                <c:pt idx="77">
                  <c:v>-5963.64</c:v>
                </c:pt>
                <c:pt idx="78">
                  <c:v>-6243.0699999999988</c:v>
                </c:pt>
                <c:pt idx="79">
                  <c:v>-3573.010000000002</c:v>
                </c:pt>
                <c:pt idx="80">
                  <c:v>-4321.42</c:v>
                </c:pt>
                <c:pt idx="81">
                  <c:v>-4745.9800000000005</c:v>
                </c:pt>
                <c:pt idx="82">
                  <c:v>-6126.93</c:v>
                </c:pt>
                <c:pt idx="83">
                  <c:v>-5410.4699999999993</c:v>
                </c:pt>
                <c:pt idx="84">
                  <c:v>-4349.4199999999983</c:v>
                </c:pt>
                <c:pt idx="85">
                  <c:v>-8048.8000000000011</c:v>
                </c:pt>
                <c:pt idx="86">
                  <c:v>-5261.25</c:v>
                </c:pt>
                <c:pt idx="87">
                  <c:v>-3684.58</c:v>
                </c:pt>
                <c:pt idx="88">
                  <c:v>-5661.5499999999993</c:v>
                </c:pt>
                <c:pt idx="89">
                  <c:v>-4022.6200000000008</c:v>
                </c:pt>
                <c:pt idx="90">
                  <c:v>-5697.6000000000013</c:v>
                </c:pt>
                <c:pt idx="91">
                  <c:v>-5691.3100000000022</c:v>
                </c:pt>
                <c:pt idx="92">
                  <c:v>-5587.83</c:v>
                </c:pt>
                <c:pt idx="93">
                  <c:v>-6265.7399999999989</c:v>
                </c:pt>
                <c:pt idx="94">
                  <c:v>-6887.2200000000012</c:v>
                </c:pt>
                <c:pt idx="95">
                  <c:v>-4779.8900000000012</c:v>
                </c:pt>
                <c:pt idx="96">
                  <c:v>-5589.28</c:v>
                </c:pt>
                <c:pt idx="97">
                  <c:v>-4349.5300000000007</c:v>
                </c:pt>
                <c:pt idx="98">
                  <c:v>-3330.110000000001</c:v>
                </c:pt>
                <c:pt idx="99">
                  <c:v>-5865.4100000000008</c:v>
                </c:pt>
                <c:pt idx="100">
                  <c:v>-3446.5000000000009</c:v>
                </c:pt>
                <c:pt idx="101">
                  <c:v>-8877.64</c:v>
                </c:pt>
                <c:pt idx="102">
                  <c:v>-3834.4199999999983</c:v>
                </c:pt>
                <c:pt idx="103">
                  <c:v>-6444.1699999999983</c:v>
                </c:pt>
                <c:pt idx="104">
                  <c:v>-5698.9100000000017</c:v>
                </c:pt>
                <c:pt idx="105">
                  <c:v>-3806.0600000000009</c:v>
                </c:pt>
                <c:pt idx="106">
                  <c:v>-5520.96</c:v>
                </c:pt>
                <c:pt idx="107">
                  <c:v>-4984.9599999999991</c:v>
                </c:pt>
                <c:pt idx="108">
                  <c:v>-4422.4599999999991</c:v>
                </c:pt>
                <c:pt idx="109">
                  <c:v>-4539.4600000000009</c:v>
                </c:pt>
                <c:pt idx="110">
                  <c:v>-4314.119999999999</c:v>
                </c:pt>
                <c:pt idx="111">
                  <c:v>-2489.2200000000007</c:v>
                </c:pt>
                <c:pt idx="112">
                  <c:v>-3747.9799999999996</c:v>
                </c:pt>
                <c:pt idx="113">
                  <c:v>-3851.1999999999994</c:v>
                </c:pt>
                <c:pt idx="114">
                  <c:v>-2179.1300000000015</c:v>
                </c:pt>
                <c:pt idx="115">
                  <c:v>-3354.9599999999996</c:v>
                </c:pt>
                <c:pt idx="116">
                  <c:v>-5240.82</c:v>
                </c:pt>
                <c:pt idx="117">
                  <c:v>-3131.0600000000009</c:v>
                </c:pt>
                <c:pt idx="118">
                  <c:v>-2676.0800000000013</c:v>
                </c:pt>
                <c:pt idx="119">
                  <c:v>-4800.8600000000006</c:v>
                </c:pt>
                <c:pt idx="120">
                  <c:v>-4200.1299999999992</c:v>
                </c:pt>
                <c:pt idx="121">
                  <c:v>-5572.2000000000007</c:v>
                </c:pt>
                <c:pt idx="122">
                  <c:v>-4492.130000000001</c:v>
                </c:pt>
                <c:pt idx="123">
                  <c:v>-3758.1200000000031</c:v>
                </c:pt>
                <c:pt idx="124">
                  <c:v>-5640.7199999999993</c:v>
                </c:pt>
                <c:pt idx="125">
                  <c:v>-5137.4699999999984</c:v>
                </c:pt>
                <c:pt idx="126">
                  <c:v>-4171.1900000000005</c:v>
                </c:pt>
                <c:pt idx="127">
                  <c:v>-2858.4300000000003</c:v>
                </c:pt>
                <c:pt idx="128">
                  <c:v>-4553.2199999999993</c:v>
                </c:pt>
                <c:pt idx="129">
                  <c:v>-3245.19</c:v>
                </c:pt>
                <c:pt idx="130">
                  <c:v>-4850.1900000000005</c:v>
                </c:pt>
                <c:pt idx="131">
                  <c:v>-3236.67</c:v>
                </c:pt>
                <c:pt idx="132">
                  <c:v>-4950.1100000000006</c:v>
                </c:pt>
                <c:pt idx="133">
                  <c:v>-4882.5300000000016</c:v>
                </c:pt>
                <c:pt idx="134">
                  <c:v>-4801.159999999998</c:v>
                </c:pt>
                <c:pt idx="135">
                  <c:v>-3544.9600000000005</c:v>
                </c:pt>
                <c:pt idx="136">
                  <c:v>-3796.0499999999997</c:v>
                </c:pt>
                <c:pt idx="137">
                  <c:v>-3782.4000000000005</c:v>
                </c:pt>
                <c:pt idx="138">
                  <c:v>-3029.2900000000004</c:v>
                </c:pt>
                <c:pt idx="139">
                  <c:v>-5127.58</c:v>
                </c:pt>
                <c:pt idx="140">
                  <c:v>-3804.1000000000013</c:v>
                </c:pt>
                <c:pt idx="141">
                  <c:v>-5762.510000000002</c:v>
                </c:pt>
                <c:pt idx="142">
                  <c:v>-4403.7800000000016</c:v>
                </c:pt>
                <c:pt idx="143">
                  <c:v>-4087.08</c:v>
                </c:pt>
                <c:pt idx="144">
                  <c:v>-4883.3099999999995</c:v>
                </c:pt>
                <c:pt idx="145">
                  <c:v>-2087.2600000000011</c:v>
                </c:pt>
                <c:pt idx="146">
                  <c:v>-3301.579999999999</c:v>
                </c:pt>
                <c:pt idx="147">
                  <c:v>-3391.3000000000006</c:v>
                </c:pt>
                <c:pt idx="148">
                  <c:v>-2961.0600000000004</c:v>
                </c:pt>
                <c:pt idx="149">
                  <c:v>-2938.1300000000015</c:v>
                </c:pt>
                <c:pt idx="150">
                  <c:v>-4165.7600000000029</c:v>
                </c:pt>
                <c:pt idx="151">
                  <c:v>-5226.630000000001</c:v>
                </c:pt>
                <c:pt idx="152">
                  <c:v>-4520.2400000000016</c:v>
                </c:pt>
                <c:pt idx="153">
                  <c:v>-2469.02</c:v>
                </c:pt>
                <c:pt idx="154">
                  <c:v>-5881.2400000000016</c:v>
                </c:pt>
                <c:pt idx="155">
                  <c:v>-4558.76</c:v>
                </c:pt>
                <c:pt idx="156">
                  <c:v>-3693.889999999999</c:v>
                </c:pt>
                <c:pt idx="157">
                  <c:v>-1788.4900000000011</c:v>
                </c:pt>
                <c:pt idx="158">
                  <c:v>-4260.5699999999979</c:v>
                </c:pt>
                <c:pt idx="159">
                  <c:v>-5062.7900000000009</c:v>
                </c:pt>
                <c:pt idx="160">
                  <c:v>-3895.0199999999995</c:v>
                </c:pt>
                <c:pt idx="161">
                  <c:v>-5049.7300000000014</c:v>
                </c:pt>
                <c:pt idx="162">
                  <c:v>-3159.71</c:v>
                </c:pt>
                <c:pt idx="163">
                  <c:v>-2467.5000000000009</c:v>
                </c:pt>
                <c:pt idx="164">
                  <c:v>-4159.1200000000008</c:v>
                </c:pt>
                <c:pt idx="165">
                  <c:v>-4218.0200000000004</c:v>
                </c:pt>
                <c:pt idx="166">
                  <c:v>-2975.94</c:v>
                </c:pt>
                <c:pt idx="167">
                  <c:v>-4092.5299999999997</c:v>
                </c:pt>
                <c:pt idx="168">
                  <c:v>-4454.6000000000004</c:v>
                </c:pt>
                <c:pt idx="169">
                  <c:v>-4879.4400000000005</c:v>
                </c:pt>
                <c:pt idx="170">
                  <c:v>-1943.02</c:v>
                </c:pt>
                <c:pt idx="171">
                  <c:v>-4257.6600000000017</c:v>
                </c:pt>
                <c:pt idx="172">
                  <c:v>-6023.24</c:v>
                </c:pt>
                <c:pt idx="173">
                  <c:v>-1504.2800000000016</c:v>
                </c:pt>
                <c:pt idx="174">
                  <c:v>-2801.6099999999997</c:v>
                </c:pt>
                <c:pt idx="175">
                  <c:v>-6597.33</c:v>
                </c:pt>
                <c:pt idx="176">
                  <c:v>-3390.11</c:v>
                </c:pt>
                <c:pt idx="177">
                  <c:v>-4526.1000000000004</c:v>
                </c:pt>
                <c:pt idx="178">
                  <c:v>-6505.3000000000011</c:v>
                </c:pt>
                <c:pt idx="179">
                  <c:v>-4827.8900000000012</c:v>
                </c:pt>
                <c:pt idx="180">
                  <c:v>-3431.8599999999988</c:v>
                </c:pt>
                <c:pt idx="181">
                  <c:v>-4218.9500000000007</c:v>
                </c:pt>
                <c:pt idx="182">
                  <c:v>-4789.57</c:v>
                </c:pt>
                <c:pt idx="183">
                  <c:v>-2993.5999999999995</c:v>
                </c:pt>
                <c:pt idx="184">
                  <c:v>-1551.7700000000004</c:v>
                </c:pt>
                <c:pt idx="185">
                  <c:v>-6966.7800000000007</c:v>
                </c:pt>
                <c:pt idx="186">
                  <c:v>-9178.7000000000007</c:v>
                </c:pt>
                <c:pt idx="187">
                  <c:v>-4544.9400000000005</c:v>
                </c:pt>
                <c:pt idx="188">
                  <c:v>-3845.2699999999986</c:v>
                </c:pt>
                <c:pt idx="189">
                  <c:v>-6048.02</c:v>
                </c:pt>
                <c:pt idx="190">
                  <c:v>-5830.1100000000024</c:v>
                </c:pt>
                <c:pt idx="191">
                  <c:v>-2028.9099999999999</c:v>
                </c:pt>
                <c:pt idx="192">
                  <c:v>-3892.0100000000007</c:v>
                </c:pt>
                <c:pt idx="193">
                  <c:v>-8176.06</c:v>
                </c:pt>
                <c:pt idx="194">
                  <c:v>-5568.4900000000016</c:v>
                </c:pt>
                <c:pt idx="195">
                  <c:v>-6190.0200000000023</c:v>
                </c:pt>
                <c:pt idx="196">
                  <c:v>-3449.74</c:v>
                </c:pt>
                <c:pt idx="197">
                  <c:v>-7382.52</c:v>
                </c:pt>
                <c:pt idx="198">
                  <c:v>-5809.9500000000007</c:v>
                </c:pt>
                <c:pt idx="199">
                  <c:v>-5890.239999999998</c:v>
                </c:pt>
                <c:pt idx="200">
                  <c:v>-5068.7199999999984</c:v>
                </c:pt>
                <c:pt idx="201">
                  <c:v>-7350.4800000000005</c:v>
                </c:pt>
                <c:pt idx="202">
                  <c:v>-2998.7200000000007</c:v>
                </c:pt>
                <c:pt idx="203">
                  <c:v>-5649.4199999999983</c:v>
                </c:pt>
                <c:pt idx="204">
                  <c:v>-3738.0800000000008</c:v>
                </c:pt>
                <c:pt idx="205">
                  <c:v>-3914.7000000000003</c:v>
                </c:pt>
                <c:pt idx="206">
                  <c:v>-2423.5700000000006</c:v>
                </c:pt>
                <c:pt idx="207">
                  <c:v>-3479.9900000000016</c:v>
                </c:pt>
                <c:pt idx="208">
                  <c:v>-7233.0399999999991</c:v>
                </c:pt>
                <c:pt idx="209">
                  <c:v>-3292.0099999999993</c:v>
                </c:pt>
                <c:pt idx="210">
                  <c:v>-5409.7800000000016</c:v>
                </c:pt>
                <c:pt idx="211">
                  <c:v>-3869.4099999999989</c:v>
                </c:pt>
                <c:pt idx="212">
                  <c:v>-4766.49</c:v>
                </c:pt>
                <c:pt idx="213">
                  <c:v>-2249.3000000000002</c:v>
                </c:pt>
                <c:pt idx="214">
                  <c:v>-6080.7799999999988</c:v>
                </c:pt>
                <c:pt idx="215">
                  <c:v>-4657.5099999999993</c:v>
                </c:pt>
                <c:pt idx="216">
                  <c:v>-7605.6600000000008</c:v>
                </c:pt>
                <c:pt idx="217">
                  <c:v>-3015.7600000000016</c:v>
                </c:pt>
                <c:pt idx="218">
                  <c:v>-5312.5200000000013</c:v>
                </c:pt>
                <c:pt idx="219">
                  <c:v>-4489.8099999999995</c:v>
                </c:pt>
                <c:pt idx="220">
                  <c:v>-3333.78</c:v>
                </c:pt>
                <c:pt idx="221">
                  <c:v>-4247.24</c:v>
                </c:pt>
                <c:pt idx="222">
                  <c:v>-3968.33</c:v>
                </c:pt>
                <c:pt idx="223">
                  <c:v>-7938.7500000000018</c:v>
                </c:pt>
                <c:pt idx="224">
                  <c:v>-5298.4300000000012</c:v>
                </c:pt>
                <c:pt idx="225">
                  <c:v>-2364.7400000000011</c:v>
                </c:pt>
                <c:pt idx="226">
                  <c:v>-4434.83</c:v>
                </c:pt>
                <c:pt idx="227">
                  <c:v>-5803.01</c:v>
                </c:pt>
                <c:pt idx="228">
                  <c:v>-4388.83</c:v>
                </c:pt>
                <c:pt idx="229">
                  <c:v>-4618.0400000000009</c:v>
                </c:pt>
                <c:pt idx="230">
                  <c:v>-5473.4400000000032</c:v>
                </c:pt>
                <c:pt idx="231">
                  <c:v>-3783.7999999999993</c:v>
                </c:pt>
                <c:pt idx="232">
                  <c:v>-3814.09</c:v>
                </c:pt>
                <c:pt idx="233">
                  <c:v>-5502.4100000000017</c:v>
                </c:pt>
                <c:pt idx="234">
                  <c:v>-5693.6599999999989</c:v>
                </c:pt>
                <c:pt idx="235">
                  <c:v>-2037.42</c:v>
                </c:pt>
                <c:pt idx="236">
                  <c:v>-3058.2499999999991</c:v>
                </c:pt>
                <c:pt idx="237">
                  <c:v>-1143.4300000000021</c:v>
                </c:pt>
                <c:pt idx="238">
                  <c:v>-2775.9500000000003</c:v>
                </c:pt>
                <c:pt idx="239">
                  <c:v>-4351.0099999999975</c:v>
                </c:pt>
                <c:pt idx="240">
                  <c:v>-4264.9899999999989</c:v>
                </c:pt>
                <c:pt idx="241">
                  <c:v>-4173.1500000000015</c:v>
                </c:pt>
                <c:pt idx="242">
                  <c:v>-3694.5699999999988</c:v>
                </c:pt>
                <c:pt idx="243">
                  <c:v>-6974.1399999999994</c:v>
                </c:pt>
                <c:pt idx="244">
                  <c:v>-6964.76</c:v>
                </c:pt>
                <c:pt idx="245">
                  <c:v>-3544.2499999999986</c:v>
                </c:pt>
                <c:pt idx="246">
                  <c:v>-6928.3099999999977</c:v>
                </c:pt>
                <c:pt idx="247">
                  <c:v>-2606.4600000000014</c:v>
                </c:pt>
                <c:pt idx="248">
                  <c:v>-3886.2799999999997</c:v>
                </c:pt>
                <c:pt idx="249">
                  <c:v>-2686.9399999999996</c:v>
                </c:pt>
                <c:pt idx="250">
                  <c:v>-672.84000000000015</c:v>
                </c:pt>
                <c:pt idx="251">
                  <c:v>-2135.0200000000004</c:v>
                </c:pt>
                <c:pt idx="252">
                  <c:v>-3234.4300000000003</c:v>
                </c:pt>
                <c:pt idx="253">
                  <c:v>-3057.91</c:v>
                </c:pt>
                <c:pt idx="254">
                  <c:v>-2636.1800000000003</c:v>
                </c:pt>
                <c:pt idx="255">
                  <c:v>-5130.16</c:v>
                </c:pt>
                <c:pt idx="256">
                  <c:v>-5526.5800000000008</c:v>
                </c:pt>
                <c:pt idx="257">
                  <c:v>-2220.4299999999998</c:v>
                </c:pt>
                <c:pt idx="258">
                  <c:v>-3251.22</c:v>
                </c:pt>
                <c:pt idx="259">
                  <c:v>-4674.6200000000017</c:v>
                </c:pt>
                <c:pt idx="260">
                  <c:v>-5012.6100000000015</c:v>
                </c:pt>
                <c:pt idx="261">
                  <c:v>-6389.7000000000007</c:v>
                </c:pt>
                <c:pt idx="262">
                  <c:v>-3271.9800000000009</c:v>
                </c:pt>
                <c:pt idx="263">
                  <c:v>-5807.2200000000012</c:v>
                </c:pt>
                <c:pt idx="264">
                  <c:v>-2440.9399999999987</c:v>
                </c:pt>
                <c:pt idx="265">
                  <c:v>-3284.5599999999981</c:v>
                </c:pt>
                <c:pt idx="266">
                  <c:v>-2794.5700000000006</c:v>
                </c:pt>
                <c:pt idx="267">
                  <c:v>-4301.4700000000012</c:v>
                </c:pt>
                <c:pt idx="268">
                  <c:v>-6292.6900000000005</c:v>
                </c:pt>
                <c:pt idx="269">
                  <c:v>-3647.4799999999996</c:v>
                </c:pt>
                <c:pt idx="270">
                  <c:v>-3702.1800000000007</c:v>
                </c:pt>
                <c:pt idx="271">
                  <c:v>-5666.5300000000007</c:v>
                </c:pt>
                <c:pt idx="272">
                  <c:v>-2209.2200000000003</c:v>
                </c:pt>
                <c:pt idx="273">
                  <c:v>-6367.1200000000008</c:v>
                </c:pt>
                <c:pt idx="274">
                  <c:v>-5384.7</c:v>
                </c:pt>
                <c:pt idx="275">
                  <c:v>-4277.3</c:v>
                </c:pt>
                <c:pt idx="276">
                  <c:v>-3368.9000000000015</c:v>
                </c:pt>
                <c:pt idx="277">
                  <c:v>-4179.880000000001</c:v>
                </c:pt>
                <c:pt idx="278">
                  <c:v>-1673.6699999999983</c:v>
                </c:pt>
                <c:pt idx="279">
                  <c:v>-3528.6800000000003</c:v>
                </c:pt>
                <c:pt idx="280">
                  <c:v>-1713.2999999999993</c:v>
                </c:pt>
                <c:pt idx="281">
                  <c:v>-4495.7700000000004</c:v>
                </c:pt>
                <c:pt idx="282">
                  <c:v>-4785.3700000000017</c:v>
                </c:pt>
                <c:pt idx="283">
                  <c:v>-1665.58</c:v>
                </c:pt>
                <c:pt idx="284">
                  <c:v>-5405.7900000000018</c:v>
                </c:pt>
                <c:pt idx="285">
                  <c:v>-3656.7</c:v>
                </c:pt>
                <c:pt idx="286">
                  <c:v>-2263.170000000001</c:v>
                </c:pt>
                <c:pt idx="287">
                  <c:v>-1778.7499999999973</c:v>
                </c:pt>
                <c:pt idx="288">
                  <c:v>-3439.6499999999996</c:v>
                </c:pt>
                <c:pt idx="289">
                  <c:v>-3033.2100000000009</c:v>
                </c:pt>
                <c:pt idx="290">
                  <c:v>-2771.4500000000007</c:v>
                </c:pt>
                <c:pt idx="291">
                  <c:v>-5018.7900000000027</c:v>
                </c:pt>
                <c:pt idx="292">
                  <c:v>-2531.7799999999997</c:v>
                </c:pt>
                <c:pt idx="293">
                  <c:v>-2230.9300000000012</c:v>
                </c:pt>
                <c:pt idx="294">
                  <c:v>-3145.38</c:v>
                </c:pt>
                <c:pt idx="295">
                  <c:v>-1837.4999999999991</c:v>
                </c:pt>
                <c:pt idx="296">
                  <c:v>-3573.4800000000005</c:v>
                </c:pt>
                <c:pt idx="297">
                  <c:v>-2179.4599999999991</c:v>
                </c:pt>
                <c:pt idx="298">
                  <c:v>-3204.9800000000005</c:v>
                </c:pt>
                <c:pt idx="299">
                  <c:v>-4366.2100000000028</c:v>
                </c:pt>
                <c:pt idx="300">
                  <c:v>-96.610000000002401</c:v>
                </c:pt>
                <c:pt idx="301">
                  <c:v>-1998.7799999999997</c:v>
                </c:pt>
                <c:pt idx="302">
                  <c:v>-2036.4400000000005</c:v>
                </c:pt>
                <c:pt idx="303">
                  <c:v>-1964.8799999999992</c:v>
                </c:pt>
                <c:pt idx="304">
                  <c:v>-2663.6400000000003</c:v>
                </c:pt>
                <c:pt idx="305">
                  <c:v>-2694.75</c:v>
                </c:pt>
                <c:pt idx="306">
                  <c:v>-4261.0700000000015</c:v>
                </c:pt>
                <c:pt idx="307">
                  <c:v>-1260.1899999999996</c:v>
                </c:pt>
                <c:pt idx="308">
                  <c:v>-1985.1600000000008</c:v>
                </c:pt>
                <c:pt idx="309">
                  <c:v>-4555.7600000000029</c:v>
                </c:pt>
                <c:pt idx="310">
                  <c:v>-1306.7400000000007</c:v>
                </c:pt>
                <c:pt idx="311">
                  <c:v>-3255.41</c:v>
                </c:pt>
                <c:pt idx="312">
                  <c:v>-3162.42</c:v>
                </c:pt>
                <c:pt idx="313">
                  <c:v>-5355.8300000000027</c:v>
                </c:pt>
                <c:pt idx="314">
                  <c:v>-564.35000000000036</c:v>
                </c:pt>
                <c:pt idx="315">
                  <c:v>-5671.5300000000007</c:v>
                </c:pt>
                <c:pt idx="316">
                  <c:v>-657.69000000000142</c:v>
                </c:pt>
                <c:pt idx="317">
                  <c:v>-3635.0499999999993</c:v>
                </c:pt>
                <c:pt idx="318">
                  <c:v>-3495.3099999999995</c:v>
                </c:pt>
                <c:pt idx="319">
                  <c:v>-4694.82</c:v>
                </c:pt>
                <c:pt idx="320">
                  <c:v>-801.47999999999956</c:v>
                </c:pt>
                <c:pt idx="321">
                  <c:v>-6343.3500000000013</c:v>
                </c:pt>
                <c:pt idx="322">
                  <c:v>-2931.1200000000008</c:v>
                </c:pt>
                <c:pt idx="323">
                  <c:v>-4166.800000000002</c:v>
                </c:pt>
                <c:pt idx="324">
                  <c:v>-2855.3000000000011</c:v>
                </c:pt>
                <c:pt idx="325">
                  <c:v>-3604.2300000000014</c:v>
                </c:pt>
                <c:pt idx="326">
                  <c:v>-3140.949999999998</c:v>
                </c:pt>
                <c:pt idx="327">
                  <c:v>-2401.0700000000015</c:v>
                </c:pt>
                <c:pt idx="328">
                  <c:v>-1959.7399999999998</c:v>
                </c:pt>
                <c:pt idx="329">
                  <c:v>-3368.7299999999996</c:v>
                </c:pt>
                <c:pt idx="330">
                  <c:v>-2106.670000000001</c:v>
                </c:pt>
                <c:pt idx="331">
                  <c:v>-2965.2700000000004</c:v>
                </c:pt>
                <c:pt idx="332">
                  <c:v>-4368.1500000000005</c:v>
                </c:pt>
                <c:pt idx="333">
                  <c:v>-3233.2599999999993</c:v>
                </c:pt>
                <c:pt idx="334">
                  <c:v>-2443.04</c:v>
                </c:pt>
                <c:pt idx="335">
                  <c:v>-1655.2200000000003</c:v>
                </c:pt>
                <c:pt idx="336">
                  <c:v>-4114.630000000001</c:v>
                </c:pt>
                <c:pt idx="337">
                  <c:v>-1055.329999999999</c:v>
                </c:pt>
                <c:pt idx="338">
                  <c:v>-1096.9700000000003</c:v>
                </c:pt>
                <c:pt idx="339">
                  <c:v>-2950.0000000000009</c:v>
                </c:pt>
                <c:pt idx="340">
                  <c:v>-5506.22</c:v>
                </c:pt>
                <c:pt idx="341">
                  <c:v>-2160.420000000001</c:v>
                </c:pt>
                <c:pt idx="342">
                  <c:v>-2655.2599999999984</c:v>
                </c:pt>
                <c:pt idx="343">
                  <c:v>-3719.0599999999995</c:v>
                </c:pt>
                <c:pt idx="344">
                  <c:v>-2315.4399999999987</c:v>
                </c:pt>
                <c:pt idx="345">
                  <c:v>-1853.3599999999997</c:v>
                </c:pt>
                <c:pt idx="346">
                  <c:v>-5341.7100000000019</c:v>
                </c:pt>
                <c:pt idx="347">
                  <c:v>-3304.9700000000012</c:v>
                </c:pt>
                <c:pt idx="348">
                  <c:v>-2191.1000000000013</c:v>
                </c:pt>
                <c:pt idx="349">
                  <c:v>-4913.7900000000009</c:v>
                </c:pt>
                <c:pt idx="350">
                  <c:v>-3289.9699999999993</c:v>
                </c:pt>
                <c:pt idx="351">
                  <c:v>-715.38999999999942</c:v>
                </c:pt>
                <c:pt idx="352">
                  <c:v>-4169.33</c:v>
                </c:pt>
                <c:pt idx="353">
                  <c:v>-2253.6600000000008</c:v>
                </c:pt>
                <c:pt idx="354">
                  <c:v>-3935.16</c:v>
                </c:pt>
                <c:pt idx="355">
                  <c:v>-4262.9399999999996</c:v>
                </c:pt>
                <c:pt idx="356">
                  <c:v>-4558.1000000000022</c:v>
                </c:pt>
                <c:pt idx="357">
                  <c:v>-3895.130000000001</c:v>
                </c:pt>
                <c:pt idx="358">
                  <c:v>-4337.97</c:v>
                </c:pt>
                <c:pt idx="359">
                  <c:v>-2456.1499999999996</c:v>
                </c:pt>
                <c:pt idx="360">
                  <c:v>-326.07999999999902</c:v>
                </c:pt>
                <c:pt idx="361">
                  <c:v>-3305.670000000001</c:v>
                </c:pt>
                <c:pt idx="362">
                  <c:v>-3816.33</c:v>
                </c:pt>
                <c:pt idx="363">
                  <c:v>-3947.3</c:v>
                </c:pt>
                <c:pt idx="364">
                  <c:v>-2164.5</c:v>
                </c:pt>
                <c:pt idx="365">
                  <c:v>-3796.7700000000004</c:v>
                </c:pt>
                <c:pt idx="366">
                  <c:v>-3795.5699999999979</c:v>
                </c:pt>
                <c:pt idx="367">
                  <c:v>-1265.2200000000003</c:v>
                </c:pt>
                <c:pt idx="368">
                  <c:v>-4938.4800000000005</c:v>
                </c:pt>
                <c:pt idx="369">
                  <c:v>-1382.9999999999991</c:v>
                </c:pt>
                <c:pt idx="370">
                  <c:v>-3570.7100000000009</c:v>
                </c:pt>
                <c:pt idx="371">
                  <c:v>-1487.9499999999989</c:v>
                </c:pt>
                <c:pt idx="372">
                  <c:v>-4929.8</c:v>
                </c:pt>
                <c:pt idx="373">
                  <c:v>-2807.3600000000024</c:v>
                </c:pt>
                <c:pt idx="374">
                  <c:v>664.84000000000015</c:v>
                </c:pt>
                <c:pt idx="375">
                  <c:v>-1705.7799999999979</c:v>
                </c:pt>
                <c:pt idx="376">
                  <c:v>-2639.4700000000012</c:v>
                </c:pt>
                <c:pt idx="377">
                  <c:v>-3926.3999999999987</c:v>
                </c:pt>
                <c:pt idx="378">
                  <c:v>-3465.7899999999991</c:v>
                </c:pt>
                <c:pt idx="379">
                  <c:v>-2753.2</c:v>
                </c:pt>
                <c:pt idx="380">
                  <c:v>-1562.1600000000017</c:v>
                </c:pt>
                <c:pt idx="381">
                  <c:v>-1465.5100000000011</c:v>
                </c:pt>
                <c:pt idx="382">
                  <c:v>-2505.41</c:v>
                </c:pt>
                <c:pt idx="383">
                  <c:v>-1445.9199999999992</c:v>
                </c:pt>
                <c:pt idx="384">
                  <c:v>-2335.2400000000007</c:v>
                </c:pt>
                <c:pt idx="385">
                  <c:v>-3973.4700000000012</c:v>
                </c:pt>
                <c:pt idx="386">
                  <c:v>-2067.4700000000012</c:v>
                </c:pt>
                <c:pt idx="387">
                  <c:v>-2167.7199999999993</c:v>
                </c:pt>
                <c:pt idx="388">
                  <c:v>-2262.8099999999995</c:v>
                </c:pt>
                <c:pt idx="389">
                  <c:v>-3510.0300000000016</c:v>
                </c:pt>
                <c:pt idx="390">
                  <c:v>-3289.2499999999991</c:v>
                </c:pt>
                <c:pt idx="391">
                  <c:v>-1749.4100000000008</c:v>
                </c:pt>
                <c:pt idx="392">
                  <c:v>-1729.9199999999992</c:v>
                </c:pt>
                <c:pt idx="393">
                  <c:v>-2627.92</c:v>
                </c:pt>
                <c:pt idx="394">
                  <c:v>-1017.6000000000004</c:v>
                </c:pt>
                <c:pt idx="395">
                  <c:v>-1659.4900000000007</c:v>
                </c:pt>
                <c:pt idx="396">
                  <c:v>-2826.1999999999989</c:v>
                </c:pt>
                <c:pt idx="397">
                  <c:v>-2272.6600000000017</c:v>
                </c:pt>
                <c:pt idx="398">
                  <c:v>-822.72000000000025</c:v>
                </c:pt>
                <c:pt idx="399">
                  <c:v>1341.8599999999997</c:v>
                </c:pt>
                <c:pt idx="400">
                  <c:v>-1760.0599999999995</c:v>
                </c:pt>
                <c:pt idx="401">
                  <c:v>-3435.7399999999989</c:v>
                </c:pt>
                <c:pt idx="402">
                  <c:v>-1472.2700000000004</c:v>
                </c:pt>
                <c:pt idx="403">
                  <c:v>-1144.4500000000007</c:v>
                </c:pt>
                <c:pt idx="404">
                  <c:v>-2000.3199999999997</c:v>
                </c:pt>
                <c:pt idx="405">
                  <c:v>-2727.2</c:v>
                </c:pt>
                <c:pt idx="406">
                  <c:v>-2390.41</c:v>
                </c:pt>
                <c:pt idx="407">
                  <c:v>-3056.8900000000003</c:v>
                </c:pt>
                <c:pt idx="408">
                  <c:v>-1811.0099999999984</c:v>
                </c:pt>
                <c:pt idx="409">
                  <c:v>-952.36999999999807</c:v>
                </c:pt>
                <c:pt idx="410">
                  <c:v>-2494.1700000000019</c:v>
                </c:pt>
                <c:pt idx="411">
                  <c:v>-3349.6100000000024</c:v>
                </c:pt>
                <c:pt idx="412">
                  <c:v>-2091.8200000000006</c:v>
                </c:pt>
                <c:pt idx="413">
                  <c:v>-2675.3600000000015</c:v>
                </c:pt>
                <c:pt idx="414">
                  <c:v>353.8199999999988</c:v>
                </c:pt>
                <c:pt idx="415">
                  <c:v>-2672.4699999999993</c:v>
                </c:pt>
                <c:pt idx="416">
                  <c:v>-27.940000000002328</c:v>
                </c:pt>
                <c:pt idx="417">
                  <c:v>-1265.8200000000006</c:v>
                </c:pt>
                <c:pt idx="418">
                  <c:v>-3181.4800000000014</c:v>
                </c:pt>
                <c:pt idx="419">
                  <c:v>-841.92000000000098</c:v>
                </c:pt>
                <c:pt idx="420">
                  <c:v>-1848.7400000000007</c:v>
                </c:pt>
                <c:pt idx="421">
                  <c:v>-926.27000000000044</c:v>
                </c:pt>
                <c:pt idx="422">
                  <c:v>-3422.84</c:v>
                </c:pt>
                <c:pt idx="423">
                  <c:v>-2366.1200000000017</c:v>
                </c:pt>
                <c:pt idx="424">
                  <c:v>-209.08000000000084</c:v>
                </c:pt>
                <c:pt idx="425">
                  <c:v>-400.62999999999829</c:v>
                </c:pt>
                <c:pt idx="426">
                  <c:v>-5618.1600000000008</c:v>
                </c:pt>
                <c:pt idx="427">
                  <c:v>-2123.6899999999996</c:v>
                </c:pt>
                <c:pt idx="428">
                  <c:v>-1228.3499999999995</c:v>
                </c:pt>
                <c:pt idx="429">
                  <c:v>-1016.4599999999991</c:v>
                </c:pt>
                <c:pt idx="430">
                  <c:v>-3945.0600000000031</c:v>
                </c:pt>
                <c:pt idx="431">
                  <c:v>-4445.6699999999983</c:v>
                </c:pt>
                <c:pt idx="432">
                  <c:v>-2068.3900000000003</c:v>
                </c:pt>
                <c:pt idx="433">
                  <c:v>-906.02000000000044</c:v>
                </c:pt>
                <c:pt idx="434">
                  <c:v>-3484.51</c:v>
                </c:pt>
                <c:pt idx="435">
                  <c:v>-2553.8700000000008</c:v>
                </c:pt>
                <c:pt idx="436">
                  <c:v>-1213.2300000000014</c:v>
                </c:pt>
                <c:pt idx="437">
                  <c:v>-683.95999999999913</c:v>
                </c:pt>
                <c:pt idx="438">
                  <c:v>93.360000000000582</c:v>
                </c:pt>
                <c:pt idx="439">
                  <c:v>-3207.7700000000013</c:v>
                </c:pt>
                <c:pt idx="440">
                  <c:v>-1409.8799999999992</c:v>
                </c:pt>
                <c:pt idx="441">
                  <c:v>-1417.9999999999991</c:v>
                </c:pt>
                <c:pt idx="442">
                  <c:v>-1139.4699999999984</c:v>
                </c:pt>
                <c:pt idx="443">
                  <c:v>-4119.7200000000021</c:v>
                </c:pt>
                <c:pt idx="444">
                  <c:v>-181.44999999999982</c:v>
                </c:pt>
                <c:pt idx="445">
                  <c:v>-2240.4600000000009</c:v>
                </c:pt>
                <c:pt idx="446">
                  <c:v>-3416.8199999999988</c:v>
                </c:pt>
                <c:pt idx="447">
                  <c:v>-124.01999999999953</c:v>
                </c:pt>
                <c:pt idx="448">
                  <c:v>1446.5899999999992</c:v>
                </c:pt>
                <c:pt idx="449">
                  <c:v>-1471.4099999999999</c:v>
                </c:pt>
                <c:pt idx="450">
                  <c:v>-559.00000000000091</c:v>
                </c:pt>
                <c:pt idx="451">
                  <c:v>-2997.5200000000013</c:v>
                </c:pt>
                <c:pt idx="452">
                  <c:v>-1860.17</c:v>
                </c:pt>
                <c:pt idx="453">
                  <c:v>-3980.9300000000003</c:v>
                </c:pt>
                <c:pt idx="454">
                  <c:v>-1560.1099999999997</c:v>
                </c:pt>
                <c:pt idx="455">
                  <c:v>-2550.9600000000009</c:v>
                </c:pt>
                <c:pt idx="456">
                  <c:v>-578.47000000000116</c:v>
                </c:pt>
                <c:pt idx="457">
                  <c:v>-5316.6999999999989</c:v>
                </c:pt>
                <c:pt idx="458">
                  <c:v>-3651.4800000000005</c:v>
                </c:pt>
                <c:pt idx="459">
                  <c:v>159.03000000000156</c:v>
                </c:pt>
                <c:pt idx="460">
                  <c:v>-2392.3199999999979</c:v>
                </c:pt>
                <c:pt idx="461">
                  <c:v>-1553.6500000000015</c:v>
                </c:pt>
                <c:pt idx="462">
                  <c:v>-2152.7199999999993</c:v>
                </c:pt>
                <c:pt idx="463">
                  <c:v>-1241.5300000000016</c:v>
                </c:pt>
                <c:pt idx="464">
                  <c:v>-3010.3200000000006</c:v>
                </c:pt>
                <c:pt idx="465">
                  <c:v>-1908.7400000000007</c:v>
                </c:pt>
                <c:pt idx="466">
                  <c:v>-2109.1899999999987</c:v>
                </c:pt>
                <c:pt idx="467">
                  <c:v>-1424.7399999999989</c:v>
                </c:pt>
                <c:pt idx="468">
                  <c:v>326.67000000000007</c:v>
                </c:pt>
                <c:pt idx="469">
                  <c:v>-2039.9800000000014</c:v>
                </c:pt>
                <c:pt idx="470">
                  <c:v>-1328.4000000000005</c:v>
                </c:pt>
                <c:pt idx="471">
                  <c:v>-1497.9800000000023</c:v>
                </c:pt>
                <c:pt idx="472">
                  <c:v>344.17000000000007</c:v>
                </c:pt>
                <c:pt idx="473">
                  <c:v>-2207.6500000000015</c:v>
                </c:pt>
                <c:pt idx="474">
                  <c:v>-719.21</c:v>
                </c:pt>
                <c:pt idx="475">
                  <c:v>-561.84000000000015</c:v>
                </c:pt>
                <c:pt idx="476">
                  <c:v>-1394.1799999999994</c:v>
                </c:pt>
                <c:pt idx="477">
                  <c:v>-2889.4199999999992</c:v>
                </c:pt>
                <c:pt idx="478">
                  <c:v>462.61999999999898</c:v>
                </c:pt>
                <c:pt idx="479">
                  <c:v>-944.91999999999916</c:v>
                </c:pt>
                <c:pt idx="480">
                  <c:v>531.25999999999749</c:v>
                </c:pt>
                <c:pt idx="481">
                  <c:v>-3079.5199999999995</c:v>
                </c:pt>
                <c:pt idx="482">
                  <c:v>-123.20999999999913</c:v>
                </c:pt>
                <c:pt idx="483">
                  <c:v>-4968.1200000000008</c:v>
                </c:pt>
                <c:pt idx="484">
                  <c:v>-435.63999999999851</c:v>
                </c:pt>
                <c:pt idx="485">
                  <c:v>-312.67000000000007</c:v>
                </c:pt>
                <c:pt idx="486">
                  <c:v>-1137.9400000000014</c:v>
                </c:pt>
                <c:pt idx="487">
                  <c:v>-1489.9700000000012</c:v>
                </c:pt>
                <c:pt idx="488">
                  <c:v>123.92999999999938</c:v>
                </c:pt>
                <c:pt idx="489">
                  <c:v>-923.66000000000258</c:v>
                </c:pt>
                <c:pt idx="490">
                  <c:v>-1060.8999999999996</c:v>
                </c:pt>
                <c:pt idx="491">
                  <c:v>718.04999999999836</c:v>
                </c:pt>
                <c:pt idx="492">
                  <c:v>-2322.1899999999996</c:v>
                </c:pt>
                <c:pt idx="493">
                  <c:v>-1285.4800000000023</c:v>
                </c:pt>
                <c:pt idx="494">
                  <c:v>1214.6699999999992</c:v>
                </c:pt>
                <c:pt idx="495">
                  <c:v>333.85000000000218</c:v>
                </c:pt>
                <c:pt idx="496">
                  <c:v>1699.8500000000013</c:v>
                </c:pt>
                <c:pt idx="497">
                  <c:v>-2952.1400000000003</c:v>
                </c:pt>
                <c:pt idx="498">
                  <c:v>-1519.4800000000014</c:v>
                </c:pt>
                <c:pt idx="499">
                  <c:v>-1513.9400000000005</c:v>
                </c:pt>
                <c:pt idx="500">
                  <c:v>-1250.54</c:v>
                </c:pt>
                <c:pt idx="501">
                  <c:v>-195.52000000000044</c:v>
                </c:pt>
                <c:pt idx="502">
                  <c:v>690.31999999999789</c:v>
                </c:pt>
                <c:pt idx="503">
                  <c:v>-789.74999999999909</c:v>
                </c:pt>
                <c:pt idx="504">
                  <c:v>-450.25</c:v>
                </c:pt>
                <c:pt idx="505">
                  <c:v>614.53000000000156</c:v>
                </c:pt>
                <c:pt idx="506">
                  <c:v>1449.7400000000016</c:v>
                </c:pt>
                <c:pt idx="507">
                  <c:v>-1186.8200000000006</c:v>
                </c:pt>
                <c:pt idx="508">
                  <c:v>794.10000000000036</c:v>
                </c:pt>
                <c:pt idx="509">
                  <c:v>354.45999999999913</c:v>
                </c:pt>
                <c:pt idx="510">
                  <c:v>1141.2299999999987</c:v>
                </c:pt>
                <c:pt idx="511">
                  <c:v>2571.8099999999986</c:v>
                </c:pt>
                <c:pt idx="512">
                  <c:v>254.39000000000033</c:v>
                </c:pt>
                <c:pt idx="513">
                  <c:v>-2288.3199999999997</c:v>
                </c:pt>
                <c:pt idx="514">
                  <c:v>-392.17000000000007</c:v>
                </c:pt>
                <c:pt idx="515">
                  <c:v>-232.89999999999873</c:v>
                </c:pt>
                <c:pt idx="516">
                  <c:v>-99.349999999999454</c:v>
                </c:pt>
                <c:pt idx="517">
                  <c:v>-1290.5400000000009</c:v>
                </c:pt>
                <c:pt idx="518">
                  <c:v>-1799.8900000000012</c:v>
                </c:pt>
                <c:pt idx="519">
                  <c:v>734.32999999999993</c:v>
                </c:pt>
                <c:pt idx="520">
                  <c:v>-3095.9399999999978</c:v>
                </c:pt>
                <c:pt idx="521">
                  <c:v>-877.01999999999953</c:v>
                </c:pt>
                <c:pt idx="522">
                  <c:v>-2171.58</c:v>
                </c:pt>
                <c:pt idx="523">
                  <c:v>1629.9600000000009</c:v>
                </c:pt>
                <c:pt idx="524">
                  <c:v>461.64999999999873</c:v>
                </c:pt>
                <c:pt idx="525">
                  <c:v>-977.25999999999931</c:v>
                </c:pt>
                <c:pt idx="526">
                  <c:v>-947.80999999999858</c:v>
                </c:pt>
                <c:pt idx="527">
                  <c:v>279.09999999999854</c:v>
                </c:pt>
                <c:pt idx="528">
                  <c:v>46.62999999999829</c:v>
                </c:pt>
                <c:pt idx="529">
                  <c:v>-707.85000000000036</c:v>
                </c:pt>
                <c:pt idx="530">
                  <c:v>669.699999999998</c:v>
                </c:pt>
                <c:pt idx="531">
                  <c:v>756.08999999999924</c:v>
                </c:pt>
                <c:pt idx="532">
                  <c:v>1045.880000000001</c:v>
                </c:pt>
                <c:pt idx="533">
                  <c:v>-587.53999999999905</c:v>
                </c:pt>
                <c:pt idx="534">
                  <c:v>1350.7799999999997</c:v>
                </c:pt>
                <c:pt idx="535">
                  <c:v>-1792.7799999999997</c:v>
                </c:pt>
                <c:pt idx="536">
                  <c:v>-56.660000000000764</c:v>
                </c:pt>
                <c:pt idx="537">
                  <c:v>-1498.5300000000007</c:v>
                </c:pt>
                <c:pt idx="538">
                  <c:v>-946.54000000000087</c:v>
                </c:pt>
                <c:pt idx="539">
                  <c:v>-471.86999999999898</c:v>
                </c:pt>
                <c:pt idx="540">
                  <c:v>709.07999999999902</c:v>
                </c:pt>
                <c:pt idx="541">
                  <c:v>1646.21</c:v>
                </c:pt>
                <c:pt idx="542">
                  <c:v>-1496.5400000000009</c:v>
                </c:pt>
                <c:pt idx="543">
                  <c:v>-1889.8599999999997</c:v>
                </c:pt>
                <c:pt idx="544">
                  <c:v>-588.85000000000036</c:v>
                </c:pt>
                <c:pt idx="545">
                  <c:v>959.85999999999876</c:v>
                </c:pt>
                <c:pt idx="546">
                  <c:v>-1263.1399999999994</c:v>
                </c:pt>
                <c:pt idx="547">
                  <c:v>-747.09999999999764</c:v>
                </c:pt>
                <c:pt idx="548">
                  <c:v>932.19999999999891</c:v>
                </c:pt>
                <c:pt idx="549">
                  <c:v>-2600.2299999999996</c:v>
                </c:pt>
                <c:pt idx="550">
                  <c:v>-907.73999999999796</c:v>
                </c:pt>
                <c:pt idx="551">
                  <c:v>632.39000000000124</c:v>
                </c:pt>
                <c:pt idx="552">
                  <c:v>-881.68999999999687</c:v>
                </c:pt>
                <c:pt idx="553">
                  <c:v>-1047.3500000000013</c:v>
                </c:pt>
                <c:pt idx="554">
                  <c:v>1337.6199999999981</c:v>
                </c:pt>
                <c:pt idx="555">
                  <c:v>1262.6799999999985</c:v>
                </c:pt>
                <c:pt idx="556">
                  <c:v>-1235.6200000000008</c:v>
                </c:pt>
                <c:pt idx="557">
                  <c:v>-702.79000000000087</c:v>
                </c:pt>
                <c:pt idx="558">
                  <c:v>156.45000000000073</c:v>
                </c:pt>
                <c:pt idx="559">
                  <c:v>634.65999999999985</c:v>
                </c:pt>
                <c:pt idx="560">
                  <c:v>-243.51999999999953</c:v>
                </c:pt>
                <c:pt idx="561">
                  <c:v>1208.42</c:v>
                </c:pt>
                <c:pt idx="562">
                  <c:v>-1404.9000000000005</c:v>
                </c:pt>
                <c:pt idx="563">
                  <c:v>-991.38999999999942</c:v>
                </c:pt>
                <c:pt idx="564">
                  <c:v>513.99999999999909</c:v>
                </c:pt>
                <c:pt idx="565">
                  <c:v>-1227.5800000000017</c:v>
                </c:pt>
                <c:pt idx="566">
                  <c:v>319.90999999999985</c:v>
                </c:pt>
                <c:pt idx="567">
                  <c:v>899.86999999999807</c:v>
                </c:pt>
                <c:pt idx="568">
                  <c:v>-2247.63</c:v>
                </c:pt>
                <c:pt idx="569">
                  <c:v>-2676.1399999999994</c:v>
                </c:pt>
                <c:pt idx="570">
                  <c:v>-2935.9400000000005</c:v>
                </c:pt>
                <c:pt idx="571">
                  <c:v>-3126.1000000000004</c:v>
                </c:pt>
                <c:pt idx="572">
                  <c:v>1395.2700000000004</c:v>
                </c:pt>
                <c:pt idx="573">
                  <c:v>1188.7599999999993</c:v>
                </c:pt>
                <c:pt idx="574">
                  <c:v>1532.1000000000013</c:v>
                </c:pt>
                <c:pt idx="575">
                  <c:v>341.300000000002</c:v>
                </c:pt>
                <c:pt idx="576">
                  <c:v>-815.68999999999869</c:v>
                </c:pt>
                <c:pt idx="577">
                  <c:v>-811.1299999999992</c:v>
                </c:pt>
                <c:pt idx="578">
                  <c:v>-1393.1100000000015</c:v>
                </c:pt>
                <c:pt idx="579">
                  <c:v>902.36999999999989</c:v>
                </c:pt>
                <c:pt idx="580">
                  <c:v>1294.8500000000004</c:v>
                </c:pt>
                <c:pt idx="581">
                  <c:v>2634.1400000000003</c:v>
                </c:pt>
                <c:pt idx="582">
                  <c:v>1648.8600000000006</c:v>
                </c:pt>
                <c:pt idx="583">
                  <c:v>948.12999999999829</c:v>
                </c:pt>
                <c:pt idx="584">
                  <c:v>-1303.7699999999995</c:v>
                </c:pt>
                <c:pt idx="585">
                  <c:v>514.94999999999982</c:v>
                </c:pt>
                <c:pt idx="586">
                  <c:v>1300.0300000000016</c:v>
                </c:pt>
                <c:pt idx="587">
                  <c:v>-286.34000000000196</c:v>
                </c:pt>
                <c:pt idx="588">
                  <c:v>929.75999999999931</c:v>
                </c:pt>
                <c:pt idx="589">
                  <c:v>-787.5</c:v>
                </c:pt>
                <c:pt idx="590">
                  <c:v>-4333.32</c:v>
                </c:pt>
                <c:pt idx="591">
                  <c:v>3130.8700000000008</c:v>
                </c:pt>
                <c:pt idx="592">
                  <c:v>2949.7800000000007</c:v>
                </c:pt>
                <c:pt idx="593">
                  <c:v>1309.6699999999992</c:v>
                </c:pt>
                <c:pt idx="594">
                  <c:v>1183.4500000000007</c:v>
                </c:pt>
                <c:pt idx="595">
                  <c:v>-678.01000000000022</c:v>
                </c:pt>
                <c:pt idx="596">
                  <c:v>-574.27000000000226</c:v>
                </c:pt>
                <c:pt idx="597">
                  <c:v>-2720.4300000000021</c:v>
                </c:pt>
                <c:pt idx="598">
                  <c:v>-2931.9000000000015</c:v>
                </c:pt>
                <c:pt idx="599">
                  <c:v>-3375.2000000000007</c:v>
                </c:pt>
                <c:pt idx="600">
                  <c:v>1730.7299999999987</c:v>
                </c:pt>
                <c:pt idx="601">
                  <c:v>179.11000000000058</c:v>
                </c:pt>
                <c:pt idx="602">
                  <c:v>778.10999999999876</c:v>
                </c:pt>
                <c:pt idx="603">
                  <c:v>1836.0699999999997</c:v>
                </c:pt>
                <c:pt idx="604">
                  <c:v>1286.4799999999996</c:v>
                </c:pt>
                <c:pt idx="605">
                  <c:v>662.18000000000029</c:v>
                </c:pt>
                <c:pt idx="606">
                  <c:v>2090.2700000000004</c:v>
                </c:pt>
                <c:pt idx="607">
                  <c:v>2436.6699999999992</c:v>
                </c:pt>
                <c:pt idx="608">
                  <c:v>2449.92</c:v>
                </c:pt>
                <c:pt idx="609">
                  <c:v>1548.6500000000015</c:v>
                </c:pt>
                <c:pt idx="610">
                  <c:v>-375.63999999999942</c:v>
                </c:pt>
                <c:pt idx="611">
                  <c:v>8.3800000000010186</c:v>
                </c:pt>
                <c:pt idx="612">
                  <c:v>-1447.1900000000023</c:v>
                </c:pt>
                <c:pt idx="613">
                  <c:v>-5276.01</c:v>
                </c:pt>
                <c:pt idx="614">
                  <c:v>992.55999999999949</c:v>
                </c:pt>
                <c:pt idx="615">
                  <c:v>590.78000000000065</c:v>
                </c:pt>
                <c:pt idx="616">
                  <c:v>1985.2699999999995</c:v>
                </c:pt>
                <c:pt idx="617">
                  <c:v>243.23999999999978</c:v>
                </c:pt>
                <c:pt idx="618">
                  <c:v>-769.53999999999905</c:v>
                </c:pt>
                <c:pt idx="619">
                  <c:v>-1936.6200000000008</c:v>
                </c:pt>
                <c:pt idx="620">
                  <c:v>-2815.1299999999992</c:v>
                </c:pt>
                <c:pt idx="621">
                  <c:v>1711.1499999999996</c:v>
                </c:pt>
                <c:pt idx="622">
                  <c:v>-1291.4099999999999</c:v>
                </c:pt>
                <c:pt idx="623">
                  <c:v>-2542.8500000000022</c:v>
                </c:pt>
                <c:pt idx="624">
                  <c:v>142.40999999999985</c:v>
                </c:pt>
                <c:pt idx="625">
                  <c:v>-3322.4900000000016</c:v>
                </c:pt>
                <c:pt idx="626">
                  <c:v>-1167.6399999999994</c:v>
                </c:pt>
                <c:pt idx="627">
                  <c:v>-2149.8999999999996</c:v>
                </c:pt>
                <c:pt idx="628">
                  <c:v>-564.6299999999992</c:v>
                </c:pt>
                <c:pt idx="629">
                  <c:v>-1329.9499999999989</c:v>
                </c:pt>
                <c:pt idx="630">
                  <c:v>936.59999999999854</c:v>
                </c:pt>
                <c:pt idx="631">
                  <c:v>-1584.6399999999994</c:v>
                </c:pt>
                <c:pt idx="632">
                  <c:v>-56.609999999998763</c:v>
                </c:pt>
                <c:pt idx="633">
                  <c:v>3066.4399999999996</c:v>
                </c:pt>
                <c:pt idx="634">
                  <c:v>2569.5300000000016</c:v>
                </c:pt>
                <c:pt idx="635">
                  <c:v>-441.29000000000087</c:v>
                </c:pt>
                <c:pt idx="636">
                  <c:v>-778.33000000000175</c:v>
                </c:pt>
                <c:pt idx="637">
                  <c:v>-1116.0900000000001</c:v>
                </c:pt>
                <c:pt idx="638">
                  <c:v>945.5</c:v>
                </c:pt>
                <c:pt idx="639">
                  <c:v>1244.0799999999981</c:v>
                </c:pt>
                <c:pt idx="640">
                  <c:v>649.23999999999978</c:v>
                </c:pt>
                <c:pt idx="641">
                  <c:v>-3672.9300000000003</c:v>
                </c:pt>
                <c:pt idx="642">
                  <c:v>-279.04999999999927</c:v>
                </c:pt>
                <c:pt idx="643">
                  <c:v>697.25000000000182</c:v>
                </c:pt>
                <c:pt idx="644">
                  <c:v>-181.02000000000044</c:v>
                </c:pt>
                <c:pt idx="645">
                  <c:v>-2703.2900000000009</c:v>
                </c:pt>
                <c:pt idx="646">
                  <c:v>-2595.9199999999983</c:v>
                </c:pt>
                <c:pt idx="647">
                  <c:v>11.959999999999127</c:v>
                </c:pt>
                <c:pt idx="648">
                  <c:v>1710.8100000000013</c:v>
                </c:pt>
                <c:pt idx="649">
                  <c:v>2694.7200000000012</c:v>
                </c:pt>
                <c:pt idx="650">
                  <c:v>803.54000000000087</c:v>
                </c:pt>
                <c:pt idx="651">
                  <c:v>827.46999999999935</c:v>
                </c:pt>
                <c:pt idx="652">
                  <c:v>-490.58000000000175</c:v>
                </c:pt>
                <c:pt idx="653">
                  <c:v>-301.83000000000175</c:v>
                </c:pt>
                <c:pt idx="654">
                  <c:v>3068.4299999999994</c:v>
                </c:pt>
                <c:pt idx="655">
                  <c:v>1601.7799999999988</c:v>
                </c:pt>
                <c:pt idx="656">
                  <c:v>2234.2799999999979</c:v>
                </c:pt>
                <c:pt idx="657">
                  <c:v>524.32999999999993</c:v>
                </c:pt>
                <c:pt idx="658">
                  <c:v>1378.0500000000002</c:v>
                </c:pt>
                <c:pt idx="659">
                  <c:v>-4699.0300000000007</c:v>
                </c:pt>
                <c:pt idx="660">
                  <c:v>-745.44000000000051</c:v>
                </c:pt>
                <c:pt idx="661">
                  <c:v>2539.6500000000005</c:v>
                </c:pt>
                <c:pt idx="662">
                  <c:v>1725.5099999999993</c:v>
                </c:pt>
                <c:pt idx="663">
                  <c:v>-329.3700000000008</c:v>
                </c:pt>
                <c:pt idx="664">
                  <c:v>3973.7499999999991</c:v>
                </c:pt>
                <c:pt idx="665">
                  <c:v>318.59999999999854</c:v>
                </c:pt>
                <c:pt idx="666">
                  <c:v>-1758.0500000000011</c:v>
                </c:pt>
                <c:pt idx="667">
                  <c:v>2390.6099999999997</c:v>
                </c:pt>
                <c:pt idx="668">
                  <c:v>1300.29</c:v>
                </c:pt>
                <c:pt idx="669">
                  <c:v>1604.5299999999997</c:v>
                </c:pt>
                <c:pt idx="670">
                  <c:v>1883.409999999998</c:v>
                </c:pt>
                <c:pt idx="671">
                  <c:v>645.94000000000051</c:v>
                </c:pt>
                <c:pt idx="672">
                  <c:v>1155.08</c:v>
                </c:pt>
                <c:pt idx="673">
                  <c:v>-972.00000000000182</c:v>
                </c:pt>
                <c:pt idx="674">
                  <c:v>-411.96000000000095</c:v>
                </c:pt>
                <c:pt idx="675">
                  <c:v>-2118.3500000000022</c:v>
                </c:pt>
                <c:pt idx="676">
                  <c:v>-2700.1800000000003</c:v>
                </c:pt>
                <c:pt idx="677">
                  <c:v>-473.06000000000131</c:v>
                </c:pt>
                <c:pt idx="678">
                  <c:v>2297.9300000000003</c:v>
                </c:pt>
                <c:pt idx="679">
                  <c:v>-1074.630000000001</c:v>
                </c:pt>
                <c:pt idx="680">
                  <c:v>3847.159999999998</c:v>
                </c:pt>
                <c:pt idx="681">
                  <c:v>-3052.6499999999996</c:v>
                </c:pt>
                <c:pt idx="682">
                  <c:v>-1534.7100000000028</c:v>
                </c:pt>
                <c:pt idx="683">
                  <c:v>-2063.9499999999989</c:v>
                </c:pt>
                <c:pt idx="684">
                  <c:v>1268.7000000000007</c:v>
                </c:pt>
                <c:pt idx="685">
                  <c:v>1839.6800000000003</c:v>
                </c:pt>
                <c:pt idx="686">
                  <c:v>999.34999999999854</c:v>
                </c:pt>
                <c:pt idx="687">
                  <c:v>1491.7799999999997</c:v>
                </c:pt>
                <c:pt idx="688">
                  <c:v>2849.130000000001</c:v>
                </c:pt>
                <c:pt idx="689">
                  <c:v>1712.670000000001</c:v>
                </c:pt>
                <c:pt idx="690">
                  <c:v>-109.71999999999935</c:v>
                </c:pt>
                <c:pt idx="691">
                  <c:v>4594.7600000000011</c:v>
                </c:pt>
                <c:pt idx="692">
                  <c:v>-4361.6100000000006</c:v>
                </c:pt>
                <c:pt idx="693">
                  <c:v>-372.63000000000102</c:v>
                </c:pt>
                <c:pt idx="694">
                  <c:v>-2014.83</c:v>
                </c:pt>
                <c:pt idx="695">
                  <c:v>871.88000000000102</c:v>
                </c:pt>
                <c:pt idx="696">
                  <c:v>1873.5599999999995</c:v>
                </c:pt>
                <c:pt idx="697">
                  <c:v>-3449.6400000000012</c:v>
                </c:pt>
                <c:pt idx="698">
                  <c:v>770.94999999999891</c:v>
                </c:pt>
                <c:pt idx="699">
                  <c:v>-1553.4200000000037</c:v>
                </c:pt>
                <c:pt idx="700">
                  <c:v>524.79000000000087</c:v>
                </c:pt>
                <c:pt idx="701">
                  <c:v>467.40999999999622</c:v>
                </c:pt>
                <c:pt idx="702">
                  <c:v>-815.86000000000058</c:v>
                </c:pt>
                <c:pt idx="703">
                  <c:v>3901.4399999999987</c:v>
                </c:pt>
                <c:pt idx="704">
                  <c:v>438.56999999999971</c:v>
                </c:pt>
                <c:pt idx="705">
                  <c:v>4657.2099999999991</c:v>
                </c:pt>
                <c:pt idx="706">
                  <c:v>2310.3300000000027</c:v>
                </c:pt>
                <c:pt idx="707">
                  <c:v>-2695.8500000000004</c:v>
                </c:pt>
                <c:pt idx="708">
                  <c:v>3664.71</c:v>
                </c:pt>
                <c:pt idx="709">
                  <c:v>1224.9099999999999</c:v>
                </c:pt>
                <c:pt idx="710">
                  <c:v>552.14999999999964</c:v>
                </c:pt>
                <c:pt idx="711">
                  <c:v>-3166.6900000000023</c:v>
                </c:pt>
                <c:pt idx="712">
                  <c:v>-2984.3500000000004</c:v>
                </c:pt>
                <c:pt idx="713">
                  <c:v>1507.8400000000001</c:v>
                </c:pt>
                <c:pt idx="714">
                  <c:v>-3357.8900000000012</c:v>
                </c:pt>
                <c:pt idx="715">
                  <c:v>1187.6900000000005</c:v>
                </c:pt>
                <c:pt idx="716">
                  <c:v>270.52999999999884</c:v>
                </c:pt>
                <c:pt idx="717">
                  <c:v>1.1399999999994179</c:v>
                </c:pt>
                <c:pt idx="718">
                  <c:v>-1412.7299999999996</c:v>
                </c:pt>
                <c:pt idx="719">
                  <c:v>-2519.6100000000024</c:v>
                </c:pt>
                <c:pt idx="720">
                  <c:v>2323.6699999999992</c:v>
                </c:pt>
                <c:pt idx="721">
                  <c:v>-1050.9799999999996</c:v>
                </c:pt>
                <c:pt idx="722">
                  <c:v>-24.319999999999709</c:v>
                </c:pt>
                <c:pt idx="723">
                  <c:v>-2407.6900000000023</c:v>
                </c:pt>
                <c:pt idx="724">
                  <c:v>-880.69000000000051</c:v>
                </c:pt>
                <c:pt idx="725">
                  <c:v>-1435.2900000000009</c:v>
                </c:pt>
                <c:pt idx="726">
                  <c:v>3567.3099999999995</c:v>
                </c:pt>
                <c:pt idx="727">
                  <c:v>3301.8100000000004</c:v>
                </c:pt>
                <c:pt idx="728">
                  <c:v>3729.2400000000007</c:v>
                </c:pt>
                <c:pt idx="729">
                  <c:v>-1145.7700000000004</c:v>
                </c:pt>
                <c:pt idx="730">
                  <c:v>770.34999999999673</c:v>
                </c:pt>
                <c:pt idx="731">
                  <c:v>2802.0499999999984</c:v>
                </c:pt>
                <c:pt idx="732">
                  <c:v>4560.9800000000014</c:v>
                </c:pt>
                <c:pt idx="733">
                  <c:v>1211.3699999999972</c:v>
                </c:pt>
                <c:pt idx="734">
                  <c:v>213.89999999999782</c:v>
                </c:pt>
                <c:pt idx="735">
                  <c:v>-1017.1300000000028</c:v>
                </c:pt>
                <c:pt idx="736">
                  <c:v>-2810.8700000000026</c:v>
                </c:pt>
                <c:pt idx="737">
                  <c:v>1962.2899999999991</c:v>
                </c:pt>
                <c:pt idx="738">
                  <c:v>1218.2000000000007</c:v>
                </c:pt>
                <c:pt idx="739">
                  <c:v>87.1299999999992</c:v>
                </c:pt>
                <c:pt idx="740">
                  <c:v>545.35999999999876</c:v>
                </c:pt>
                <c:pt idx="741">
                  <c:v>1666.3899999999994</c:v>
                </c:pt>
                <c:pt idx="742">
                  <c:v>-723.28000000000065</c:v>
                </c:pt>
                <c:pt idx="743">
                  <c:v>425.28999999999905</c:v>
                </c:pt>
                <c:pt idx="744">
                  <c:v>1764.4399999999987</c:v>
                </c:pt>
                <c:pt idx="745">
                  <c:v>5795.6499999999987</c:v>
                </c:pt>
                <c:pt idx="746">
                  <c:v>2480.8699999999981</c:v>
                </c:pt>
                <c:pt idx="747">
                  <c:v>1702.4499999999989</c:v>
                </c:pt>
                <c:pt idx="748">
                  <c:v>1006.6099999999988</c:v>
                </c:pt>
                <c:pt idx="749">
                  <c:v>53.279999999998836</c:v>
                </c:pt>
                <c:pt idx="750">
                  <c:v>2804.2700000000004</c:v>
                </c:pt>
                <c:pt idx="751">
                  <c:v>3882.1899999999996</c:v>
                </c:pt>
                <c:pt idx="752">
                  <c:v>2121.1200000000008</c:v>
                </c:pt>
                <c:pt idx="753">
                  <c:v>2878.21</c:v>
                </c:pt>
                <c:pt idx="754">
                  <c:v>4874.7299999999987</c:v>
                </c:pt>
                <c:pt idx="755">
                  <c:v>1341.0899999999983</c:v>
                </c:pt>
                <c:pt idx="756">
                  <c:v>-4796.380000000001</c:v>
                </c:pt>
                <c:pt idx="757">
                  <c:v>4603.3600000000006</c:v>
                </c:pt>
                <c:pt idx="758">
                  <c:v>4465.5700000000015</c:v>
                </c:pt>
                <c:pt idx="759">
                  <c:v>-1847.760000000002</c:v>
                </c:pt>
                <c:pt idx="760">
                  <c:v>-2533.9800000000014</c:v>
                </c:pt>
                <c:pt idx="761">
                  <c:v>-42.8700000000008</c:v>
                </c:pt>
                <c:pt idx="762">
                  <c:v>1793.909999999998</c:v>
                </c:pt>
                <c:pt idx="763">
                  <c:v>4790.4600000000009</c:v>
                </c:pt>
                <c:pt idx="764">
                  <c:v>-383.49000000000342</c:v>
                </c:pt>
                <c:pt idx="765">
                  <c:v>700.07999999999811</c:v>
                </c:pt>
                <c:pt idx="766">
                  <c:v>1796.8099999999977</c:v>
                </c:pt>
                <c:pt idx="767">
                  <c:v>3779.7599999999993</c:v>
                </c:pt>
                <c:pt idx="768">
                  <c:v>4760.53</c:v>
                </c:pt>
                <c:pt idx="769">
                  <c:v>4167.8499999999995</c:v>
                </c:pt>
                <c:pt idx="770">
                  <c:v>1999.1599999999999</c:v>
                </c:pt>
                <c:pt idx="771">
                  <c:v>1990.3399999999983</c:v>
                </c:pt>
                <c:pt idx="772">
                  <c:v>1465.1399999999994</c:v>
                </c:pt>
                <c:pt idx="773">
                  <c:v>4347.0100000000011</c:v>
                </c:pt>
                <c:pt idx="774">
                  <c:v>5225.6799999999994</c:v>
                </c:pt>
                <c:pt idx="775">
                  <c:v>2344.6499999999978</c:v>
                </c:pt>
                <c:pt idx="776">
                  <c:v>-211.60000000000036</c:v>
                </c:pt>
                <c:pt idx="777">
                  <c:v>2235.7999999999993</c:v>
                </c:pt>
                <c:pt idx="778">
                  <c:v>4315.3700000000008</c:v>
                </c:pt>
                <c:pt idx="779">
                  <c:v>5197.9600000000009</c:v>
                </c:pt>
                <c:pt idx="780">
                  <c:v>-552.28000000000065</c:v>
                </c:pt>
                <c:pt idx="781">
                  <c:v>3469.2999999999993</c:v>
                </c:pt>
                <c:pt idx="782">
                  <c:v>2319.75</c:v>
                </c:pt>
                <c:pt idx="783">
                  <c:v>1030.08</c:v>
                </c:pt>
                <c:pt idx="784">
                  <c:v>-130.69000000000051</c:v>
                </c:pt>
                <c:pt idx="785">
                  <c:v>3174.2999999999993</c:v>
                </c:pt>
                <c:pt idx="786">
                  <c:v>-32.570000000001528</c:v>
                </c:pt>
                <c:pt idx="787">
                  <c:v>1443.0100000000002</c:v>
                </c:pt>
                <c:pt idx="788">
                  <c:v>3142.1600000000017</c:v>
                </c:pt>
                <c:pt idx="789">
                  <c:v>2811.5000000000018</c:v>
                </c:pt>
                <c:pt idx="790">
                  <c:v>924.5</c:v>
                </c:pt>
                <c:pt idx="791">
                  <c:v>-412.85000000000036</c:v>
                </c:pt>
                <c:pt idx="792">
                  <c:v>3309.9299999999994</c:v>
                </c:pt>
                <c:pt idx="793">
                  <c:v>847.6299999999992</c:v>
                </c:pt>
                <c:pt idx="794">
                  <c:v>3048.6699999999983</c:v>
                </c:pt>
                <c:pt idx="795">
                  <c:v>2616.6800000000003</c:v>
                </c:pt>
                <c:pt idx="796">
                  <c:v>3996.010000000002</c:v>
                </c:pt>
                <c:pt idx="797">
                  <c:v>1692.25</c:v>
                </c:pt>
                <c:pt idx="798">
                  <c:v>1978.619999999999</c:v>
                </c:pt>
                <c:pt idx="799">
                  <c:v>4059.9400000000005</c:v>
                </c:pt>
                <c:pt idx="800">
                  <c:v>6472.9299999999985</c:v>
                </c:pt>
                <c:pt idx="801">
                  <c:v>1079.5599999999995</c:v>
                </c:pt>
                <c:pt idx="802">
                  <c:v>833.22999999999774</c:v>
                </c:pt>
                <c:pt idx="803">
                  <c:v>267.2599999999984</c:v>
                </c:pt>
                <c:pt idx="804">
                  <c:v>-2054.7000000000007</c:v>
                </c:pt>
                <c:pt idx="805">
                  <c:v>2284.5599999999995</c:v>
                </c:pt>
                <c:pt idx="806">
                  <c:v>1443.4499999999989</c:v>
                </c:pt>
                <c:pt idx="807">
                  <c:v>5925.8399999999992</c:v>
                </c:pt>
                <c:pt idx="808">
                  <c:v>3685.5700000000006</c:v>
                </c:pt>
                <c:pt idx="809">
                  <c:v>4340.0599999999995</c:v>
                </c:pt>
                <c:pt idx="810">
                  <c:v>275.29999999999927</c:v>
                </c:pt>
                <c:pt idx="811">
                  <c:v>-490.3700000000008</c:v>
                </c:pt>
                <c:pt idx="812">
                  <c:v>395.58000000000175</c:v>
                </c:pt>
                <c:pt idx="813">
                  <c:v>2131.6800000000003</c:v>
                </c:pt>
                <c:pt idx="814">
                  <c:v>-118.61000000000058</c:v>
                </c:pt>
                <c:pt idx="815">
                  <c:v>666.19999999999891</c:v>
                </c:pt>
                <c:pt idx="816">
                  <c:v>3975.079999999999</c:v>
                </c:pt>
                <c:pt idx="817">
                  <c:v>2693.7199999999993</c:v>
                </c:pt>
                <c:pt idx="818">
                  <c:v>1239.8099999999995</c:v>
                </c:pt>
                <c:pt idx="819">
                  <c:v>2559.4399999999987</c:v>
                </c:pt>
                <c:pt idx="820">
                  <c:v>-1454.2800000000007</c:v>
                </c:pt>
                <c:pt idx="821">
                  <c:v>2833.9699999999975</c:v>
                </c:pt>
                <c:pt idx="822">
                  <c:v>308.22999999999774</c:v>
                </c:pt>
                <c:pt idx="823">
                  <c:v>-843.94000000000051</c:v>
                </c:pt>
                <c:pt idx="824">
                  <c:v>6057.3600000000006</c:v>
                </c:pt>
                <c:pt idx="825">
                  <c:v>5057.1400000000003</c:v>
                </c:pt>
                <c:pt idx="826">
                  <c:v>3736.4799999999987</c:v>
                </c:pt>
                <c:pt idx="827">
                  <c:v>3764.1699999999992</c:v>
                </c:pt>
                <c:pt idx="828">
                  <c:v>1829.880000000001</c:v>
                </c:pt>
                <c:pt idx="829">
                  <c:v>178.75</c:v>
                </c:pt>
                <c:pt idx="830">
                  <c:v>5488.3000000000011</c:v>
                </c:pt>
                <c:pt idx="831">
                  <c:v>4998.0600000000013</c:v>
                </c:pt>
                <c:pt idx="832">
                  <c:v>5072.84</c:v>
                </c:pt>
                <c:pt idx="833">
                  <c:v>1490.9299999999985</c:v>
                </c:pt>
                <c:pt idx="834">
                  <c:v>5325.0800000000008</c:v>
                </c:pt>
                <c:pt idx="835">
                  <c:v>3785.7099999999991</c:v>
                </c:pt>
                <c:pt idx="836">
                  <c:v>1285.3399999999965</c:v>
                </c:pt>
                <c:pt idx="837">
                  <c:v>3095.8499999999985</c:v>
                </c:pt>
                <c:pt idx="838">
                  <c:v>2024.0100000000002</c:v>
                </c:pt>
                <c:pt idx="839">
                  <c:v>1266.5500000000011</c:v>
                </c:pt>
                <c:pt idx="840">
                  <c:v>3744.8499999999985</c:v>
                </c:pt>
                <c:pt idx="841">
                  <c:v>4813.2699999999986</c:v>
                </c:pt>
                <c:pt idx="842">
                  <c:v>988.1299999999992</c:v>
                </c:pt>
                <c:pt idx="843">
                  <c:v>472.51999999999862</c:v>
                </c:pt>
                <c:pt idx="844">
                  <c:v>2309.5699999999997</c:v>
                </c:pt>
                <c:pt idx="845">
                  <c:v>3141.0500000000011</c:v>
                </c:pt>
                <c:pt idx="846">
                  <c:v>6206.4599999999973</c:v>
                </c:pt>
                <c:pt idx="847">
                  <c:v>4969.4299999999994</c:v>
                </c:pt>
                <c:pt idx="848">
                  <c:v>1287.3600000000006</c:v>
                </c:pt>
                <c:pt idx="849">
                  <c:v>3625.16</c:v>
                </c:pt>
                <c:pt idx="850">
                  <c:v>4558.2400000000007</c:v>
                </c:pt>
                <c:pt idx="851">
                  <c:v>5057.75</c:v>
                </c:pt>
                <c:pt idx="852">
                  <c:v>18.919999999998254</c:v>
                </c:pt>
                <c:pt idx="853">
                  <c:v>1669.4600000000009</c:v>
                </c:pt>
                <c:pt idx="854">
                  <c:v>6350.1600000000008</c:v>
                </c:pt>
                <c:pt idx="855">
                  <c:v>6197.6600000000008</c:v>
                </c:pt>
                <c:pt idx="856">
                  <c:v>6618.4299999999994</c:v>
                </c:pt>
                <c:pt idx="857">
                  <c:v>6762.37</c:v>
                </c:pt>
                <c:pt idx="858">
                  <c:v>4400.9800000000014</c:v>
                </c:pt>
                <c:pt idx="859">
                  <c:v>4384.7100000000019</c:v>
                </c:pt>
                <c:pt idx="860">
                  <c:v>5867.5700000000024</c:v>
                </c:pt>
                <c:pt idx="861">
                  <c:v>6072.090000000002</c:v>
                </c:pt>
                <c:pt idx="862">
                  <c:v>6231.03</c:v>
                </c:pt>
                <c:pt idx="863">
                  <c:v>6570.07</c:v>
                </c:pt>
                <c:pt idx="864">
                  <c:v>2725.8999999999996</c:v>
                </c:pt>
                <c:pt idx="865">
                  <c:v>4107.8099999999995</c:v>
                </c:pt>
                <c:pt idx="866">
                  <c:v>2305.0500000000011</c:v>
                </c:pt>
                <c:pt idx="867">
                  <c:v>4143.1200000000008</c:v>
                </c:pt>
                <c:pt idx="868">
                  <c:v>3006.1800000000003</c:v>
                </c:pt>
                <c:pt idx="869">
                  <c:v>5385.4000000000024</c:v>
                </c:pt>
                <c:pt idx="870">
                  <c:v>4640.2</c:v>
                </c:pt>
                <c:pt idx="871">
                  <c:v>-279.04000000000269</c:v>
                </c:pt>
                <c:pt idx="872">
                  <c:v>3470.9699999999993</c:v>
                </c:pt>
                <c:pt idx="873">
                  <c:v>4528.3600000000006</c:v>
                </c:pt>
                <c:pt idx="874">
                  <c:v>5276.3499999999976</c:v>
                </c:pt>
                <c:pt idx="875">
                  <c:v>3480.739999999998</c:v>
                </c:pt>
                <c:pt idx="876">
                  <c:v>-352.60000000000218</c:v>
                </c:pt>
                <c:pt idx="877">
                  <c:v>4497.1400000000012</c:v>
                </c:pt>
                <c:pt idx="878">
                  <c:v>6688.6000000000013</c:v>
                </c:pt>
                <c:pt idx="879">
                  <c:v>3822.6100000000006</c:v>
                </c:pt>
                <c:pt idx="880">
                  <c:v>-1503.2800000000007</c:v>
                </c:pt>
                <c:pt idx="881">
                  <c:v>5877.2199999999993</c:v>
                </c:pt>
                <c:pt idx="882">
                  <c:v>6223.5300000000007</c:v>
                </c:pt>
                <c:pt idx="883">
                  <c:v>4504.329999999999</c:v>
                </c:pt>
                <c:pt idx="884">
                  <c:v>7110.74</c:v>
                </c:pt>
                <c:pt idx="885">
                  <c:v>4534.5200000000013</c:v>
                </c:pt>
                <c:pt idx="886">
                  <c:v>4441.7999999999993</c:v>
                </c:pt>
                <c:pt idx="887">
                  <c:v>6171.4300000000021</c:v>
                </c:pt>
                <c:pt idx="888">
                  <c:v>259.59999999999673</c:v>
                </c:pt>
                <c:pt idx="889">
                  <c:v>6851.3799999999983</c:v>
                </c:pt>
                <c:pt idx="890">
                  <c:v>4643.2199999999993</c:v>
                </c:pt>
                <c:pt idx="891">
                  <c:v>2285.6800000000003</c:v>
                </c:pt>
                <c:pt idx="892">
                  <c:v>749.48999999999796</c:v>
                </c:pt>
                <c:pt idx="893">
                  <c:v>2430.909999999998</c:v>
                </c:pt>
                <c:pt idx="894">
                  <c:v>227.72299999999632</c:v>
                </c:pt>
                <c:pt idx="895">
                  <c:v>678.31999999999971</c:v>
                </c:pt>
                <c:pt idx="896">
                  <c:v>3754.1400000000012</c:v>
                </c:pt>
                <c:pt idx="897">
                  <c:v>6068.4299999999994</c:v>
                </c:pt>
                <c:pt idx="898">
                  <c:v>4621.4599999999991</c:v>
                </c:pt>
                <c:pt idx="899">
                  <c:v>2439.7099999999991</c:v>
                </c:pt>
                <c:pt idx="900">
                  <c:v>6857.4399999999978</c:v>
                </c:pt>
                <c:pt idx="901">
                  <c:v>7889.4700000000021</c:v>
                </c:pt>
                <c:pt idx="902">
                  <c:v>7143.73</c:v>
                </c:pt>
                <c:pt idx="903">
                  <c:v>5539.2</c:v>
                </c:pt>
                <c:pt idx="904">
                  <c:v>6481.9400000000005</c:v>
                </c:pt>
                <c:pt idx="905">
                  <c:v>3419.9399999999987</c:v>
                </c:pt>
                <c:pt idx="906">
                  <c:v>-833.36000000000058</c:v>
                </c:pt>
                <c:pt idx="907">
                  <c:v>3776.5999999999985</c:v>
                </c:pt>
                <c:pt idx="908">
                  <c:v>-356.59000000000015</c:v>
                </c:pt>
                <c:pt idx="909">
                  <c:v>5147.8900000000012</c:v>
                </c:pt>
                <c:pt idx="910">
                  <c:v>6188.8</c:v>
                </c:pt>
                <c:pt idx="911">
                  <c:v>3904.0599999999995</c:v>
                </c:pt>
                <c:pt idx="912">
                  <c:v>4272.1100000000006</c:v>
                </c:pt>
                <c:pt idx="913">
                  <c:v>1535.4299999999985</c:v>
                </c:pt>
                <c:pt idx="914">
                  <c:v>4849.2999999999993</c:v>
                </c:pt>
                <c:pt idx="915">
                  <c:v>5517.8000000000011</c:v>
                </c:pt>
                <c:pt idx="916">
                  <c:v>1057.1999999999989</c:v>
                </c:pt>
                <c:pt idx="917">
                  <c:v>1249.0999999999985</c:v>
                </c:pt>
                <c:pt idx="918">
                  <c:v>4732.1000000000004</c:v>
                </c:pt>
                <c:pt idx="919">
                  <c:v>3799.0799999999981</c:v>
                </c:pt>
                <c:pt idx="920">
                  <c:v>3575.6499999999978</c:v>
                </c:pt>
                <c:pt idx="921">
                  <c:v>5385.7200000000012</c:v>
                </c:pt>
                <c:pt idx="922">
                  <c:v>7427.8100000000013</c:v>
                </c:pt>
                <c:pt idx="923">
                  <c:v>4468.4699999999993</c:v>
                </c:pt>
                <c:pt idx="924">
                  <c:v>6447.93</c:v>
                </c:pt>
                <c:pt idx="925">
                  <c:v>5982.7800000000016</c:v>
                </c:pt>
                <c:pt idx="926">
                  <c:v>2175.029999999997</c:v>
                </c:pt>
                <c:pt idx="927">
                  <c:v>6369.3600000000024</c:v>
                </c:pt>
                <c:pt idx="928">
                  <c:v>7562.5099999999993</c:v>
                </c:pt>
                <c:pt idx="929">
                  <c:v>3529.5299999999988</c:v>
                </c:pt>
                <c:pt idx="930">
                  <c:v>5386.07</c:v>
                </c:pt>
                <c:pt idx="931">
                  <c:v>6553.7700000000013</c:v>
                </c:pt>
                <c:pt idx="932">
                  <c:v>3625.6299999999992</c:v>
                </c:pt>
                <c:pt idx="933">
                  <c:v>-1205.2500000000018</c:v>
                </c:pt>
                <c:pt idx="934">
                  <c:v>4417.09</c:v>
                </c:pt>
                <c:pt idx="935">
                  <c:v>3270.9599999999991</c:v>
                </c:pt>
                <c:pt idx="936">
                  <c:v>3184.6199999999972</c:v>
                </c:pt>
                <c:pt idx="937">
                  <c:v>-6996.1140000000069</c:v>
                </c:pt>
                <c:pt idx="938">
                  <c:v>8049.45</c:v>
                </c:pt>
                <c:pt idx="939">
                  <c:v>5976.5399999999991</c:v>
                </c:pt>
                <c:pt idx="940">
                  <c:v>5615.5</c:v>
                </c:pt>
                <c:pt idx="941">
                  <c:v>-508.71299999999974</c:v>
                </c:pt>
                <c:pt idx="942">
                  <c:v>3387.4299999999985</c:v>
                </c:pt>
                <c:pt idx="943">
                  <c:v>5834.670000000001</c:v>
                </c:pt>
                <c:pt idx="944">
                  <c:v>5763.2400000000016</c:v>
                </c:pt>
                <c:pt idx="945">
                  <c:v>7308.6099999999988</c:v>
                </c:pt>
                <c:pt idx="946">
                  <c:v>4023.6800000000003</c:v>
                </c:pt>
                <c:pt idx="947">
                  <c:v>3712.3099999999995</c:v>
                </c:pt>
                <c:pt idx="948">
                  <c:v>5520.7699999999986</c:v>
                </c:pt>
                <c:pt idx="949">
                  <c:v>4603.0500000000011</c:v>
                </c:pt>
                <c:pt idx="950">
                  <c:v>6280.83</c:v>
                </c:pt>
                <c:pt idx="951">
                  <c:v>7253.02</c:v>
                </c:pt>
                <c:pt idx="952">
                  <c:v>1563.0499999999956</c:v>
                </c:pt>
                <c:pt idx="953">
                  <c:v>4973.6799999999985</c:v>
                </c:pt>
                <c:pt idx="954">
                  <c:v>4657.7300000000014</c:v>
                </c:pt>
                <c:pt idx="955">
                  <c:v>5734.4599999999991</c:v>
                </c:pt>
                <c:pt idx="956">
                  <c:v>4818.2299999999996</c:v>
                </c:pt>
                <c:pt idx="957">
                  <c:v>6030.119999999999</c:v>
                </c:pt>
                <c:pt idx="958">
                  <c:v>5487.43</c:v>
                </c:pt>
                <c:pt idx="959">
                  <c:v>5014.6899999999987</c:v>
                </c:pt>
                <c:pt idx="960">
                  <c:v>-4467.3029999999999</c:v>
                </c:pt>
                <c:pt idx="961">
                  <c:v>8516.0099999999984</c:v>
                </c:pt>
                <c:pt idx="962">
                  <c:v>5122.3700000000008</c:v>
                </c:pt>
                <c:pt idx="963">
                  <c:v>5026.1399999999994</c:v>
                </c:pt>
                <c:pt idx="964">
                  <c:v>6971.4100000000026</c:v>
                </c:pt>
                <c:pt idx="965">
                  <c:v>4786.0199999999986</c:v>
                </c:pt>
                <c:pt idx="966">
                  <c:v>-249.19000000000051</c:v>
                </c:pt>
                <c:pt idx="967">
                  <c:v>3103.9599999999991</c:v>
                </c:pt>
                <c:pt idx="968">
                  <c:v>3058.7299999999996</c:v>
                </c:pt>
                <c:pt idx="969">
                  <c:v>6767.8700000000008</c:v>
                </c:pt>
                <c:pt idx="970">
                  <c:v>5159.4500000000007</c:v>
                </c:pt>
                <c:pt idx="971">
                  <c:v>5364.49</c:v>
                </c:pt>
                <c:pt idx="972">
                  <c:v>4687.4299999999985</c:v>
                </c:pt>
                <c:pt idx="973">
                  <c:v>1880.5219999999954</c:v>
                </c:pt>
                <c:pt idx="974">
                  <c:v>6275.8299999999981</c:v>
                </c:pt>
                <c:pt idx="975">
                  <c:v>6187.76</c:v>
                </c:pt>
                <c:pt idx="976">
                  <c:v>-2096.7150000000038</c:v>
                </c:pt>
                <c:pt idx="977">
                  <c:v>297.18999999999869</c:v>
                </c:pt>
                <c:pt idx="978">
                  <c:v>4939.8199999999979</c:v>
                </c:pt>
                <c:pt idx="979">
                  <c:v>-3656.3259999999991</c:v>
                </c:pt>
                <c:pt idx="980">
                  <c:v>5333.8299999999981</c:v>
                </c:pt>
                <c:pt idx="981">
                  <c:v>6422.7999999999993</c:v>
                </c:pt>
                <c:pt idx="982">
                  <c:v>-1852.730000000005</c:v>
                </c:pt>
                <c:pt idx="983">
                  <c:v>4860.9500000000007</c:v>
                </c:pt>
                <c:pt idx="984">
                  <c:v>4900.0300000000007</c:v>
                </c:pt>
                <c:pt idx="985">
                  <c:v>4724.9999999999982</c:v>
                </c:pt>
                <c:pt idx="986">
                  <c:v>2876.7599999999984</c:v>
                </c:pt>
                <c:pt idx="987">
                  <c:v>-4253.3310000000038</c:v>
                </c:pt>
                <c:pt idx="988">
                  <c:v>-9730.8679999999986</c:v>
                </c:pt>
                <c:pt idx="989">
                  <c:v>6565.8600000000006</c:v>
                </c:pt>
                <c:pt idx="990">
                  <c:v>5401.3899999999976</c:v>
                </c:pt>
                <c:pt idx="991">
                  <c:v>-3660.9290000000092</c:v>
                </c:pt>
                <c:pt idx="992">
                  <c:v>4632.7529999999952</c:v>
                </c:pt>
                <c:pt idx="993">
                  <c:v>6387.83</c:v>
                </c:pt>
                <c:pt idx="994">
                  <c:v>3453.66</c:v>
                </c:pt>
                <c:pt idx="995">
                  <c:v>7898.3399999999983</c:v>
                </c:pt>
                <c:pt idx="996">
                  <c:v>-3247.9010000000017</c:v>
                </c:pt>
                <c:pt idx="997">
                  <c:v>-6745.4009999999998</c:v>
                </c:pt>
                <c:pt idx="998">
                  <c:v>-6505.4470000000019</c:v>
                </c:pt>
                <c:pt idx="999">
                  <c:v>-7846.613000000003</c:v>
                </c:pt>
                <c:pt idx="1000">
                  <c:v>456.52999999999884</c:v>
                </c:pt>
                <c:pt idx="1001">
                  <c:v>-3988.4200000000019</c:v>
                </c:pt>
                <c:pt idx="1002">
                  <c:v>4816.6699999999964</c:v>
                </c:pt>
                <c:pt idx="1003">
                  <c:v>-1656.4020000000055</c:v>
                </c:pt>
                <c:pt idx="1004">
                  <c:v>10870.84</c:v>
                </c:pt>
                <c:pt idx="1005">
                  <c:v>-5418.4220000000023</c:v>
                </c:pt>
                <c:pt idx="1006">
                  <c:v>-2893.8690000000061</c:v>
                </c:pt>
                <c:pt idx="1007">
                  <c:v>6767.08</c:v>
                </c:pt>
                <c:pt idx="1008">
                  <c:v>-8417.6409999999996</c:v>
                </c:pt>
                <c:pt idx="1009">
                  <c:v>-4273.9890000000014</c:v>
                </c:pt>
                <c:pt idx="1010">
                  <c:v>-10330.997000000003</c:v>
                </c:pt>
                <c:pt idx="1011">
                  <c:v>-8738.6719999999987</c:v>
                </c:pt>
                <c:pt idx="1012">
                  <c:v>4331.1399999999994</c:v>
                </c:pt>
                <c:pt idx="1013">
                  <c:v>-8485.8759999999966</c:v>
                </c:pt>
                <c:pt idx="1014">
                  <c:v>1707.4879999999939</c:v>
                </c:pt>
                <c:pt idx="1015">
                  <c:v>-9143.2690000000075</c:v>
                </c:pt>
                <c:pt idx="1016">
                  <c:v>-2694.010000000002</c:v>
                </c:pt>
                <c:pt idx="1017">
                  <c:v>-7617.4170000000086</c:v>
                </c:pt>
                <c:pt idx="1018">
                  <c:v>-3159.3240000000042</c:v>
                </c:pt>
                <c:pt idx="1019">
                  <c:v>-6400.82</c:v>
                </c:pt>
                <c:pt idx="1020">
                  <c:v>10962.310000000001</c:v>
                </c:pt>
                <c:pt idx="1021">
                  <c:v>-815.7300000000032</c:v>
                </c:pt>
                <c:pt idx="1022">
                  <c:v>-6606.0510000000031</c:v>
                </c:pt>
                <c:pt idx="1023">
                  <c:v>5605.9700000000012</c:v>
                </c:pt>
                <c:pt idx="1024">
                  <c:v>-6268.0620000000054</c:v>
                </c:pt>
                <c:pt idx="1025">
                  <c:v>9394.6999999999989</c:v>
                </c:pt>
                <c:pt idx="1026">
                  <c:v>-6712.2129999999997</c:v>
                </c:pt>
                <c:pt idx="1027">
                  <c:v>-8811.7570000000014</c:v>
                </c:pt>
                <c:pt idx="1028">
                  <c:v>8200.92</c:v>
                </c:pt>
                <c:pt idx="1029">
                  <c:v>8242.0399999999972</c:v>
                </c:pt>
                <c:pt idx="1030">
                  <c:v>-8925.7669999999998</c:v>
                </c:pt>
                <c:pt idx="1031">
                  <c:v>-6185.697999999993</c:v>
                </c:pt>
                <c:pt idx="1032">
                  <c:v>-1852.0159999999996</c:v>
                </c:pt>
                <c:pt idx="1033">
                  <c:v>-7409.1150000000016</c:v>
                </c:pt>
                <c:pt idx="1034">
                  <c:v>-6265.5749999999971</c:v>
                </c:pt>
                <c:pt idx="1035">
                  <c:v>-903.53400000000693</c:v>
                </c:pt>
                <c:pt idx="1036">
                  <c:v>-10083.412</c:v>
                </c:pt>
                <c:pt idx="1037">
                  <c:v>-2795.1529999999984</c:v>
                </c:pt>
                <c:pt idx="1038">
                  <c:v>1805.4409999999953</c:v>
                </c:pt>
                <c:pt idx="1039">
                  <c:v>9208.33</c:v>
                </c:pt>
                <c:pt idx="1040">
                  <c:v>11089.330000000002</c:v>
                </c:pt>
                <c:pt idx="1041">
                  <c:v>10652.170000000002</c:v>
                </c:pt>
                <c:pt idx="1042">
                  <c:v>9334.2999999999993</c:v>
                </c:pt>
                <c:pt idx="1043">
                  <c:v>12233.260000000002</c:v>
                </c:pt>
                <c:pt idx="1044">
                  <c:v>10076.64</c:v>
                </c:pt>
                <c:pt idx="1045">
                  <c:v>-2910.0770000000048</c:v>
                </c:pt>
                <c:pt idx="1046">
                  <c:v>5401.4329999999918</c:v>
                </c:pt>
                <c:pt idx="1047">
                  <c:v>-6638.5890000000036</c:v>
                </c:pt>
                <c:pt idx="1048">
                  <c:v>-4022.9409999999953</c:v>
                </c:pt>
                <c:pt idx="1049">
                  <c:v>6231.4900000000016</c:v>
                </c:pt>
                <c:pt idx="1050">
                  <c:v>-2651.3310000000019</c:v>
                </c:pt>
                <c:pt idx="1051">
                  <c:v>11125.289999999997</c:v>
                </c:pt>
                <c:pt idx="1052">
                  <c:v>-7547.2020000000011</c:v>
                </c:pt>
                <c:pt idx="1053">
                  <c:v>-2916.5960000000014</c:v>
                </c:pt>
                <c:pt idx="1054">
                  <c:v>10615.179999999998</c:v>
                </c:pt>
                <c:pt idx="1055">
                  <c:v>564.07200000000375</c:v>
                </c:pt>
                <c:pt idx="1056">
                  <c:v>3446.9299999999985</c:v>
                </c:pt>
                <c:pt idx="1057">
                  <c:v>1330.0060000000012</c:v>
                </c:pt>
                <c:pt idx="1058">
                  <c:v>-8374.1759999999922</c:v>
                </c:pt>
                <c:pt idx="1059">
                  <c:v>-4367.6659999999974</c:v>
                </c:pt>
                <c:pt idx="1060">
                  <c:v>2538.9519999999975</c:v>
                </c:pt>
                <c:pt idx="1061">
                  <c:v>11429.530000000002</c:v>
                </c:pt>
                <c:pt idx="1062">
                  <c:v>-7996.7010000000046</c:v>
                </c:pt>
                <c:pt idx="1063">
                  <c:v>10193.419999999998</c:v>
                </c:pt>
                <c:pt idx="1064">
                  <c:v>873.63999999999578</c:v>
                </c:pt>
                <c:pt idx="1065">
                  <c:v>-9856.7930000000015</c:v>
                </c:pt>
                <c:pt idx="1066">
                  <c:v>198.33400000000256</c:v>
                </c:pt>
                <c:pt idx="1067">
                  <c:v>-4847.0620000000017</c:v>
                </c:pt>
                <c:pt idx="1068">
                  <c:v>-4034.8860000000022</c:v>
                </c:pt>
                <c:pt idx="1069">
                  <c:v>5579.8679999999949</c:v>
                </c:pt>
                <c:pt idx="1070">
                  <c:v>8706.7299999999959</c:v>
                </c:pt>
                <c:pt idx="1071">
                  <c:v>-2767.8199999999997</c:v>
                </c:pt>
                <c:pt idx="1072">
                  <c:v>9858.4500000000007</c:v>
                </c:pt>
                <c:pt idx="1073">
                  <c:v>-6034.8940000000075</c:v>
                </c:pt>
                <c:pt idx="1074">
                  <c:v>14032.23</c:v>
                </c:pt>
                <c:pt idx="1075">
                  <c:v>9953.779999999997</c:v>
                </c:pt>
                <c:pt idx="1076">
                  <c:v>11490.15</c:v>
                </c:pt>
                <c:pt idx="1077">
                  <c:v>7010.5</c:v>
                </c:pt>
                <c:pt idx="1078">
                  <c:v>-4883.6030000000064</c:v>
                </c:pt>
                <c:pt idx="1079">
                  <c:v>-9363.1899999999987</c:v>
                </c:pt>
                <c:pt idx="1080">
                  <c:v>15372.320000000002</c:v>
                </c:pt>
                <c:pt idx="1081">
                  <c:v>7842.0199999999968</c:v>
                </c:pt>
                <c:pt idx="1082">
                  <c:v>-6729.7930000000051</c:v>
                </c:pt>
                <c:pt idx="1083">
                  <c:v>-6927.0270000000091</c:v>
                </c:pt>
                <c:pt idx="1084">
                  <c:v>90.828999999997905</c:v>
                </c:pt>
                <c:pt idx="1085">
                  <c:v>6251.9090000000069</c:v>
                </c:pt>
                <c:pt idx="1086">
                  <c:v>-334.0460000000021</c:v>
                </c:pt>
                <c:pt idx="1087">
                  <c:v>14537.89</c:v>
                </c:pt>
                <c:pt idx="1088">
                  <c:v>-1962.9440000000031</c:v>
                </c:pt>
                <c:pt idx="1089">
                  <c:v>12484.749999999996</c:v>
                </c:pt>
                <c:pt idx="1090">
                  <c:v>-2540.6840000000047</c:v>
                </c:pt>
                <c:pt idx="1091">
                  <c:v>-6275.4990000000034</c:v>
                </c:pt>
                <c:pt idx="1092">
                  <c:v>16082.77</c:v>
                </c:pt>
                <c:pt idx="1093">
                  <c:v>-6536.1609999999964</c:v>
                </c:pt>
                <c:pt idx="1094">
                  <c:v>1780.4170000000013</c:v>
                </c:pt>
                <c:pt idx="1095">
                  <c:v>-4805.607</c:v>
                </c:pt>
                <c:pt idx="1096">
                  <c:v>-3501.6210000000028</c:v>
                </c:pt>
                <c:pt idx="1097">
                  <c:v>13152.69</c:v>
                </c:pt>
                <c:pt idx="1098">
                  <c:v>1788.0069999999942</c:v>
                </c:pt>
                <c:pt idx="1099">
                  <c:v>98.633999999998196</c:v>
                </c:pt>
                <c:pt idx="1100">
                  <c:v>13305.820000000002</c:v>
                </c:pt>
                <c:pt idx="1101">
                  <c:v>-6999.3400000000038</c:v>
                </c:pt>
                <c:pt idx="1102">
                  <c:v>16115.619999999999</c:v>
                </c:pt>
                <c:pt idx="1103">
                  <c:v>6382.2920000000031</c:v>
                </c:pt>
                <c:pt idx="1104">
                  <c:v>-4859.6090000000004</c:v>
                </c:pt>
                <c:pt idx="1105">
                  <c:v>9302.7500000000018</c:v>
                </c:pt>
                <c:pt idx="1106">
                  <c:v>3190.7699999999932</c:v>
                </c:pt>
                <c:pt idx="1107">
                  <c:v>-6831.0010000000002</c:v>
                </c:pt>
                <c:pt idx="1108">
                  <c:v>-1264.5830000000024</c:v>
                </c:pt>
                <c:pt idx="1109">
                  <c:v>13948.279999999999</c:v>
                </c:pt>
                <c:pt idx="1110">
                  <c:v>14063.369999999999</c:v>
                </c:pt>
                <c:pt idx="1111">
                  <c:v>208.66799999999785</c:v>
                </c:pt>
                <c:pt idx="1112">
                  <c:v>15992.199999999999</c:v>
                </c:pt>
                <c:pt idx="1113">
                  <c:v>14236.5</c:v>
                </c:pt>
                <c:pt idx="1114">
                  <c:v>6738.0290000000023</c:v>
                </c:pt>
                <c:pt idx="1115">
                  <c:v>10783.96</c:v>
                </c:pt>
                <c:pt idx="1116">
                  <c:v>-1325.0440000000017</c:v>
                </c:pt>
                <c:pt idx="1117">
                  <c:v>-3468.7990000000027</c:v>
                </c:pt>
                <c:pt idx="1118">
                  <c:v>15936</c:v>
                </c:pt>
                <c:pt idx="1119">
                  <c:v>-1544.1700000000019</c:v>
                </c:pt>
                <c:pt idx="1120">
                  <c:v>-297.01200000000244</c:v>
                </c:pt>
                <c:pt idx="1121">
                  <c:v>3973.9309999999932</c:v>
                </c:pt>
                <c:pt idx="1122">
                  <c:v>2619.8079999999973</c:v>
                </c:pt>
                <c:pt idx="1123">
                  <c:v>16259.35</c:v>
                </c:pt>
                <c:pt idx="1124">
                  <c:v>953.37800000000061</c:v>
                </c:pt>
                <c:pt idx="1125">
                  <c:v>-758.86100000000079</c:v>
                </c:pt>
                <c:pt idx="1126">
                  <c:v>14271.119999999999</c:v>
                </c:pt>
                <c:pt idx="1127">
                  <c:v>-1251.385999999995</c:v>
                </c:pt>
                <c:pt idx="1128">
                  <c:v>18789.27</c:v>
                </c:pt>
                <c:pt idx="1129">
                  <c:v>16315.009999999998</c:v>
                </c:pt>
                <c:pt idx="1130">
                  <c:v>-2192.0840000000062</c:v>
                </c:pt>
                <c:pt idx="1131">
                  <c:v>-3465.6640000000043</c:v>
                </c:pt>
                <c:pt idx="1132">
                  <c:v>19130.39</c:v>
                </c:pt>
                <c:pt idx="1133">
                  <c:v>2738.3729999999996</c:v>
                </c:pt>
                <c:pt idx="1134">
                  <c:v>10267.329999999998</c:v>
                </c:pt>
                <c:pt idx="1135">
                  <c:v>-365.07700000000841</c:v>
                </c:pt>
                <c:pt idx="1136">
                  <c:v>3634.7359999999935</c:v>
                </c:pt>
                <c:pt idx="1137">
                  <c:v>12086.559999999998</c:v>
                </c:pt>
                <c:pt idx="1138">
                  <c:v>-4146.6280000000006</c:v>
                </c:pt>
                <c:pt idx="1139">
                  <c:v>19895.72</c:v>
                </c:pt>
                <c:pt idx="1140">
                  <c:v>-3093.5119999999988</c:v>
                </c:pt>
                <c:pt idx="1141">
                  <c:v>14861.980000000001</c:v>
                </c:pt>
                <c:pt idx="1142">
                  <c:v>3946.6609999999964</c:v>
                </c:pt>
                <c:pt idx="1143">
                  <c:v>16404.559999999998</c:v>
                </c:pt>
                <c:pt idx="1144">
                  <c:v>17439.599999999999</c:v>
                </c:pt>
                <c:pt idx="1145">
                  <c:v>8085.3970000000008</c:v>
                </c:pt>
                <c:pt idx="1146">
                  <c:v>17392.309999999998</c:v>
                </c:pt>
                <c:pt idx="1147">
                  <c:v>11206.08</c:v>
                </c:pt>
                <c:pt idx="1148">
                  <c:v>-720.36300000000119</c:v>
                </c:pt>
                <c:pt idx="1149">
                  <c:v>5166.2339999999967</c:v>
                </c:pt>
                <c:pt idx="1150">
                  <c:v>11399.689999999999</c:v>
                </c:pt>
                <c:pt idx="1151">
                  <c:v>19956.720000000005</c:v>
                </c:pt>
                <c:pt idx="1152">
                  <c:v>9038.4499999999971</c:v>
                </c:pt>
                <c:pt idx="1153">
                  <c:v>12016.669999999998</c:v>
                </c:pt>
                <c:pt idx="1154">
                  <c:v>3674.5780000000013</c:v>
                </c:pt>
                <c:pt idx="1155">
                  <c:v>19595.37</c:v>
                </c:pt>
                <c:pt idx="1156">
                  <c:v>2680.4900000000016</c:v>
                </c:pt>
                <c:pt idx="1157">
                  <c:v>21051.300000000003</c:v>
                </c:pt>
                <c:pt idx="1158">
                  <c:v>-2764.0000000000036</c:v>
                </c:pt>
                <c:pt idx="1159">
                  <c:v>19081.18</c:v>
                </c:pt>
                <c:pt idx="1160">
                  <c:v>22772.13</c:v>
                </c:pt>
                <c:pt idx="1161">
                  <c:v>9495.32</c:v>
                </c:pt>
                <c:pt idx="1162">
                  <c:v>1217.9880000000012</c:v>
                </c:pt>
                <c:pt idx="1163">
                  <c:v>22010.91</c:v>
                </c:pt>
                <c:pt idx="1164">
                  <c:v>1826.3530000000028</c:v>
                </c:pt>
                <c:pt idx="1165">
                  <c:v>20134.8</c:v>
                </c:pt>
                <c:pt idx="1166">
                  <c:v>-2226.4029999999948</c:v>
                </c:pt>
                <c:pt idx="1167">
                  <c:v>16117.02</c:v>
                </c:pt>
                <c:pt idx="1168">
                  <c:v>16237.41</c:v>
                </c:pt>
                <c:pt idx="1169">
                  <c:v>14106.439999999999</c:v>
                </c:pt>
                <c:pt idx="1170">
                  <c:v>18853.099999999999</c:v>
                </c:pt>
                <c:pt idx="1171">
                  <c:v>3337.062999999991</c:v>
                </c:pt>
                <c:pt idx="1172">
                  <c:v>21000.240000000002</c:v>
                </c:pt>
                <c:pt idx="1173">
                  <c:v>2258.2199999999975</c:v>
                </c:pt>
                <c:pt idx="1174">
                  <c:v>-4506.1589999999997</c:v>
                </c:pt>
                <c:pt idx="1175">
                  <c:v>16117.32</c:v>
                </c:pt>
                <c:pt idx="1176">
                  <c:v>2704.4289999999928</c:v>
                </c:pt>
                <c:pt idx="1177">
                  <c:v>-638.16300000000774</c:v>
                </c:pt>
                <c:pt idx="1178">
                  <c:v>19724.77</c:v>
                </c:pt>
                <c:pt idx="1179">
                  <c:v>22155.43</c:v>
                </c:pt>
                <c:pt idx="1180">
                  <c:v>-4499.9620000000104</c:v>
                </c:pt>
                <c:pt idx="1181">
                  <c:v>14067.489999999998</c:v>
                </c:pt>
                <c:pt idx="1182">
                  <c:v>23502.73</c:v>
                </c:pt>
                <c:pt idx="1183">
                  <c:v>1773.9889999999978</c:v>
                </c:pt>
                <c:pt idx="1184">
                  <c:v>15216.25</c:v>
                </c:pt>
                <c:pt idx="1185">
                  <c:v>18955.809999999998</c:v>
                </c:pt>
                <c:pt idx="1186">
                  <c:v>2490.2030000000013</c:v>
                </c:pt>
                <c:pt idx="1187">
                  <c:v>21717.907999999996</c:v>
                </c:pt>
                <c:pt idx="1188">
                  <c:v>6576.0529999999926</c:v>
                </c:pt>
                <c:pt idx="1189">
                  <c:v>7761.0099999999948</c:v>
                </c:pt>
                <c:pt idx="1190">
                  <c:v>21759.68</c:v>
                </c:pt>
                <c:pt idx="1191">
                  <c:v>2336.0569999999934</c:v>
                </c:pt>
                <c:pt idx="1192">
                  <c:v>-4245.3130000000019</c:v>
                </c:pt>
                <c:pt idx="1193">
                  <c:v>5950.8390000000036</c:v>
                </c:pt>
                <c:pt idx="1194">
                  <c:v>452.12200000000303</c:v>
                </c:pt>
                <c:pt idx="1195">
                  <c:v>7946.9440000000068</c:v>
                </c:pt>
                <c:pt idx="1196">
                  <c:v>-2028.3760000000038</c:v>
                </c:pt>
                <c:pt idx="1197">
                  <c:v>-4125.0889999999999</c:v>
                </c:pt>
                <c:pt idx="1198">
                  <c:v>626.61699999999837</c:v>
                </c:pt>
                <c:pt idx="1199">
                  <c:v>3502.5509999999922</c:v>
                </c:pt>
                <c:pt idx="1200">
                  <c:v>2975.5269999999873</c:v>
                </c:pt>
                <c:pt idx="1201">
                  <c:v>1808.0949999999939</c:v>
                </c:pt>
                <c:pt idx="1202">
                  <c:v>888.97699999999895</c:v>
                </c:pt>
                <c:pt idx="1203">
                  <c:v>1147.9579999999987</c:v>
                </c:pt>
                <c:pt idx="1204">
                  <c:v>2916.4210000000057</c:v>
                </c:pt>
                <c:pt idx="1205">
                  <c:v>-3732.8610000000044</c:v>
                </c:pt>
                <c:pt idx="1206">
                  <c:v>2577.7140000000036</c:v>
                </c:pt>
                <c:pt idx="1207">
                  <c:v>16643.489000000001</c:v>
                </c:pt>
                <c:pt idx="1208">
                  <c:v>5043.3249999999971</c:v>
                </c:pt>
                <c:pt idx="1209">
                  <c:v>24884.189999999995</c:v>
                </c:pt>
                <c:pt idx="1210">
                  <c:v>-103.68200000000797</c:v>
                </c:pt>
                <c:pt idx="1211">
                  <c:v>394.27599999999074</c:v>
                </c:pt>
                <c:pt idx="1212">
                  <c:v>-444.55000000000291</c:v>
                </c:pt>
                <c:pt idx="1213">
                  <c:v>3143.6180000000095</c:v>
                </c:pt>
                <c:pt idx="1214">
                  <c:v>4667.0390000000007</c:v>
                </c:pt>
                <c:pt idx="1215">
                  <c:v>-22.667000000001281</c:v>
                </c:pt>
                <c:pt idx="1216">
                  <c:v>-6026.0109999999913</c:v>
                </c:pt>
                <c:pt idx="1217">
                  <c:v>-197.78300000001036</c:v>
                </c:pt>
                <c:pt idx="1218">
                  <c:v>-2057.9460000000036</c:v>
                </c:pt>
                <c:pt idx="1219">
                  <c:v>-2601.3799999999974</c:v>
                </c:pt>
                <c:pt idx="1220">
                  <c:v>-7742.698000000004</c:v>
                </c:pt>
                <c:pt idx="1221">
                  <c:v>597.11699999999837</c:v>
                </c:pt>
                <c:pt idx="1222">
                  <c:v>27603.32</c:v>
                </c:pt>
                <c:pt idx="1223">
                  <c:v>3733.4430000000066</c:v>
                </c:pt>
                <c:pt idx="1224">
                  <c:v>5402.5249999999978</c:v>
                </c:pt>
                <c:pt idx="1225">
                  <c:v>20038.060000000001</c:v>
                </c:pt>
                <c:pt idx="1226">
                  <c:v>-4249.6050000000032</c:v>
                </c:pt>
                <c:pt idx="1227">
                  <c:v>-77.745000000002619</c:v>
                </c:pt>
                <c:pt idx="1228">
                  <c:v>1526.7209999999977</c:v>
                </c:pt>
                <c:pt idx="1229">
                  <c:v>-5528.5239999999976</c:v>
                </c:pt>
                <c:pt idx="1230">
                  <c:v>-1593.4619999999995</c:v>
                </c:pt>
                <c:pt idx="1231">
                  <c:v>-1442.6040000000066</c:v>
                </c:pt>
                <c:pt idx="1232">
                  <c:v>-4068.7490000000034</c:v>
                </c:pt>
                <c:pt idx="1233">
                  <c:v>382.09599999999045</c:v>
                </c:pt>
                <c:pt idx="1234">
                  <c:v>4655.3489999999947</c:v>
                </c:pt>
                <c:pt idx="1235">
                  <c:v>3344.3140000000058</c:v>
                </c:pt>
                <c:pt idx="1236">
                  <c:v>15713.717999999997</c:v>
                </c:pt>
                <c:pt idx="1237">
                  <c:v>-1323.6280000000115</c:v>
                </c:pt>
                <c:pt idx="1238">
                  <c:v>10378.760999999995</c:v>
                </c:pt>
                <c:pt idx="1239">
                  <c:v>-1596.1419999999998</c:v>
                </c:pt>
                <c:pt idx="1240">
                  <c:v>-1571.6560000000027</c:v>
                </c:pt>
                <c:pt idx="1241">
                  <c:v>2324.9539999999906</c:v>
                </c:pt>
                <c:pt idx="1242">
                  <c:v>-9961.4030000000203</c:v>
                </c:pt>
                <c:pt idx="1243">
                  <c:v>5861.112000000001</c:v>
                </c:pt>
                <c:pt idx="1244">
                  <c:v>-3116.4669999999969</c:v>
                </c:pt>
                <c:pt idx="1245">
                  <c:v>-3499.0859999999957</c:v>
                </c:pt>
                <c:pt idx="1246">
                  <c:v>-10452.118000000009</c:v>
                </c:pt>
                <c:pt idx="1247">
                  <c:v>10964.462</c:v>
                </c:pt>
                <c:pt idx="1248">
                  <c:v>1414.801999999996</c:v>
                </c:pt>
                <c:pt idx="1249">
                  <c:v>3683.0679999999993</c:v>
                </c:pt>
                <c:pt idx="1250">
                  <c:v>-1864.4319999999934</c:v>
                </c:pt>
                <c:pt idx="1251">
                  <c:v>7593.9739999999983</c:v>
                </c:pt>
                <c:pt idx="1252">
                  <c:v>1240.4680000000008</c:v>
                </c:pt>
                <c:pt idx="1253">
                  <c:v>-7211.4490000000005</c:v>
                </c:pt>
                <c:pt idx="1254">
                  <c:v>-13798.021000000015</c:v>
                </c:pt>
                <c:pt idx="1255">
                  <c:v>10862.275000000001</c:v>
                </c:pt>
                <c:pt idx="1256">
                  <c:v>4090.9089999999997</c:v>
                </c:pt>
                <c:pt idx="1257">
                  <c:v>-7266.4330000000118</c:v>
                </c:pt>
                <c:pt idx="1258">
                  <c:v>-1834.6919999999955</c:v>
                </c:pt>
                <c:pt idx="1259">
                  <c:v>-67.289000000004307</c:v>
                </c:pt>
                <c:pt idx="1260">
                  <c:v>6571.1109999999971</c:v>
                </c:pt>
                <c:pt idx="1261">
                  <c:v>5074.7980000000025</c:v>
                </c:pt>
                <c:pt idx="1262">
                  <c:v>5057.4130000000005</c:v>
                </c:pt>
                <c:pt idx="1263">
                  <c:v>5777.2909999999974</c:v>
                </c:pt>
                <c:pt idx="1264">
                  <c:v>1661.2380000000048</c:v>
                </c:pt>
                <c:pt idx="1265">
                  <c:v>3662.2940000000017</c:v>
                </c:pt>
                <c:pt idx="1266">
                  <c:v>10350.845000000005</c:v>
                </c:pt>
                <c:pt idx="1267">
                  <c:v>-9358.0120000000097</c:v>
                </c:pt>
                <c:pt idx="1268">
                  <c:v>-6336.7990000000063</c:v>
                </c:pt>
                <c:pt idx="1269">
                  <c:v>6086.9559999999983</c:v>
                </c:pt>
                <c:pt idx="1270">
                  <c:v>4378.3010000000068</c:v>
                </c:pt>
                <c:pt idx="1271">
                  <c:v>987.87999999999738</c:v>
                </c:pt>
                <c:pt idx="1272">
                  <c:v>8321.2079999999914</c:v>
                </c:pt>
                <c:pt idx="1273">
                  <c:v>8355.3459999999977</c:v>
                </c:pt>
                <c:pt idx="1274">
                  <c:v>6144.3319999999949</c:v>
                </c:pt>
                <c:pt idx="1275">
                  <c:v>4548.4429999999993</c:v>
                </c:pt>
                <c:pt idx="1276">
                  <c:v>-2844.7860000000001</c:v>
                </c:pt>
                <c:pt idx="1277">
                  <c:v>9504.1979999999967</c:v>
                </c:pt>
                <c:pt idx="1278">
                  <c:v>-2463.0749999999971</c:v>
                </c:pt>
                <c:pt idx="1279">
                  <c:v>-11469.085000000006</c:v>
                </c:pt>
                <c:pt idx="1280">
                  <c:v>4731.4099999999962</c:v>
                </c:pt>
                <c:pt idx="1281">
                  <c:v>4404.5509999999922</c:v>
                </c:pt>
                <c:pt idx="1282">
                  <c:v>7579.0570000000007</c:v>
                </c:pt>
                <c:pt idx="1283">
                  <c:v>-1241.2990000000063</c:v>
                </c:pt>
                <c:pt idx="1284">
                  <c:v>3761.1349999999948</c:v>
                </c:pt>
                <c:pt idx="1285">
                  <c:v>7946.5919999999896</c:v>
                </c:pt>
                <c:pt idx="1286">
                  <c:v>2241.8960000000006</c:v>
                </c:pt>
                <c:pt idx="1287">
                  <c:v>2939.5799999999945</c:v>
                </c:pt>
                <c:pt idx="1288">
                  <c:v>5299.4909999999945</c:v>
                </c:pt>
                <c:pt idx="1289">
                  <c:v>9032.8919999999998</c:v>
                </c:pt>
                <c:pt idx="1290">
                  <c:v>-11910.711000000018</c:v>
                </c:pt>
                <c:pt idx="1291">
                  <c:v>13441.217999999997</c:v>
                </c:pt>
                <c:pt idx="1292">
                  <c:v>-3171.2059999999983</c:v>
                </c:pt>
                <c:pt idx="1293">
                  <c:v>10780.505999999987</c:v>
                </c:pt>
                <c:pt idx="1294">
                  <c:v>9505.0319999999992</c:v>
                </c:pt>
                <c:pt idx="1295">
                  <c:v>3023.8989999999976</c:v>
                </c:pt>
                <c:pt idx="1296">
                  <c:v>9781.0319999999992</c:v>
                </c:pt>
                <c:pt idx="1297">
                  <c:v>3247.8709999999992</c:v>
                </c:pt>
                <c:pt idx="1298">
                  <c:v>10343.462</c:v>
                </c:pt>
                <c:pt idx="1299">
                  <c:v>-15707.144</c:v>
                </c:pt>
                <c:pt idx="1300">
                  <c:v>7832.4549999999945</c:v>
                </c:pt>
                <c:pt idx="1301">
                  <c:v>6225.7599999999948</c:v>
                </c:pt>
                <c:pt idx="1302">
                  <c:v>8341.6749999999956</c:v>
                </c:pt>
                <c:pt idx="1303">
                  <c:v>2898.8959999999934</c:v>
                </c:pt>
                <c:pt idx="1304">
                  <c:v>14663.539999999997</c:v>
                </c:pt>
                <c:pt idx="1305">
                  <c:v>-3202.8080000000191</c:v>
                </c:pt>
                <c:pt idx="1306">
                  <c:v>-9502.474000000002</c:v>
                </c:pt>
                <c:pt idx="1307">
                  <c:v>7943.474000000002</c:v>
                </c:pt>
                <c:pt idx="1308">
                  <c:v>-898.92599999999948</c:v>
                </c:pt>
                <c:pt idx="1309">
                  <c:v>-2538.2410000000091</c:v>
                </c:pt>
                <c:pt idx="1310">
                  <c:v>3686.2309999999998</c:v>
                </c:pt>
                <c:pt idx="1311">
                  <c:v>8521.6990000000005</c:v>
                </c:pt>
                <c:pt idx="1312">
                  <c:v>4954.0890000000072</c:v>
                </c:pt>
                <c:pt idx="1313">
                  <c:v>12920.039000000004</c:v>
                </c:pt>
                <c:pt idx="1314">
                  <c:v>14603.489000000009</c:v>
                </c:pt>
                <c:pt idx="1315">
                  <c:v>9327.2509999999966</c:v>
                </c:pt>
                <c:pt idx="1316">
                  <c:v>1062.8479999999909</c:v>
                </c:pt>
                <c:pt idx="1317">
                  <c:v>13691.732999999993</c:v>
                </c:pt>
                <c:pt idx="1318">
                  <c:v>11898.301999999989</c:v>
                </c:pt>
                <c:pt idx="1319">
                  <c:v>11034.86299999999</c:v>
                </c:pt>
                <c:pt idx="1320">
                  <c:v>546.51900000000023</c:v>
                </c:pt>
                <c:pt idx="1321">
                  <c:v>11427.57</c:v>
                </c:pt>
                <c:pt idx="1322">
                  <c:v>3774.8380000000034</c:v>
                </c:pt>
                <c:pt idx="1323">
                  <c:v>12343.578000000001</c:v>
                </c:pt>
                <c:pt idx="1324">
                  <c:v>4279.9690000000046</c:v>
                </c:pt>
                <c:pt idx="1325">
                  <c:v>2404.3639999999941</c:v>
                </c:pt>
                <c:pt idx="1326">
                  <c:v>-1084.7240000000165</c:v>
                </c:pt>
                <c:pt idx="1327">
                  <c:v>5413.6189999999988</c:v>
                </c:pt>
                <c:pt idx="1328">
                  <c:v>1462.6909999999989</c:v>
                </c:pt>
                <c:pt idx="1329">
                  <c:v>8487.666999999994</c:v>
                </c:pt>
                <c:pt idx="1330">
                  <c:v>8276.3009999999995</c:v>
                </c:pt>
                <c:pt idx="1331">
                  <c:v>5142.2209999999977</c:v>
                </c:pt>
                <c:pt idx="1332">
                  <c:v>7981.4200000000055</c:v>
                </c:pt>
                <c:pt idx="1333">
                  <c:v>9360.663999999997</c:v>
                </c:pt>
                <c:pt idx="1334">
                  <c:v>16653.957999999999</c:v>
                </c:pt>
                <c:pt idx="1335">
                  <c:v>21090.014999999999</c:v>
                </c:pt>
                <c:pt idx="1336">
                  <c:v>12186.470999999998</c:v>
                </c:pt>
                <c:pt idx="1337">
                  <c:v>25054.244999999995</c:v>
                </c:pt>
                <c:pt idx="1338">
                  <c:v>33596.404000000002</c:v>
                </c:pt>
                <c:pt idx="1339">
                  <c:v>12258.274000000005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7A-4826-ACFA-DF90BCB3D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9124175"/>
        <c:axId val="1249117935"/>
      </c:scatterChart>
      <c:valAx>
        <c:axId val="1249124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117935"/>
        <c:crosses val="autoZero"/>
        <c:crossBetween val="midCat"/>
      </c:valAx>
      <c:valAx>
        <c:axId val="124911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124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'insurance final cleaned'!$J$1</c:f>
              <c:strCache>
                <c:ptCount val="1"/>
                <c:pt idx="0">
                  <c:v>claim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gradFill>
                  <a:gsLst>
                    <a:gs pos="0">
                      <a:schemeClr val="accent3">
                        <a:lumMod val="60000"/>
                        <a:lumOff val="40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'insurance final cleaned'!$D$2:$D$1341</c:f>
              <c:numCache>
                <c:formatCode>General</c:formatCode>
                <c:ptCount val="1340"/>
                <c:pt idx="0">
                  <c:v>23.2</c:v>
                </c:pt>
                <c:pt idx="1">
                  <c:v>30.1</c:v>
                </c:pt>
                <c:pt idx="2">
                  <c:v>33.299999999999997</c:v>
                </c:pt>
                <c:pt idx="3">
                  <c:v>33.700000000000003</c:v>
                </c:pt>
                <c:pt idx="4">
                  <c:v>34.1</c:v>
                </c:pt>
                <c:pt idx="5">
                  <c:v>34.4</c:v>
                </c:pt>
                <c:pt idx="6">
                  <c:v>37.299999999999997</c:v>
                </c:pt>
                <c:pt idx="7">
                  <c:v>41.1</c:v>
                </c:pt>
                <c:pt idx="8">
                  <c:v>43</c:v>
                </c:pt>
                <c:pt idx="9">
                  <c:v>53.1</c:v>
                </c:pt>
                <c:pt idx="10">
                  <c:v>19.8</c:v>
                </c:pt>
                <c:pt idx="11">
                  <c:v>20.3</c:v>
                </c:pt>
                <c:pt idx="12">
                  <c:v>20.7</c:v>
                </c:pt>
                <c:pt idx="13">
                  <c:v>27.6</c:v>
                </c:pt>
                <c:pt idx="14">
                  <c:v>28.7</c:v>
                </c:pt>
                <c:pt idx="15">
                  <c:v>30.4</c:v>
                </c:pt>
                <c:pt idx="16">
                  <c:v>34.1</c:v>
                </c:pt>
                <c:pt idx="17">
                  <c:v>34.4</c:v>
                </c:pt>
                <c:pt idx="18">
                  <c:v>35.4</c:v>
                </c:pt>
                <c:pt idx="19">
                  <c:v>33.299999999999997</c:v>
                </c:pt>
                <c:pt idx="20">
                  <c:v>23.2</c:v>
                </c:pt>
                <c:pt idx="21">
                  <c:v>31.1</c:v>
                </c:pt>
                <c:pt idx="22">
                  <c:v>35.5</c:v>
                </c:pt>
                <c:pt idx="23">
                  <c:v>36.9</c:v>
                </c:pt>
                <c:pt idx="24">
                  <c:v>20.8</c:v>
                </c:pt>
                <c:pt idx="25">
                  <c:v>43</c:v>
                </c:pt>
                <c:pt idx="26">
                  <c:v>26.7</c:v>
                </c:pt>
                <c:pt idx="27">
                  <c:v>17.5</c:v>
                </c:pt>
                <c:pt idx="28">
                  <c:v>31.1</c:v>
                </c:pt>
                <c:pt idx="29">
                  <c:v>31.4</c:v>
                </c:pt>
                <c:pt idx="30">
                  <c:v>20.399999999999999</c:v>
                </c:pt>
                <c:pt idx="31">
                  <c:v>21.8</c:v>
                </c:pt>
                <c:pt idx="32">
                  <c:v>22.6</c:v>
                </c:pt>
                <c:pt idx="33">
                  <c:v>36.9</c:v>
                </c:pt>
                <c:pt idx="34">
                  <c:v>38.200000000000003</c:v>
                </c:pt>
                <c:pt idx="35">
                  <c:v>38.299999999999997</c:v>
                </c:pt>
                <c:pt idx="36">
                  <c:v>25.2</c:v>
                </c:pt>
                <c:pt idx="37">
                  <c:v>25.6</c:v>
                </c:pt>
                <c:pt idx="38">
                  <c:v>39.200000000000003</c:v>
                </c:pt>
                <c:pt idx="39">
                  <c:v>39.799999999999997</c:v>
                </c:pt>
                <c:pt idx="40">
                  <c:v>40.299999999999997</c:v>
                </c:pt>
                <c:pt idx="41">
                  <c:v>27.8</c:v>
                </c:pt>
                <c:pt idx="42">
                  <c:v>30.6</c:v>
                </c:pt>
                <c:pt idx="43">
                  <c:v>30.6</c:v>
                </c:pt>
                <c:pt idx="44">
                  <c:v>35.5</c:v>
                </c:pt>
                <c:pt idx="45">
                  <c:v>26.8</c:v>
                </c:pt>
                <c:pt idx="46">
                  <c:v>33.799999999999997</c:v>
                </c:pt>
                <c:pt idx="47">
                  <c:v>39.5</c:v>
                </c:pt>
                <c:pt idx="48">
                  <c:v>16</c:v>
                </c:pt>
                <c:pt idx="49">
                  <c:v>21.5</c:v>
                </c:pt>
                <c:pt idx="50">
                  <c:v>23</c:v>
                </c:pt>
                <c:pt idx="51">
                  <c:v>23.1</c:v>
                </c:pt>
                <c:pt idx="52">
                  <c:v>23.8</c:v>
                </c:pt>
                <c:pt idx="53">
                  <c:v>25.5</c:v>
                </c:pt>
                <c:pt idx="54">
                  <c:v>26.1</c:v>
                </c:pt>
                <c:pt idx="55">
                  <c:v>23.3</c:v>
                </c:pt>
                <c:pt idx="56">
                  <c:v>28.5</c:v>
                </c:pt>
                <c:pt idx="57">
                  <c:v>29.4</c:v>
                </c:pt>
                <c:pt idx="58">
                  <c:v>30</c:v>
                </c:pt>
                <c:pt idx="59">
                  <c:v>33.799999999999997</c:v>
                </c:pt>
                <c:pt idx="60">
                  <c:v>35.200000000000003</c:v>
                </c:pt>
                <c:pt idx="61">
                  <c:v>17.8</c:v>
                </c:pt>
                <c:pt idx="62">
                  <c:v>18.600000000000001</c:v>
                </c:pt>
                <c:pt idx="63">
                  <c:v>20.6</c:v>
                </c:pt>
                <c:pt idx="64">
                  <c:v>24.7</c:v>
                </c:pt>
                <c:pt idx="65">
                  <c:v>28.9</c:v>
                </c:pt>
                <c:pt idx="66">
                  <c:v>29.8</c:v>
                </c:pt>
                <c:pt idx="67">
                  <c:v>32.9</c:v>
                </c:pt>
                <c:pt idx="68">
                  <c:v>40.5</c:v>
                </c:pt>
                <c:pt idx="69">
                  <c:v>29.7</c:v>
                </c:pt>
                <c:pt idx="70">
                  <c:v>26.5</c:v>
                </c:pt>
                <c:pt idx="71">
                  <c:v>32.6</c:v>
                </c:pt>
                <c:pt idx="72">
                  <c:v>34.4</c:v>
                </c:pt>
                <c:pt idx="73">
                  <c:v>20.9</c:v>
                </c:pt>
                <c:pt idx="74">
                  <c:v>24.6</c:v>
                </c:pt>
                <c:pt idx="75">
                  <c:v>41.9</c:v>
                </c:pt>
                <c:pt idx="76">
                  <c:v>28.4</c:v>
                </c:pt>
                <c:pt idx="77">
                  <c:v>29.6</c:v>
                </c:pt>
                <c:pt idx="78">
                  <c:v>31.5</c:v>
                </c:pt>
                <c:pt idx="79">
                  <c:v>33</c:v>
                </c:pt>
                <c:pt idx="80">
                  <c:v>33.299999999999997</c:v>
                </c:pt>
                <c:pt idx="81">
                  <c:v>29</c:v>
                </c:pt>
                <c:pt idx="82">
                  <c:v>31.3</c:v>
                </c:pt>
                <c:pt idx="83">
                  <c:v>36.9</c:v>
                </c:pt>
                <c:pt idx="84">
                  <c:v>22</c:v>
                </c:pt>
                <c:pt idx="85">
                  <c:v>27.9</c:v>
                </c:pt>
                <c:pt idx="86">
                  <c:v>23.4</c:v>
                </c:pt>
                <c:pt idx="87">
                  <c:v>25.8</c:v>
                </c:pt>
                <c:pt idx="88">
                  <c:v>29.3</c:v>
                </c:pt>
                <c:pt idx="89">
                  <c:v>33</c:v>
                </c:pt>
                <c:pt idx="90">
                  <c:v>32</c:v>
                </c:pt>
                <c:pt idx="91">
                  <c:v>40.5</c:v>
                </c:pt>
                <c:pt idx="92">
                  <c:v>35.9</c:v>
                </c:pt>
                <c:pt idx="93">
                  <c:v>25.8</c:v>
                </c:pt>
                <c:pt idx="94">
                  <c:v>34.6</c:v>
                </c:pt>
                <c:pt idx="95">
                  <c:v>34.9</c:v>
                </c:pt>
                <c:pt idx="96">
                  <c:v>39.5</c:v>
                </c:pt>
                <c:pt idx="97">
                  <c:v>25.2</c:v>
                </c:pt>
                <c:pt idx="98">
                  <c:v>32.1</c:v>
                </c:pt>
                <c:pt idx="99">
                  <c:v>26</c:v>
                </c:pt>
                <c:pt idx="100">
                  <c:v>22.3</c:v>
                </c:pt>
                <c:pt idx="101">
                  <c:v>27.4</c:v>
                </c:pt>
                <c:pt idx="102">
                  <c:v>22.5</c:v>
                </c:pt>
                <c:pt idx="103">
                  <c:v>30.5</c:v>
                </c:pt>
                <c:pt idx="104">
                  <c:v>32.1</c:v>
                </c:pt>
                <c:pt idx="105">
                  <c:v>35.200000000000003</c:v>
                </c:pt>
                <c:pt idx="106">
                  <c:v>36.6</c:v>
                </c:pt>
                <c:pt idx="107">
                  <c:v>25.7</c:v>
                </c:pt>
                <c:pt idx="108">
                  <c:v>37.4</c:v>
                </c:pt>
                <c:pt idx="109">
                  <c:v>24.3</c:v>
                </c:pt>
                <c:pt idx="110">
                  <c:v>27.1</c:v>
                </c:pt>
                <c:pt idx="111">
                  <c:v>28.1</c:v>
                </c:pt>
                <c:pt idx="112">
                  <c:v>28.8</c:v>
                </c:pt>
                <c:pt idx="113">
                  <c:v>36</c:v>
                </c:pt>
                <c:pt idx="114">
                  <c:v>25.1</c:v>
                </c:pt>
                <c:pt idx="115">
                  <c:v>26.3</c:v>
                </c:pt>
                <c:pt idx="116">
                  <c:v>28.2</c:v>
                </c:pt>
                <c:pt idx="117">
                  <c:v>24.1</c:v>
                </c:pt>
                <c:pt idx="118">
                  <c:v>30.1</c:v>
                </c:pt>
                <c:pt idx="119">
                  <c:v>30.3</c:v>
                </c:pt>
                <c:pt idx="120">
                  <c:v>31.9</c:v>
                </c:pt>
                <c:pt idx="121">
                  <c:v>33.200000000000003</c:v>
                </c:pt>
                <c:pt idx="122">
                  <c:v>35.6</c:v>
                </c:pt>
                <c:pt idx="123">
                  <c:v>40.200000000000003</c:v>
                </c:pt>
                <c:pt idx="124">
                  <c:v>40.299999999999997</c:v>
                </c:pt>
                <c:pt idx="125">
                  <c:v>37.299999999999997</c:v>
                </c:pt>
                <c:pt idx="126">
                  <c:v>25.6</c:v>
                </c:pt>
                <c:pt idx="127">
                  <c:v>28.9</c:v>
                </c:pt>
                <c:pt idx="128">
                  <c:v>31.7</c:v>
                </c:pt>
                <c:pt idx="129">
                  <c:v>29</c:v>
                </c:pt>
                <c:pt idx="130">
                  <c:v>31.9</c:v>
                </c:pt>
                <c:pt idx="131">
                  <c:v>20.8</c:v>
                </c:pt>
                <c:pt idx="132">
                  <c:v>26.2</c:v>
                </c:pt>
                <c:pt idx="133">
                  <c:v>35.4</c:v>
                </c:pt>
                <c:pt idx="134">
                  <c:v>28.4</c:v>
                </c:pt>
                <c:pt idx="135">
                  <c:v>23.7</c:v>
                </c:pt>
                <c:pt idx="136">
                  <c:v>32.4</c:v>
                </c:pt>
                <c:pt idx="137">
                  <c:v>23.8</c:v>
                </c:pt>
                <c:pt idx="138">
                  <c:v>24.5</c:v>
                </c:pt>
                <c:pt idx="139">
                  <c:v>35.700000000000003</c:v>
                </c:pt>
                <c:pt idx="140">
                  <c:v>35.200000000000003</c:v>
                </c:pt>
                <c:pt idx="141">
                  <c:v>50.4</c:v>
                </c:pt>
                <c:pt idx="142">
                  <c:v>28.8</c:v>
                </c:pt>
                <c:pt idx="143">
                  <c:v>22.6</c:v>
                </c:pt>
                <c:pt idx="144">
                  <c:v>30.6</c:v>
                </c:pt>
                <c:pt idx="145">
                  <c:v>27.7</c:v>
                </c:pt>
                <c:pt idx="146">
                  <c:v>34</c:v>
                </c:pt>
                <c:pt idx="147">
                  <c:v>39.5</c:v>
                </c:pt>
                <c:pt idx="148">
                  <c:v>23.1</c:v>
                </c:pt>
                <c:pt idx="149">
                  <c:v>30.5</c:v>
                </c:pt>
                <c:pt idx="150">
                  <c:v>32.700000000000003</c:v>
                </c:pt>
                <c:pt idx="151">
                  <c:v>33.700000000000003</c:v>
                </c:pt>
                <c:pt idx="152">
                  <c:v>27.6</c:v>
                </c:pt>
                <c:pt idx="153">
                  <c:v>20.2</c:v>
                </c:pt>
                <c:pt idx="154">
                  <c:v>35.6</c:v>
                </c:pt>
                <c:pt idx="155">
                  <c:v>31.1</c:v>
                </c:pt>
                <c:pt idx="156">
                  <c:v>17.399999999999999</c:v>
                </c:pt>
                <c:pt idx="157">
                  <c:v>22.1</c:v>
                </c:pt>
                <c:pt idx="158">
                  <c:v>26.4</c:v>
                </c:pt>
                <c:pt idx="159">
                  <c:v>30.3</c:v>
                </c:pt>
                <c:pt idx="160">
                  <c:v>28.3</c:v>
                </c:pt>
                <c:pt idx="161">
                  <c:v>31.4</c:v>
                </c:pt>
                <c:pt idx="162">
                  <c:v>17.7</c:v>
                </c:pt>
                <c:pt idx="163">
                  <c:v>38.1</c:v>
                </c:pt>
                <c:pt idx="164">
                  <c:v>28.1</c:v>
                </c:pt>
                <c:pt idx="165">
                  <c:v>31.1</c:v>
                </c:pt>
                <c:pt idx="166">
                  <c:v>24.5</c:v>
                </c:pt>
                <c:pt idx="167">
                  <c:v>24.6</c:v>
                </c:pt>
                <c:pt idx="168">
                  <c:v>25.7</c:v>
                </c:pt>
                <c:pt idx="169">
                  <c:v>31.8</c:v>
                </c:pt>
                <c:pt idx="170">
                  <c:v>26.2</c:v>
                </c:pt>
                <c:pt idx="171">
                  <c:v>30.6</c:v>
                </c:pt>
                <c:pt idx="172">
                  <c:v>39.6</c:v>
                </c:pt>
                <c:pt idx="173">
                  <c:v>23.2</c:v>
                </c:pt>
                <c:pt idx="174">
                  <c:v>30.4</c:v>
                </c:pt>
                <c:pt idx="175">
                  <c:v>39.799999999999997</c:v>
                </c:pt>
                <c:pt idx="176">
                  <c:v>17.399999999999999</c:v>
                </c:pt>
                <c:pt idx="177">
                  <c:v>27.4</c:v>
                </c:pt>
                <c:pt idx="178">
                  <c:v>32.1</c:v>
                </c:pt>
                <c:pt idx="179">
                  <c:v>20.6</c:v>
                </c:pt>
                <c:pt idx="180">
                  <c:v>24.2</c:v>
                </c:pt>
                <c:pt idx="181">
                  <c:v>29.9</c:v>
                </c:pt>
                <c:pt idx="182">
                  <c:v>33.299999999999997</c:v>
                </c:pt>
                <c:pt idx="183">
                  <c:v>27.2</c:v>
                </c:pt>
                <c:pt idx="184">
                  <c:v>27.9</c:v>
                </c:pt>
                <c:pt idx="185">
                  <c:v>29.5</c:v>
                </c:pt>
                <c:pt idx="186">
                  <c:v>34.9</c:v>
                </c:pt>
                <c:pt idx="187">
                  <c:v>29.2</c:v>
                </c:pt>
                <c:pt idx="188">
                  <c:v>30</c:v>
                </c:pt>
                <c:pt idx="189">
                  <c:v>23.4</c:v>
                </c:pt>
                <c:pt idx="190">
                  <c:v>46.5</c:v>
                </c:pt>
                <c:pt idx="191">
                  <c:v>24.1</c:v>
                </c:pt>
                <c:pt idx="192">
                  <c:v>34.5</c:v>
                </c:pt>
                <c:pt idx="193">
                  <c:v>25.3</c:v>
                </c:pt>
                <c:pt idx="194">
                  <c:v>26.6</c:v>
                </c:pt>
                <c:pt idx="195">
                  <c:v>31.8</c:v>
                </c:pt>
                <c:pt idx="196">
                  <c:v>30.9</c:v>
                </c:pt>
                <c:pt idx="197">
                  <c:v>26</c:v>
                </c:pt>
                <c:pt idx="198">
                  <c:v>23</c:v>
                </c:pt>
                <c:pt idx="199">
                  <c:v>23.8</c:v>
                </c:pt>
                <c:pt idx="200">
                  <c:v>25.8</c:v>
                </c:pt>
                <c:pt idx="201">
                  <c:v>16.8</c:v>
                </c:pt>
                <c:pt idx="202">
                  <c:v>33.1</c:v>
                </c:pt>
                <c:pt idx="203">
                  <c:v>33.4</c:v>
                </c:pt>
                <c:pt idx="204">
                  <c:v>22.2</c:v>
                </c:pt>
                <c:pt idx="205">
                  <c:v>22.6</c:v>
                </c:pt>
                <c:pt idx="206">
                  <c:v>21.9</c:v>
                </c:pt>
                <c:pt idx="207">
                  <c:v>40.200000000000003</c:v>
                </c:pt>
                <c:pt idx="208">
                  <c:v>23.5</c:v>
                </c:pt>
                <c:pt idx="209">
                  <c:v>20.8</c:v>
                </c:pt>
                <c:pt idx="210">
                  <c:v>28.6</c:v>
                </c:pt>
                <c:pt idx="211">
                  <c:v>34</c:v>
                </c:pt>
                <c:pt idx="212">
                  <c:v>42.1</c:v>
                </c:pt>
                <c:pt idx="213">
                  <c:v>20.399999999999999</c:v>
                </c:pt>
                <c:pt idx="214">
                  <c:v>35.4</c:v>
                </c:pt>
                <c:pt idx="215">
                  <c:v>37.1</c:v>
                </c:pt>
                <c:pt idx="216">
                  <c:v>25.7</c:v>
                </c:pt>
                <c:pt idx="217">
                  <c:v>33.9</c:v>
                </c:pt>
                <c:pt idx="218">
                  <c:v>25.8</c:v>
                </c:pt>
                <c:pt idx="219">
                  <c:v>25.9</c:v>
                </c:pt>
                <c:pt idx="220">
                  <c:v>21.5</c:v>
                </c:pt>
                <c:pt idx="221">
                  <c:v>35.5</c:v>
                </c:pt>
                <c:pt idx="222">
                  <c:v>19.8</c:v>
                </c:pt>
                <c:pt idx="223">
                  <c:v>28.8</c:v>
                </c:pt>
                <c:pt idx="224">
                  <c:v>29.5</c:v>
                </c:pt>
                <c:pt idx="225">
                  <c:v>29.9</c:v>
                </c:pt>
                <c:pt idx="226">
                  <c:v>38.700000000000003</c:v>
                </c:pt>
                <c:pt idx="227">
                  <c:v>42.4</c:v>
                </c:pt>
                <c:pt idx="228">
                  <c:v>34.799999999999997</c:v>
                </c:pt>
                <c:pt idx="229">
                  <c:v>38.9</c:v>
                </c:pt>
                <c:pt idx="230">
                  <c:v>30.4</c:v>
                </c:pt>
                <c:pt idx="231">
                  <c:v>23.7</c:v>
                </c:pt>
                <c:pt idx="232">
                  <c:v>32.5</c:v>
                </c:pt>
                <c:pt idx="233">
                  <c:v>39.299999999999997</c:v>
                </c:pt>
                <c:pt idx="234">
                  <c:v>28.5</c:v>
                </c:pt>
                <c:pt idx="235">
                  <c:v>27.7</c:v>
                </c:pt>
                <c:pt idx="236">
                  <c:v>34.799999999999997</c:v>
                </c:pt>
                <c:pt idx="237">
                  <c:v>25.2</c:v>
                </c:pt>
                <c:pt idx="238">
                  <c:v>23.2</c:v>
                </c:pt>
                <c:pt idx="239">
                  <c:v>34.799999999999997</c:v>
                </c:pt>
                <c:pt idx="240">
                  <c:v>33.6</c:v>
                </c:pt>
                <c:pt idx="241">
                  <c:v>32.700000000000003</c:v>
                </c:pt>
                <c:pt idx="242">
                  <c:v>22.5</c:v>
                </c:pt>
                <c:pt idx="243">
                  <c:v>37.1</c:v>
                </c:pt>
                <c:pt idx="244">
                  <c:v>25.5</c:v>
                </c:pt>
                <c:pt idx="245">
                  <c:v>31.4</c:v>
                </c:pt>
                <c:pt idx="246">
                  <c:v>45.9</c:v>
                </c:pt>
                <c:pt idx="247">
                  <c:v>30.3</c:v>
                </c:pt>
                <c:pt idx="248">
                  <c:v>17.3</c:v>
                </c:pt>
                <c:pt idx="249">
                  <c:v>26</c:v>
                </c:pt>
                <c:pt idx="250">
                  <c:v>25.7</c:v>
                </c:pt>
                <c:pt idx="251">
                  <c:v>26.6</c:v>
                </c:pt>
                <c:pt idx="252">
                  <c:v>29.1</c:v>
                </c:pt>
                <c:pt idx="253">
                  <c:v>37.6</c:v>
                </c:pt>
                <c:pt idx="254">
                  <c:v>23.8</c:v>
                </c:pt>
                <c:pt idx="255">
                  <c:v>30.9</c:v>
                </c:pt>
                <c:pt idx="256">
                  <c:v>20.2</c:v>
                </c:pt>
                <c:pt idx="257">
                  <c:v>28.9</c:v>
                </c:pt>
                <c:pt idx="258">
                  <c:v>39.5</c:v>
                </c:pt>
                <c:pt idx="259">
                  <c:v>30.9</c:v>
                </c:pt>
                <c:pt idx="260">
                  <c:v>26.8</c:v>
                </c:pt>
                <c:pt idx="261">
                  <c:v>34.6</c:v>
                </c:pt>
                <c:pt idx="262">
                  <c:v>34.200000000000003</c:v>
                </c:pt>
                <c:pt idx="263">
                  <c:v>31.2</c:v>
                </c:pt>
                <c:pt idx="264">
                  <c:v>29.6</c:v>
                </c:pt>
                <c:pt idx="265">
                  <c:v>31.3</c:v>
                </c:pt>
                <c:pt idx="266">
                  <c:v>28.9</c:v>
                </c:pt>
                <c:pt idx="267">
                  <c:v>29.9</c:v>
                </c:pt>
                <c:pt idx="268">
                  <c:v>34.200000000000003</c:v>
                </c:pt>
                <c:pt idx="269">
                  <c:v>41.1</c:v>
                </c:pt>
                <c:pt idx="270">
                  <c:v>44.2</c:v>
                </c:pt>
                <c:pt idx="271">
                  <c:v>20</c:v>
                </c:pt>
                <c:pt idx="272">
                  <c:v>24.1</c:v>
                </c:pt>
                <c:pt idx="273">
                  <c:v>29</c:v>
                </c:pt>
                <c:pt idx="274">
                  <c:v>37.299999999999997</c:v>
                </c:pt>
                <c:pt idx="275">
                  <c:v>33.200000000000003</c:v>
                </c:pt>
                <c:pt idx="276">
                  <c:v>30</c:v>
                </c:pt>
                <c:pt idx="277">
                  <c:v>31.5</c:v>
                </c:pt>
                <c:pt idx="278">
                  <c:v>25.9</c:v>
                </c:pt>
                <c:pt idx="279">
                  <c:v>21.8</c:v>
                </c:pt>
                <c:pt idx="280">
                  <c:v>27.9</c:v>
                </c:pt>
                <c:pt idx="281">
                  <c:v>32.4</c:v>
                </c:pt>
                <c:pt idx="282">
                  <c:v>33.299999999999997</c:v>
                </c:pt>
                <c:pt idx="283">
                  <c:v>24.3</c:v>
                </c:pt>
                <c:pt idx="284">
                  <c:v>26.8</c:v>
                </c:pt>
                <c:pt idx="285">
                  <c:v>30.1</c:v>
                </c:pt>
                <c:pt idx="286">
                  <c:v>27.6</c:v>
                </c:pt>
                <c:pt idx="287">
                  <c:v>25.9</c:v>
                </c:pt>
                <c:pt idx="288">
                  <c:v>28.6</c:v>
                </c:pt>
                <c:pt idx="289">
                  <c:v>30.3</c:v>
                </c:pt>
                <c:pt idx="290">
                  <c:v>44.2</c:v>
                </c:pt>
                <c:pt idx="291">
                  <c:v>21.3</c:v>
                </c:pt>
                <c:pt idx="292">
                  <c:v>35.799999999999997</c:v>
                </c:pt>
                <c:pt idx="293">
                  <c:v>28.9</c:v>
                </c:pt>
                <c:pt idx="294">
                  <c:v>26.5</c:v>
                </c:pt>
                <c:pt idx="295">
                  <c:v>31.1</c:v>
                </c:pt>
                <c:pt idx="296">
                  <c:v>33</c:v>
                </c:pt>
                <c:pt idx="297">
                  <c:v>29.3</c:v>
                </c:pt>
                <c:pt idx="298">
                  <c:v>29.7</c:v>
                </c:pt>
                <c:pt idx="299">
                  <c:v>24.3</c:v>
                </c:pt>
                <c:pt idx="300">
                  <c:v>29.7</c:v>
                </c:pt>
                <c:pt idx="301">
                  <c:v>31.5</c:v>
                </c:pt>
                <c:pt idx="302">
                  <c:v>27.7</c:v>
                </c:pt>
                <c:pt idx="303">
                  <c:v>22.5</c:v>
                </c:pt>
                <c:pt idx="304">
                  <c:v>31.7</c:v>
                </c:pt>
                <c:pt idx="305">
                  <c:v>32.1</c:v>
                </c:pt>
                <c:pt idx="306">
                  <c:v>27</c:v>
                </c:pt>
                <c:pt idx="307">
                  <c:v>29.3</c:v>
                </c:pt>
                <c:pt idx="308">
                  <c:v>26.9</c:v>
                </c:pt>
                <c:pt idx="309">
                  <c:v>33</c:v>
                </c:pt>
                <c:pt idx="310">
                  <c:v>27.8</c:v>
                </c:pt>
                <c:pt idx="311">
                  <c:v>33.799999999999997</c:v>
                </c:pt>
                <c:pt idx="312">
                  <c:v>38.4</c:v>
                </c:pt>
                <c:pt idx="313">
                  <c:v>35</c:v>
                </c:pt>
                <c:pt idx="314">
                  <c:v>21.4</c:v>
                </c:pt>
                <c:pt idx="315">
                  <c:v>33.700000000000003</c:v>
                </c:pt>
                <c:pt idx="316">
                  <c:v>34.700000000000003</c:v>
                </c:pt>
                <c:pt idx="317">
                  <c:v>28.4</c:v>
                </c:pt>
                <c:pt idx="318">
                  <c:v>24.6</c:v>
                </c:pt>
                <c:pt idx="319">
                  <c:v>42.9</c:v>
                </c:pt>
                <c:pt idx="320">
                  <c:v>20.5</c:v>
                </c:pt>
                <c:pt idx="321">
                  <c:v>31.4</c:v>
                </c:pt>
                <c:pt idx="322">
                  <c:v>29.6</c:v>
                </c:pt>
                <c:pt idx="323">
                  <c:v>29.4</c:v>
                </c:pt>
                <c:pt idx="324">
                  <c:v>26.7</c:v>
                </c:pt>
                <c:pt idx="325">
                  <c:v>30.2</c:v>
                </c:pt>
                <c:pt idx="326">
                  <c:v>30.8</c:v>
                </c:pt>
                <c:pt idx="327">
                  <c:v>27.3</c:v>
                </c:pt>
                <c:pt idx="328">
                  <c:v>37.299999999999997</c:v>
                </c:pt>
                <c:pt idx="329">
                  <c:v>35.200000000000003</c:v>
                </c:pt>
                <c:pt idx="330">
                  <c:v>37.200000000000003</c:v>
                </c:pt>
                <c:pt idx="331">
                  <c:v>46.5</c:v>
                </c:pt>
                <c:pt idx="332">
                  <c:v>28.6</c:v>
                </c:pt>
                <c:pt idx="333">
                  <c:v>21.9</c:v>
                </c:pt>
                <c:pt idx="334">
                  <c:v>22.9</c:v>
                </c:pt>
                <c:pt idx="335">
                  <c:v>23.8</c:v>
                </c:pt>
                <c:pt idx="336">
                  <c:v>32.700000000000003</c:v>
                </c:pt>
                <c:pt idx="337">
                  <c:v>27.1</c:v>
                </c:pt>
                <c:pt idx="338">
                  <c:v>27.6</c:v>
                </c:pt>
                <c:pt idx="339">
                  <c:v>30.5</c:v>
                </c:pt>
                <c:pt idx="340">
                  <c:v>43.1</c:v>
                </c:pt>
                <c:pt idx="341">
                  <c:v>38.6</c:v>
                </c:pt>
                <c:pt idx="342">
                  <c:v>18.5</c:v>
                </c:pt>
                <c:pt idx="343">
                  <c:v>28.3</c:v>
                </c:pt>
                <c:pt idx="344">
                  <c:v>39.799999999999997</c:v>
                </c:pt>
                <c:pt idx="345">
                  <c:v>18.899999999999999</c:v>
                </c:pt>
                <c:pt idx="346">
                  <c:v>37</c:v>
                </c:pt>
                <c:pt idx="347">
                  <c:v>31.6</c:v>
                </c:pt>
                <c:pt idx="348">
                  <c:v>32.6</c:v>
                </c:pt>
                <c:pt idx="349">
                  <c:v>26.7</c:v>
                </c:pt>
                <c:pt idx="350">
                  <c:v>26.2</c:v>
                </c:pt>
                <c:pt idx="351">
                  <c:v>29.9</c:v>
                </c:pt>
                <c:pt idx="352">
                  <c:v>35.799999999999997</c:v>
                </c:pt>
                <c:pt idx="353">
                  <c:v>25.3</c:v>
                </c:pt>
                <c:pt idx="354">
                  <c:v>20.2</c:v>
                </c:pt>
                <c:pt idx="355">
                  <c:v>30.1</c:v>
                </c:pt>
                <c:pt idx="356">
                  <c:v>32.1</c:v>
                </c:pt>
                <c:pt idx="357">
                  <c:v>23.6</c:v>
                </c:pt>
                <c:pt idx="358">
                  <c:v>25.8</c:v>
                </c:pt>
                <c:pt idx="359">
                  <c:v>36.6</c:v>
                </c:pt>
                <c:pt idx="360">
                  <c:v>23.6</c:v>
                </c:pt>
                <c:pt idx="361">
                  <c:v>26.7</c:v>
                </c:pt>
                <c:pt idx="362">
                  <c:v>27.5</c:v>
                </c:pt>
                <c:pt idx="363">
                  <c:v>33.700000000000003</c:v>
                </c:pt>
                <c:pt idx="364">
                  <c:v>29.6</c:v>
                </c:pt>
                <c:pt idx="365">
                  <c:v>27.6</c:v>
                </c:pt>
                <c:pt idx="366">
                  <c:v>23.9</c:v>
                </c:pt>
                <c:pt idx="367">
                  <c:v>17.899999999999999</c:v>
                </c:pt>
                <c:pt idx="368">
                  <c:v>42.1</c:v>
                </c:pt>
                <c:pt idx="369">
                  <c:v>24.1</c:v>
                </c:pt>
                <c:pt idx="370">
                  <c:v>38.799999999999997</c:v>
                </c:pt>
                <c:pt idx="371">
                  <c:v>31.5</c:v>
                </c:pt>
                <c:pt idx="372">
                  <c:v>29.8</c:v>
                </c:pt>
                <c:pt idx="373">
                  <c:v>22.5</c:v>
                </c:pt>
                <c:pt idx="374">
                  <c:v>26.1</c:v>
                </c:pt>
                <c:pt idx="375">
                  <c:v>31</c:v>
                </c:pt>
                <c:pt idx="376">
                  <c:v>34.200000000000003</c:v>
                </c:pt>
                <c:pt idx="377">
                  <c:v>34.799999999999997</c:v>
                </c:pt>
                <c:pt idx="378">
                  <c:v>30.8</c:v>
                </c:pt>
                <c:pt idx="379">
                  <c:v>24.6</c:v>
                </c:pt>
                <c:pt idx="380">
                  <c:v>27.5</c:v>
                </c:pt>
                <c:pt idx="381">
                  <c:v>25.8</c:v>
                </c:pt>
                <c:pt idx="382">
                  <c:v>26.9</c:v>
                </c:pt>
                <c:pt idx="383">
                  <c:v>30</c:v>
                </c:pt>
                <c:pt idx="384">
                  <c:v>26.3</c:v>
                </c:pt>
                <c:pt idx="385">
                  <c:v>30.9</c:v>
                </c:pt>
                <c:pt idx="386">
                  <c:v>32.799999999999997</c:v>
                </c:pt>
                <c:pt idx="387">
                  <c:v>22.1</c:v>
                </c:pt>
                <c:pt idx="388">
                  <c:v>30.9</c:v>
                </c:pt>
                <c:pt idx="389">
                  <c:v>32.9</c:v>
                </c:pt>
                <c:pt idx="390">
                  <c:v>33.799999999999997</c:v>
                </c:pt>
                <c:pt idx="391">
                  <c:v>27.6</c:v>
                </c:pt>
                <c:pt idx="392">
                  <c:v>26.4</c:v>
                </c:pt>
                <c:pt idx="393">
                  <c:v>37.700000000000003</c:v>
                </c:pt>
                <c:pt idx="394">
                  <c:v>40.200000000000003</c:v>
                </c:pt>
                <c:pt idx="395">
                  <c:v>25.1</c:v>
                </c:pt>
                <c:pt idx="396">
                  <c:v>31.1</c:v>
                </c:pt>
                <c:pt idx="397">
                  <c:v>37.4</c:v>
                </c:pt>
                <c:pt idx="398">
                  <c:v>41.7</c:v>
                </c:pt>
                <c:pt idx="399">
                  <c:v>19.899999999999999</c:v>
                </c:pt>
                <c:pt idx="400">
                  <c:v>27.7</c:v>
                </c:pt>
                <c:pt idx="401">
                  <c:v>25.9</c:v>
                </c:pt>
                <c:pt idx="402">
                  <c:v>29.9</c:v>
                </c:pt>
                <c:pt idx="403">
                  <c:v>28.3</c:v>
                </c:pt>
                <c:pt idx="404">
                  <c:v>31</c:v>
                </c:pt>
                <c:pt idx="405">
                  <c:v>34.4</c:v>
                </c:pt>
                <c:pt idx="406">
                  <c:v>33.299999999999997</c:v>
                </c:pt>
                <c:pt idx="407">
                  <c:v>24.3</c:v>
                </c:pt>
                <c:pt idx="408">
                  <c:v>35.799999999999997</c:v>
                </c:pt>
                <c:pt idx="409">
                  <c:v>32.799999999999997</c:v>
                </c:pt>
                <c:pt idx="410">
                  <c:v>41.8</c:v>
                </c:pt>
                <c:pt idx="411">
                  <c:v>20</c:v>
                </c:pt>
                <c:pt idx="412">
                  <c:v>33.6</c:v>
                </c:pt>
                <c:pt idx="413">
                  <c:v>25.6</c:v>
                </c:pt>
                <c:pt idx="414">
                  <c:v>40.299999999999997</c:v>
                </c:pt>
                <c:pt idx="415">
                  <c:v>34.799999999999997</c:v>
                </c:pt>
                <c:pt idx="416">
                  <c:v>42.7</c:v>
                </c:pt>
                <c:pt idx="417">
                  <c:v>35.9</c:v>
                </c:pt>
                <c:pt idx="418">
                  <c:v>43.3</c:v>
                </c:pt>
                <c:pt idx="419">
                  <c:v>20</c:v>
                </c:pt>
                <c:pt idx="420">
                  <c:v>29.6</c:v>
                </c:pt>
                <c:pt idx="421">
                  <c:v>36.200000000000003</c:v>
                </c:pt>
                <c:pt idx="422">
                  <c:v>28.9</c:v>
                </c:pt>
                <c:pt idx="423">
                  <c:v>34.299999999999997</c:v>
                </c:pt>
                <c:pt idx="424">
                  <c:v>24.9</c:v>
                </c:pt>
                <c:pt idx="425">
                  <c:v>26.9</c:v>
                </c:pt>
                <c:pt idx="426">
                  <c:v>38.9</c:v>
                </c:pt>
                <c:pt idx="427">
                  <c:v>28.9</c:v>
                </c:pt>
                <c:pt idx="428">
                  <c:v>30.7</c:v>
                </c:pt>
                <c:pt idx="429">
                  <c:v>34.1</c:v>
                </c:pt>
                <c:pt idx="430">
                  <c:v>37.299999999999997</c:v>
                </c:pt>
                <c:pt idx="431">
                  <c:v>29.4</c:v>
                </c:pt>
                <c:pt idx="432">
                  <c:v>28</c:v>
                </c:pt>
                <c:pt idx="433">
                  <c:v>37.1</c:v>
                </c:pt>
                <c:pt idx="434">
                  <c:v>34.700000000000003</c:v>
                </c:pt>
                <c:pt idx="435">
                  <c:v>34.1</c:v>
                </c:pt>
                <c:pt idx="436">
                  <c:v>30.5</c:v>
                </c:pt>
                <c:pt idx="437">
                  <c:v>21.9</c:v>
                </c:pt>
                <c:pt idx="438">
                  <c:v>26.2</c:v>
                </c:pt>
                <c:pt idx="439">
                  <c:v>33.200000000000003</c:v>
                </c:pt>
                <c:pt idx="440">
                  <c:v>29.3</c:v>
                </c:pt>
                <c:pt idx="441">
                  <c:v>31</c:v>
                </c:pt>
                <c:pt idx="442">
                  <c:v>31.6</c:v>
                </c:pt>
                <c:pt idx="443">
                  <c:v>38</c:v>
                </c:pt>
                <c:pt idx="444">
                  <c:v>24.3</c:v>
                </c:pt>
                <c:pt idx="445">
                  <c:v>28</c:v>
                </c:pt>
                <c:pt idx="446">
                  <c:v>32.5</c:v>
                </c:pt>
                <c:pt idx="447">
                  <c:v>23.2</c:v>
                </c:pt>
                <c:pt idx="448">
                  <c:v>21.8</c:v>
                </c:pt>
                <c:pt idx="449">
                  <c:v>28.8</c:v>
                </c:pt>
                <c:pt idx="450">
                  <c:v>34.200000000000003</c:v>
                </c:pt>
                <c:pt idx="451">
                  <c:v>29.5</c:v>
                </c:pt>
                <c:pt idx="452">
                  <c:v>30.8</c:v>
                </c:pt>
                <c:pt idx="453">
                  <c:v>37.1</c:v>
                </c:pt>
                <c:pt idx="454">
                  <c:v>32.299999999999997</c:v>
                </c:pt>
                <c:pt idx="455">
                  <c:v>45.4</c:v>
                </c:pt>
                <c:pt idx="456">
                  <c:v>31.3</c:v>
                </c:pt>
                <c:pt idx="457">
                  <c:v>42.9</c:v>
                </c:pt>
                <c:pt idx="458">
                  <c:v>40.6</c:v>
                </c:pt>
                <c:pt idx="459">
                  <c:v>26.3</c:v>
                </c:pt>
                <c:pt idx="460">
                  <c:v>29.4</c:v>
                </c:pt>
                <c:pt idx="461">
                  <c:v>23.5</c:v>
                </c:pt>
                <c:pt idx="462">
                  <c:v>29.8</c:v>
                </c:pt>
                <c:pt idx="463">
                  <c:v>27.7</c:v>
                </c:pt>
                <c:pt idx="464">
                  <c:v>46.5</c:v>
                </c:pt>
                <c:pt idx="465">
                  <c:v>27.8</c:v>
                </c:pt>
                <c:pt idx="466">
                  <c:v>29.3</c:v>
                </c:pt>
                <c:pt idx="467">
                  <c:v>37.9</c:v>
                </c:pt>
                <c:pt idx="468">
                  <c:v>27.4</c:v>
                </c:pt>
                <c:pt idx="469">
                  <c:v>29.8</c:v>
                </c:pt>
                <c:pt idx="470">
                  <c:v>28.6</c:v>
                </c:pt>
                <c:pt idx="471">
                  <c:v>36.299999999999997</c:v>
                </c:pt>
                <c:pt idx="472">
                  <c:v>27.3</c:v>
                </c:pt>
                <c:pt idx="473">
                  <c:v>33</c:v>
                </c:pt>
                <c:pt idx="474">
                  <c:v>34.799999999999997</c:v>
                </c:pt>
                <c:pt idx="475">
                  <c:v>25</c:v>
                </c:pt>
                <c:pt idx="476">
                  <c:v>34.1</c:v>
                </c:pt>
                <c:pt idx="477">
                  <c:v>29.9</c:v>
                </c:pt>
                <c:pt idx="478">
                  <c:v>41.2</c:v>
                </c:pt>
                <c:pt idx="479">
                  <c:v>16.8</c:v>
                </c:pt>
                <c:pt idx="480">
                  <c:v>21.1</c:v>
                </c:pt>
                <c:pt idx="481">
                  <c:v>33.4</c:v>
                </c:pt>
                <c:pt idx="482">
                  <c:v>28.4</c:v>
                </c:pt>
                <c:pt idx="483">
                  <c:v>42.4</c:v>
                </c:pt>
                <c:pt idx="484">
                  <c:v>23.4</c:v>
                </c:pt>
                <c:pt idx="485">
                  <c:v>24.5</c:v>
                </c:pt>
                <c:pt idx="486">
                  <c:v>27.6</c:v>
                </c:pt>
                <c:pt idx="487">
                  <c:v>28.9</c:v>
                </c:pt>
                <c:pt idx="488">
                  <c:v>19</c:v>
                </c:pt>
                <c:pt idx="489">
                  <c:v>28.1</c:v>
                </c:pt>
                <c:pt idx="490">
                  <c:v>32.200000000000003</c:v>
                </c:pt>
                <c:pt idx="491">
                  <c:v>36.1</c:v>
                </c:pt>
                <c:pt idx="492">
                  <c:v>30.9</c:v>
                </c:pt>
                <c:pt idx="493">
                  <c:v>28.5</c:v>
                </c:pt>
                <c:pt idx="494">
                  <c:v>26</c:v>
                </c:pt>
                <c:pt idx="495">
                  <c:v>30.1</c:v>
                </c:pt>
                <c:pt idx="496">
                  <c:v>23.9</c:v>
                </c:pt>
                <c:pt idx="497">
                  <c:v>32.200000000000003</c:v>
                </c:pt>
                <c:pt idx="498">
                  <c:v>17.3</c:v>
                </c:pt>
                <c:pt idx="499">
                  <c:v>19.5</c:v>
                </c:pt>
                <c:pt idx="500">
                  <c:v>26.3</c:v>
                </c:pt>
                <c:pt idx="501">
                  <c:v>39.5</c:v>
                </c:pt>
                <c:pt idx="502">
                  <c:v>22.7</c:v>
                </c:pt>
                <c:pt idx="503">
                  <c:v>32.299999999999997</c:v>
                </c:pt>
                <c:pt idx="504">
                  <c:v>25.3</c:v>
                </c:pt>
                <c:pt idx="505">
                  <c:v>26.2</c:v>
                </c:pt>
                <c:pt idx="506">
                  <c:v>32.9</c:v>
                </c:pt>
                <c:pt idx="507">
                  <c:v>29</c:v>
                </c:pt>
                <c:pt idx="508">
                  <c:v>25.5</c:v>
                </c:pt>
                <c:pt idx="509">
                  <c:v>20</c:v>
                </c:pt>
                <c:pt idx="510">
                  <c:v>27.8</c:v>
                </c:pt>
                <c:pt idx="511">
                  <c:v>22.3</c:v>
                </c:pt>
                <c:pt idx="512">
                  <c:v>34.299999999999997</c:v>
                </c:pt>
                <c:pt idx="513">
                  <c:v>28</c:v>
                </c:pt>
                <c:pt idx="514">
                  <c:v>38.1</c:v>
                </c:pt>
                <c:pt idx="515">
                  <c:v>28.3</c:v>
                </c:pt>
                <c:pt idx="516">
                  <c:v>35.799999999999997</c:v>
                </c:pt>
                <c:pt idx="517">
                  <c:v>36</c:v>
                </c:pt>
                <c:pt idx="518">
                  <c:v>37.200000000000003</c:v>
                </c:pt>
                <c:pt idx="519">
                  <c:v>22.7</c:v>
                </c:pt>
                <c:pt idx="520">
                  <c:v>35.299999999999997</c:v>
                </c:pt>
                <c:pt idx="521">
                  <c:v>26.3</c:v>
                </c:pt>
                <c:pt idx="522">
                  <c:v>31.9</c:v>
                </c:pt>
                <c:pt idx="523">
                  <c:v>21.4</c:v>
                </c:pt>
                <c:pt idx="524">
                  <c:v>22.1</c:v>
                </c:pt>
                <c:pt idx="525">
                  <c:v>29</c:v>
                </c:pt>
                <c:pt idx="526">
                  <c:v>30.6</c:v>
                </c:pt>
                <c:pt idx="527">
                  <c:v>34.200000000000003</c:v>
                </c:pt>
                <c:pt idx="528">
                  <c:v>37.1</c:v>
                </c:pt>
                <c:pt idx="529">
                  <c:v>27.7</c:v>
                </c:pt>
                <c:pt idx="530">
                  <c:v>29.2</c:v>
                </c:pt>
                <c:pt idx="531">
                  <c:v>25.1</c:v>
                </c:pt>
                <c:pt idx="532">
                  <c:v>29.9</c:v>
                </c:pt>
                <c:pt idx="533">
                  <c:v>33.1</c:v>
                </c:pt>
                <c:pt idx="534">
                  <c:v>35.6</c:v>
                </c:pt>
                <c:pt idx="535">
                  <c:v>35.299999999999997</c:v>
                </c:pt>
                <c:pt idx="536">
                  <c:v>31.6</c:v>
                </c:pt>
                <c:pt idx="537">
                  <c:v>37.1</c:v>
                </c:pt>
                <c:pt idx="538">
                  <c:v>34.1</c:v>
                </c:pt>
                <c:pt idx="539">
                  <c:v>26.4</c:v>
                </c:pt>
                <c:pt idx="540">
                  <c:v>27.6</c:v>
                </c:pt>
                <c:pt idx="541">
                  <c:v>30.2</c:v>
                </c:pt>
                <c:pt idx="542">
                  <c:v>32.6</c:v>
                </c:pt>
                <c:pt idx="543">
                  <c:v>36.200000000000003</c:v>
                </c:pt>
                <c:pt idx="544">
                  <c:v>33.700000000000003</c:v>
                </c:pt>
                <c:pt idx="545">
                  <c:v>39.799999999999997</c:v>
                </c:pt>
                <c:pt idx="546">
                  <c:v>29.6</c:v>
                </c:pt>
                <c:pt idx="547">
                  <c:v>25.4</c:v>
                </c:pt>
                <c:pt idx="548">
                  <c:v>19.899999999999999</c:v>
                </c:pt>
                <c:pt idx="549">
                  <c:v>30.2</c:v>
                </c:pt>
                <c:pt idx="550">
                  <c:v>25</c:v>
                </c:pt>
                <c:pt idx="551">
                  <c:v>25.8</c:v>
                </c:pt>
                <c:pt idx="552">
                  <c:v>27.5</c:v>
                </c:pt>
                <c:pt idx="553">
                  <c:v>32.299999999999997</c:v>
                </c:pt>
                <c:pt idx="554">
                  <c:v>33.200000000000003</c:v>
                </c:pt>
                <c:pt idx="555">
                  <c:v>29.5</c:v>
                </c:pt>
                <c:pt idx="556">
                  <c:v>41.3</c:v>
                </c:pt>
                <c:pt idx="557">
                  <c:v>33</c:v>
                </c:pt>
                <c:pt idx="558">
                  <c:v>27.4</c:v>
                </c:pt>
                <c:pt idx="559">
                  <c:v>34.6</c:v>
                </c:pt>
                <c:pt idx="560">
                  <c:v>26.1</c:v>
                </c:pt>
                <c:pt idx="561">
                  <c:v>30.7</c:v>
                </c:pt>
                <c:pt idx="562">
                  <c:v>35.799999999999997</c:v>
                </c:pt>
                <c:pt idx="563">
                  <c:v>37.1</c:v>
                </c:pt>
                <c:pt idx="564">
                  <c:v>26.6</c:v>
                </c:pt>
                <c:pt idx="565">
                  <c:v>33.1</c:v>
                </c:pt>
                <c:pt idx="566">
                  <c:v>29.7</c:v>
                </c:pt>
                <c:pt idx="567">
                  <c:v>40.200000000000003</c:v>
                </c:pt>
                <c:pt idx="568">
                  <c:v>38.299999999999997</c:v>
                </c:pt>
                <c:pt idx="569">
                  <c:v>32.6</c:v>
                </c:pt>
                <c:pt idx="570">
                  <c:v>22.8</c:v>
                </c:pt>
                <c:pt idx="571">
                  <c:v>23.3</c:v>
                </c:pt>
                <c:pt idx="572">
                  <c:v>25</c:v>
                </c:pt>
                <c:pt idx="573">
                  <c:v>37</c:v>
                </c:pt>
                <c:pt idx="574">
                  <c:v>27.7</c:v>
                </c:pt>
                <c:pt idx="575">
                  <c:v>28.7</c:v>
                </c:pt>
                <c:pt idx="576">
                  <c:v>28.7</c:v>
                </c:pt>
                <c:pt idx="577">
                  <c:v>32.299999999999997</c:v>
                </c:pt>
                <c:pt idx="578">
                  <c:v>36.200000000000003</c:v>
                </c:pt>
                <c:pt idx="579">
                  <c:v>47.5</c:v>
                </c:pt>
                <c:pt idx="580">
                  <c:v>32</c:v>
                </c:pt>
                <c:pt idx="581">
                  <c:v>30.3</c:v>
                </c:pt>
                <c:pt idx="582">
                  <c:v>35.9</c:v>
                </c:pt>
                <c:pt idx="583">
                  <c:v>36.9</c:v>
                </c:pt>
                <c:pt idx="584">
                  <c:v>30.9</c:v>
                </c:pt>
                <c:pt idx="585">
                  <c:v>24</c:v>
                </c:pt>
                <c:pt idx="586">
                  <c:v>29.8</c:v>
                </c:pt>
                <c:pt idx="587">
                  <c:v>27.7</c:v>
                </c:pt>
                <c:pt idx="588">
                  <c:v>28.1</c:v>
                </c:pt>
                <c:pt idx="589">
                  <c:v>33.4</c:v>
                </c:pt>
                <c:pt idx="590">
                  <c:v>23.4</c:v>
                </c:pt>
                <c:pt idx="591">
                  <c:v>22.8</c:v>
                </c:pt>
                <c:pt idx="592">
                  <c:v>28.9</c:v>
                </c:pt>
                <c:pt idx="593">
                  <c:v>31.1</c:v>
                </c:pt>
                <c:pt idx="594">
                  <c:v>33.299999999999997</c:v>
                </c:pt>
                <c:pt idx="595">
                  <c:v>22.1</c:v>
                </c:pt>
                <c:pt idx="596">
                  <c:v>30.7</c:v>
                </c:pt>
                <c:pt idx="597">
                  <c:v>33.299999999999997</c:v>
                </c:pt>
                <c:pt idx="598">
                  <c:v>33.4</c:v>
                </c:pt>
                <c:pt idx="599">
                  <c:v>39.4</c:v>
                </c:pt>
                <c:pt idx="600">
                  <c:v>38.200000000000003</c:v>
                </c:pt>
                <c:pt idx="601">
                  <c:v>30.1</c:v>
                </c:pt>
                <c:pt idx="602">
                  <c:v>30.5</c:v>
                </c:pt>
                <c:pt idx="603">
                  <c:v>19.600000000000001</c:v>
                </c:pt>
                <c:pt idx="604">
                  <c:v>25.3</c:v>
                </c:pt>
                <c:pt idx="605">
                  <c:v>26.6</c:v>
                </c:pt>
                <c:pt idx="606">
                  <c:v>36.200000000000003</c:v>
                </c:pt>
                <c:pt idx="607">
                  <c:v>27.8</c:v>
                </c:pt>
                <c:pt idx="608">
                  <c:v>28.6</c:v>
                </c:pt>
                <c:pt idx="609">
                  <c:v>30.9</c:v>
                </c:pt>
                <c:pt idx="610">
                  <c:v>34.4</c:v>
                </c:pt>
                <c:pt idx="611">
                  <c:v>36.299999999999997</c:v>
                </c:pt>
                <c:pt idx="612">
                  <c:v>24.3</c:v>
                </c:pt>
                <c:pt idx="613">
                  <c:v>33.200000000000003</c:v>
                </c:pt>
                <c:pt idx="614">
                  <c:v>23.6</c:v>
                </c:pt>
                <c:pt idx="615">
                  <c:v>29.4</c:v>
                </c:pt>
                <c:pt idx="616">
                  <c:v>32</c:v>
                </c:pt>
                <c:pt idx="617">
                  <c:v>36</c:v>
                </c:pt>
                <c:pt idx="618">
                  <c:v>45.3</c:v>
                </c:pt>
                <c:pt idx="619">
                  <c:v>23.9</c:v>
                </c:pt>
                <c:pt idx="620">
                  <c:v>34.299999999999997</c:v>
                </c:pt>
                <c:pt idx="621">
                  <c:v>27.2</c:v>
                </c:pt>
                <c:pt idx="622">
                  <c:v>23.6</c:v>
                </c:pt>
                <c:pt idx="623">
                  <c:v>24</c:v>
                </c:pt>
                <c:pt idx="624">
                  <c:v>20.399999999999999</c:v>
                </c:pt>
                <c:pt idx="625">
                  <c:v>27.4</c:v>
                </c:pt>
                <c:pt idx="626">
                  <c:v>27.5</c:v>
                </c:pt>
                <c:pt idx="627">
                  <c:v>19.2</c:v>
                </c:pt>
                <c:pt idx="628">
                  <c:v>36.6</c:v>
                </c:pt>
                <c:pt idx="629">
                  <c:v>22.5</c:v>
                </c:pt>
                <c:pt idx="630">
                  <c:v>28.7</c:v>
                </c:pt>
                <c:pt idx="631">
                  <c:v>40.4</c:v>
                </c:pt>
                <c:pt idx="632">
                  <c:v>32.299999999999997</c:v>
                </c:pt>
                <c:pt idx="633">
                  <c:v>25.4</c:v>
                </c:pt>
                <c:pt idx="634">
                  <c:v>37</c:v>
                </c:pt>
                <c:pt idx="635">
                  <c:v>28.9</c:v>
                </c:pt>
                <c:pt idx="636">
                  <c:v>33.700000000000003</c:v>
                </c:pt>
                <c:pt idx="637">
                  <c:v>30.2</c:v>
                </c:pt>
                <c:pt idx="638">
                  <c:v>26.4</c:v>
                </c:pt>
                <c:pt idx="639">
                  <c:v>32.200000000000003</c:v>
                </c:pt>
                <c:pt idx="640">
                  <c:v>32.200000000000003</c:v>
                </c:pt>
                <c:pt idx="641">
                  <c:v>21.9</c:v>
                </c:pt>
                <c:pt idx="642">
                  <c:v>29.5</c:v>
                </c:pt>
                <c:pt idx="643">
                  <c:v>25.6</c:v>
                </c:pt>
                <c:pt idx="644">
                  <c:v>43.9</c:v>
                </c:pt>
                <c:pt idx="645">
                  <c:v>31.4</c:v>
                </c:pt>
                <c:pt idx="646">
                  <c:v>24.2</c:v>
                </c:pt>
                <c:pt idx="647">
                  <c:v>30.2</c:v>
                </c:pt>
                <c:pt idx="648">
                  <c:v>37.299999999999997</c:v>
                </c:pt>
                <c:pt idx="649">
                  <c:v>29.9</c:v>
                </c:pt>
                <c:pt idx="650">
                  <c:v>37.1</c:v>
                </c:pt>
                <c:pt idx="651">
                  <c:v>44.8</c:v>
                </c:pt>
                <c:pt idx="652">
                  <c:v>25.2</c:v>
                </c:pt>
                <c:pt idx="653">
                  <c:v>25.7</c:v>
                </c:pt>
                <c:pt idx="654">
                  <c:v>34.1</c:v>
                </c:pt>
                <c:pt idx="655">
                  <c:v>36.700000000000003</c:v>
                </c:pt>
                <c:pt idx="656">
                  <c:v>31.6</c:v>
                </c:pt>
                <c:pt idx="657">
                  <c:v>21.3</c:v>
                </c:pt>
                <c:pt idx="658">
                  <c:v>20</c:v>
                </c:pt>
                <c:pt idx="659">
                  <c:v>29.6</c:v>
                </c:pt>
                <c:pt idx="660">
                  <c:v>25.5</c:v>
                </c:pt>
                <c:pt idx="661">
                  <c:v>28.9</c:v>
                </c:pt>
                <c:pt idx="662">
                  <c:v>20.6</c:v>
                </c:pt>
                <c:pt idx="663">
                  <c:v>25.8</c:v>
                </c:pt>
                <c:pt idx="664">
                  <c:v>34.1</c:v>
                </c:pt>
                <c:pt idx="665">
                  <c:v>29.8</c:v>
                </c:pt>
                <c:pt idx="666">
                  <c:v>31.4</c:v>
                </c:pt>
                <c:pt idx="667">
                  <c:v>25.7</c:v>
                </c:pt>
                <c:pt idx="668">
                  <c:v>37.5</c:v>
                </c:pt>
                <c:pt idx="669">
                  <c:v>22.4</c:v>
                </c:pt>
                <c:pt idx="670">
                  <c:v>30</c:v>
                </c:pt>
                <c:pt idx="671">
                  <c:v>36</c:v>
                </c:pt>
                <c:pt idx="672">
                  <c:v>39.700000000000003</c:v>
                </c:pt>
                <c:pt idx="673">
                  <c:v>32.299999999999997</c:v>
                </c:pt>
                <c:pt idx="674">
                  <c:v>30.8</c:v>
                </c:pt>
                <c:pt idx="675">
                  <c:v>48.1</c:v>
                </c:pt>
                <c:pt idx="676">
                  <c:v>27.3</c:v>
                </c:pt>
                <c:pt idx="677">
                  <c:v>27.4</c:v>
                </c:pt>
                <c:pt idx="678">
                  <c:v>29.5</c:v>
                </c:pt>
                <c:pt idx="679">
                  <c:v>24.8</c:v>
                </c:pt>
                <c:pt idx="680">
                  <c:v>41.5</c:v>
                </c:pt>
                <c:pt idx="681">
                  <c:v>44.7</c:v>
                </c:pt>
                <c:pt idx="682">
                  <c:v>46.1</c:v>
                </c:pt>
                <c:pt idx="683">
                  <c:v>34.299999999999997</c:v>
                </c:pt>
                <c:pt idx="684">
                  <c:v>22.6</c:v>
                </c:pt>
                <c:pt idx="685">
                  <c:v>34.799999999999997</c:v>
                </c:pt>
                <c:pt idx="686">
                  <c:v>27.5</c:v>
                </c:pt>
                <c:pt idx="687">
                  <c:v>29.8</c:v>
                </c:pt>
                <c:pt idx="688">
                  <c:v>31.2</c:v>
                </c:pt>
                <c:pt idx="689">
                  <c:v>32.299999999999997</c:v>
                </c:pt>
                <c:pt idx="690">
                  <c:v>37.4</c:v>
                </c:pt>
                <c:pt idx="691">
                  <c:v>18.100000000000001</c:v>
                </c:pt>
                <c:pt idx="692">
                  <c:v>40</c:v>
                </c:pt>
                <c:pt idx="693">
                  <c:v>26.6</c:v>
                </c:pt>
                <c:pt idx="694">
                  <c:v>33.299999999999997</c:v>
                </c:pt>
                <c:pt idx="695">
                  <c:v>30.2</c:v>
                </c:pt>
                <c:pt idx="696">
                  <c:v>47.7</c:v>
                </c:pt>
                <c:pt idx="697">
                  <c:v>30.8</c:v>
                </c:pt>
                <c:pt idx="698">
                  <c:v>24.3</c:v>
                </c:pt>
                <c:pt idx="699">
                  <c:v>42.7</c:v>
                </c:pt>
                <c:pt idx="700">
                  <c:v>31.6</c:v>
                </c:pt>
                <c:pt idx="701">
                  <c:v>21.6</c:v>
                </c:pt>
                <c:pt idx="702">
                  <c:v>25.8</c:v>
                </c:pt>
                <c:pt idx="703">
                  <c:v>24.3</c:v>
                </c:pt>
                <c:pt idx="704">
                  <c:v>33.9</c:v>
                </c:pt>
                <c:pt idx="705">
                  <c:v>28.9</c:v>
                </c:pt>
                <c:pt idx="706">
                  <c:v>34.200000000000003</c:v>
                </c:pt>
                <c:pt idx="707">
                  <c:v>40.700000000000003</c:v>
                </c:pt>
                <c:pt idx="708">
                  <c:v>37.700000000000003</c:v>
                </c:pt>
                <c:pt idx="709">
                  <c:v>39.5</c:v>
                </c:pt>
                <c:pt idx="710">
                  <c:v>30.1</c:v>
                </c:pt>
                <c:pt idx="711">
                  <c:v>27.7</c:v>
                </c:pt>
                <c:pt idx="712">
                  <c:v>32.299999999999997</c:v>
                </c:pt>
                <c:pt idx="713">
                  <c:v>18.3</c:v>
                </c:pt>
                <c:pt idx="714">
                  <c:v>32.299999999999997</c:v>
                </c:pt>
                <c:pt idx="715">
                  <c:v>21.4</c:v>
                </c:pt>
                <c:pt idx="716">
                  <c:v>30.5</c:v>
                </c:pt>
                <c:pt idx="717">
                  <c:v>36.1</c:v>
                </c:pt>
                <c:pt idx="718">
                  <c:v>25.8</c:v>
                </c:pt>
                <c:pt idx="719">
                  <c:v>27.1</c:v>
                </c:pt>
                <c:pt idx="720">
                  <c:v>23.5</c:v>
                </c:pt>
                <c:pt idx="721">
                  <c:v>33.9</c:v>
                </c:pt>
                <c:pt idx="722">
                  <c:v>31.6</c:v>
                </c:pt>
                <c:pt idx="723">
                  <c:v>30.8</c:v>
                </c:pt>
                <c:pt idx="724">
                  <c:v>23.2</c:v>
                </c:pt>
                <c:pt idx="725">
                  <c:v>23.2</c:v>
                </c:pt>
                <c:pt idx="726">
                  <c:v>29.9</c:v>
                </c:pt>
                <c:pt idx="727">
                  <c:v>38.299999999999997</c:v>
                </c:pt>
                <c:pt idx="728">
                  <c:v>30.2</c:v>
                </c:pt>
                <c:pt idx="729">
                  <c:v>28.7</c:v>
                </c:pt>
                <c:pt idx="730">
                  <c:v>32.299999999999997</c:v>
                </c:pt>
                <c:pt idx="731">
                  <c:v>38.6</c:v>
                </c:pt>
                <c:pt idx="732">
                  <c:v>31.2</c:v>
                </c:pt>
                <c:pt idx="733">
                  <c:v>26.6</c:v>
                </c:pt>
                <c:pt idx="734">
                  <c:v>33.299999999999997</c:v>
                </c:pt>
                <c:pt idx="735">
                  <c:v>36.6</c:v>
                </c:pt>
                <c:pt idx="736">
                  <c:v>28.2</c:v>
                </c:pt>
                <c:pt idx="737">
                  <c:v>24</c:v>
                </c:pt>
                <c:pt idx="738">
                  <c:v>32.799999999999997</c:v>
                </c:pt>
                <c:pt idx="739">
                  <c:v>29.2</c:v>
                </c:pt>
                <c:pt idx="740">
                  <c:v>39.6</c:v>
                </c:pt>
                <c:pt idx="741">
                  <c:v>31.2</c:v>
                </c:pt>
                <c:pt idx="742">
                  <c:v>26.2</c:v>
                </c:pt>
                <c:pt idx="743">
                  <c:v>33.299999999999997</c:v>
                </c:pt>
                <c:pt idx="744">
                  <c:v>33.299999999999997</c:v>
                </c:pt>
                <c:pt idx="745">
                  <c:v>22.1</c:v>
                </c:pt>
                <c:pt idx="746">
                  <c:v>39.6</c:v>
                </c:pt>
                <c:pt idx="747">
                  <c:v>34.4</c:v>
                </c:pt>
                <c:pt idx="748">
                  <c:v>27.6</c:v>
                </c:pt>
                <c:pt idx="749">
                  <c:v>31</c:v>
                </c:pt>
                <c:pt idx="750">
                  <c:v>39.6</c:v>
                </c:pt>
                <c:pt idx="751">
                  <c:v>32.799999999999997</c:v>
                </c:pt>
                <c:pt idx="752">
                  <c:v>40.299999999999997</c:v>
                </c:pt>
                <c:pt idx="753">
                  <c:v>28.2</c:v>
                </c:pt>
                <c:pt idx="754">
                  <c:v>30.5</c:v>
                </c:pt>
                <c:pt idx="755">
                  <c:v>37.1</c:v>
                </c:pt>
                <c:pt idx="756">
                  <c:v>35.6</c:v>
                </c:pt>
                <c:pt idx="757">
                  <c:v>21.5</c:v>
                </c:pt>
                <c:pt idx="758">
                  <c:v>33.4</c:v>
                </c:pt>
                <c:pt idx="759">
                  <c:v>29</c:v>
                </c:pt>
                <c:pt idx="760">
                  <c:v>30.8</c:v>
                </c:pt>
                <c:pt idx="761">
                  <c:v>33.299999999999997</c:v>
                </c:pt>
                <c:pt idx="762">
                  <c:v>32.700000000000003</c:v>
                </c:pt>
                <c:pt idx="763">
                  <c:v>33.6</c:v>
                </c:pt>
                <c:pt idx="764">
                  <c:v>36.700000000000003</c:v>
                </c:pt>
                <c:pt idx="765">
                  <c:v>32.700000000000003</c:v>
                </c:pt>
                <c:pt idx="766">
                  <c:v>31.9</c:v>
                </c:pt>
                <c:pt idx="767">
                  <c:v>24.8</c:v>
                </c:pt>
                <c:pt idx="768">
                  <c:v>23.7</c:v>
                </c:pt>
                <c:pt idx="769">
                  <c:v>37.4</c:v>
                </c:pt>
                <c:pt idx="770">
                  <c:v>28.1</c:v>
                </c:pt>
                <c:pt idx="771">
                  <c:v>33.700000000000003</c:v>
                </c:pt>
                <c:pt idx="772">
                  <c:v>41.5</c:v>
                </c:pt>
                <c:pt idx="773">
                  <c:v>40.4</c:v>
                </c:pt>
                <c:pt idx="774">
                  <c:v>21</c:v>
                </c:pt>
                <c:pt idx="775">
                  <c:v>27.9</c:v>
                </c:pt>
                <c:pt idx="776">
                  <c:v>41.2</c:v>
                </c:pt>
                <c:pt idx="777">
                  <c:v>25.3</c:v>
                </c:pt>
                <c:pt idx="778">
                  <c:v>27.2</c:v>
                </c:pt>
                <c:pt idx="779">
                  <c:v>27</c:v>
                </c:pt>
                <c:pt idx="780">
                  <c:v>28.1</c:v>
                </c:pt>
                <c:pt idx="781">
                  <c:v>39.799999999999997</c:v>
                </c:pt>
                <c:pt idx="782">
                  <c:v>41.9</c:v>
                </c:pt>
                <c:pt idx="783">
                  <c:v>26.7</c:v>
                </c:pt>
                <c:pt idx="784">
                  <c:v>35.9</c:v>
                </c:pt>
                <c:pt idx="785">
                  <c:v>25.9</c:v>
                </c:pt>
                <c:pt idx="786">
                  <c:v>31.7</c:v>
                </c:pt>
                <c:pt idx="787">
                  <c:v>26.4</c:v>
                </c:pt>
                <c:pt idx="788">
                  <c:v>28.6</c:v>
                </c:pt>
                <c:pt idx="789">
                  <c:v>36.6</c:v>
                </c:pt>
                <c:pt idx="790">
                  <c:v>28.3</c:v>
                </c:pt>
                <c:pt idx="791">
                  <c:v>29.8</c:v>
                </c:pt>
                <c:pt idx="792">
                  <c:v>32.799999999999997</c:v>
                </c:pt>
                <c:pt idx="793">
                  <c:v>33.700000000000003</c:v>
                </c:pt>
                <c:pt idx="794">
                  <c:v>27.6</c:v>
                </c:pt>
                <c:pt idx="795">
                  <c:v>42.5</c:v>
                </c:pt>
                <c:pt idx="796">
                  <c:v>23.3</c:v>
                </c:pt>
                <c:pt idx="797">
                  <c:v>31.5</c:v>
                </c:pt>
                <c:pt idx="798">
                  <c:v>34</c:v>
                </c:pt>
                <c:pt idx="799">
                  <c:v>35.700000000000003</c:v>
                </c:pt>
                <c:pt idx="800">
                  <c:v>36.1</c:v>
                </c:pt>
                <c:pt idx="801">
                  <c:v>38</c:v>
                </c:pt>
                <c:pt idx="802">
                  <c:v>49.1</c:v>
                </c:pt>
                <c:pt idx="803">
                  <c:v>35.200000000000003</c:v>
                </c:pt>
                <c:pt idx="804">
                  <c:v>38.4</c:v>
                </c:pt>
                <c:pt idx="805">
                  <c:v>44.7</c:v>
                </c:pt>
                <c:pt idx="806">
                  <c:v>36.4</c:v>
                </c:pt>
                <c:pt idx="807">
                  <c:v>25.7</c:v>
                </c:pt>
                <c:pt idx="808">
                  <c:v>28.7</c:v>
                </c:pt>
                <c:pt idx="809">
                  <c:v>33.9</c:v>
                </c:pt>
                <c:pt idx="810">
                  <c:v>32.200000000000003</c:v>
                </c:pt>
                <c:pt idx="811">
                  <c:v>32.299999999999997</c:v>
                </c:pt>
                <c:pt idx="812">
                  <c:v>24.4</c:v>
                </c:pt>
                <c:pt idx="813">
                  <c:v>18.3</c:v>
                </c:pt>
                <c:pt idx="814">
                  <c:v>46.7</c:v>
                </c:pt>
                <c:pt idx="815">
                  <c:v>31.9</c:v>
                </c:pt>
                <c:pt idx="816">
                  <c:v>27.9</c:v>
                </c:pt>
                <c:pt idx="817">
                  <c:v>40.9</c:v>
                </c:pt>
                <c:pt idx="818">
                  <c:v>43.7</c:v>
                </c:pt>
                <c:pt idx="819">
                  <c:v>28.3</c:v>
                </c:pt>
                <c:pt idx="820">
                  <c:v>28.6</c:v>
                </c:pt>
                <c:pt idx="821">
                  <c:v>28.8</c:v>
                </c:pt>
                <c:pt idx="822">
                  <c:v>35.799999999999997</c:v>
                </c:pt>
                <c:pt idx="823">
                  <c:v>23.8</c:v>
                </c:pt>
                <c:pt idx="824">
                  <c:v>28.6</c:v>
                </c:pt>
                <c:pt idx="825">
                  <c:v>27</c:v>
                </c:pt>
                <c:pt idx="826">
                  <c:v>28.1</c:v>
                </c:pt>
                <c:pt idx="827">
                  <c:v>26.4</c:v>
                </c:pt>
                <c:pt idx="828">
                  <c:v>34.4</c:v>
                </c:pt>
                <c:pt idx="829">
                  <c:v>32.1</c:v>
                </c:pt>
                <c:pt idx="830">
                  <c:v>23.2</c:v>
                </c:pt>
                <c:pt idx="831">
                  <c:v>22.8</c:v>
                </c:pt>
                <c:pt idx="832">
                  <c:v>25.2</c:v>
                </c:pt>
                <c:pt idx="833">
                  <c:v>30.5</c:v>
                </c:pt>
                <c:pt idx="834">
                  <c:v>29</c:v>
                </c:pt>
                <c:pt idx="835">
                  <c:v>31.8</c:v>
                </c:pt>
                <c:pt idx="836">
                  <c:v>33.1</c:v>
                </c:pt>
                <c:pt idx="837">
                  <c:v>39.1</c:v>
                </c:pt>
                <c:pt idx="838">
                  <c:v>32.4</c:v>
                </c:pt>
                <c:pt idx="839">
                  <c:v>29.7</c:v>
                </c:pt>
                <c:pt idx="840">
                  <c:v>30.1</c:v>
                </c:pt>
                <c:pt idx="841">
                  <c:v>21.8</c:v>
                </c:pt>
                <c:pt idx="842">
                  <c:v>25.2</c:v>
                </c:pt>
                <c:pt idx="843">
                  <c:v>30.3</c:v>
                </c:pt>
                <c:pt idx="844">
                  <c:v>34.9</c:v>
                </c:pt>
                <c:pt idx="845">
                  <c:v>33.6</c:v>
                </c:pt>
                <c:pt idx="846">
                  <c:v>32</c:v>
                </c:pt>
                <c:pt idx="847">
                  <c:v>33.9</c:v>
                </c:pt>
                <c:pt idx="848">
                  <c:v>22.2</c:v>
                </c:pt>
                <c:pt idx="849">
                  <c:v>20.100000000000001</c:v>
                </c:pt>
                <c:pt idx="850">
                  <c:v>26.6</c:v>
                </c:pt>
                <c:pt idx="851">
                  <c:v>23</c:v>
                </c:pt>
                <c:pt idx="852">
                  <c:v>28.9</c:v>
                </c:pt>
                <c:pt idx="853">
                  <c:v>30.8</c:v>
                </c:pt>
                <c:pt idx="854">
                  <c:v>25.5</c:v>
                </c:pt>
                <c:pt idx="855">
                  <c:v>28.8</c:v>
                </c:pt>
                <c:pt idx="856">
                  <c:v>25.7</c:v>
                </c:pt>
                <c:pt idx="857">
                  <c:v>28.9</c:v>
                </c:pt>
                <c:pt idx="858">
                  <c:v>27.2</c:v>
                </c:pt>
                <c:pt idx="859">
                  <c:v>28.2</c:v>
                </c:pt>
                <c:pt idx="860">
                  <c:v>33.4</c:v>
                </c:pt>
                <c:pt idx="861">
                  <c:v>27.5</c:v>
                </c:pt>
                <c:pt idx="862">
                  <c:v>36.5</c:v>
                </c:pt>
                <c:pt idx="863">
                  <c:v>35.200000000000003</c:v>
                </c:pt>
                <c:pt idx="864">
                  <c:v>37.5</c:v>
                </c:pt>
                <c:pt idx="865">
                  <c:v>32.799999999999997</c:v>
                </c:pt>
                <c:pt idx="866">
                  <c:v>33.5</c:v>
                </c:pt>
                <c:pt idx="867">
                  <c:v>24.7</c:v>
                </c:pt>
                <c:pt idx="868">
                  <c:v>27.5</c:v>
                </c:pt>
                <c:pt idx="869">
                  <c:v>37.1</c:v>
                </c:pt>
                <c:pt idx="870">
                  <c:v>36.1</c:v>
                </c:pt>
                <c:pt idx="871">
                  <c:v>35.200000000000003</c:v>
                </c:pt>
                <c:pt idx="872">
                  <c:v>33</c:v>
                </c:pt>
                <c:pt idx="873">
                  <c:v>21.5</c:v>
                </c:pt>
                <c:pt idx="874">
                  <c:v>24.6</c:v>
                </c:pt>
                <c:pt idx="875">
                  <c:v>40.799999999999997</c:v>
                </c:pt>
                <c:pt idx="876">
                  <c:v>35.799999999999997</c:v>
                </c:pt>
                <c:pt idx="877">
                  <c:v>24.3</c:v>
                </c:pt>
                <c:pt idx="878">
                  <c:v>31.6</c:v>
                </c:pt>
                <c:pt idx="879">
                  <c:v>43.4</c:v>
                </c:pt>
                <c:pt idx="880">
                  <c:v>46.8</c:v>
                </c:pt>
                <c:pt idx="881">
                  <c:v>26.8</c:v>
                </c:pt>
                <c:pt idx="882">
                  <c:v>31.4</c:v>
                </c:pt>
                <c:pt idx="883">
                  <c:v>25.7</c:v>
                </c:pt>
                <c:pt idx="884">
                  <c:v>24.5</c:v>
                </c:pt>
                <c:pt idx="885">
                  <c:v>30.5</c:v>
                </c:pt>
                <c:pt idx="886">
                  <c:v>33.799999999999997</c:v>
                </c:pt>
                <c:pt idx="887">
                  <c:v>35.1</c:v>
                </c:pt>
                <c:pt idx="888">
                  <c:v>38</c:v>
                </c:pt>
                <c:pt idx="889">
                  <c:v>38.1</c:v>
                </c:pt>
                <c:pt idx="890">
                  <c:v>29.6</c:v>
                </c:pt>
                <c:pt idx="891">
                  <c:v>37</c:v>
                </c:pt>
                <c:pt idx="892">
                  <c:v>36.5</c:v>
                </c:pt>
                <c:pt idx="893">
                  <c:v>26.5</c:v>
                </c:pt>
                <c:pt idx="894">
                  <c:v>17.3</c:v>
                </c:pt>
                <c:pt idx="895">
                  <c:v>39.1</c:v>
                </c:pt>
                <c:pt idx="896">
                  <c:v>25.5</c:v>
                </c:pt>
                <c:pt idx="897">
                  <c:v>29.7</c:v>
                </c:pt>
                <c:pt idx="898">
                  <c:v>31.8</c:v>
                </c:pt>
                <c:pt idx="899">
                  <c:v>33.700000000000003</c:v>
                </c:pt>
                <c:pt idx="900">
                  <c:v>38.4</c:v>
                </c:pt>
                <c:pt idx="901">
                  <c:v>21.4</c:v>
                </c:pt>
                <c:pt idx="902">
                  <c:v>37.4</c:v>
                </c:pt>
                <c:pt idx="903">
                  <c:v>38.799999999999997</c:v>
                </c:pt>
                <c:pt idx="904">
                  <c:v>39.9</c:v>
                </c:pt>
                <c:pt idx="905">
                  <c:v>24</c:v>
                </c:pt>
                <c:pt idx="906">
                  <c:v>32.4</c:v>
                </c:pt>
                <c:pt idx="907">
                  <c:v>28.2</c:v>
                </c:pt>
                <c:pt idx="908">
                  <c:v>25.4</c:v>
                </c:pt>
                <c:pt idx="909">
                  <c:v>44</c:v>
                </c:pt>
                <c:pt idx="910">
                  <c:v>24.3</c:v>
                </c:pt>
                <c:pt idx="911">
                  <c:v>28</c:v>
                </c:pt>
                <c:pt idx="912">
                  <c:v>23.7</c:v>
                </c:pt>
                <c:pt idx="913">
                  <c:v>33.5</c:v>
                </c:pt>
                <c:pt idx="914">
                  <c:v>33.9</c:v>
                </c:pt>
                <c:pt idx="915">
                  <c:v>18.3</c:v>
                </c:pt>
                <c:pt idx="916">
                  <c:v>27.6</c:v>
                </c:pt>
                <c:pt idx="917">
                  <c:v>34.299999999999997</c:v>
                </c:pt>
                <c:pt idx="918">
                  <c:v>28.7</c:v>
                </c:pt>
                <c:pt idx="919">
                  <c:v>36</c:v>
                </c:pt>
                <c:pt idx="920">
                  <c:v>30</c:v>
                </c:pt>
                <c:pt idx="921">
                  <c:v>30.8</c:v>
                </c:pt>
                <c:pt idx="922">
                  <c:v>33.1</c:v>
                </c:pt>
                <c:pt idx="923">
                  <c:v>41.5</c:v>
                </c:pt>
                <c:pt idx="924">
                  <c:v>21.1</c:v>
                </c:pt>
                <c:pt idx="925">
                  <c:v>31.2</c:v>
                </c:pt>
                <c:pt idx="926">
                  <c:v>32.299999999999997</c:v>
                </c:pt>
                <c:pt idx="927">
                  <c:v>25</c:v>
                </c:pt>
                <c:pt idx="928">
                  <c:v>29.9</c:v>
                </c:pt>
                <c:pt idx="929">
                  <c:v>33.200000000000003</c:v>
                </c:pt>
                <c:pt idx="930">
                  <c:v>39.200000000000003</c:v>
                </c:pt>
                <c:pt idx="931">
                  <c:v>39.200000000000003</c:v>
                </c:pt>
                <c:pt idx="932">
                  <c:v>32.1</c:v>
                </c:pt>
                <c:pt idx="933">
                  <c:v>31.8</c:v>
                </c:pt>
                <c:pt idx="934">
                  <c:v>22</c:v>
                </c:pt>
                <c:pt idx="935">
                  <c:v>35.9</c:v>
                </c:pt>
                <c:pt idx="936">
                  <c:v>21.8</c:v>
                </c:pt>
                <c:pt idx="937">
                  <c:v>21.6</c:v>
                </c:pt>
                <c:pt idx="938">
                  <c:v>28.3</c:v>
                </c:pt>
                <c:pt idx="939">
                  <c:v>34.5</c:v>
                </c:pt>
                <c:pt idx="940">
                  <c:v>40.5</c:v>
                </c:pt>
                <c:pt idx="941">
                  <c:v>21.7</c:v>
                </c:pt>
                <c:pt idx="942">
                  <c:v>32.700000000000003</c:v>
                </c:pt>
                <c:pt idx="943">
                  <c:v>31.8</c:v>
                </c:pt>
                <c:pt idx="944">
                  <c:v>36.299999999999997</c:v>
                </c:pt>
                <c:pt idx="945">
                  <c:v>36.9</c:v>
                </c:pt>
                <c:pt idx="946">
                  <c:v>33.1</c:v>
                </c:pt>
                <c:pt idx="947">
                  <c:v>27.6</c:v>
                </c:pt>
                <c:pt idx="948">
                  <c:v>31.4</c:v>
                </c:pt>
                <c:pt idx="949">
                  <c:v>36.799999999999997</c:v>
                </c:pt>
                <c:pt idx="950">
                  <c:v>27.7</c:v>
                </c:pt>
                <c:pt idx="951">
                  <c:v>27.8</c:v>
                </c:pt>
                <c:pt idx="952">
                  <c:v>32.1</c:v>
                </c:pt>
                <c:pt idx="953">
                  <c:v>31.7</c:v>
                </c:pt>
                <c:pt idx="954">
                  <c:v>32.299999999999997</c:v>
                </c:pt>
                <c:pt idx="955">
                  <c:v>38.299999999999997</c:v>
                </c:pt>
                <c:pt idx="956">
                  <c:v>37.9</c:v>
                </c:pt>
                <c:pt idx="957">
                  <c:v>39.1</c:v>
                </c:pt>
                <c:pt idx="958">
                  <c:v>25.1</c:v>
                </c:pt>
                <c:pt idx="959">
                  <c:v>26.2</c:v>
                </c:pt>
                <c:pt idx="960">
                  <c:v>21.7</c:v>
                </c:pt>
                <c:pt idx="961">
                  <c:v>36</c:v>
                </c:pt>
                <c:pt idx="962">
                  <c:v>39.700000000000003</c:v>
                </c:pt>
                <c:pt idx="963">
                  <c:v>21.7</c:v>
                </c:pt>
                <c:pt idx="964">
                  <c:v>32.799999999999997</c:v>
                </c:pt>
                <c:pt idx="965">
                  <c:v>26.7</c:v>
                </c:pt>
                <c:pt idx="966">
                  <c:v>28.8</c:v>
                </c:pt>
                <c:pt idx="967">
                  <c:v>26.4</c:v>
                </c:pt>
                <c:pt idx="968">
                  <c:v>38.200000000000003</c:v>
                </c:pt>
                <c:pt idx="969">
                  <c:v>39.200000000000003</c:v>
                </c:pt>
                <c:pt idx="970">
                  <c:v>23.2</c:v>
                </c:pt>
                <c:pt idx="971">
                  <c:v>21.7</c:v>
                </c:pt>
                <c:pt idx="972">
                  <c:v>23.1</c:v>
                </c:pt>
                <c:pt idx="973">
                  <c:v>17.2</c:v>
                </c:pt>
                <c:pt idx="974">
                  <c:v>35.200000000000003</c:v>
                </c:pt>
                <c:pt idx="975">
                  <c:v>25.5</c:v>
                </c:pt>
                <c:pt idx="976">
                  <c:v>20.5</c:v>
                </c:pt>
                <c:pt idx="977">
                  <c:v>32.4</c:v>
                </c:pt>
                <c:pt idx="978">
                  <c:v>33</c:v>
                </c:pt>
                <c:pt idx="979">
                  <c:v>22.4</c:v>
                </c:pt>
                <c:pt idx="980">
                  <c:v>39.299999999999997</c:v>
                </c:pt>
                <c:pt idx="981">
                  <c:v>25.6</c:v>
                </c:pt>
                <c:pt idx="982">
                  <c:v>18</c:v>
                </c:pt>
                <c:pt idx="983">
                  <c:v>30.5</c:v>
                </c:pt>
                <c:pt idx="984">
                  <c:v>33.700000000000003</c:v>
                </c:pt>
                <c:pt idx="985">
                  <c:v>39.799999999999997</c:v>
                </c:pt>
                <c:pt idx="986">
                  <c:v>38.1</c:v>
                </c:pt>
                <c:pt idx="987">
                  <c:v>21.9</c:v>
                </c:pt>
                <c:pt idx="988">
                  <c:v>25.2</c:v>
                </c:pt>
                <c:pt idx="989">
                  <c:v>41.3</c:v>
                </c:pt>
                <c:pt idx="990">
                  <c:v>33</c:v>
                </c:pt>
                <c:pt idx="991">
                  <c:v>24.1</c:v>
                </c:pt>
                <c:pt idx="992">
                  <c:v>19.3</c:v>
                </c:pt>
                <c:pt idx="993">
                  <c:v>29.3</c:v>
                </c:pt>
                <c:pt idx="994">
                  <c:v>31.8</c:v>
                </c:pt>
                <c:pt idx="995">
                  <c:v>39.1</c:v>
                </c:pt>
                <c:pt idx="996">
                  <c:v>21.9</c:v>
                </c:pt>
                <c:pt idx="997">
                  <c:v>22.9</c:v>
                </c:pt>
                <c:pt idx="998">
                  <c:v>27.3</c:v>
                </c:pt>
                <c:pt idx="999">
                  <c:v>27.7</c:v>
                </c:pt>
                <c:pt idx="1000">
                  <c:v>20</c:v>
                </c:pt>
                <c:pt idx="1001">
                  <c:v>26</c:v>
                </c:pt>
                <c:pt idx="1002">
                  <c:v>30.1</c:v>
                </c:pt>
                <c:pt idx="1003">
                  <c:v>24.8</c:v>
                </c:pt>
                <c:pt idx="1004">
                  <c:v>31</c:v>
                </c:pt>
                <c:pt idx="1005">
                  <c:v>21.8</c:v>
                </c:pt>
                <c:pt idx="1006">
                  <c:v>19.100000000000001</c:v>
                </c:pt>
                <c:pt idx="1007">
                  <c:v>30.6</c:v>
                </c:pt>
                <c:pt idx="1008">
                  <c:v>27.9</c:v>
                </c:pt>
                <c:pt idx="1009">
                  <c:v>27.1</c:v>
                </c:pt>
                <c:pt idx="1010">
                  <c:v>28.3</c:v>
                </c:pt>
                <c:pt idx="1011">
                  <c:v>26.8</c:v>
                </c:pt>
                <c:pt idx="1012">
                  <c:v>33.6</c:v>
                </c:pt>
                <c:pt idx="1013">
                  <c:v>27.4</c:v>
                </c:pt>
                <c:pt idx="1014">
                  <c:v>19.8</c:v>
                </c:pt>
                <c:pt idx="1015">
                  <c:v>29.1</c:v>
                </c:pt>
                <c:pt idx="1016">
                  <c:v>23</c:v>
                </c:pt>
                <c:pt idx="1017">
                  <c:v>28.3</c:v>
                </c:pt>
                <c:pt idx="1018">
                  <c:v>24.6</c:v>
                </c:pt>
                <c:pt idx="1019">
                  <c:v>28</c:v>
                </c:pt>
                <c:pt idx="1020">
                  <c:v>23.7</c:v>
                </c:pt>
                <c:pt idx="1021">
                  <c:v>24</c:v>
                </c:pt>
                <c:pt idx="1022">
                  <c:v>28.9</c:v>
                </c:pt>
                <c:pt idx="1023">
                  <c:v>41.3</c:v>
                </c:pt>
                <c:pt idx="1024">
                  <c:v>24.8</c:v>
                </c:pt>
                <c:pt idx="1025">
                  <c:v>31.8</c:v>
                </c:pt>
                <c:pt idx="1026">
                  <c:v>25.7</c:v>
                </c:pt>
                <c:pt idx="1027">
                  <c:v>28.3</c:v>
                </c:pt>
                <c:pt idx="1028">
                  <c:v>29.7</c:v>
                </c:pt>
                <c:pt idx="1029">
                  <c:v>32.200000000000003</c:v>
                </c:pt>
                <c:pt idx="1030">
                  <c:v>27.3</c:v>
                </c:pt>
                <c:pt idx="1031">
                  <c:v>29.2</c:v>
                </c:pt>
                <c:pt idx="1032">
                  <c:v>24.4</c:v>
                </c:pt>
                <c:pt idx="1033">
                  <c:v>28.5</c:v>
                </c:pt>
                <c:pt idx="1034">
                  <c:v>28.5</c:v>
                </c:pt>
                <c:pt idx="1035">
                  <c:v>22.6</c:v>
                </c:pt>
                <c:pt idx="1036">
                  <c:v>29.8</c:v>
                </c:pt>
                <c:pt idx="1037">
                  <c:v>23.7</c:v>
                </c:pt>
                <c:pt idx="1038">
                  <c:v>20.100000000000001</c:v>
                </c:pt>
                <c:pt idx="1039">
                  <c:v>30.4</c:v>
                </c:pt>
                <c:pt idx="1040">
                  <c:v>35.299999999999997</c:v>
                </c:pt>
                <c:pt idx="1041">
                  <c:v>27.9</c:v>
                </c:pt>
                <c:pt idx="1042">
                  <c:v>32.4</c:v>
                </c:pt>
                <c:pt idx="1043">
                  <c:v>27.6</c:v>
                </c:pt>
                <c:pt idx="1044">
                  <c:v>38.799999999999997</c:v>
                </c:pt>
                <c:pt idx="1045">
                  <c:v>25.3</c:v>
                </c:pt>
                <c:pt idx="1046">
                  <c:v>18.3</c:v>
                </c:pt>
                <c:pt idx="1047">
                  <c:v>27.1</c:v>
                </c:pt>
                <c:pt idx="1048">
                  <c:v>27.9</c:v>
                </c:pt>
                <c:pt idx="1049">
                  <c:v>35.700000000000003</c:v>
                </c:pt>
                <c:pt idx="1050">
                  <c:v>25.9</c:v>
                </c:pt>
                <c:pt idx="1051">
                  <c:v>36.200000000000003</c:v>
                </c:pt>
                <c:pt idx="1052">
                  <c:v>29.8</c:v>
                </c:pt>
                <c:pt idx="1053">
                  <c:v>24.4</c:v>
                </c:pt>
                <c:pt idx="1054">
                  <c:v>33.299999999999997</c:v>
                </c:pt>
                <c:pt idx="1055">
                  <c:v>22.2</c:v>
                </c:pt>
                <c:pt idx="1056">
                  <c:v>39.700000000000003</c:v>
                </c:pt>
                <c:pt idx="1057">
                  <c:v>24.6</c:v>
                </c:pt>
                <c:pt idx="1058">
                  <c:v>28.4</c:v>
                </c:pt>
                <c:pt idx="1059">
                  <c:v>26.4</c:v>
                </c:pt>
                <c:pt idx="1060">
                  <c:v>20.2</c:v>
                </c:pt>
                <c:pt idx="1061">
                  <c:v>33.799999999999997</c:v>
                </c:pt>
                <c:pt idx="1062">
                  <c:v>28.9</c:v>
                </c:pt>
                <c:pt idx="1063">
                  <c:v>27.8</c:v>
                </c:pt>
                <c:pt idx="1064">
                  <c:v>20</c:v>
                </c:pt>
                <c:pt idx="1065">
                  <c:v>29.7</c:v>
                </c:pt>
                <c:pt idx="1066">
                  <c:v>23.4</c:v>
                </c:pt>
                <c:pt idx="1067">
                  <c:v>27.8</c:v>
                </c:pt>
                <c:pt idx="1068">
                  <c:v>26.4</c:v>
                </c:pt>
                <c:pt idx="1069">
                  <c:v>21.8</c:v>
                </c:pt>
                <c:pt idx="1070">
                  <c:v>27.5</c:v>
                </c:pt>
                <c:pt idx="1071">
                  <c:v>28</c:v>
                </c:pt>
                <c:pt idx="1072">
                  <c:v>29.6</c:v>
                </c:pt>
                <c:pt idx="1073">
                  <c:v>25.6</c:v>
                </c:pt>
                <c:pt idx="1074">
                  <c:v>29.8</c:v>
                </c:pt>
                <c:pt idx="1075">
                  <c:v>38.1</c:v>
                </c:pt>
                <c:pt idx="1076">
                  <c:v>37.299999999999997</c:v>
                </c:pt>
                <c:pt idx="1077">
                  <c:v>40.299999999999997</c:v>
                </c:pt>
                <c:pt idx="1078">
                  <c:v>28.7</c:v>
                </c:pt>
                <c:pt idx="1079">
                  <c:v>28</c:v>
                </c:pt>
                <c:pt idx="1080">
                  <c:v>33</c:v>
                </c:pt>
                <c:pt idx="1081">
                  <c:v>33.299999999999997</c:v>
                </c:pt>
                <c:pt idx="1082">
                  <c:v>27.7</c:v>
                </c:pt>
                <c:pt idx="1083">
                  <c:v>28.3</c:v>
                </c:pt>
                <c:pt idx="1084">
                  <c:v>22.9</c:v>
                </c:pt>
                <c:pt idx="1085">
                  <c:v>20.9</c:v>
                </c:pt>
                <c:pt idx="1086">
                  <c:v>24.4</c:v>
                </c:pt>
                <c:pt idx="1087">
                  <c:v>29.6</c:v>
                </c:pt>
                <c:pt idx="1088">
                  <c:v>24.6</c:v>
                </c:pt>
                <c:pt idx="1089">
                  <c:v>30.1</c:v>
                </c:pt>
                <c:pt idx="1090">
                  <c:v>26.6</c:v>
                </c:pt>
                <c:pt idx="1091">
                  <c:v>28.1</c:v>
                </c:pt>
                <c:pt idx="1092">
                  <c:v>18.7</c:v>
                </c:pt>
                <c:pt idx="1093">
                  <c:v>24.9</c:v>
                </c:pt>
                <c:pt idx="1094">
                  <c:v>23.7</c:v>
                </c:pt>
                <c:pt idx="1095">
                  <c:v>25.3</c:v>
                </c:pt>
                <c:pt idx="1096">
                  <c:v>26.9</c:v>
                </c:pt>
                <c:pt idx="1097">
                  <c:v>37.4</c:v>
                </c:pt>
                <c:pt idx="1098">
                  <c:v>24.7</c:v>
                </c:pt>
                <c:pt idx="1099">
                  <c:v>25.4</c:v>
                </c:pt>
                <c:pt idx="1100">
                  <c:v>22.7</c:v>
                </c:pt>
                <c:pt idx="1101">
                  <c:v>30</c:v>
                </c:pt>
                <c:pt idx="1102">
                  <c:v>24</c:v>
                </c:pt>
                <c:pt idx="1103">
                  <c:v>23.2</c:v>
                </c:pt>
                <c:pt idx="1104">
                  <c:v>28.1</c:v>
                </c:pt>
                <c:pt idx="1105">
                  <c:v>24.2</c:v>
                </c:pt>
                <c:pt idx="1106">
                  <c:v>20</c:v>
                </c:pt>
                <c:pt idx="1107">
                  <c:v>29.9</c:v>
                </c:pt>
                <c:pt idx="1108">
                  <c:v>26.7</c:v>
                </c:pt>
                <c:pt idx="1109">
                  <c:v>27.3</c:v>
                </c:pt>
                <c:pt idx="1110">
                  <c:v>30.9</c:v>
                </c:pt>
                <c:pt idx="1111">
                  <c:v>27.8</c:v>
                </c:pt>
                <c:pt idx="1112">
                  <c:v>33.1</c:v>
                </c:pt>
                <c:pt idx="1113">
                  <c:v>25</c:v>
                </c:pt>
                <c:pt idx="1114">
                  <c:v>22.9</c:v>
                </c:pt>
                <c:pt idx="1115">
                  <c:v>24.3</c:v>
                </c:pt>
                <c:pt idx="1116">
                  <c:v>25.6</c:v>
                </c:pt>
                <c:pt idx="1117">
                  <c:v>26.1</c:v>
                </c:pt>
                <c:pt idx="1118">
                  <c:v>34.1</c:v>
                </c:pt>
                <c:pt idx="1119">
                  <c:v>28</c:v>
                </c:pt>
                <c:pt idx="1120">
                  <c:v>25.8</c:v>
                </c:pt>
                <c:pt idx="1121">
                  <c:v>24.1</c:v>
                </c:pt>
                <c:pt idx="1122">
                  <c:v>24.8</c:v>
                </c:pt>
                <c:pt idx="1123">
                  <c:v>30.6</c:v>
                </c:pt>
                <c:pt idx="1124">
                  <c:v>23.8</c:v>
                </c:pt>
                <c:pt idx="1125">
                  <c:v>25.9</c:v>
                </c:pt>
                <c:pt idx="1126">
                  <c:v>41.9</c:v>
                </c:pt>
                <c:pt idx="1127">
                  <c:v>27.4</c:v>
                </c:pt>
                <c:pt idx="1128">
                  <c:v>30</c:v>
                </c:pt>
                <c:pt idx="1129">
                  <c:v>25.1</c:v>
                </c:pt>
                <c:pt idx="1130">
                  <c:v>27.6</c:v>
                </c:pt>
                <c:pt idx="1131">
                  <c:v>27.6</c:v>
                </c:pt>
                <c:pt idx="1132">
                  <c:v>27.6</c:v>
                </c:pt>
                <c:pt idx="1133">
                  <c:v>25.3</c:v>
                </c:pt>
                <c:pt idx="1134">
                  <c:v>29.6</c:v>
                </c:pt>
                <c:pt idx="1135">
                  <c:v>24.3</c:v>
                </c:pt>
                <c:pt idx="1136">
                  <c:v>22.6</c:v>
                </c:pt>
                <c:pt idx="1137">
                  <c:v>38.1</c:v>
                </c:pt>
                <c:pt idx="1138">
                  <c:v>28.2</c:v>
                </c:pt>
                <c:pt idx="1139">
                  <c:v>23.2</c:v>
                </c:pt>
                <c:pt idx="1140">
                  <c:v>29.8</c:v>
                </c:pt>
                <c:pt idx="1141">
                  <c:v>32.1</c:v>
                </c:pt>
                <c:pt idx="1142">
                  <c:v>25.1</c:v>
                </c:pt>
                <c:pt idx="1143">
                  <c:v>25.5</c:v>
                </c:pt>
                <c:pt idx="1144">
                  <c:v>27.4</c:v>
                </c:pt>
                <c:pt idx="1145">
                  <c:v>23.7</c:v>
                </c:pt>
                <c:pt idx="1146">
                  <c:v>26.4</c:v>
                </c:pt>
                <c:pt idx="1147">
                  <c:v>32.700000000000003</c:v>
                </c:pt>
                <c:pt idx="1148">
                  <c:v>26.7</c:v>
                </c:pt>
                <c:pt idx="1149">
                  <c:v>24.4</c:v>
                </c:pt>
                <c:pt idx="1150">
                  <c:v>27.1</c:v>
                </c:pt>
                <c:pt idx="1151">
                  <c:v>24.1</c:v>
                </c:pt>
                <c:pt idx="1152">
                  <c:v>35.9</c:v>
                </c:pt>
                <c:pt idx="1153">
                  <c:v>36.799999999999997</c:v>
                </c:pt>
                <c:pt idx="1154">
                  <c:v>23.8</c:v>
                </c:pt>
                <c:pt idx="1155">
                  <c:v>31.5</c:v>
                </c:pt>
                <c:pt idx="1156">
                  <c:v>23</c:v>
                </c:pt>
                <c:pt idx="1157">
                  <c:v>24.9</c:v>
                </c:pt>
                <c:pt idx="1158">
                  <c:v>29</c:v>
                </c:pt>
                <c:pt idx="1159">
                  <c:v>31.9</c:v>
                </c:pt>
                <c:pt idx="1160">
                  <c:v>31.4</c:v>
                </c:pt>
                <c:pt idx="1161">
                  <c:v>22.4</c:v>
                </c:pt>
                <c:pt idx="1162">
                  <c:v>29.8</c:v>
                </c:pt>
                <c:pt idx="1163">
                  <c:v>35.299999999999997</c:v>
                </c:pt>
                <c:pt idx="1164">
                  <c:v>26.3</c:v>
                </c:pt>
                <c:pt idx="1165">
                  <c:v>36.1</c:v>
                </c:pt>
                <c:pt idx="1166">
                  <c:v>26.7</c:v>
                </c:pt>
                <c:pt idx="1167">
                  <c:v>36.5</c:v>
                </c:pt>
                <c:pt idx="1168">
                  <c:v>27.6</c:v>
                </c:pt>
                <c:pt idx="1169">
                  <c:v>36.700000000000003</c:v>
                </c:pt>
                <c:pt idx="1170">
                  <c:v>41.4</c:v>
                </c:pt>
                <c:pt idx="1171">
                  <c:v>28.3</c:v>
                </c:pt>
                <c:pt idx="1172">
                  <c:v>25.8</c:v>
                </c:pt>
                <c:pt idx="1173">
                  <c:v>27</c:v>
                </c:pt>
                <c:pt idx="1174">
                  <c:v>29.1</c:v>
                </c:pt>
                <c:pt idx="1175">
                  <c:v>32.299999999999997</c:v>
                </c:pt>
                <c:pt idx="1176">
                  <c:v>26.9</c:v>
                </c:pt>
                <c:pt idx="1177">
                  <c:v>27.7</c:v>
                </c:pt>
                <c:pt idx="1178">
                  <c:v>37.700000000000003</c:v>
                </c:pt>
                <c:pt idx="1179">
                  <c:v>24.7</c:v>
                </c:pt>
                <c:pt idx="1180">
                  <c:v>29.8</c:v>
                </c:pt>
                <c:pt idx="1181">
                  <c:v>28.6</c:v>
                </c:pt>
                <c:pt idx="1182">
                  <c:v>25.4</c:v>
                </c:pt>
                <c:pt idx="1183">
                  <c:v>29.9</c:v>
                </c:pt>
                <c:pt idx="1184">
                  <c:v>36.9</c:v>
                </c:pt>
                <c:pt idx="1185">
                  <c:v>29.7</c:v>
                </c:pt>
                <c:pt idx="1186">
                  <c:v>30.3</c:v>
                </c:pt>
                <c:pt idx="1187">
                  <c:v>17.8</c:v>
                </c:pt>
                <c:pt idx="1188">
                  <c:v>28.3</c:v>
                </c:pt>
                <c:pt idx="1189">
                  <c:v>30</c:v>
                </c:pt>
                <c:pt idx="1190">
                  <c:v>37.5</c:v>
                </c:pt>
                <c:pt idx="1191">
                  <c:v>30.7</c:v>
                </c:pt>
                <c:pt idx="1192">
                  <c:v>31.7</c:v>
                </c:pt>
                <c:pt idx="1193">
                  <c:v>31.9</c:v>
                </c:pt>
                <c:pt idx="1194">
                  <c:v>30.2</c:v>
                </c:pt>
                <c:pt idx="1195">
                  <c:v>30.4</c:v>
                </c:pt>
                <c:pt idx="1196">
                  <c:v>31.4</c:v>
                </c:pt>
                <c:pt idx="1197">
                  <c:v>31.1</c:v>
                </c:pt>
                <c:pt idx="1198">
                  <c:v>31.7</c:v>
                </c:pt>
                <c:pt idx="1199">
                  <c:v>33.1</c:v>
                </c:pt>
                <c:pt idx="1200">
                  <c:v>32.700000000000003</c:v>
                </c:pt>
                <c:pt idx="1201">
                  <c:v>33.5</c:v>
                </c:pt>
                <c:pt idx="1202">
                  <c:v>31.7</c:v>
                </c:pt>
                <c:pt idx="1203">
                  <c:v>34.799999999999997</c:v>
                </c:pt>
                <c:pt idx="1204">
                  <c:v>31.1</c:v>
                </c:pt>
                <c:pt idx="1205">
                  <c:v>34.9</c:v>
                </c:pt>
                <c:pt idx="1206">
                  <c:v>31.4</c:v>
                </c:pt>
                <c:pt idx="1207">
                  <c:v>22.9</c:v>
                </c:pt>
                <c:pt idx="1208">
                  <c:v>28.5</c:v>
                </c:pt>
                <c:pt idx="1209">
                  <c:v>26.8</c:v>
                </c:pt>
                <c:pt idx="1210">
                  <c:v>30.8</c:v>
                </c:pt>
                <c:pt idx="1211">
                  <c:v>35.6</c:v>
                </c:pt>
                <c:pt idx="1212">
                  <c:v>31</c:v>
                </c:pt>
                <c:pt idx="1213">
                  <c:v>32.799999999999997</c:v>
                </c:pt>
                <c:pt idx="1214">
                  <c:v>32.9</c:v>
                </c:pt>
                <c:pt idx="1215">
                  <c:v>33.299999999999997</c:v>
                </c:pt>
                <c:pt idx="1216">
                  <c:v>36.9</c:v>
                </c:pt>
                <c:pt idx="1217">
                  <c:v>31.7</c:v>
                </c:pt>
                <c:pt idx="1218">
                  <c:v>34.4</c:v>
                </c:pt>
                <c:pt idx="1219">
                  <c:v>37</c:v>
                </c:pt>
                <c:pt idx="1220">
                  <c:v>38.200000000000003</c:v>
                </c:pt>
                <c:pt idx="1221">
                  <c:v>34.700000000000003</c:v>
                </c:pt>
                <c:pt idx="1222">
                  <c:v>33.299999999999997</c:v>
                </c:pt>
                <c:pt idx="1223">
                  <c:v>35.299999999999997</c:v>
                </c:pt>
                <c:pt idx="1224">
                  <c:v>32.5</c:v>
                </c:pt>
                <c:pt idx="1225">
                  <c:v>34.799999999999997</c:v>
                </c:pt>
                <c:pt idx="1226">
                  <c:v>35.5</c:v>
                </c:pt>
                <c:pt idx="1227">
                  <c:v>33.5</c:v>
                </c:pt>
                <c:pt idx="1228">
                  <c:v>36.1</c:v>
                </c:pt>
                <c:pt idx="1229">
                  <c:v>37.6</c:v>
                </c:pt>
                <c:pt idx="1230">
                  <c:v>30.8</c:v>
                </c:pt>
                <c:pt idx="1231">
                  <c:v>35.6</c:v>
                </c:pt>
                <c:pt idx="1232">
                  <c:v>37.1</c:v>
                </c:pt>
                <c:pt idx="1233">
                  <c:v>33.6</c:v>
                </c:pt>
                <c:pt idx="1234">
                  <c:v>31.9</c:v>
                </c:pt>
                <c:pt idx="1235">
                  <c:v>34.4</c:v>
                </c:pt>
                <c:pt idx="1236">
                  <c:v>27.8</c:v>
                </c:pt>
                <c:pt idx="1237">
                  <c:v>40.200000000000003</c:v>
                </c:pt>
                <c:pt idx="1238">
                  <c:v>26.1</c:v>
                </c:pt>
                <c:pt idx="1239">
                  <c:v>35.799999999999997</c:v>
                </c:pt>
                <c:pt idx="1240">
                  <c:v>39.4</c:v>
                </c:pt>
                <c:pt idx="1241">
                  <c:v>33.4</c:v>
                </c:pt>
                <c:pt idx="1242">
                  <c:v>36.700000000000003</c:v>
                </c:pt>
                <c:pt idx="1243">
                  <c:v>35.200000000000003</c:v>
                </c:pt>
                <c:pt idx="1244">
                  <c:v>36.299999999999997</c:v>
                </c:pt>
                <c:pt idx="1245">
                  <c:v>34.4</c:v>
                </c:pt>
                <c:pt idx="1246">
                  <c:v>42.2</c:v>
                </c:pt>
                <c:pt idx="1247">
                  <c:v>30.2</c:v>
                </c:pt>
                <c:pt idx="1248">
                  <c:v>34.200000000000003</c:v>
                </c:pt>
                <c:pt idx="1249">
                  <c:v>32.799999999999997</c:v>
                </c:pt>
                <c:pt idx="1250">
                  <c:v>37.799999999999997</c:v>
                </c:pt>
                <c:pt idx="1251">
                  <c:v>31.4</c:v>
                </c:pt>
                <c:pt idx="1252">
                  <c:v>30.8</c:v>
                </c:pt>
                <c:pt idx="1253">
                  <c:v>42.1</c:v>
                </c:pt>
                <c:pt idx="1254">
                  <c:v>44.9</c:v>
                </c:pt>
                <c:pt idx="1255">
                  <c:v>30.5</c:v>
                </c:pt>
                <c:pt idx="1256">
                  <c:v>30.9</c:v>
                </c:pt>
                <c:pt idx="1257">
                  <c:v>36.700000000000003</c:v>
                </c:pt>
                <c:pt idx="1258">
                  <c:v>34.799999999999997</c:v>
                </c:pt>
                <c:pt idx="1259">
                  <c:v>37.1</c:v>
                </c:pt>
                <c:pt idx="1260">
                  <c:v>34.1</c:v>
                </c:pt>
                <c:pt idx="1261">
                  <c:v>32.799999999999997</c:v>
                </c:pt>
                <c:pt idx="1262">
                  <c:v>35.299999999999997</c:v>
                </c:pt>
                <c:pt idx="1263">
                  <c:v>34.1</c:v>
                </c:pt>
                <c:pt idx="1264">
                  <c:v>35.799999999999997</c:v>
                </c:pt>
                <c:pt idx="1265">
                  <c:v>38.4</c:v>
                </c:pt>
                <c:pt idx="1266">
                  <c:v>30.5</c:v>
                </c:pt>
                <c:pt idx="1267">
                  <c:v>42.8</c:v>
                </c:pt>
                <c:pt idx="1268">
                  <c:v>39.1</c:v>
                </c:pt>
                <c:pt idx="1269">
                  <c:v>32.6</c:v>
                </c:pt>
                <c:pt idx="1270">
                  <c:v>33.1</c:v>
                </c:pt>
                <c:pt idx="1271">
                  <c:v>35</c:v>
                </c:pt>
                <c:pt idx="1272">
                  <c:v>31.8</c:v>
                </c:pt>
                <c:pt idx="1273">
                  <c:v>34.6</c:v>
                </c:pt>
                <c:pt idx="1274">
                  <c:v>36.200000000000003</c:v>
                </c:pt>
                <c:pt idx="1275">
                  <c:v>32.299999999999997</c:v>
                </c:pt>
                <c:pt idx="1276">
                  <c:v>38.4</c:v>
                </c:pt>
                <c:pt idx="1277">
                  <c:v>30.8</c:v>
                </c:pt>
                <c:pt idx="1278">
                  <c:v>35.5</c:v>
                </c:pt>
                <c:pt idx="1279">
                  <c:v>45.5</c:v>
                </c:pt>
                <c:pt idx="1280">
                  <c:v>36</c:v>
                </c:pt>
                <c:pt idx="1281">
                  <c:v>36.1</c:v>
                </c:pt>
                <c:pt idx="1282">
                  <c:v>30.7</c:v>
                </c:pt>
                <c:pt idx="1283">
                  <c:v>38.1</c:v>
                </c:pt>
                <c:pt idx="1284">
                  <c:v>36.5</c:v>
                </c:pt>
                <c:pt idx="1285">
                  <c:v>34.200000000000003</c:v>
                </c:pt>
                <c:pt idx="1286">
                  <c:v>36.6</c:v>
                </c:pt>
                <c:pt idx="1287">
                  <c:v>39</c:v>
                </c:pt>
                <c:pt idx="1288">
                  <c:v>34.1</c:v>
                </c:pt>
                <c:pt idx="1289">
                  <c:v>31.2</c:v>
                </c:pt>
                <c:pt idx="1290">
                  <c:v>41.9</c:v>
                </c:pt>
                <c:pt idx="1291">
                  <c:v>31.8</c:v>
                </c:pt>
                <c:pt idx="1292">
                  <c:v>40.4</c:v>
                </c:pt>
                <c:pt idx="1293">
                  <c:v>33.6</c:v>
                </c:pt>
                <c:pt idx="1294">
                  <c:v>30.2</c:v>
                </c:pt>
                <c:pt idx="1295">
                  <c:v>38.9</c:v>
                </c:pt>
                <c:pt idx="1296">
                  <c:v>34.200000000000003</c:v>
                </c:pt>
                <c:pt idx="1297">
                  <c:v>38.1</c:v>
                </c:pt>
                <c:pt idx="1298">
                  <c:v>35.200000000000003</c:v>
                </c:pt>
                <c:pt idx="1299">
                  <c:v>52.6</c:v>
                </c:pt>
                <c:pt idx="1300">
                  <c:v>35.5</c:v>
                </c:pt>
                <c:pt idx="1301">
                  <c:v>35</c:v>
                </c:pt>
                <c:pt idx="1302">
                  <c:v>32.5</c:v>
                </c:pt>
                <c:pt idx="1303">
                  <c:v>40.6</c:v>
                </c:pt>
                <c:pt idx="1304">
                  <c:v>32</c:v>
                </c:pt>
                <c:pt idx="1305">
                  <c:v>46.2</c:v>
                </c:pt>
                <c:pt idx="1306">
                  <c:v>47.6</c:v>
                </c:pt>
                <c:pt idx="1307">
                  <c:v>31.4</c:v>
                </c:pt>
                <c:pt idx="1308">
                  <c:v>42.4</c:v>
                </c:pt>
                <c:pt idx="1309">
                  <c:v>43.9</c:v>
                </c:pt>
                <c:pt idx="1310">
                  <c:v>37.1</c:v>
                </c:pt>
                <c:pt idx="1311">
                  <c:v>35.9</c:v>
                </c:pt>
                <c:pt idx="1312">
                  <c:v>36.9</c:v>
                </c:pt>
                <c:pt idx="1313">
                  <c:v>30.9</c:v>
                </c:pt>
                <c:pt idx="1314">
                  <c:v>33.9</c:v>
                </c:pt>
                <c:pt idx="1315">
                  <c:v>35.1</c:v>
                </c:pt>
                <c:pt idx="1316">
                  <c:v>41.8</c:v>
                </c:pt>
                <c:pt idx="1317">
                  <c:v>31.3</c:v>
                </c:pt>
                <c:pt idx="1318">
                  <c:v>32.200000000000003</c:v>
                </c:pt>
                <c:pt idx="1319">
                  <c:v>36.299999999999997</c:v>
                </c:pt>
                <c:pt idx="1320">
                  <c:v>42.9</c:v>
                </c:pt>
                <c:pt idx="1321">
                  <c:v>37</c:v>
                </c:pt>
                <c:pt idx="1322">
                  <c:v>36.799999999999997</c:v>
                </c:pt>
                <c:pt idx="1323">
                  <c:v>33.799999999999997</c:v>
                </c:pt>
                <c:pt idx="1324">
                  <c:v>39.9</c:v>
                </c:pt>
                <c:pt idx="1325">
                  <c:v>36.4</c:v>
                </c:pt>
                <c:pt idx="1326">
                  <c:v>40.6</c:v>
                </c:pt>
                <c:pt idx="1327">
                  <c:v>40.9</c:v>
                </c:pt>
                <c:pt idx="1328">
                  <c:v>42.1</c:v>
                </c:pt>
                <c:pt idx="1329">
                  <c:v>37.700000000000003</c:v>
                </c:pt>
                <c:pt idx="1330">
                  <c:v>38.1</c:v>
                </c:pt>
                <c:pt idx="1331">
                  <c:v>41.1</c:v>
                </c:pt>
                <c:pt idx="1332">
                  <c:v>37</c:v>
                </c:pt>
                <c:pt idx="1333">
                  <c:v>36.4</c:v>
                </c:pt>
                <c:pt idx="1334">
                  <c:v>32.799999999999997</c:v>
                </c:pt>
                <c:pt idx="1335">
                  <c:v>35.5</c:v>
                </c:pt>
                <c:pt idx="1336">
                  <c:v>38.1</c:v>
                </c:pt>
                <c:pt idx="1337">
                  <c:v>34.5</c:v>
                </c:pt>
                <c:pt idx="1338">
                  <c:v>30.4</c:v>
                </c:pt>
                <c:pt idx="1339">
                  <c:v>47.4</c:v>
                </c:pt>
              </c:numCache>
            </c:numRef>
          </c:xVal>
          <c:yVal>
            <c:numRef>
              <c:f>'insurance final cleaned'!$J$2:$J$1341</c:f>
              <c:numCache>
                <c:formatCode>General</c:formatCode>
                <c:ptCount val="1340"/>
                <c:pt idx="0">
                  <c:v>1121.8699999999999</c:v>
                </c:pt>
                <c:pt idx="1">
                  <c:v>1131.51</c:v>
                </c:pt>
                <c:pt idx="2">
                  <c:v>1135.94</c:v>
                </c:pt>
                <c:pt idx="3">
                  <c:v>1136.4000000000001</c:v>
                </c:pt>
                <c:pt idx="4">
                  <c:v>1137.01</c:v>
                </c:pt>
                <c:pt idx="5">
                  <c:v>1137.47</c:v>
                </c:pt>
                <c:pt idx="6">
                  <c:v>1141.45</c:v>
                </c:pt>
                <c:pt idx="7">
                  <c:v>1146.8</c:v>
                </c:pt>
                <c:pt idx="8">
                  <c:v>1149.4000000000001</c:v>
                </c:pt>
                <c:pt idx="9">
                  <c:v>1163.46</c:v>
                </c:pt>
                <c:pt idx="10">
                  <c:v>1241.57</c:v>
                </c:pt>
                <c:pt idx="11">
                  <c:v>1242.26</c:v>
                </c:pt>
                <c:pt idx="12">
                  <c:v>1242.82</c:v>
                </c:pt>
                <c:pt idx="13">
                  <c:v>1252.4100000000001</c:v>
                </c:pt>
                <c:pt idx="14">
                  <c:v>1253.94</c:v>
                </c:pt>
                <c:pt idx="15">
                  <c:v>1256.3</c:v>
                </c:pt>
                <c:pt idx="16">
                  <c:v>1261.44</c:v>
                </c:pt>
                <c:pt idx="17">
                  <c:v>1261.8599999999999</c:v>
                </c:pt>
                <c:pt idx="18">
                  <c:v>1263.25</c:v>
                </c:pt>
                <c:pt idx="19">
                  <c:v>1391.53</c:v>
                </c:pt>
                <c:pt idx="20">
                  <c:v>1515.34</c:v>
                </c:pt>
                <c:pt idx="21">
                  <c:v>1526.31</c:v>
                </c:pt>
                <c:pt idx="22">
                  <c:v>1532.47</c:v>
                </c:pt>
                <c:pt idx="23">
                  <c:v>1534.3</c:v>
                </c:pt>
                <c:pt idx="24">
                  <c:v>1607.51</c:v>
                </c:pt>
                <c:pt idx="25">
                  <c:v>1149.4000000000001</c:v>
                </c:pt>
                <c:pt idx="26">
                  <c:v>1615.77</c:v>
                </c:pt>
                <c:pt idx="27">
                  <c:v>1621.34</c:v>
                </c:pt>
                <c:pt idx="28">
                  <c:v>1621.88</c:v>
                </c:pt>
                <c:pt idx="29">
                  <c:v>1622.19</c:v>
                </c:pt>
                <c:pt idx="30">
                  <c:v>1625.43</c:v>
                </c:pt>
                <c:pt idx="31">
                  <c:v>1627.28</c:v>
                </c:pt>
                <c:pt idx="32">
                  <c:v>1628.47</c:v>
                </c:pt>
                <c:pt idx="33">
                  <c:v>1629.83</c:v>
                </c:pt>
                <c:pt idx="34">
                  <c:v>1631.67</c:v>
                </c:pt>
                <c:pt idx="35">
                  <c:v>1631.82</c:v>
                </c:pt>
                <c:pt idx="36">
                  <c:v>1632.04</c:v>
                </c:pt>
                <c:pt idx="37">
                  <c:v>1632.56</c:v>
                </c:pt>
                <c:pt idx="38">
                  <c:v>1633.04</c:v>
                </c:pt>
                <c:pt idx="39">
                  <c:v>1633.96</c:v>
                </c:pt>
                <c:pt idx="40">
                  <c:v>1634.57</c:v>
                </c:pt>
                <c:pt idx="41">
                  <c:v>1635.73</c:v>
                </c:pt>
                <c:pt idx="42">
                  <c:v>1639.56</c:v>
                </c:pt>
                <c:pt idx="43">
                  <c:v>1639.56</c:v>
                </c:pt>
                <c:pt idx="44">
                  <c:v>1646.43</c:v>
                </c:pt>
                <c:pt idx="45">
                  <c:v>1665</c:v>
                </c:pt>
                <c:pt idx="46">
                  <c:v>1674.63</c:v>
                </c:pt>
                <c:pt idx="47">
                  <c:v>1682.6</c:v>
                </c:pt>
                <c:pt idx="48">
                  <c:v>1694.8</c:v>
                </c:pt>
                <c:pt idx="49">
                  <c:v>1702.46</c:v>
                </c:pt>
                <c:pt idx="50">
                  <c:v>1704.57</c:v>
                </c:pt>
                <c:pt idx="51">
                  <c:v>1704.7</c:v>
                </c:pt>
                <c:pt idx="52">
                  <c:v>1705.62</c:v>
                </c:pt>
                <c:pt idx="53">
                  <c:v>1708</c:v>
                </c:pt>
                <c:pt idx="54">
                  <c:v>1708.93</c:v>
                </c:pt>
                <c:pt idx="55">
                  <c:v>1711.03</c:v>
                </c:pt>
                <c:pt idx="56">
                  <c:v>1712.23</c:v>
                </c:pt>
                <c:pt idx="57">
                  <c:v>1719.44</c:v>
                </c:pt>
                <c:pt idx="58">
                  <c:v>1720.35</c:v>
                </c:pt>
                <c:pt idx="59">
                  <c:v>1725.55</c:v>
                </c:pt>
                <c:pt idx="60">
                  <c:v>1727.54</c:v>
                </c:pt>
                <c:pt idx="61">
                  <c:v>1727.79</c:v>
                </c:pt>
                <c:pt idx="62">
                  <c:v>1728.9</c:v>
                </c:pt>
                <c:pt idx="63">
                  <c:v>1731.68</c:v>
                </c:pt>
                <c:pt idx="64">
                  <c:v>1737.38</c:v>
                </c:pt>
                <c:pt idx="65">
                  <c:v>1743.21</c:v>
                </c:pt>
                <c:pt idx="66">
                  <c:v>1744.47</c:v>
                </c:pt>
                <c:pt idx="67">
                  <c:v>1748.77</c:v>
                </c:pt>
                <c:pt idx="68">
                  <c:v>1759.34</c:v>
                </c:pt>
                <c:pt idx="69">
                  <c:v>1769.53</c:v>
                </c:pt>
                <c:pt idx="70">
                  <c:v>1815.88</c:v>
                </c:pt>
                <c:pt idx="71">
                  <c:v>1824.29</c:v>
                </c:pt>
                <c:pt idx="72">
                  <c:v>1826.84</c:v>
                </c:pt>
                <c:pt idx="73">
                  <c:v>1832.09</c:v>
                </c:pt>
                <c:pt idx="74">
                  <c:v>1837.24</c:v>
                </c:pt>
                <c:pt idx="75">
                  <c:v>1837.28</c:v>
                </c:pt>
                <c:pt idx="76">
                  <c:v>1842.52</c:v>
                </c:pt>
                <c:pt idx="77">
                  <c:v>1875.34</c:v>
                </c:pt>
                <c:pt idx="78">
                  <c:v>1877.93</c:v>
                </c:pt>
                <c:pt idx="79">
                  <c:v>1880.07</c:v>
                </c:pt>
                <c:pt idx="80">
                  <c:v>1880.49</c:v>
                </c:pt>
                <c:pt idx="81">
                  <c:v>1906.36</c:v>
                </c:pt>
                <c:pt idx="82">
                  <c:v>1909.53</c:v>
                </c:pt>
                <c:pt idx="83">
                  <c:v>1917.32</c:v>
                </c:pt>
                <c:pt idx="84">
                  <c:v>1964.78</c:v>
                </c:pt>
                <c:pt idx="85">
                  <c:v>1967.02</c:v>
                </c:pt>
                <c:pt idx="86">
                  <c:v>1969.61</c:v>
                </c:pt>
                <c:pt idx="87">
                  <c:v>1972.95</c:v>
                </c:pt>
                <c:pt idx="88">
                  <c:v>1977.82</c:v>
                </c:pt>
                <c:pt idx="89">
                  <c:v>1980.07</c:v>
                </c:pt>
                <c:pt idx="90">
                  <c:v>1981.58</c:v>
                </c:pt>
                <c:pt idx="91">
                  <c:v>1984.45</c:v>
                </c:pt>
                <c:pt idx="92">
                  <c:v>1986.93</c:v>
                </c:pt>
                <c:pt idx="93">
                  <c:v>2007.95</c:v>
                </c:pt>
                <c:pt idx="94">
                  <c:v>2020.18</c:v>
                </c:pt>
                <c:pt idx="95">
                  <c:v>2020.55</c:v>
                </c:pt>
                <c:pt idx="96">
                  <c:v>2026.97</c:v>
                </c:pt>
                <c:pt idx="97">
                  <c:v>2045.69</c:v>
                </c:pt>
                <c:pt idx="98">
                  <c:v>2055.3200000000002</c:v>
                </c:pt>
                <c:pt idx="99">
                  <c:v>2102.2600000000002</c:v>
                </c:pt>
                <c:pt idx="100">
                  <c:v>2103.08</c:v>
                </c:pt>
                <c:pt idx="101">
                  <c:v>2104.11</c:v>
                </c:pt>
                <c:pt idx="102">
                  <c:v>2117.34</c:v>
                </c:pt>
                <c:pt idx="103">
                  <c:v>2128.4299999999998</c:v>
                </c:pt>
                <c:pt idx="104">
                  <c:v>2130.6799999999998</c:v>
                </c:pt>
                <c:pt idx="105">
                  <c:v>2134.9</c:v>
                </c:pt>
                <c:pt idx="106">
                  <c:v>2136.88</c:v>
                </c:pt>
                <c:pt idx="107">
                  <c:v>2137.65</c:v>
                </c:pt>
                <c:pt idx="108">
                  <c:v>2138.0700000000002</c:v>
                </c:pt>
                <c:pt idx="109">
                  <c:v>2150.4699999999998</c:v>
                </c:pt>
                <c:pt idx="110">
                  <c:v>2154.36</c:v>
                </c:pt>
                <c:pt idx="111">
                  <c:v>2155.6799999999998</c:v>
                </c:pt>
                <c:pt idx="112">
                  <c:v>2156.75</c:v>
                </c:pt>
                <c:pt idx="113">
                  <c:v>2166.73</c:v>
                </c:pt>
                <c:pt idx="114">
                  <c:v>2196.4699999999998</c:v>
                </c:pt>
                <c:pt idx="115">
                  <c:v>2198.19</c:v>
                </c:pt>
                <c:pt idx="116">
                  <c:v>2200.83</c:v>
                </c:pt>
                <c:pt idx="117">
                  <c:v>2201.1</c:v>
                </c:pt>
                <c:pt idx="118">
                  <c:v>2203.4699999999998</c:v>
                </c:pt>
                <c:pt idx="119">
                  <c:v>2203.7399999999998</c:v>
                </c:pt>
                <c:pt idx="120">
                  <c:v>2205.98</c:v>
                </c:pt>
                <c:pt idx="121">
                  <c:v>2207.6999999999998</c:v>
                </c:pt>
                <c:pt idx="122">
                  <c:v>2211.13</c:v>
                </c:pt>
                <c:pt idx="123">
                  <c:v>2217.4699999999998</c:v>
                </c:pt>
                <c:pt idx="124">
                  <c:v>2217.6</c:v>
                </c:pt>
                <c:pt idx="125">
                  <c:v>2219.4499999999998</c:v>
                </c:pt>
                <c:pt idx="126">
                  <c:v>2221.56</c:v>
                </c:pt>
                <c:pt idx="127">
                  <c:v>2250.84</c:v>
                </c:pt>
                <c:pt idx="128">
                  <c:v>2254.8000000000002</c:v>
                </c:pt>
                <c:pt idx="129">
                  <c:v>2257.48</c:v>
                </c:pt>
                <c:pt idx="130">
                  <c:v>2261.5700000000002</c:v>
                </c:pt>
                <c:pt idx="131">
                  <c:v>2302.3000000000002</c:v>
                </c:pt>
                <c:pt idx="132">
                  <c:v>2304</c:v>
                </c:pt>
                <c:pt idx="133">
                  <c:v>2322.62</c:v>
                </c:pt>
                <c:pt idx="134">
                  <c:v>2331.52</c:v>
                </c:pt>
                <c:pt idx="135">
                  <c:v>2352.9699999999998</c:v>
                </c:pt>
                <c:pt idx="136">
                  <c:v>2362.23</c:v>
                </c:pt>
                <c:pt idx="137">
                  <c:v>2395.17</c:v>
                </c:pt>
                <c:pt idx="138">
                  <c:v>2396.1</c:v>
                </c:pt>
                <c:pt idx="139">
                  <c:v>2404.73</c:v>
                </c:pt>
                <c:pt idx="140">
                  <c:v>2416.96</c:v>
                </c:pt>
                <c:pt idx="141">
                  <c:v>2438.06</c:v>
                </c:pt>
                <c:pt idx="142">
                  <c:v>2457.21</c:v>
                </c:pt>
                <c:pt idx="143">
                  <c:v>2457.5</c:v>
                </c:pt>
                <c:pt idx="144">
                  <c:v>2459.7199999999998</c:v>
                </c:pt>
                <c:pt idx="145">
                  <c:v>2464.62</c:v>
                </c:pt>
                <c:pt idx="146">
                  <c:v>2473.33</c:v>
                </c:pt>
                <c:pt idx="147">
                  <c:v>2480.98</c:v>
                </c:pt>
                <c:pt idx="148">
                  <c:v>2483.7399999999998</c:v>
                </c:pt>
                <c:pt idx="149">
                  <c:v>2494.02</c:v>
                </c:pt>
                <c:pt idx="150">
                  <c:v>2497.04</c:v>
                </c:pt>
                <c:pt idx="151">
                  <c:v>2498.41</c:v>
                </c:pt>
                <c:pt idx="152">
                  <c:v>2523.17</c:v>
                </c:pt>
                <c:pt idx="153">
                  <c:v>2527.8200000000002</c:v>
                </c:pt>
                <c:pt idx="154">
                  <c:v>2534.39</c:v>
                </c:pt>
                <c:pt idx="155">
                  <c:v>2566.4699999999998</c:v>
                </c:pt>
                <c:pt idx="156">
                  <c:v>2585.27</c:v>
                </c:pt>
                <c:pt idx="157">
                  <c:v>2585.85</c:v>
                </c:pt>
                <c:pt idx="158">
                  <c:v>2597.7800000000002</c:v>
                </c:pt>
                <c:pt idx="159">
                  <c:v>2632.99</c:v>
                </c:pt>
                <c:pt idx="160">
                  <c:v>2639.04</c:v>
                </c:pt>
                <c:pt idx="161">
                  <c:v>2643.27</c:v>
                </c:pt>
                <c:pt idx="162">
                  <c:v>2680.95</c:v>
                </c:pt>
                <c:pt idx="163">
                  <c:v>2689.5</c:v>
                </c:pt>
                <c:pt idx="164">
                  <c:v>2690.11</c:v>
                </c:pt>
                <c:pt idx="165">
                  <c:v>2699.57</c:v>
                </c:pt>
                <c:pt idx="166">
                  <c:v>2709.11</c:v>
                </c:pt>
                <c:pt idx="167">
                  <c:v>2709.24</c:v>
                </c:pt>
                <c:pt idx="168">
                  <c:v>2710.83</c:v>
                </c:pt>
                <c:pt idx="169">
                  <c:v>2719.28</c:v>
                </c:pt>
                <c:pt idx="170">
                  <c:v>2721.32</c:v>
                </c:pt>
                <c:pt idx="171">
                  <c:v>2727.4</c:v>
                </c:pt>
                <c:pt idx="172">
                  <c:v>2730.11</c:v>
                </c:pt>
                <c:pt idx="173">
                  <c:v>2731.91</c:v>
                </c:pt>
                <c:pt idx="174">
                  <c:v>2741.95</c:v>
                </c:pt>
                <c:pt idx="175">
                  <c:v>2755.02</c:v>
                </c:pt>
                <c:pt idx="176">
                  <c:v>2775.19</c:v>
                </c:pt>
                <c:pt idx="177">
                  <c:v>2789.06</c:v>
                </c:pt>
                <c:pt idx="178">
                  <c:v>2801.26</c:v>
                </c:pt>
                <c:pt idx="179">
                  <c:v>2803.7</c:v>
                </c:pt>
                <c:pt idx="180">
                  <c:v>2842.76</c:v>
                </c:pt>
                <c:pt idx="181">
                  <c:v>2850.68</c:v>
                </c:pt>
                <c:pt idx="182">
                  <c:v>2855.44</c:v>
                </c:pt>
                <c:pt idx="183">
                  <c:v>2866.09</c:v>
                </c:pt>
                <c:pt idx="184">
                  <c:v>2867.12</c:v>
                </c:pt>
                <c:pt idx="185">
                  <c:v>2897.32</c:v>
                </c:pt>
                <c:pt idx="186">
                  <c:v>2899.49</c:v>
                </c:pt>
                <c:pt idx="187">
                  <c:v>2902.91</c:v>
                </c:pt>
                <c:pt idx="188">
                  <c:v>2904.09</c:v>
                </c:pt>
                <c:pt idx="189">
                  <c:v>2913.57</c:v>
                </c:pt>
                <c:pt idx="190">
                  <c:v>2927.06</c:v>
                </c:pt>
                <c:pt idx="191">
                  <c:v>2974.13</c:v>
                </c:pt>
                <c:pt idx="192">
                  <c:v>3021.81</c:v>
                </c:pt>
                <c:pt idx="193">
                  <c:v>3044.21</c:v>
                </c:pt>
                <c:pt idx="194">
                  <c:v>3046.06</c:v>
                </c:pt>
                <c:pt idx="195">
                  <c:v>3056.39</c:v>
                </c:pt>
                <c:pt idx="196">
                  <c:v>3062.51</c:v>
                </c:pt>
                <c:pt idx="197">
                  <c:v>3070.81</c:v>
                </c:pt>
                <c:pt idx="198">
                  <c:v>1704.57</c:v>
                </c:pt>
                <c:pt idx="199">
                  <c:v>3077.1</c:v>
                </c:pt>
                <c:pt idx="200">
                  <c:v>3161.45</c:v>
                </c:pt>
                <c:pt idx="201">
                  <c:v>3167.46</c:v>
                </c:pt>
                <c:pt idx="202">
                  <c:v>3171.61</c:v>
                </c:pt>
                <c:pt idx="203">
                  <c:v>3172.02</c:v>
                </c:pt>
                <c:pt idx="204">
                  <c:v>3176.29</c:v>
                </c:pt>
                <c:pt idx="205">
                  <c:v>3176.82</c:v>
                </c:pt>
                <c:pt idx="206">
                  <c:v>3180.51</c:v>
                </c:pt>
                <c:pt idx="207">
                  <c:v>3201.25</c:v>
                </c:pt>
                <c:pt idx="208">
                  <c:v>3206.49</c:v>
                </c:pt>
                <c:pt idx="209">
                  <c:v>3208.79</c:v>
                </c:pt>
                <c:pt idx="210">
                  <c:v>3213.62</c:v>
                </c:pt>
                <c:pt idx="211">
                  <c:v>3227.12</c:v>
                </c:pt>
                <c:pt idx="212">
                  <c:v>3238.44</c:v>
                </c:pt>
                <c:pt idx="213">
                  <c:v>3260.2</c:v>
                </c:pt>
                <c:pt idx="214">
                  <c:v>3268.85</c:v>
                </c:pt>
                <c:pt idx="215">
                  <c:v>3277.16</c:v>
                </c:pt>
                <c:pt idx="216">
                  <c:v>3279.87</c:v>
                </c:pt>
                <c:pt idx="217">
                  <c:v>3292.53</c:v>
                </c:pt>
                <c:pt idx="218">
                  <c:v>3309.79</c:v>
                </c:pt>
                <c:pt idx="219">
                  <c:v>3353.28</c:v>
                </c:pt>
                <c:pt idx="220">
                  <c:v>3353.47</c:v>
                </c:pt>
                <c:pt idx="221">
                  <c:v>3366.67</c:v>
                </c:pt>
                <c:pt idx="222">
                  <c:v>3378.91</c:v>
                </c:pt>
                <c:pt idx="223">
                  <c:v>3385.4</c:v>
                </c:pt>
                <c:pt idx="224">
                  <c:v>3392.37</c:v>
                </c:pt>
                <c:pt idx="225">
                  <c:v>3392.98</c:v>
                </c:pt>
                <c:pt idx="226">
                  <c:v>3393.36</c:v>
                </c:pt>
                <c:pt idx="227">
                  <c:v>3410.32</c:v>
                </c:pt>
                <c:pt idx="228">
                  <c:v>3443.06</c:v>
                </c:pt>
                <c:pt idx="229">
                  <c:v>3471.41</c:v>
                </c:pt>
                <c:pt idx="230">
                  <c:v>3481.87</c:v>
                </c:pt>
                <c:pt idx="231">
                  <c:v>3484.33</c:v>
                </c:pt>
                <c:pt idx="232">
                  <c:v>3490.55</c:v>
                </c:pt>
                <c:pt idx="233">
                  <c:v>3500.61</c:v>
                </c:pt>
                <c:pt idx="234">
                  <c:v>3537.7</c:v>
                </c:pt>
                <c:pt idx="235">
                  <c:v>3554.2</c:v>
                </c:pt>
                <c:pt idx="236">
                  <c:v>3556.92</c:v>
                </c:pt>
                <c:pt idx="237">
                  <c:v>3558.62</c:v>
                </c:pt>
                <c:pt idx="238">
                  <c:v>3561.89</c:v>
                </c:pt>
                <c:pt idx="239">
                  <c:v>3578</c:v>
                </c:pt>
                <c:pt idx="240">
                  <c:v>3579.83</c:v>
                </c:pt>
                <c:pt idx="241">
                  <c:v>3591.48</c:v>
                </c:pt>
                <c:pt idx="242">
                  <c:v>3594.17</c:v>
                </c:pt>
                <c:pt idx="243">
                  <c:v>3597.6</c:v>
                </c:pt>
                <c:pt idx="244">
                  <c:v>3645.09</c:v>
                </c:pt>
                <c:pt idx="245">
                  <c:v>3659.35</c:v>
                </c:pt>
                <c:pt idx="246">
                  <c:v>3693.43</c:v>
                </c:pt>
                <c:pt idx="247">
                  <c:v>3704.35</c:v>
                </c:pt>
                <c:pt idx="248">
                  <c:v>3732.63</c:v>
                </c:pt>
                <c:pt idx="249">
                  <c:v>3736.46</c:v>
                </c:pt>
                <c:pt idx="250">
                  <c:v>3756.62</c:v>
                </c:pt>
                <c:pt idx="251">
                  <c:v>3757.84</c:v>
                </c:pt>
                <c:pt idx="252">
                  <c:v>3761.29</c:v>
                </c:pt>
                <c:pt idx="253">
                  <c:v>3766.88</c:v>
                </c:pt>
                <c:pt idx="254">
                  <c:v>3847.67</c:v>
                </c:pt>
                <c:pt idx="255">
                  <c:v>3857.76</c:v>
                </c:pt>
                <c:pt idx="256">
                  <c:v>3861.21</c:v>
                </c:pt>
                <c:pt idx="257">
                  <c:v>3866.86</c:v>
                </c:pt>
                <c:pt idx="258">
                  <c:v>3875.73</c:v>
                </c:pt>
                <c:pt idx="259">
                  <c:v>3877.3</c:v>
                </c:pt>
                <c:pt idx="260">
                  <c:v>3906.13</c:v>
                </c:pt>
                <c:pt idx="261">
                  <c:v>3925.76</c:v>
                </c:pt>
                <c:pt idx="262">
                  <c:v>3935.18</c:v>
                </c:pt>
                <c:pt idx="263">
                  <c:v>3943.6</c:v>
                </c:pt>
                <c:pt idx="264">
                  <c:v>3947.41</c:v>
                </c:pt>
                <c:pt idx="265">
                  <c:v>3956.07</c:v>
                </c:pt>
                <c:pt idx="266">
                  <c:v>3972.92</c:v>
                </c:pt>
                <c:pt idx="267">
                  <c:v>3981.98</c:v>
                </c:pt>
                <c:pt idx="268">
                  <c:v>3987.93</c:v>
                </c:pt>
                <c:pt idx="269">
                  <c:v>3989.84</c:v>
                </c:pt>
                <c:pt idx="270">
                  <c:v>3994.18</c:v>
                </c:pt>
                <c:pt idx="271">
                  <c:v>4005.42</c:v>
                </c:pt>
                <c:pt idx="272">
                  <c:v>4032.24</c:v>
                </c:pt>
                <c:pt idx="273">
                  <c:v>4040.56</c:v>
                </c:pt>
                <c:pt idx="274">
                  <c:v>4058.12</c:v>
                </c:pt>
                <c:pt idx="275">
                  <c:v>4058.71</c:v>
                </c:pt>
                <c:pt idx="276">
                  <c:v>4074.45</c:v>
                </c:pt>
                <c:pt idx="277">
                  <c:v>4076.5</c:v>
                </c:pt>
                <c:pt idx="278">
                  <c:v>4133.6400000000003</c:v>
                </c:pt>
                <c:pt idx="279">
                  <c:v>4134.08</c:v>
                </c:pt>
                <c:pt idx="280">
                  <c:v>4137.5200000000004</c:v>
                </c:pt>
                <c:pt idx="281">
                  <c:v>4149.74</c:v>
                </c:pt>
                <c:pt idx="282">
                  <c:v>4151.03</c:v>
                </c:pt>
                <c:pt idx="283">
                  <c:v>4185.1000000000004</c:v>
                </c:pt>
                <c:pt idx="284">
                  <c:v>4189.1099999999997</c:v>
                </c:pt>
                <c:pt idx="285">
                  <c:v>4234.93</c:v>
                </c:pt>
                <c:pt idx="286">
                  <c:v>4237.13</c:v>
                </c:pt>
                <c:pt idx="287">
                  <c:v>4239.8900000000003</c:v>
                </c:pt>
                <c:pt idx="288">
                  <c:v>4243.59</c:v>
                </c:pt>
                <c:pt idx="289">
                  <c:v>4260.74</c:v>
                </c:pt>
                <c:pt idx="290">
                  <c:v>4266.17</c:v>
                </c:pt>
                <c:pt idx="291">
                  <c:v>4296.2700000000004</c:v>
                </c:pt>
                <c:pt idx="292">
                  <c:v>4320.41</c:v>
                </c:pt>
                <c:pt idx="293">
                  <c:v>4337.74</c:v>
                </c:pt>
                <c:pt idx="294">
                  <c:v>4340.4399999999996</c:v>
                </c:pt>
                <c:pt idx="295">
                  <c:v>4347.0200000000004</c:v>
                </c:pt>
                <c:pt idx="296">
                  <c:v>4349.46</c:v>
                </c:pt>
                <c:pt idx="297">
                  <c:v>4350.51</c:v>
                </c:pt>
                <c:pt idx="298">
                  <c:v>4357.04</c:v>
                </c:pt>
                <c:pt idx="299">
                  <c:v>4391.6499999999996</c:v>
                </c:pt>
                <c:pt idx="300">
                  <c:v>4399.7299999999996</c:v>
                </c:pt>
                <c:pt idx="301">
                  <c:v>4402.2299999999996</c:v>
                </c:pt>
                <c:pt idx="302">
                  <c:v>4415.16</c:v>
                </c:pt>
                <c:pt idx="303">
                  <c:v>4428.8900000000003</c:v>
                </c:pt>
                <c:pt idx="304">
                  <c:v>4433.3900000000003</c:v>
                </c:pt>
                <c:pt idx="305">
                  <c:v>4433.92</c:v>
                </c:pt>
                <c:pt idx="306">
                  <c:v>4435.09</c:v>
                </c:pt>
                <c:pt idx="307">
                  <c:v>4438.26</c:v>
                </c:pt>
                <c:pt idx="308">
                  <c:v>4441.21</c:v>
                </c:pt>
                <c:pt idx="309">
                  <c:v>4449.46</c:v>
                </c:pt>
                <c:pt idx="310">
                  <c:v>4454.3999999999996</c:v>
                </c:pt>
                <c:pt idx="311">
                  <c:v>4462.72</c:v>
                </c:pt>
                <c:pt idx="312">
                  <c:v>4463.21</c:v>
                </c:pt>
                <c:pt idx="313">
                  <c:v>4466.62</c:v>
                </c:pt>
                <c:pt idx="314">
                  <c:v>4500.34</c:v>
                </c:pt>
                <c:pt idx="315">
                  <c:v>4504.66</c:v>
                </c:pt>
                <c:pt idx="316">
                  <c:v>4518.83</c:v>
                </c:pt>
                <c:pt idx="317">
                  <c:v>4527.18</c:v>
                </c:pt>
                <c:pt idx="318">
                  <c:v>4529.4799999999996</c:v>
                </c:pt>
                <c:pt idx="319">
                  <c:v>4536.26</c:v>
                </c:pt>
                <c:pt idx="320">
                  <c:v>4544.2299999999996</c:v>
                </c:pt>
                <c:pt idx="321">
                  <c:v>4561.1899999999996</c:v>
                </c:pt>
                <c:pt idx="322">
                  <c:v>4562.84</c:v>
                </c:pt>
                <c:pt idx="323">
                  <c:v>4564.1899999999996</c:v>
                </c:pt>
                <c:pt idx="324">
                  <c:v>4571.41</c:v>
                </c:pt>
                <c:pt idx="325">
                  <c:v>4618.08</c:v>
                </c:pt>
                <c:pt idx="326">
                  <c:v>4646.76</c:v>
                </c:pt>
                <c:pt idx="327">
                  <c:v>4661.29</c:v>
                </c:pt>
                <c:pt idx="328">
                  <c:v>4667.6099999999997</c:v>
                </c:pt>
                <c:pt idx="329">
                  <c:v>4670.6400000000003</c:v>
                </c:pt>
                <c:pt idx="330">
                  <c:v>4673.3900000000003</c:v>
                </c:pt>
                <c:pt idx="331">
                  <c:v>4686.3900000000003</c:v>
                </c:pt>
                <c:pt idx="332">
                  <c:v>4687.8</c:v>
                </c:pt>
                <c:pt idx="333">
                  <c:v>4718.2</c:v>
                </c:pt>
                <c:pt idx="334">
                  <c:v>4719.5200000000004</c:v>
                </c:pt>
                <c:pt idx="335">
                  <c:v>4719.74</c:v>
                </c:pt>
                <c:pt idx="336">
                  <c:v>4738.2700000000004</c:v>
                </c:pt>
                <c:pt idx="337">
                  <c:v>4746.34</c:v>
                </c:pt>
                <c:pt idx="338">
                  <c:v>4747.05</c:v>
                </c:pt>
                <c:pt idx="339">
                  <c:v>4751.07</c:v>
                </c:pt>
                <c:pt idx="340">
                  <c:v>4753.6400000000003</c:v>
                </c:pt>
                <c:pt idx="341">
                  <c:v>4762.33</c:v>
                </c:pt>
                <c:pt idx="342">
                  <c:v>4766.0200000000004</c:v>
                </c:pt>
                <c:pt idx="343">
                  <c:v>4779.6000000000004</c:v>
                </c:pt>
                <c:pt idx="344">
                  <c:v>4795.66</c:v>
                </c:pt>
                <c:pt idx="345">
                  <c:v>4827.8999999999996</c:v>
                </c:pt>
                <c:pt idx="346">
                  <c:v>4830.63</c:v>
                </c:pt>
                <c:pt idx="347">
                  <c:v>4837.58</c:v>
                </c:pt>
                <c:pt idx="348">
                  <c:v>4846.92</c:v>
                </c:pt>
                <c:pt idx="349">
                  <c:v>4877.9799999999996</c:v>
                </c:pt>
                <c:pt idx="350">
                  <c:v>4883.87</c:v>
                </c:pt>
                <c:pt idx="351">
                  <c:v>4889.04</c:v>
                </c:pt>
                <c:pt idx="352">
                  <c:v>4890</c:v>
                </c:pt>
                <c:pt idx="353">
                  <c:v>4894.75</c:v>
                </c:pt>
                <c:pt idx="354">
                  <c:v>4906.41</c:v>
                </c:pt>
                <c:pt idx="355">
                  <c:v>4915.0600000000004</c:v>
                </c:pt>
                <c:pt idx="356">
                  <c:v>4922.92</c:v>
                </c:pt>
                <c:pt idx="357">
                  <c:v>4931.6499999999996</c:v>
                </c:pt>
                <c:pt idx="358">
                  <c:v>4934.71</c:v>
                </c:pt>
                <c:pt idx="359">
                  <c:v>4949.76</c:v>
                </c:pt>
                <c:pt idx="360">
                  <c:v>4992.38</c:v>
                </c:pt>
                <c:pt idx="361">
                  <c:v>5002.78</c:v>
                </c:pt>
                <c:pt idx="362">
                  <c:v>5003.8500000000004</c:v>
                </c:pt>
                <c:pt idx="363">
                  <c:v>5012.47</c:v>
                </c:pt>
                <c:pt idx="364">
                  <c:v>5028.1499999999996</c:v>
                </c:pt>
                <c:pt idx="365">
                  <c:v>5031.2700000000004</c:v>
                </c:pt>
                <c:pt idx="366">
                  <c:v>5080.1000000000004</c:v>
                </c:pt>
                <c:pt idx="367">
                  <c:v>5116.5</c:v>
                </c:pt>
                <c:pt idx="368">
                  <c:v>5124.1899999999996</c:v>
                </c:pt>
                <c:pt idx="369">
                  <c:v>5125.22</c:v>
                </c:pt>
                <c:pt idx="370">
                  <c:v>5138.26</c:v>
                </c:pt>
                <c:pt idx="371">
                  <c:v>5148.55</c:v>
                </c:pt>
                <c:pt idx="372">
                  <c:v>5152.13</c:v>
                </c:pt>
                <c:pt idx="373">
                  <c:v>5209.58</c:v>
                </c:pt>
                <c:pt idx="374">
                  <c:v>5227.99</c:v>
                </c:pt>
                <c:pt idx="375">
                  <c:v>5240.7700000000004</c:v>
                </c:pt>
                <c:pt idx="376">
                  <c:v>5245.23</c:v>
                </c:pt>
                <c:pt idx="377">
                  <c:v>5246.05</c:v>
                </c:pt>
                <c:pt idx="378">
                  <c:v>5253.52</c:v>
                </c:pt>
                <c:pt idx="379">
                  <c:v>5257.51</c:v>
                </c:pt>
                <c:pt idx="380">
                  <c:v>5261.47</c:v>
                </c:pt>
                <c:pt idx="381">
                  <c:v>5266.37</c:v>
                </c:pt>
                <c:pt idx="382">
                  <c:v>5267.82</c:v>
                </c:pt>
                <c:pt idx="383">
                  <c:v>5272.18</c:v>
                </c:pt>
                <c:pt idx="384">
                  <c:v>5312.17</c:v>
                </c:pt>
                <c:pt idx="385">
                  <c:v>5325.65</c:v>
                </c:pt>
                <c:pt idx="386">
                  <c:v>5327.4</c:v>
                </c:pt>
                <c:pt idx="387">
                  <c:v>5354.07</c:v>
                </c:pt>
                <c:pt idx="388">
                  <c:v>5373.36</c:v>
                </c:pt>
                <c:pt idx="389">
                  <c:v>5375.04</c:v>
                </c:pt>
                <c:pt idx="390">
                  <c:v>5377.46</c:v>
                </c:pt>
                <c:pt idx="391">
                  <c:v>5383.54</c:v>
                </c:pt>
                <c:pt idx="392">
                  <c:v>5385.34</c:v>
                </c:pt>
                <c:pt idx="393">
                  <c:v>5397.62</c:v>
                </c:pt>
                <c:pt idx="394">
                  <c:v>5400.98</c:v>
                </c:pt>
                <c:pt idx="395">
                  <c:v>5415.66</c:v>
                </c:pt>
                <c:pt idx="396">
                  <c:v>5425.02</c:v>
                </c:pt>
                <c:pt idx="397">
                  <c:v>5428.73</c:v>
                </c:pt>
                <c:pt idx="398">
                  <c:v>5438.75</c:v>
                </c:pt>
                <c:pt idx="399">
                  <c:v>5458.05</c:v>
                </c:pt>
                <c:pt idx="400">
                  <c:v>5469.01</c:v>
                </c:pt>
                <c:pt idx="401">
                  <c:v>5472.45</c:v>
                </c:pt>
                <c:pt idx="402">
                  <c:v>5478.04</c:v>
                </c:pt>
                <c:pt idx="403">
                  <c:v>5484.47</c:v>
                </c:pt>
                <c:pt idx="404">
                  <c:v>5488.26</c:v>
                </c:pt>
                <c:pt idx="405">
                  <c:v>5584.31</c:v>
                </c:pt>
                <c:pt idx="406">
                  <c:v>5594.85</c:v>
                </c:pt>
                <c:pt idx="407">
                  <c:v>5615.37</c:v>
                </c:pt>
                <c:pt idx="408">
                  <c:v>5630.46</c:v>
                </c:pt>
                <c:pt idx="409">
                  <c:v>5649.72</c:v>
                </c:pt>
                <c:pt idx="410">
                  <c:v>5662.23</c:v>
                </c:pt>
                <c:pt idx="411">
                  <c:v>5693.43</c:v>
                </c:pt>
                <c:pt idx="412">
                  <c:v>5699.84</c:v>
                </c:pt>
                <c:pt idx="413">
                  <c:v>5708.87</c:v>
                </c:pt>
                <c:pt idx="414">
                  <c:v>5709.16</c:v>
                </c:pt>
                <c:pt idx="415">
                  <c:v>5729.01</c:v>
                </c:pt>
                <c:pt idx="416">
                  <c:v>5757.41</c:v>
                </c:pt>
                <c:pt idx="417">
                  <c:v>5836.52</c:v>
                </c:pt>
                <c:pt idx="418">
                  <c:v>5846.92</c:v>
                </c:pt>
                <c:pt idx="419">
                  <c:v>5855.9</c:v>
                </c:pt>
                <c:pt idx="420">
                  <c:v>5910.94</c:v>
                </c:pt>
                <c:pt idx="421">
                  <c:v>5920.1</c:v>
                </c:pt>
                <c:pt idx="422">
                  <c:v>5926.85</c:v>
                </c:pt>
                <c:pt idx="423">
                  <c:v>5934.38</c:v>
                </c:pt>
                <c:pt idx="424">
                  <c:v>5966.89</c:v>
                </c:pt>
                <c:pt idx="425">
                  <c:v>5969.72</c:v>
                </c:pt>
                <c:pt idx="426">
                  <c:v>5972.38</c:v>
                </c:pt>
                <c:pt idx="427">
                  <c:v>5974.38</c:v>
                </c:pt>
                <c:pt idx="428">
                  <c:v>5976.83</c:v>
                </c:pt>
                <c:pt idx="429">
                  <c:v>5979.73</c:v>
                </c:pt>
                <c:pt idx="430">
                  <c:v>5989.52</c:v>
                </c:pt>
                <c:pt idx="431">
                  <c:v>6059.17</c:v>
                </c:pt>
                <c:pt idx="432">
                  <c:v>6067.13</c:v>
                </c:pt>
                <c:pt idx="433">
                  <c:v>6079.67</c:v>
                </c:pt>
                <c:pt idx="434">
                  <c:v>6082.41</c:v>
                </c:pt>
                <c:pt idx="435">
                  <c:v>6112.35</c:v>
                </c:pt>
                <c:pt idx="436">
                  <c:v>6113.23</c:v>
                </c:pt>
                <c:pt idx="437">
                  <c:v>6117.49</c:v>
                </c:pt>
                <c:pt idx="438">
                  <c:v>6123.57</c:v>
                </c:pt>
                <c:pt idx="439">
                  <c:v>6128.8</c:v>
                </c:pt>
                <c:pt idx="440">
                  <c:v>6184.3</c:v>
                </c:pt>
                <c:pt idx="441">
                  <c:v>6185.32</c:v>
                </c:pt>
                <c:pt idx="442">
                  <c:v>6186.13</c:v>
                </c:pt>
                <c:pt idx="443">
                  <c:v>6196.45</c:v>
                </c:pt>
                <c:pt idx="444">
                  <c:v>6198.75</c:v>
                </c:pt>
                <c:pt idx="445">
                  <c:v>6203.9</c:v>
                </c:pt>
                <c:pt idx="446">
                  <c:v>6238.3</c:v>
                </c:pt>
                <c:pt idx="447">
                  <c:v>6250.44</c:v>
                </c:pt>
                <c:pt idx="448">
                  <c:v>6272.48</c:v>
                </c:pt>
                <c:pt idx="449">
                  <c:v>6282.24</c:v>
                </c:pt>
                <c:pt idx="450">
                  <c:v>6289.75</c:v>
                </c:pt>
                <c:pt idx="451">
                  <c:v>6311.95</c:v>
                </c:pt>
                <c:pt idx="452">
                  <c:v>6313.76</c:v>
                </c:pt>
                <c:pt idx="453">
                  <c:v>6334.34</c:v>
                </c:pt>
                <c:pt idx="454">
                  <c:v>6338.08</c:v>
                </c:pt>
                <c:pt idx="455">
                  <c:v>6356.27</c:v>
                </c:pt>
                <c:pt idx="456">
                  <c:v>6358.78</c:v>
                </c:pt>
                <c:pt idx="457">
                  <c:v>6360.99</c:v>
                </c:pt>
                <c:pt idx="458">
                  <c:v>6373.56</c:v>
                </c:pt>
                <c:pt idx="459">
                  <c:v>6389.38</c:v>
                </c:pt>
                <c:pt idx="460">
                  <c:v>6393.6</c:v>
                </c:pt>
                <c:pt idx="461">
                  <c:v>6402.29</c:v>
                </c:pt>
                <c:pt idx="462">
                  <c:v>6406.41</c:v>
                </c:pt>
                <c:pt idx="463">
                  <c:v>6414.18</c:v>
                </c:pt>
                <c:pt idx="464">
                  <c:v>6435.62</c:v>
                </c:pt>
                <c:pt idx="465">
                  <c:v>6455.86</c:v>
                </c:pt>
                <c:pt idx="466">
                  <c:v>6457.84</c:v>
                </c:pt>
                <c:pt idx="467">
                  <c:v>6474.01</c:v>
                </c:pt>
                <c:pt idx="468">
                  <c:v>6496.89</c:v>
                </c:pt>
                <c:pt idx="469">
                  <c:v>6500.24</c:v>
                </c:pt>
                <c:pt idx="470">
                  <c:v>6548.2</c:v>
                </c:pt>
                <c:pt idx="471">
                  <c:v>6551.75</c:v>
                </c:pt>
                <c:pt idx="472">
                  <c:v>6555.07</c:v>
                </c:pt>
                <c:pt idx="473">
                  <c:v>6571.02</c:v>
                </c:pt>
                <c:pt idx="474">
                  <c:v>6571.54</c:v>
                </c:pt>
                <c:pt idx="475">
                  <c:v>6593.51</c:v>
                </c:pt>
                <c:pt idx="476">
                  <c:v>6600.21</c:v>
                </c:pt>
                <c:pt idx="477">
                  <c:v>6600.36</c:v>
                </c:pt>
                <c:pt idx="478">
                  <c:v>6610.11</c:v>
                </c:pt>
                <c:pt idx="479">
                  <c:v>6640.54</c:v>
                </c:pt>
                <c:pt idx="480">
                  <c:v>6652.53</c:v>
                </c:pt>
                <c:pt idx="481">
                  <c:v>6653.79</c:v>
                </c:pt>
                <c:pt idx="482">
                  <c:v>6664.69</c:v>
                </c:pt>
                <c:pt idx="483">
                  <c:v>6666.24</c:v>
                </c:pt>
                <c:pt idx="484">
                  <c:v>6686.43</c:v>
                </c:pt>
                <c:pt idx="485">
                  <c:v>6710.19</c:v>
                </c:pt>
                <c:pt idx="486">
                  <c:v>6746.74</c:v>
                </c:pt>
                <c:pt idx="487">
                  <c:v>6748.59</c:v>
                </c:pt>
                <c:pt idx="488">
                  <c:v>6753.04</c:v>
                </c:pt>
                <c:pt idx="489">
                  <c:v>6770.19</c:v>
                </c:pt>
                <c:pt idx="490">
                  <c:v>6775.96</c:v>
                </c:pt>
                <c:pt idx="491">
                  <c:v>6781.35</c:v>
                </c:pt>
                <c:pt idx="492">
                  <c:v>6796.86</c:v>
                </c:pt>
                <c:pt idx="493">
                  <c:v>6799.46</c:v>
                </c:pt>
                <c:pt idx="494">
                  <c:v>6837.37</c:v>
                </c:pt>
                <c:pt idx="495">
                  <c:v>6849.03</c:v>
                </c:pt>
                <c:pt idx="496">
                  <c:v>6858.48</c:v>
                </c:pt>
                <c:pt idx="497">
                  <c:v>6875.96</c:v>
                </c:pt>
                <c:pt idx="498">
                  <c:v>6877.98</c:v>
                </c:pt>
                <c:pt idx="499">
                  <c:v>6933.24</c:v>
                </c:pt>
                <c:pt idx="500">
                  <c:v>6940.91</c:v>
                </c:pt>
                <c:pt idx="501">
                  <c:v>6948.7</c:v>
                </c:pt>
                <c:pt idx="502">
                  <c:v>6985.51</c:v>
                </c:pt>
                <c:pt idx="503">
                  <c:v>6986.7</c:v>
                </c:pt>
                <c:pt idx="504">
                  <c:v>7045.5</c:v>
                </c:pt>
                <c:pt idx="505">
                  <c:v>7046.72</c:v>
                </c:pt>
                <c:pt idx="506">
                  <c:v>7050.02</c:v>
                </c:pt>
                <c:pt idx="507">
                  <c:v>7050.64</c:v>
                </c:pt>
                <c:pt idx="508">
                  <c:v>7077.19</c:v>
                </c:pt>
                <c:pt idx="509">
                  <c:v>7133.9</c:v>
                </c:pt>
                <c:pt idx="510">
                  <c:v>7144.86</c:v>
                </c:pt>
                <c:pt idx="511">
                  <c:v>7147.11</c:v>
                </c:pt>
                <c:pt idx="512">
                  <c:v>7147.47</c:v>
                </c:pt>
                <c:pt idx="513">
                  <c:v>7151.09</c:v>
                </c:pt>
                <c:pt idx="514">
                  <c:v>7152.67</c:v>
                </c:pt>
                <c:pt idx="515">
                  <c:v>7153.55</c:v>
                </c:pt>
                <c:pt idx="516">
                  <c:v>7160.09</c:v>
                </c:pt>
                <c:pt idx="517">
                  <c:v>7160.33</c:v>
                </c:pt>
                <c:pt idx="518">
                  <c:v>7162.01</c:v>
                </c:pt>
                <c:pt idx="519">
                  <c:v>7173.36</c:v>
                </c:pt>
                <c:pt idx="520">
                  <c:v>7196.87</c:v>
                </c:pt>
                <c:pt idx="521">
                  <c:v>7201.7</c:v>
                </c:pt>
                <c:pt idx="522">
                  <c:v>7209.49</c:v>
                </c:pt>
                <c:pt idx="523">
                  <c:v>7222.79</c:v>
                </c:pt>
                <c:pt idx="524">
                  <c:v>7228.22</c:v>
                </c:pt>
                <c:pt idx="525">
                  <c:v>7243.81</c:v>
                </c:pt>
                <c:pt idx="526">
                  <c:v>7256.72</c:v>
                </c:pt>
                <c:pt idx="527">
                  <c:v>7261.74</c:v>
                </c:pt>
                <c:pt idx="528">
                  <c:v>7265.7</c:v>
                </c:pt>
                <c:pt idx="529">
                  <c:v>7281.51</c:v>
                </c:pt>
                <c:pt idx="530">
                  <c:v>7323.73</c:v>
                </c:pt>
                <c:pt idx="531">
                  <c:v>7325.05</c:v>
                </c:pt>
                <c:pt idx="532">
                  <c:v>7337.75</c:v>
                </c:pt>
                <c:pt idx="533">
                  <c:v>7345.08</c:v>
                </c:pt>
                <c:pt idx="534">
                  <c:v>7345.73</c:v>
                </c:pt>
                <c:pt idx="535">
                  <c:v>7348.14</c:v>
                </c:pt>
                <c:pt idx="536">
                  <c:v>7358.18</c:v>
                </c:pt>
                <c:pt idx="537">
                  <c:v>7371.77</c:v>
                </c:pt>
                <c:pt idx="538">
                  <c:v>7418.52</c:v>
                </c:pt>
                <c:pt idx="539">
                  <c:v>7419.48</c:v>
                </c:pt>
                <c:pt idx="540">
                  <c:v>7421.19</c:v>
                </c:pt>
                <c:pt idx="541">
                  <c:v>7441.05</c:v>
                </c:pt>
                <c:pt idx="542">
                  <c:v>7441.5</c:v>
                </c:pt>
                <c:pt idx="543">
                  <c:v>7443.64</c:v>
                </c:pt>
                <c:pt idx="544">
                  <c:v>7445.92</c:v>
                </c:pt>
                <c:pt idx="545">
                  <c:v>7448.4</c:v>
                </c:pt>
                <c:pt idx="546">
                  <c:v>7512.27</c:v>
                </c:pt>
                <c:pt idx="547">
                  <c:v>7518.03</c:v>
                </c:pt>
                <c:pt idx="548">
                  <c:v>7526.71</c:v>
                </c:pt>
                <c:pt idx="549">
                  <c:v>7537.16</c:v>
                </c:pt>
                <c:pt idx="550">
                  <c:v>7623.52</c:v>
                </c:pt>
                <c:pt idx="551">
                  <c:v>7624.63</c:v>
                </c:pt>
                <c:pt idx="552">
                  <c:v>7626.99</c:v>
                </c:pt>
                <c:pt idx="553">
                  <c:v>7633.72</c:v>
                </c:pt>
                <c:pt idx="554">
                  <c:v>7639.42</c:v>
                </c:pt>
                <c:pt idx="555">
                  <c:v>7640.31</c:v>
                </c:pt>
                <c:pt idx="556">
                  <c:v>7650.77</c:v>
                </c:pt>
                <c:pt idx="557">
                  <c:v>7682.67</c:v>
                </c:pt>
                <c:pt idx="558">
                  <c:v>7726.85</c:v>
                </c:pt>
                <c:pt idx="559">
                  <c:v>7727.25</c:v>
                </c:pt>
                <c:pt idx="560">
                  <c:v>7729.65</c:v>
                </c:pt>
                <c:pt idx="561">
                  <c:v>7731.43</c:v>
                </c:pt>
                <c:pt idx="562">
                  <c:v>7731.86</c:v>
                </c:pt>
                <c:pt idx="563">
                  <c:v>7740.34</c:v>
                </c:pt>
                <c:pt idx="564">
                  <c:v>7742.11</c:v>
                </c:pt>
                <c:pt idx="565">
                  <c:v>7749.16</c:v>
                </c:pt>
                <c:pt idx="566">
                  <c:v>7789.64</c:v>
                </c:pt>
                <c:pt idx="567">
                  <c:v>7804.16</c:v>
                </c:pt>
                <c:pt idx="568">
                  <c:v>7935.29</c:v>
                </c:pt>
                <c:pt idx="569">
                  <c:v>7954.52</c:v>
                </c:pt>
                <c:pt idx="570">
                  <c:v>7985.82</c:v>
                </c:pt>
                <c:pt idx="571">
                  <c:v>7986.48</c:v>
                </c:pt>
                <c:pt idx="572">
                  <c:v>8017.06</c:v>
                </c:pt>
                <c:pt idx="573">
                  <c:v>8023.14</c:v>
                </c:pt>
                <c:pt idx="574">
                  <c:v>8026.67</c:v>
                </c:pt>
                <c:pt idx="575">
                  <c:v>8027.97</c:v>
                </c:pt>
                <c:pt idx="576">
                  <c:v>8059.68</c:v>
                </c:pt>
                <c:pt idx="577">
                  <c:v>8062.76</c:v>
                </c:pt>
                <c:pt idx="578">
                  <c:v>8068.19</c:v>
                </c:pt>
                <c:pt idx="579">
                  <c:v>8083.92</c:v>
                </c:pt>
                <c:pt idx="580">
                  <c:v>8116.27</c:v>
                </c:pt>
                <c:pt idx="581">
                  <c:v>8116.68</c:v>
                </c:pt>
                <c:pt idx="582">
                  <c:v>8124.41</c:v>
                </c:pt>
                <c:pt idx="583">
                  <c:v>8125.78</c:v>
                </c:pt>
                <c:pt idx="584">
                  <c:v>8162.72</c:v>
                </c:pt>
                <c:pt idx="585">
                  <c:v>8211.1</c:v>
                </c:pt>
                <c:pt idx="586">
                  <c:v>8219.2000000000007</c:v>
                </c:pt>
                <c:pt idx="587">
                  <c:v>8232.64</c:v>
                </c:pt>
                <c:pt idx="588">
                  <c:v>8233.1</c:v>
                </c:pt>
                <c:pt idx="589">
                  <c:v>8240.59</c:v>
                </c:pt>
                <c:pt idx="590">
                  <c:v>8252.2800000000007</c:v>
                </c:pt>
                <c:pt idx="591">
                  <c:v>8269.0400000000009</c:v>
                </c:pt>
                <c:pt idx="592">
                  <c:v>8277.52</c:v>
                </c:pt>
                <c:pt idx="593">
                  <c:v>8280.6200000000008</c:v>
                </c:pt>
                <c:pt idx="594">
                  <c:v>8283.68</c:v>
                </c:pt>
                <c:pt idx="595">
                  <c:v>8302.5400000000009</c:v>
                </c:pt>
                <c:pt idx="596">
                  <c:v>8310.84</c:v>
                </c:pt>
                <c:pt idx="597">
                  <c:v>8334.4599999999991</c:v>
                </c:pt>
                <c:pt idx="598">
                  <c:v>8334.59</c:v>
                </c:pt>
                <c:pt idx="599">
                  <c:v>8342.91</c:v>
                </c:pt>
                <c:pt idx="600">
                  <c:v>8347.16</c:v>
                </c:pt>
                <c:pt idx="601">
                  <c:v>8410.0499999999993</c:v>
                </c:pt>
                <c:pt idx="602">
                  <c:v>8413.4599999999991</c:v>
                </c:pt>
                <c:pt idx="603">
                  <c:v>8428.07</c:v>
                </c:pt>
                <c:pt idx="604">
                  <c:v>8442.67</c:v>
                </c:pt>
                <c:pt idx="605">
                  <c:v>8444.4699999999993</c:v>
                </c:pt>
                <c:pt idx="606">
                  <c:v>8457.82</c:v>
                </c:pt>
                <c:pt idx="607">
                  <c:v>8515.76</c:v>
                </c:pt>
                <c:pt idx="608">
                  <c:v>8516.83</c:v>
                </c:pt>
                <c:pt idx="609">
                  <c:v>8520.0300000000007</c:v>
                </c:pt>
                <c:pt idx="610">
                  <c:v>8522</c:v>
                </c:pt>
                <c:pt idx="611">
                  <c:v>8527.5300000000007</c:v>
                </c:pt>
                <c:pt idx="612">
                  <c:v>8534.67</c:v>
                </c:pt>
                <c:pt idx="613">
                  <c:v>8538.2900000000009</c:v>
                </c:pt>
                <c:pt idx="614">
                  <c:v>8539.67</c:v>
                </c:pt>
                <c:pt idx="615">
                  <c:v>8547.69</c:v>
                </c:pt>
                <c:pt idx="616">
                  <c:v>8551.35</c:v>
                </c:pt>
                <c:pt idx="617">
                  <c:v>8556.91</c:v>
                </c:pt>
                <c:pt idx="618">
                  <c:v>8569.86</c:v>
                </c:pt>
                <c:pt idx="619">
                  <c:v>8582.2999999999993</c:v>
                </c:pt>
                <c:pt idx="620">
                  <c:v>8596.83</c:v>
                </c:pt>
                <c:pt idx="621">
                  <c:v>8601.33</c:v>
                </c:pt>
                <c:pt idx="622">
                  <c:v>8603.82</c:v>
                </c:pt>
                <c:pt idx="623">
                  <c:v>8604.48</c:v>
                </c:pt>
                <c:pt idx="624">
                  <c:v>8605.36</c:v>
                </c:pt>
                <c:pt idx="625">
                  <c:v>8606.2199999999993</c:v>
                </c:pt>
                <c:pt idx="626">
                  <c:v>8615.2999999999993</c:v>
                </c:pt>
                <c:pt idx="627">
                  <c:v>8627.5400000000009</c:v>
                </c:pt>
                <c:pt idx="628">
                  <c:v>8671.19</c:v>
                </c:pt>
                <c:pt idx="629">
                  <c:v>8688.86</c:v>
                </c:pt>
                <c:pt idx="630">
                  <c:v>8703.4599999999991</c:v>
                </c:pt>
                <c:pt idx="631">
                  <c:v>8733.23</c:v>
                </c:pt>
                <c:pt idx="632">
                  <c:v>8765.25</c:v>
                </c:pt>
                <c:pt idx="633">
                  <c:v>8782.4699999999993</c:v>
                </c:pt>
                <c:pt idx="634">
                  <c:v>8798.59</c:v>
                </c:pt>
                <c:pt idx="635">
                  <c:v>8823.2800000000007</c:v>
                </c:pt>
                <c:pt idx="636">
                  <c:v>8823.99</c:v>
                </c:pt>
                <c:pt idx="637">
                  <c:v>8825.09</c:v>
                </c:pt>
                <c:pt idx="638">
                  <c:v>8827.2099999999991</c:v>
                </c:pt>
                <c:pt idx="639">
                  <c:v>8835.26</c:v>
                </c:pt>
                <c:pt idx="640">
                  <c:v>8871.15</c:v>
                </c:pt>
                <c:pt idx="641">
                  <c:v>8891.14</c:v>
                </c:pt>
                <c:pt idx="642">
                  <c:v>8930.93</c:v>
                </c:pt>
                <c:pt idx="643">
                  <c:v>8932.08</c:v>
                </c:pt>
                <c:pt idx="644">
                  <c:v>8944.1200000000008</c:v>
                </c:pt>
                <c:pt idx="645">
                  <c:v>8964.06</c:v>
                </c:pt>
                <c:pt idx="646">
                  <c:v>8965.7999999999993</c:v>
                </c:pt>
                <c:pt idx="647">
                  <c:v>8968.33</c:v>
                </c:pt>
                <c:pt idx="648">
                  <c:v>8978.19</c:v>
                </c:pt>
                <c:pt idx="649">
                  <c:v>8988.16</c:v>
                </c:pt>
                <c:pt idx="650">
                  <c:v>9048.0300000000007</c:v>
                </c:pt>
                <c:pt idx="651">
                  <c:v>9058.73</c:v>
                </c:pt>
                <c:pt idx="652">
                  <c:v>9095.07</c:v>
                </c:pt>
                <c:pt idx="653">
                  <c:v>9101.7999999999993</c:v>
                </c:pt>
                <c:pt idx="654">
                  <c:v>9140.9500000000007</c:v>
                </c:pt>
                <c:pt idx="655">
                  <c:v>9144.57</c:v>
                </c:pt>
                <c:pt idx="656">
                  <c:v>9174.14</c:v>
                </c:pt>
                <c:pt idx="657">
                  <c:v>9182.17</c:v>
                </c:pt>
                <c:pt idx="658">
                  <c:v>9193.84</c:v>
                </c:pt>
                <c:pt idx="659">
                  <c:v>9222.4</c:v>
                </c:pt>
                <c:pt idx="660">
                  <c:v>9225.26</c:v>
                </c:pt>
                <c:pt idx="661">
                  <c:v>9249.5</c:v>
                </c:pt>
                <c:pt idx="662">
                  <c:v>9264.7999999999993</c:v>
                </c:pt>
                <c:pt idx="663">
                  <c:v>9282.48</c:v>
                </c:pt>
                <c:pt idx="664">
                  <c:v>9283.56</c:v>
                </c:pt>
                <c:pt idx="665">
                  <c:v>9288.0300000000007</c:v>
                </c:pt>
                <c:pt idx="666">
                  <c:v>9290.14</c:v>
                </c:pt>
                <c:pt idx="667">
                  <c:v>9301.89</c:v>
                </c:pt>
                <c:pt idx="668">
                  <c:v>9304.7000000000007</c:v>
                </c:pt>
                <c:pt idx="669">
                  <c:v>9361.33</c:v>
                </c:pt>
                <c:pt idx="670">
                  <c:v>9377.9</c:v>
                </c:pt>
                <c:pt idx="671">
                  <c:v>9386.16</c:v>
                </c:pt>
                <c:pt idx="672">
                  <c:v>9391.35</c:v>
                </c:pt>
                <c:pt idx="673">
                  <c:v>9411.01</c:v>
                </c:pt>
                <c:pt idx="674">
                  <c:v>9414.92</c:v>
                </c:pt>
                <c:pt idx="675">
                  <c:v>9432.93</c:v>
                </c:pt>
                <c:pt idx="676">
                  <c:v>9447.25</c:v>
                </c:pt>
                <c:pt idx="677">
                  <c:v>9447.3799999999992</c:v>
                </c:pt>
                <c:pt idx="678">
                  <c:v>9487.64</c:v>
                </c:pt>
                <c:pt idx="679">
                  <c:v>9500.57</c:v>
                </c:pt>
                <c:pt idx="680">
                  <c:v>9504.31</c:v>
                </c:pt>
                <c:pt idx="681">
                  <c:v>9541.7000000000007</c:v>
                </c:pt>
                <c:pt idx="682">
                  <c:v>9549.57</c:v>
                </c:pt>
                <c:pt idx="683">
                  <c:v>9563.0300000000007</c:v>
                </c:pt>
                <c:pt idx="684">
                  <c:v>9566.99</c:v>
                </c:pt>
                <c:pt idx="685">
                  <c:v>9583.89</c:v>
                </c:pt>
                <c:pt idx="686">
                  <c:v>9617.66</c:v>
                </c:pt>
                <c:pt idx="687">
                  <c:v>9620.33</c:v>
                </c:pt>
                <c:pt idx="688">
                  <c:v>9625.92</c:v>
                </c:pt>
                <c:pt idx="689">
                  <c:v>9630.4</c:v>
                </c:pt>
                <c:pt idx="690">
                  <c:v>9634.5400000000009</c:v>
                </c:pt>
                <c:pt idx="691">
                  <c:v>9644.25</c:v>
                </c:pt>
                <c:pt idx="692">
                  <c:v>9704.67</c:v>
                </c:pt>
                <c:pt idx="693">
                  <c:v>9715.84</c:v>
                </c:pt>
                <c:pt idx="694">
                  <c:v>9722.77</c:v>
                </c:pt>
                <c:pt idx="695">
                  <c:v>9724.5300000000007</c:v>
                </c:pt>
                <c:pt idx="696">
                  <c:v>9748.91</c:v>
                </c:pt>
                <c:pt idx="697">
                  <c:v>9778.35</c:v>
                </c:pt>
                <c:pt idx="698">
                  <c:v>9788.8700000000008</c:v>
                </c:pt>
                <c:pt idx="699">
                  <c:v>9800.89</c:v>
                </c:pt>
                <c:pt idx="700">
                  <c:v>9850.43</c:v>
                </c:pt>
                <c:pt idx="701">
                  <c:v>9855.1299999999992</c:v>
                </c:pt>
                <c:pt idx="702">
                  <c:v>9861.0300000000007</c:v>
                </c:pt>
                <c:pt idx="703">
                  <c:v>9863.4699999999993</c:v>
                </c:pt>
                <c:pt idx="704">
                  <c:v>9866.2999999999993</c:v>
                </c:pt>
                <c:pt idx="705">
                  <c:v>9869.81</c:v>
                </c:pt>
                <c:pt idx="706">
                  <c:v>9872.7000000000007</c:v>
                </c:pt>
                <c:pt idx="707">
                  <c:v>9875.68</c:v>
                </c:pt>
                <c:pt idx="708">
                  <c:v>9877.61</c:v>
                </c:pt>
                <c:pt idx="709">
                  <c:v>9880.07</c:v>
                </c:pt>
                <c:pt idx="710">
                  <c:v>9910.36</c:v>
                </c:pt>
                <c:pt idx="711">
                  <c:v>9957.7199999999993</c:v>
                </c:pt>
                <c:pt idx="712">
                  <c:v>9964.06</c:v>
                </c:pt>
                <c:pt idx="713">
                  <c:v>9991.0400000000009</c:v>
                </c:pt>
                <c:pt idx="714">
                  <c:v>10043.25</c:v>
                </c:pt>
                <c:pt idx="715">
                  <c:v>10065.41</c:v>
                </c:pt>
                <c:pt idx="716">
                  <c:v>10072.06</c:v>
                </c:pt>
                <c:pt idx="717">
                  <c:v>10085.85</c:v>
                </c:pt>
                <c:pt idx="718">
                  <c:v>10096.969999999999</c:v>
                </c:pt>
                <c:pt idx="719">
                  <c:v>10106.129999999999</c:v>
                </c:pt>
                <c:pt idx="720">
                  <c:v>10107.219999999999</c:v>
                </c:pt>
                <c:pt idx="721">
                  <c:v>10115.01</c:v>
                </c:pt>
                <c:pt idx="722">
                  <c:v>10118.42</c:v>
                </c:pt>
                <c:pt idx="723">
                  <c:v>10141.14</c:v>
                </c:pt>
                <c:pt idx="724">
                  <c:v>10156.780000000001</c:v>
                </c:pt>
                <c:pt idx="725">
                  <c:v>10197.77</c:v>
                </c:pt>
                <c:pt idx="726">
                  <c:v>10214.64</c:v>
                </c:pt>
                <c:pt idx="727">
                  <c:v>10226.280000000001</c:v>
                </c:pt>
                <c:pt idx="728">
                  <c:v>10231.5</c:v>
                </c:pt>
                <c:pt idx="729">
                  <c:v>10264.44</c:v>
                </c:pt>
                <c:pt idx="730">
                  <c:v>10269.459999999999</c:v>
                </c:pt>
                <c:pt idx="731">
                  <c:v>10325.209999999999</c:v>
                </c:pt>
                <c:pt idx="732">
                  <c:v>10338.93</c:v>
                </c:pt>
                <c:pt idx="733">
                  <c:v>10355.64</c:v>
                </c:pt>
                <c:pt idx="734">
                  <c:v>10370.91</c:v>
                </c:pt>
                <c:pt idx="735">
                  <c:v>10381.48</c:v>
                </c:pt>
                <c:pt idx="736">
                  <c:v>10407.09</c:v>
                </c:pt>
                <c:pt idx="737">
                  <c:v>10422.92</c:v>
                </c:pt>
                <c:pt idx="738">
                  <c:v>10435.07</c:v>
                </c:pt>
                <c:pt idx="739">
                  <c:v>10436.1</c:v>
                </c:pt>
                <c:pt idx="740">
                  <c:v>10450.549999999999</c:v>
                </c:pt>
                <c:pt idx="741">
                  <c:v>10461.98</c:v>
                </c:pt>
                <c:pt idx="742">
                  <c:v>10493.95</c:v>
                </c:pt>
                <c:pt idx="743">
                  <c:v>10560.49</c:v>
                </c:pt>
                <c:pt idx="744">
                  <c:v>10564.88</c:v>
                </c:pt>
                <c:pt idx="745">
                  <c:v>10577.09</c:v>
                </c:pt>
                <c:pt idx="746">
                  <c:v>10579.71</c:v>
                </c:pt>
                <c:pt idx="747">
                  <c:v>10594.23</c:v>
                </c:pt>
                <c:pt idx="748">
                  <c:v>10594.5</c:v>
                </c:pt>
                <c:pt idx="749">
                  <c:v>10600.55</c:v>
                </c:pt>
                <c:pt idx="750">
                  <c:v>10601.41</c:v>
                </c:pt>
                <c:pt idx="751">
                  <c:v>10601.63</c:v>
                </c:pt>
                <c:pt idx="752">
                  <c:v>10602.39</c:v>
                </c:pt>
                <c:pt idx="753">
                  <c:v>10702.64</c:v>
                </c:pt>
                <c:pt idx="754">
                  <c:v>10704.47</c:v>
                </c:pt>
                <c:pt idx="755">
                  <c:v>10713.64</c:v>
                </c:pt>
                <c:pt idx="756">
                  <c:v>10736.87</c:v>
                </c:pt>
                <c:pt idx="757">
                  <c:v>10791.96</c:v>
                </c:pt>
                <c:pt idx="758">
                  <c:v>10795.94</c:v>
                </c:pt>
                <c:pt idx="759">
                  <c:v>10796.35</c:v>
                </c:pt>
                <c:pt idx="760">
                  <c:v>10797.34</c:v>
                </c:pt>
                <c:pt idx="761">
                  <c:v>10806.84</c:v>
                </c:pt>
                <c:pt idx="762">
                  <c:v>10807.49</c:v>
                </c:pt>
                <c:pt idx="763">
                  <c:v>10825.25</c:v>
                </c:pt>
                <c:pt idx="764">
                  <c:v>10848.13</c:v>
                </c:pt>
                <c:pt idx="765">
                  <c:v>10923.93</c:v>
                </c:pt>
                <c:pt idx="766">
                  <c:v>10928.85</c:v>
                </c:pt>
                <c:pt idx="767">
                  <c:v>10942.13</c:v>
                </c:pt>
                <c:pt idx="768">
                  <c:v>10959.33</c:v>
                </c:pt>
                <c:pt idx="769">
                  <c:v>10959.69</c:v>
                </c:pt>
                <c:pt idx="770">
                  <c:v>10965.45</c:v>
                </c:pt>
                <c:pt idx="771">
                  <c:v>10976.25</c:v>
                </c:pt>
                <c:pt idx="772">
                  <c:v>10977.21</c:v>
                </c:pt>
                <c:pt idx="773">
                  <c:v>10982.5</c:v>
                </c:pt>
                <c:pt idx="774">
                  <c:v>11013.71</c:v>
                </c:pt>
                <c:pt idx="775">
                  <c:v>11015.17</c:v>
                </c:pt>
                <c:pt idx="776">
                  <c:v>11033.66</c:v>
                </c:pt>
                <c:pt idx="777">
                  <c:v>11070.54</c:v>
                </c:pt>
                <c:pt idx="778">
                  <c:v>11073.18</c:v>
                </c:pt>
                <c:pt idx="779">
                  <c:v>11082.58</c:v>
                </c:pt>
                <c:pt idx="780">
                  <c:v>11085.59</c:v>
                </c:pt>
                <c:pt idx="781">
                  <c:v>11090.72</c:v>
                </c:pt>
                <c:pt idx="782">
                  <c:v>11093.62</c:v>
                </c:pt>
                <c:pt idx="783">
                  <c:v>11150.78</c:v>
                </c:pt>
                <c:pt idx="784">
                  <c:v>11163.57</c:v>
                </c:pt>
                <c:pt idx="785">
                  <c:v>11165.42</c:v>
                </c:pt>
                <c:pt idx="786">
                  <c:v>11187.66</c:v>
                </c:pt>
                <c:pt idx="787">
                  <c:v>11244.38</c:v>
                </c:pt>
                <c:pt idx="788">
                  <c:v>11253.42</c:v>
                </c:pt>
                <c:pt idx="789">
                  <c:v>11264.54</c:v>
                </c:pt>
                <c:pt idx="790">
                  <c:v>11272.33</c:v>
                </c:pt>
                <c:pt idx="791">
                  <c:v>11286.54</c:v>
                </c:pt>
                <c:pt idx="792">
                  <c:v>11289.11</c:v>
                </c:pt>
                <c:pt idx="793">
                  <c:v>11299.34</c:v>
                </c:pt>
                <c:pt idx="794">
                  <c:v>11305.93</c:v>
                </c:pt>
                <c:pt idx="795">
                  <c:v>11326.71</c:v>
                </c:pt>
                <c:pt idx="796">
                  <c:v>11345.52</c:v>
                </c:pt>
                <c:pt idx="797">
                  <c:v>11353.23</c:v>
                </c:pt>
                <c:pt idx="798">
                  <c:v>11356.66</c:v>
                </c:pt>
                <c:pt idx="799">
                  <c:v>11362.76</c:v>
                </c:pt>
                <c:pt idx="800">
                  <c:v>11363.28</c:v>
                </c:pt>
                <c:pt idx="801">
                  <c:v>11365.95</c:v>
                </c:pt>
                <c:pt idx="802">
                  <c:v>11381.33</c:v>
                </c:pt>
                <c:pt idx="803">
                  <c:v>11394.07</c:v>
                </c:pt>
                <c:pt idx="804">
                  <c:v>11396.9</c:v>
                </c:pt>
                <c:pt idx="805">
                  <c:v>11411.69</c:v>
                </c:pt>
                <c:pt idx="806">
                  <c:v>11436.74</c:v>
                </c:pt>
                <c:pt idx="807">
                  <c:v>11454.02</c:v>
                </c:pt>
                <c:pt idx="808">
                  <c:v>11455.28</c:v>
                </c:pt>
                <c:pt idx="809">
                  <c:v>11482.63</c:v>
                </c:pt>
                <c:pt idx="810">
                  <c:v>11488.32</c:v>
                </c:pt>
                <c:pt idx="811">
                  <c:v>11512.41</c:v>
                </c:pt>
                <c:pt idx="812">
                  <c:v>11520.1</c:v>
                </c:pt>
                <c:pt idx="813">
                  <c:v>11534.87</c:v>
                </c:pt>
                <c:pt idx="814">
                  <c:v>11538.42</c:v>
                </c:pt>
                <c:pt idx="815">
                  <c:v>11552.9</c:v>
                </c:pt>
                <c:pt idx="816">
                  <c:v>11554.22</c:v>
                </c:pt>
                <c:pt idx="817">
                  <c:v>11566.3</c:v>
                </c:pt>
                <c:pt idx="818">
                  <c:v>11576.13</c:v>
                </c:pt>
                <c:pt idx="819">
                  <c:v>11657.72</c:v>
                </c:pt>
                <c:pt idx="820">
                  <c:v>11658.12</c:v>
                </c:pt>
                <c:pt idx="821">
                  <c:v>11658.38</c:v>
                </c:pt>
                <c:pt idx="822">
                  <c:v>11674.13</c:v>
                </c:pt>
                <c:pt idx="823">
                  <c:v>11729.68</c:v>
                </c:pt>
                <c:pt idx="824">
                  <c:v>11735.88</c:v>
                </c:pt>
                <c:pt idx="825">
                  <c:v>11737.85</c:v>
                </c:pt>
                <c:pt idx="826">
                  <c:v>11741.73</c:v>
                </c:pt>
                <c:pt idx="827">
                  <c:v>11743.3</c:v>
                </c:pt>
                <c:pt idx="828">
                  <c:v>11743.93</c:v>
                </c:pt>
                <c:pt idx="829">
                  <c:v>11763</c:v>
                </c:pt>
                <c:pt idx="830">
                  <c:v>11830.61</c:v>
                </c:pt>
                <c:pt idx="831">
                  <c:v>11833.78</c:v>
                </c:pt>
                <c:pt idx="832">
                  <c:v>11837.16</c:v>
                </c:pt>
                <c:pt idx="833">
                  <c:v>11840.78</c:v>
                </c:pt>
                <c:pt idx="834">
                  <c:v>11842.44</c:v>
                </c:pt>
                <c:pt idx="835">
                  <c:v>11842.62</c:v>
                </c:pt>
                <c:pt idx="836">
                  <c:v>11848.14</c:v>
                </c:pt>
                <c:pt idx="837">
                  <c:v>11856.41</c:v>
                </c:pt>
                <c:pt idx="838">
                  <c:v>11879.1</c:v>
                </c:pt>
                <c:pt idx="839">
                  <c:v>11881.36</c:v>
                </c:pt>
                <c:pt idx="840">
                  <c:v>11881.97</c:v>
                </c:pt>
                <c:pt idx="841">
                  <c:v>11884.05</c:v>
                </c:pt>
                <c:pt idx="842">
                  <c:v>11931.13</c:v>
                </c:pt>
                <c:pt idx="843">
                  <c:v>11938.26</c:v>
                </c:pt>
                <c:pt idx="844">
                  <c:v>11944.59</c:v>
                </c:pt>
                <c:pt idx="845">
                  <c:v>11945.13</c:v>
                </c:pt>
                <c:pt idx="846">
                  <c:v>11946.63</c:v>
                </c:pt>
                <c:pt idx="847">
                  <c:v>11987.17</c:v>
                </c:pt>
                <c:pt idx="848">
                  <c:v>12029.29</c:v>
                </c:pt>
                <c:pt idx="849">
                  <c:v>12032.33</c:v>
                </c:pt>
                <c:pt idx="850">
                  <c:v>12044.34</c:v>
                </c:pt>
                <c:pt idx="851">
                  <c:v>12094.48</c:v>
                </c:pt>
                <c:pt idx="852">
                  <c:v>12096.65</c:v>
                </c:pt>
                <c:pt idx="853">
                  <c:v>12105.32</c:v>
                </c:pt>
                <c:pt idx="854">
                  <c:v>12124.99</c:v>
                </c:pt>
                <c:pt idx="855">
                  <c:v>12129.61</c:v>
                </c:pt>
                <c:pt idx="856">
                  <c:v>12142.58</c:v>
                </c:pt>
                <c:pt idx="857">
                  <c:v>12146.97</c:v>
                </c:pt>
                <c:pt idx="858">
                  <c:v>12222.9</c:v>
                </c:pt>
                <c:pt idx="859">
                  <c:v>12224.35</c:v>
                </c:pt>
                <c:pt idx="860">
                  <c:v>12231.61</c:v>
                </c:pt>
                <c:pt idx="861">
                  <c:v>12233.83</c:v>
                </c:pt>
                <c:pt idx="862">
                  <c:v>12235.84</c:v>
                </c:pt>
                <c:pt idx="863">
                  <c:v>12244.53</c:v>
                </c:pt>
                <c:pt idx="864">
                  <c:v>12265.51</c:v>
                </c:pt>
                <c:pt idx="865">
                  <c:v>12268.63</c:v>
                </c:pt>
                <c:pt idx="866">
                  <c:v>12269.69</c:v>
                </c:pt>
                <c:pt idx="867">
                  <c:v>12323.94</c:v>
                </c:pt>
                <c:pt idx="868">
                  <c:v>12333.83</c:v>
                </c:pt>
                <c:pt idx="869">
                  <c:v>12347.17</c:v>
                </c:pt>
                <c:pt idx="870">
                  <c:v>12363.55</c:v>
                </c:pt>
                <c:pt idx="871">
                  <c:v>12404.88</c:v>
                </c:pt>
                <c:pt idx="872">
                  <c:v>12430.95</c:v>
                </c:pt>
                <c:pt idx="873">
                  <c:v>12475.35</c:v>
                </c:pt>
                <c:pt idx="874">
                  <c:v>12479.71</c:v>
                </c:pt>
                <c:pt idx="875">
                  <c:v>12485.8</c:v>
                </c:pt>
                <c:pt idx="876">
                  <c:v>12495.29</c:v>
                </c:pt>
                <c:pt idx="877">
                  <c:v>12523.6</c:v>
                </c:pt>
                <c:pt idx="878">
                  <c:v>12557.61</c:v>
                </c:pt>
                <c:pt idx="879">
                  <c:v>12574.05</c:v>
                </c:pt>
                <c:pt idx="880">
                  <c:v>12592.53</c:v>
                </c:pt>
                <c:pt idx="881">
                  <c:v>12609.89</c:v>
                </c:pt>
                <c:pt idx="882">
                  <c:v>12622.18</c:v>
                </c:pt>
                <c:pt idx="883">
                  <c:v>12629.17</c:v>
                </c:pt>
                <c:pt idx="884">
                  <c:v>12629.9</c:v>
                </c:pt>
                <c:pt idx="885">
                  <c:v>12638.2</c:v>
                </c:pt>
                <c:pt idx="886">
                  <c:v>12643.38</c:v>
                </c:pt>
                <c:pt idx="887">
                  <c:v>12644.59</c:v>
                </c:pt>
                <c:pt idx="888">
                  <c:v>12646.21</c:v>
                </c:pt>
                <c:pt idx="889">
                  <c:v>12648.7</c:v>
                </c:pt>
                <c:pt idx="890">
                  <c:v>12731</c:v>
                </c:pt>
                <c:pt idx="891">
                  <c:v>12741.17</c:v>
                </c:pt>
                <c:pt idx="892">
                  <c:v>12797.21</c:v>
                </c:pt>
                <c:pt idx="893">
                  <c:v>12815.44</c:v>
                </c:pt>
                <c:pt idx="894">
                  <c:v>12829.46</c:v>
                </c:pt>
                <c:pt idx="895">
                  <c:v>12890.06</c:v>
                </c:pt>
                <c:pt idx="896">
                  <c:v>12913.99</c:v>
                </c:pt>
                <c:pt idx="897">
                  <c:v>12925.89</c:v>
                </c:pt>
                <c:pt idx="898">
                  <c:v>12928.79</c:v>
                </c:pt>
                <c:pt idx="899">
                  <c:v>12949.16</c:v>
                </c:pt>
                <c:pt idx="900">
                  <c:v>12950.07</c:v>
                </c:pt>
                <c:pt idx="901">
                  <c:v>12957.12</c:v>
                </c:pt>
                <c:pt idx="902">
                  <c:v>12979.36</c:v>
                </c:pt>
                <c:pt idx="903">
                  <c:v>12981.35</c:v>
                </c:pt>
                <c:pt idx="904">
                  <c:v>12982.87</c:v>
                </c:pt>
                <c:pt idx="905">
                  <c:v>13012.21</c:v>
                </c:pt>
                <c:pt idx="906">
                  <c:v>13019.16</c:v>
                </c:pt>
                <c:pt idx="907">
                  <c:v>13041.92</c:v>
                </c:pt>
                <c:pt idx="908">
                  <c:v>13047.33</c:v>
                </c:pt>
                <c:pt idx="909">
                  <c:v>13063.88</c:v>
                </c:pt>
                <c:pt idx="910">
                  <c:v>13112.6</c:v>
                </c:pt>
                <c:pt idx="911">
                  <c:v>13126.68</c:v>
                </c:pt>
                <c:pt idx="912">
                  <c:v>13129.6</c:v>
                </c:pt>
                <c:pt idx="913">
                  <c:v>13143.34</c:v>
                </c:pt>
                <c:pt idx="914">
                  <c:v>13143.86</c:v>
                </c:pt>
                <c:pt idx="915">
                  <c:v>13204.29</c:v>
                </c:pt>
                <c:pt idx="916">
                  <c:v>13217.09</c:v>
                </c:pt>
                <c:pt idx="917">
                  <c:v>13224.06</c:v>
                </c:pt>
                <c:pt idx="918">
                  <c:v>13224.69</c:v>
                </c:pt>
                <c:pt idx="919">
                  <c:v>13228.85</c:v>
                </c:pt>
                <c:pt idx="920">
                  <c:v>13352.1</c:v>
                </c:pt>
                <c:pt idx="921">
                  <c:v>13390.56</c:v>
                </c:pt>
                <c:pt idx="922">
                  <c:v>13393.76</c:v>
                </c:pt>
                <c:pt idx="923">
                  <c:v>13405.39</c:v>
                </c:pt>
                <c:pt idx="924">
                  <c:v>13415.04</c:v>
                </c:pt>
                <c:pt idx="925">
                  <c:v>13429.04</c:v>
                </c:pt>
                <c:pt idx="926">
                  <c:v>13430.27</c:v>
                </c:pt>
                <c:pt idx="927">
                  <c:v>13451.12</c:v>
                </c:pt>
                <c:pt idx="928">
                  <c:v>13457.96</c:v>
                </c:pt>
                <c:pt idx="929">
                  <c:v>13462.52</c:v>
                </c:pt>
                <c:pt idx="930">
                  <c:v>13470.8</c:v>
                </c:pt>
                <c:pt idx="931">
                  <c:v>13470.86</c:v>
                </c:pt>
                <c:pt idx="932">
                  <c:v>13555</c:v>
                </c:pt>
                <c:pt idx="933">
                  <c:v>13607.37</c:v>
                </c:pt>
                <c:pt idx="934">
                  <c:v>13616.36</c:v>
                </c:pt>
                <c:pt idx="935">
                  <c:v>13635.64</c:v>
                </c:pt>
                <c:pt idx="936">
                  <c:v>13725.47</c:v>
                </c:pt>
                <c:pt idx="937">
                  <c:v>13747.87</c:v>
                </c:pt>
                <c:pt idx="938">
                  <c:v>13770.1</c:v>
                </c:pt>
                <c:pt idx="939">
                  <c:v>13822.8</c:v>
                </c:pt>
                <c:pt idx="940">
                  <c:v>13831.12</c:v>
                </c:pt>
                <c:pt idx="941">
                  <c:v>13844.51</c:v>
                </c:pt>
                <c:pt idx="942">
                  <c:v>13844.8</c:v>
                </c:pt>
                <c:pt idx="943">
                  <c:v>13880.95</c:v>
                </c:pt>
                <c:pt idx="944">
                  <c:v>13887.2</c:v>
                </c:pt>
                <c:pt idx="945">
                  <c:v>13887.97</c:v>
                </c:pt>
                <c:pt idx="946">
                  <c:v>13919.82</c:v>
                </c:pt>
                <c:pt idx="947">
                  <c:v>13937.67</c:v>
                </c:pt>
                <c:pt idx="948">
                  <c:v>13974.46</c:v>
                </c:pt>
                <c:pt idx="949">
                  <c:v>13981.85</c:v>
                </c:pt>
                <c:pt idx="950">
                  <c:v>14001.13</c:v>
                </c:pt>
                <c:pt idx="951">
                  <c:v>14001.29</c:v>
                </c:pt>
                <c:pt idx="952">
                  <c:v>14007.22</c:v>
                </c:pt>
                <c:pt idx="953">
                  <c:v>14043.48</c:v>
                </c:pt>
                <c:pt idx="954">
                  <c:v>14119.62</c:v>
                </c:pt>
                <c:pt idx="955">
                  <c:v>14133.04</c:v>
                </c:pt>
                <c:pt idx="956">
                  <c:v>14210.54</c:v>
                </c:pt>
                <c:pt idx="957">
                  <c:v>14235.07</c:v>
                </c:pt>
                <c:pt idx="958">
                  <c:v>14254.61</c:v>
                </c:pt>
                <c:pt idx="959">
                  <c:v>14256.19</c:v>
                </c:pt>
                <c:pt idx="960">
                  <c:v>14283.46</c:v>
                </c:pt>
                <c:pt idx="961">
                  <c:v>14313.85</c:v>
                </c:pt>
                <c:pt idx="962">
                  <c:v>14319.03</c:v>
                </c:pt>
                <c:pt idx="963">
                  <c:v>14349.85</c:v>
                </c:pt>
                <c:pt idx="964">
                  <c:v>14358.36</c:v>
                </c:pt>
                <c:pt idx="965">
                  <c:v>14382.71</c:v>
                </c:pt>
                <c:pt idx="966">
                  <c:v>14394.4</c:v>
                </c:pt>
                <c:pt idx="967">
                  <c:v>14394.56</c:v>
                </c:pt>
                <c:pt idx="968">
                  <c:v>14410.93</c:v>
                </c:pt>
                <c:pt idx="969">
                  <c:v>14418.28</c:v>
                </c:pt>
                <c:pt idx="970">
                  <c:v>14426.07</c:v>
                </c:pt>
                <c:pt idx="971">
                  <c:v>14449.85</c:v>
                </c:pt>
                <c:pt idx="972">
                  <c:v>14451.84</c:v>
                </c:pt>
                <c:pt idx="973">
                  <c:v>14455.64</c:v>
                </c:pt>
                <c:pt idx="974">
                  <c:v>14474.68</c:v>
                </c:pt>
                <c:pt idx="975">
                  <c:v>14478.33</c:v>
                </c:pt>
                <c:pt idx="976">
                  <c:v>14571.89</c:v>
                </c:pt>
                <c:pt idx="977">
                  <c:v>14590.63</c:v>
                </c:pt>
                <c:pt idx="978">
                  <c:v>14692.67</c:v>
                </c:pt>
                <c:pt idx="979">
                  <c:v>14711.74</c:v>
                </c:pt>
                <c:pt idx="980">
                  <c:v>14901.52</c:v>
                </c:pt>
                <c:pt idx="981">
                  <c:v>14988.43</c:v>
                </c:pt>
                <c:pt idx="982">
                  <c:v>15006.58</c:v>
                </c:pt>
                <c:pt idx="983">
                  <c:v>15019.76</c:v>
                </c:pt>
                <c:pt idx="984">
                  <c:v>15161.53</c:v>
                </c:pt>
                <c:pt idx="985">
                  <c:v>15170.07</c:v>
                </c:pt>
                <c:pt idx="986">
                  <c:v>15230.32</c:v>
                </c:pt>
                <c:pt idx="987">
                  <c:v>15359.1</c:v>
                </c:pt>
                <c:pt idx="988">
                  <c:v>15518.18</c:v>
                </c:pt>
                <c:pt idx="989">
                  <c:v>15555.19</c:v>
                </c:pt>
                <c:pt idx="990">
                  <c:v>15612.19</c:v>
                </c:pt>
                <c:pt idx="991">
                  <c:v>15817.99</c:v>
                </c:pt>
                <c:pt idx="992">
                  <c:v>15820.7</c:v>
                </c:pt>
                <c:pt idx="993">
                  <c:v>15828.82</c:v>
                </c:pt>
                <c:pt idx="994">
                  <c:v>16069.08</c:v>
                </c:pt>
                <c:pt idx="995">
                  <c:v>16085.13</c:v>
                </c:pt>
                <c:pt idx="996">
                  <c:v>16115.3</c:v>
                </c:pt>
                <c:pt idx="997">
                  <c:v>16138.76</c:v>
                </c:pt>
                <c:pt idx="998">
                  <c:v>16232.85</c:v>
                </c:pt>
                <c:pt idx="999">
                  <c:v>16297.85</c:v>
                </c:pt>
                <c:pt idx="1000">
                  <c:v>16420.490000000002</c:v>
                </c:pt>
                <c:pt idx="1001">
                  <c:v>16450.89</c:v>
                </c:pt>
                <c:pt idx="1002">
                  <c:v>16455.71</c:v>
                </c:pt>
                <c:pt idx="1003">
                  <c:v>16577.78</c:v>
                </c:pt>
                <c:pt idx="1004">
                  <c:v>16586.5</c:v>
                </c:pt>
                <c:pt idx="1005">
                  <c:v>16657.72</c:v>
                </c:pt>
                <c:pt idx="1006">
                  <c:v>16776.3</c:v>
                </c:pt>
                <c:pt idx="1007">
                  <c:v>16796.41</c:v>
                </c:pt>
                <c:pt idx="1008">
                  <c:v>16884.919999999998</c:v>
                </c:pt>
                <c:pt idx="1009">
                  <c:v>17043.34</c:v>
                </c:pt>
                <c:pt idx="1010">
                  <c:v>17081.080000000002</c:v>
                </c:pt>
                <c:pt idx="1011">
                  <c:v>17085.27</c:v>
                </c:pt>
                <c:pt idx="1012">
                  <c:v>17128.43</c:v>
                </c:pt>
                <c:pt idx="1013">
                  <c:v>17178.68</c:v>
                </c:pt>
                <c:pt idx="1014">
                  <c:v>17179.52</c:v>
                </c:pt>
                <c:pt idx="1015">
                  <c:v>17352.68</c:v>
                </c:pt>
                <c:pt idx="1016">
                  <c:v>17361.77</c:v>
                </c:pt>
                <c:pt idx="1017">
                  <c:v>17468.98</c:v>
                </c:pt>
                <c:pt idx="1018">
                  <c:v>17496.310000000001</c:v>
                </c:pt>
                <c:pt idx="1019">
                  <c:v>17560.38</c:v>
                </c:pt>
                <c:pt idx="1020">
                  <c:v>17626.240000000002</c:v>
                </c:pt>
                <c:pt idx="1021">
                  <c:v>17663.14</c:v>
                </c:pt>
                <c:pt idx="1022">
                  <c:v>17748.509999999998</c:v>
                </c:pt>
                <c:pt idx="1023">
                  <c:v>17878.900000000001</c:v>
                </c:pt>
                <c:pt idx="1024">
                  <c:v>17904.53</c:v>
                </c:pt>
                <c:pt idx="1025">
                  <c:v>17929.3</c:v>
                </c:pt>
                <c:pt idx="1026">
                  <c:v>17942.11</c:v>
                </c:pt>
                <c:pt idx="1027">
                  <c:v>18033.97</c:v>
                </c:pt>
                <c:pt idx="1028">
                  <c:v>18157.88</c:v>
                </c:pt>
                <c:pt idx="1029">
                  <c:v>18218.16</c:v>
                </c:pt>
                <c:pt idx="1030">
                  <c:v>18223.45</c:v>
                </c:pt>
                <c:pt idx="1031">
                  <c:v>18246.5</c:v>
                </c:pt>
                <c:pt idx="1032">
                  <c:v>18259.22</c:v>
                </c:pt>
                <c:pt idx="1033">
                  <c:v>18310.740000000002</c:v>
                </c:pt>
                <c:pt idx="1034">
                  <c:v>18328.240000000002</c:v>
                </c:pt>
                <c:pt idx="1035">
                  <c:v>18608.259999999998</c:v>
                </c:pt>
                <c:pt idx="1036">
                  <c:v>18648.419999999998</c:v>
                </c:pt>
                <c:pt idx="1037">
                  <c:v>18765.88</c:v>
                </c:pt>
                <c:pt idx="1038">
                  <c:v>18767.740000000002</c:v>
                </c:pt>
                <c:pt idx="1039">
                  <c:v>18804.75</c:v>
                </c:pt>
                <c:pt idx="1040">
                  <c:v>18806.150000000001</c:v>
                </c:pt>
                <c:pt idx="1041">
                  <c:v>18838.7</c:v>
                </c:pt>
                <c:pt idx="1042">
                  <c:v>18903.490000000002</c:v>
                </c:pt>
                <c:pt idx="1043">
                  <c:v>18955.22</c:v>
                </c:pt>
                <c:pt idx="1044">
                  <c:v>18963.169999999998</c:v>
                </c:pt>
                <c:pt idx="1045">
                  <c:v>18972.5</c:v>
                </c:pt>
                <c:pt idx="1046">
                  <c:v>19023.259999999998</c:v>
                </c:pt>
                <c:pt idx="1047">
                  <c:v>19040.88</c:v>
                </c:pt>
                <c:pt idx="1048">
                  <c:v>19107.78</c:v>
                </c:pt>
                <c:pt idx="1049">
                  <c:v>19144.580000000002</c:v>
                </c:pt>
                <c:pt idx="1050">
                  <c:v>19199.939999999999</c:v>
                </c:pt>
                <c:pt idx="1051">
                  <c:v>19214.71</c:v>
                </c:pt>
                <c:pt idx="1052">
                  <c:v>19350.37</c:v>
                </c:pt>
                <c:pt idx="1053">
                  <c:v>19362</c:v>
                </c:pt>
                <c:pt idx="1054">
                  <c:v>19442.349999999999</c:v>
                </c:pt>
                <c:pt idx="1055">
                  <c:v>19444.27</c:v>
                </c:pt>
                <c:pt idx="1056">
                  <c:v>19496.72</c:v>
                </c:pt>
                <c:pt idx="1057">
                  <c:v>19515.54</c:v>
                </c:pt>
                <c:pt idx="1058">
                  <c:v>19521.97</c:v>
                </c:pt>
                <c:pt idx="1059">
                  <c:v>19539.240000000002</c:v>
                </c:pt>
                <c:pt idx="1060">
                  <c:v>19594.810000000001</c:v>
                </c:pt>
                <c:pt idx="1061">
                  <c:v>19673.34</c:v>
                </c:pt>
                <c:pt idx="1062">
                  <c:v>19719.689999999999</c:v>
                </c:pt>
                <c:pt idx="1063">
                  <c:v>19749.38</c:v>
                </c:pt>
                <c:pt idx="1064">
                  <c:v>19798.05</c:v>
                </c:pt>
                <c:pt idx="1065">
                  <c:v>19933.46</c:v>
                </c:pt>
                <c:pt idx="1066">
                  <c:v>19964.75</c:v>
                </c:pt>
                <c:pt idx="1067">
                  <c:v>20009.63</c:v>
                </c:pt>
                <c:pt idx="1068">
                  <c:v>20149.32</c:v>
                </c:pt>
                <c:pt idx="1069">
                  <c:v>20167.34</c:v>
                </c:pt>
                <c:pt idx="1070">
                  <c:v>20177.669999999998</c:v>
                </c:pt>
                <c:pt idx="1071">
                  <c:v>20234.849999999999</c:v>
                </c:pt>
                <c:pt idx="1072">
                  <c:v>20277.810000000001</c:v>
                </c:pt>
                <c:pt idx="1073">
                  <c:v>20296.86</c:v>
                </c:pt>
                <c:pt idx="1074">
                  <c:v>20420.599999999999</c:v>
                </c:pt>
                <c:pt idx="1075">
                  <c:v>20463</c:v>
                </c:pt>
                <c:pt idx="1076">
                  <c:v>20630.28</c:v>
                </c:pt>
                <c:pt idx="1077">
                  <c:v>20709.02</c:v>
                </c:pt>
                <c:pt idx="1078">
                  <c:v>20745.990000000002</c:v>
                </c:pt>
                <c:pt idx="1079">
                  <c:v>20773.63</c:v>
                </c:pt>
                <c:pt idx="1080">
                  <c:v>20781.490000000002</c:v>
                </c:pt>
                <c:pt idx="1081">
                  <c:v>20878.78</c:v>
                </c:pt>
                <c:pt idx="1082">
                  <c:v>20984.09</c:v>
                </c:pt>
                <c:pt idx="1083">
                  <c:v>21082.16</c:v>
                </c:pt>
                <c:pt idx="1084">
                  <c:v>21098.55</c:v>
                </c:pt>
                <c:pt idx="1085">
                  <c:v>21195.82</c:v>
                </c:pt>
                <c:pt idx="1086">
                  <c:v>21223.68</c:v>
                </c:pt>
                <c:pt idx="1087">
                  <c:v>21232.18</c:v>
                </c:pt>
                <c:pt idx="1088">
                  <c:v>21259.38</c:v>
                </c:pt>
                <c:pt idx="1089">
                  <c:v>21344.85</c:v>
                </c:pt>
                <c:pt idx="1090">
                  <c:v>21348.71</c:v>
                </c:pt>
                <c:pt idx="1091">
                  <c:v>21472.48</c:v>
                </c:pt>
                <c:pt idx="1092">
                  <c:v>21595.38</c:v>
                </c:pt>
                <c:pt idx="1093">
                  <c:v>21659.93</c:v>
                </c:pt>
                <c:pt idx="1094">
                  <c:v>21677.279999999999</c:v>
                </c:pt>
                <c:pt idx="1095">
                  <c:v>21771.34</c:v>
                </c:pt>
                <c:pt idx="1096">
                  <c:v>21774.32</c:v>
                </c:pt>
                <c:pt idx="1097">
                  <c:v>21797</c:v>
                </c:pt>
                <c:pt idx="1098">
                  <c:v>21880.82</c:v>
                </c:pt>
                <c:pt idx="1099">
                  <c:v>21978.68</c:v>
                </c:pt>
                <c:pt idx="1100">
                  <c:v>21984.47</c:v>
                </c:pt>
                <c:pt idx="1101">
                  <c:v>22144.03</c:v>
                </c:pt>
                <c:pt idx="1102">
                  <c:v>22192.44</c:v>
                </c:pt>
                <c:pt idx="1103">
                  <c:v>22218.11</c:v>
                </c:pt>
                <c:pt idx="1104">
                  <c:v>22331.57</c:v>
                </c:pt>
                <c:pt idx="1105">
                  <c:v>22395.74</c:v>
                </c:pt>
                <c:pt idx="1106">
                  <c:v>22412.65</c:v>
                </c:pt>
                <c:pt idx="1107">
                  <c:v>22462.04</c:v>
                </c:pt>
                <c:pt idx="1108">
                  <c:v>22478.6</c:v>
                </c:pt>
                <c:pt idx="1109">
                  <c:v>22493.66</c:v>
                </c:pt>
                <c:pt idx="1110">
                  <c:v>23045.57</c:v>
                </c:pt>
                <c:pt idx="1111">
                  <c:v>23065.42</c:v>
                </c:pt>
                <c:pt idx="1112">
                  <c:v>23082.959999999999</c:v>
                </c:pt>
                <c:pt idx="1113">
                  <c:v>23241.47</c:v>
                </c:pt>
                <c:pt idx="1114">
                  <c:v>23244.79</c:v>
                </c:pt>
                <c:pt idx="1115">
                  <c:v>23288.93</c:v>
                </c:pt>
                <c:pt idx="1116">
                  <c:v>23306.55</c:v>
                </c:pt>
                <c:pt idx="1117">
                  <c:v>23401.31</c:v>
                </c:pt>
                <c:pt idx="1118">
                  <c:v>23563.02</c:v>
                </c:pt>
                <c:pt idx="1119">
                  <c:v>23568.27</c:v>
                </c:pt>
                <c:pt idx="1120">
                  <c:v>23807.24</c:v>
                </c:pt>
                <c:pt idx="1121">
                  <c:v>23887.66</c:v>
                </c:pt>
                <c:pt idx="1122">
                  <c:v>23967.38</c:v>
                </c:pt>
                <c:pt idx="1123">
                  <c:v>24059.68</c:v>
                </c:pt>
                <c:pt idx="1124">
                  <c:v>24106.91</c:v>
                </c:pt>
                <c:pt idx="1125">
                  <c:v>24180.93</c:v>
                </c:pt>
                <c:pt idx="1126">
                  <c:v>24227.34</c:v>
                </c:pt>
                <c:pt idx="1127">
                  <c:v>24393.62</c:v>
                </c:pt>
                <c:pt idx="1128">
                  <c:v>24476.48</c:v>
                </c:pt>
                <c:pt idx="1129">
                  <c:v>24513.09</c:v>
                </c:pt>
                <c:pt idx="1130">
                  <c:v>24520.26</c:v>
                </c:pt>
                <c:pt idx="1131">
                  <c:v>24535.7</c:v>
                </c:pt>
                <c:pt idx="1132">
                  <c:v>24603.05</c:v>
                </c:pt>
                <c:pt idx="1133">
                  <c:v>24667.42</c:v>
                </c:pt>
                <c:pt idx="1134">
                  <c:v>24671.66</c:v>
                </c:pt>
                <c:pt idx="1135">
                  <c:v>24869.84</c:v>
                </c:pt>
                <c:pt idx="1136">
                  <c:v>24873.38</c:v>
                </c:pt>
                <c:pt idx="1137">
                  <c:v>24915.05</c:v>
                </c:pt>
                <c:pt idx="1138">
                  <c:v>24915.22</c:v>
                </c:pt>
                <c:pt idx="1139">
                  <c:v>25081.77</c:v>
                </c:pt>
                <c:pt idx="1140">
                  <c:v>25309.49</c:v>
                </c:pt>
                <c:pt idx="1141">
                  <c:v>25333.33</c:v>
                </c:pt>
                <c:pt idx="1142">
                  <c:v>25382.3</c:v>
                </c:pt>
                <c:pt idx="1143">
                  <c:v>25517.11</c:v>
                </c:pt>
                <c:pt idx="1144">
                  <c:v>25656.58</c:v>
                </c:pt>
                <c:pt idx="1145">
                  <c:v>25678.78</c:v>
                </c:pt>
                <c:pt idx="1146">
                  <c:v>25992.82</c:v>
                </c:pt>
                <c:pt idx="1147">
                  <c:v>26018.95</c:v>
                </c:pt>
                <c:pt idx="1148">
                  <c:v>26109.33</c:v>
                </c:pt>
                <c:pt idx="1149">
                  <c:v>26125.67</c:v>
                </c:pt>
                <c:pt idx="1150">
                  <c:v>26140.36</c:v>
                </c:pt>
                <c:pt idx="1151">
                  <c:v>26236.58</c:v>
                </c:pt>
                <c:pt idx="1152">
                  <c:v>26392.26</c:v>
                </c:pt>
                <c:pt idx="1153">
                  <c:v>26467.1</c:v>
                </c:pt>
                <c:pt idx="1154">
                  <c:v>26926.51</c:v>
                </c:pt>
                <c:pt idx="1155">
                  <c:v>27000.98</c:v>
                </c:pt>
                <c:pt idx="1156">
                  <c:v>27037.91</c:v>
                </c:pt>
                <c:pt idx="1157">
                  <c:v>27117.99</c:v>
                </c:pt>
                <c:pt idx="1158">
                  <c:v>27218.44</c:v>
                </c:pt>
                <c:pt idx="1159">
                  <c:v>27322.73</c:v>
                </c:pt>
                <c:pt idx="1160">
                  <c:v>27346.04</c:v>
                </c:pt>
                <c:pt idx="1161">
                  <c:v>27375.9</c:v>
                </c:pt>
                <c:pt idx="1162">
                  <c:v>27533.91</c:v>
                </c:pt>
                <c:pt idx="1163">
                  <c:v>27724.29</c:v>
                </c:pt>
                <c:pt idx="1164">
                  <c:v>27808.73</c:v>
                </c:pt>
                <c:pt idx="1165">
                  <c:v>27941.29</c:v>
                </c:pt>
                <c:pt idx="1166">
                  <c:v>28101.33</c:v>
                </c:pt>
                <c:pt idx="1167">
                  <c:v>28287.9</c:v>
                </c:pt>
                <c:pt idx="1168">
                  <c:v>28340.19</c:v>
                </c:pt>
                <c:pt idx="1169">
                  <c:v>28468.92</c:v>
                </c:pt>
                <c:pt idx="1170">
                  <c:v>28476.73</c:v>
                </c:pt>
                <c:pt idx="1171">
                  <c:v>28868.66</c:v>
                </c:pt>
                <c:pt idx="1172">
                  <c:v>28923.14</c:v>
                </c:pt>
                <c:pt idx="1173">
                  <c:v>28950.47</c:v>
                </c:pt>
                <c:pt idx="1174">
                  <c:v>29141.360000000001</c:v>
                </c:pt>
                <c:pt idx="1175">
                  <c:v>29186.48</c:v>
                </c:pt>
                <c:pt idx="1176">
                  <c:v>29330.98</c:v>
                </c:pt>
                <c:pt idx="1177">
                  <c:v>29523.17</c:v>
                </c:pt>
                <c:pt idx="1178">
                  <c:v>30063.58</c:v>
                </c:pt>
                <c:pt idx="1179">
                  <c:v>30166.62</c:v>
                </c:pt>
                <c:pt idx="1180">
                  <c:v>30184.94</c:v>
                </c:pt>
                <c:pt idx="1181">
                  <c:v>30260</c:v>
                </c:pt>
                <c:pt idx="1182">
                  <c:v>30284.639999999999</c:v>
                </c:pt>
                <c:pt idx="1183">
                  <c:v>30942.19</c:v>
                </c:pt>
                <c:pt idx="1184">
                  <c:v>31620</c:v>
                </c:pt>
                <c:pt idx="1185">
                  <c:v>32108.66</c:v>
                </c:pt>
                <c:pt idx="1186">
                  <c:v>32548.34</c:v>
                </c:pt>
                <c:pt idx="1187">
                  <c:v>32734.19</c:v>
                </c:pt>
                <c:pt idx="1188">
                  <c:v>32787.46</c:v>
                </c:pt>
                <c:pt idx="1189">
                  <c:v>33307.550000000003</c:v>
                </c:pt>
                <c:pt idx="1190">
                  <c:v>33471.97</c:v>
                </c:pt>
                <c:pt idx="1191">
                  <c:v>33475.82</c:v>
                </c:pt>
                <c:pt idx="1192">
                  <c:v>33732.69</c:v>
                </c:pt>
                <c:pt idx="1193">
                  <c:v>33750.29</c:v>
                </c:pt>
                <c:pt idx="1194">
                  <c:v>33900.65</c:v>
                </c:pt>
                <c:pt idx="1195">
                  <c:v>33907.550000000003</c:v>
                </c:pt>
                <c:pt idx="1196">
                  <c:v>34166.269999999997</c:v>
                </c:pt>
                <c:pt idx="1197">
                  <c:v>34254.050000000003</c:v>
                </c:pt>
                <c:pt idx="1198">
                  <c:v>34303.17</c:v>
                </c:pt>
                <c:pt idx="1199">
                  <c:v>34439.86</c:v>
                </c:pt>
                <c:pt idx="1200">
                  <c:v>34472.839999999997</c:v>
                </c:pt>
                <c:pt idx="1201">
                  <c:v>34617.839999999997</c:v>
                </c:pt>
                <c:pt idx="1202">
                  <c:v>34672.15</c:v>
                </c:pt>
                <c:pt idx="1203">
                  <c:v>34779.620000000003</c:v>
                </c:pt>
                <c:pt idx="1204">
                  <c:v>34806.47</c:v>
                </c:pt>
                <c:pt idx="1205">
                  <c:v>34828.65</c:v>
                </c:pt>
                <c:pt idx="1206">
                  <c:v>34838.870000000003</c:v>
                </c:pt>
                <c:pt idx="1207">
                  <c:v>35069.370000000003</c:v>
                </c:pt>
                <c:pt idx="1208">
                  <c:v>35147.53</c:v>
                </c:pt>
                <c:pt idx="1209">
                  <c:v>35160.129999999997</c:v>
                </c:pt>
                <c:pt idx="1210">
                  <c:v>35491.64</c:v>
                </c:pt>
                <c:pt idx="1211">
                  <c:v>35585.58</c:v>
                </c:pt>
                <c:pt idx="1212">
                  <c:v>35595.589999999997</c:v>
                </c:pt>
                <c:pt idx="1213">
                  <c:v>36021.01</c:v>
                </c:pt>
                <c:pt idx="1214">
                  <c:v>36085.22</c:v>
                </c:pt>
                <c:pt idx="1215">
                  <c:v>36124.57</c:v>
                </c:pt>
                <c:pt idx="1216">
                  <c:v>36149.480000000003</c:v>
                </c:pt>
                <c:pt idx="1217">
                  <c:v>36189.1</c:v>
                </c:pt>
                <c:pt idx="1218">
                  <c:v>36197.699999999997</c:v>
                </c:pt>
                <c:pt idx="1219">
                  <c:v>36219.410000000003</c:v>
                </c:pt>
                <c:pt idx="1220">
                  <c:v>36307.800000000003</c:v>
                </c:pt>
                <c:pt idx="1221">
                  <c:v>36397.58</c:v>
                </c:pt>
                <c:pt idx="1222">
                  <c:v>36580.28</c:v>
                </c:pt>
                <c:pt idx="1223">
                  <c:v>36837.47</c:v>
                </c:pt>
                <c:pt idx="1224">
                  <c:v>36898.730000000003</c:v>
                </c:pt>
                <c:pt idx="1225">
                  <c:v>36910.61</c:v>
                </c:pt>
                <c:pt idx="1226">
                  <c:v>36950.26</c:v>
                </c:pt>
                <c:pt idx="1227">
                  <c:v>37079.370000000003</c:v>
                </c:pt>
                <c:pt idx="1228">
                  <c:v>37133.9</c:v>
                </c:pt>
                <c:pt idx="1229">
                  <c:v>37165.160000000003</c:v>
                </c:pt>
                <c:pt idx="1230">
                  <c:v>37270.15</c:v>
                </c:pt>
                <c:pt idx="1231">
                  <c:v>37465.339999999997</c:v>
                </c:pt>
                <c:pt idx="1232">
                  <c:v>37484.449999999997</c:v>
                </c:pt>
                <c:pt idx="1233">
                  <c:v>37607.53</c:v>
                </c:pt>
                <c:pt idx="1234">
                  <c:v>37701.879999999997</c:v>
                </c:pt>
                <c:pt idx="1235">
                  <c:v>37742.58</c:v>
                </c:pt>
                <c:pt idx="1236">
                  <c:v>37829.72</c:v>
                </c:pt>
                <c:pt idx="1237">
                  <c:v>38126.25</c:v>
                </c:pt>
                <c:pt idx="1238">
                  <c:v>38245.589999999997</c:v>
                </c:pt>
                <c:pt idx="1239">
                  <c:v>38282.75</c:v>
                </c:pt>
                <c:pt idx="1240">
                  <c:v>38344.57</c:v>
                </c:pt>
                <c:pt idx="1241">
                  <c:v>38415.47</c:v>
                </c:pt>
                <c:pt idx="1242">
                  <c:v>38511.629999999997</c:v>
                </c:pt>
                <c:pt idx="1243">
                  <c:v>38709.18</c:v>
                </c:pt>
                <c:pt idx="1244">
                  <c:v>38711</c:v>
                </c:pt>
                <c:pt idx="1245">
                  <c:v>38746.36</c:v>
                </c:pt>
                <c:pt idx="1246">
                  <c:v>38792.69</c:v>
                </c:pt>
                <c:pt idx="1247">
                  <c:v>38998.550000000003</c:v>
                </c:pt>
                <c:pt idx="1248">
                  <c:v>39047.29</c:v>
                </c:pt>
                <c:pt idx="1249">
                  <c:v>39125.33</c:v>
                </c:pt>
                <c:pt idx="1250">
                  <c:v>39241.440000000002</c:v>
                </c:pt>
                <c:pt idx="1251">
                  <c:v>39556.49</c:v>
                </c:pt>
                <c:pt idx="1252">
                  <c:v>39597.410000000003</c:v>
                </c:pt>
                <c:pt idx="1253">
                  <c:v>39611.760000000002</c:v>
                </c:pt>
                <c:pt idx="1254">
                  <c:v>39722.75</c:v>
                </c:pt>
                <c:pt idx="1255">
                  <c:v>39725.519999999997</c:v>
                </c:pt>
                <c:pt idx="1256">
                  <c:v>39727.61</c:v>
                </c:pt>
                <c:pt idx="1257">
                  <c:v>39774.28</c:v>
                </c:pt>
                <c:pt idx="1258">
                  <c:v>39836.519999999997</c:v>
                </c:pt>
                <c:pt idx="1259">
                  <c:v>39871.699999999997</c:v>
                </c:pt>
                <c:pt idx="1260">
                  <c:v>39983.43</c:v>
                </c:pt>
                <c:pt idx="1261">
                  <c:v>40003.33</c:v>
                </c:pt>
                <c:pt idx="1262">
                  <c:v>40103.89</c:v>
                </c:pt>
                <c:pt idx="1263">
                  <c:v>40182.25</c:v>
                </c:pt>
                <c:pt idx="1264">
                  <c:v>40273.65</c:v>
                </c:pt>
                <c:pt idx="1265">
                  <c:v>40419.019999999997</c:v>
                </c:pt>
                <c:pt idx="1266">
                  <c:v>40720.550000000003</c:v>
                </c:pt>
                <c:pt idx="1267">
                  <c:v>40904.199999999997</c:v>
                </c:pt>
                <c:pt idx="1268">
                  <c:v>40932.43</c:v>
                </c:pt>
                <c:pt idx="1269">
                  <c:v>40941.29</c:v>
                </c:pt>
                <c:pt idx="1270">
                  <c:v>40974.160000000003</c:v>
                </c:pt>
                <c:pt idx="1271">
                  <c:v>41034.22</c:v>
                </c:pt>
                <c:pt idx="1272">
                  <c:v>41097.160000000003</c:v>
                </c:pt>
                <c:pt idx="1273">
                  <c:v>41661.599999999999</c:v>
                </c:pt>
                <c:pt idx="1274">
                  <c:v>41676.080000000002</c:v>
                </c:pt>
                <c:pt idx="1275">
                  <c:v>41919.1</c:v>
                </c:pt>
                <c:pt idx="1276">
                  <c:v>41949.24</c:v>
                </c:pt>
                <c:pt idx="1277">
                  <c:v>41999.519999999997</c:v>
                </c:pt>
                <c:pt idx="1278">
                  <c:v>42111.66</c:v>
                </c:pt>
                <c:pt idx="1279">
                  <c:v>42112.24</c:v>
                </c:pt>
                <c:pt idx="1280">
                  <c:v>42124.52</c:v>
                </c:pt>
                <c:pt idx="1281">
                  <c:v>42211.14</c:v>
                </c:pt>
                <c:pt idx="1282">
                  <c:v>42303.69</c:v>
                </c:pt>
                <c:pt idx="1283">
                  <c:v>42560.43</c:v>
                </c:pt>
                <c:pt idx="1284">
                  <c:v>42760.5</c:v>
                </c:pt>
                <c:pt idx="1285">
                  <c:v>42856.84</c:v>
                </c:pt>
                <c:pt idx="1286">
                  <c:v>42969.85</c:v>
                </c:pt>
                <c:pt idx="1287">
                  <c:v>42983.46</c:v>
                </c:pt>
                <c:pt idx="1288">
                  <c:v>43254.42</c:v>
                </c:pt>
                <c:pt idx="1289">
                  <c:v>43578.94</c:v>
                </c:pt>
                <c:pt idx="1290">
                  <c:v>43753.34</c:v>
                </c:pt>
                <c:pt idx="1291">
                  <c:v>43813.87</c:v>
                </c:pt>
                <c:pt idx="1292">
                  <c:v>43896.38</c:v>
                </c:pt>
                <c:pt idx="1293">
                  <c:v>43921.18</c:v>
                </c:pt>
                <c:pt idx="1294">
                  <c:v>43943.88</c:v>
                </c:pt>
                <c:pt idx="1295">
                  <c:v>44202.65</c:v>
                </c:pt>
                <c:pt idx="1296">
                  <c:v>44260.75</c:v>
                </c:pt>
                <c:pt idx="1297">
                  <c:v>44400.41</c:v>
                </c:pt>
                <c:pt idx="1298">
                  <c:v>44423.8</c:v>
                </c:pt>
                <c:pt idx="1299">
                  <c:v>44501.4</c:v>
                </c:pt>
                <c:pt idx="1300">
                  <c:v>44585.46</c:v>
                </c:pt>
                <c:pt idx="1301">
                  <c:v>44641.2</c:v>
                </c:pt>
                <c:pt idx="1302">
                  <c:v>45008.959999999999</c:v>
                </c:pt>
                <c:pt idx="1303">
                  <c:v>45702.02</c:v>
                </c:pt>
                <c:pt idx="1304">
                  <c:v>45710.21</c:v>
                </c:pt>
                <c:pt idx="1305">
                  <c:v>45863.21</c:v>
                </c:pt>
                <c:pt idx="1306">
                  <c:v>46113.51</c:v>
                </c:pt>
                <c:pt idx="1307">
                  <c:v>46130.53</c:v>
                </c:pt>
                <c:pt idx="1308">
                  <c:v>46151.12</c:v>
                </c:pt>
                <c:pt idx="1309">
                  <c:v>46200.99</c:v>
                </c:pt>
                <c:pt idx="1310">
                  <c:v>46255.11</c:v>
                </c:pt>
                <c:pt idx="1311">
                  <c:v>46599.11</c:v>
                </c:pt>
                <c:pt idx="1312">
                  <c:v>46661.440000000002</c:v>
                </c:pt>
                <c:pt idx="1313">
                  <c:v>46718.16</c:v>
                </c:pt>
                <c:pt idx="1314">
                  <c:v>46889.26</c:v>
                </c:pt>
                <c:pt idx="1315">
                  <c:v>47055.53</c:v>
                </c:pt>
                <c:pt idx="1316">
                  <c:v>47269.85</c:v>
                </c:pt>
                <c:pt idx="1317">
                  <c:v>47291.06</c:v>
                </c:pt>
                <c:pt idx="1318">
                  <c:v>47305.31</c:v>
                </c:pt>
                <c:pt idx="1319">
                  <c:v>47403.88</c:v>
                </c:pt>
                <c:pt idx="1320">
                  <c:v>47462.89</c:v>
                </c:pt>
                <c:pt idx="1321">
                  <c:v>47496.49</c:v>
                </c:pt>
                <c:pt idx="1322">
                  <c:v>47896.79</c:v>
                </c:pt>
                <c:pt idx="1323">
                  <c:v>47928.03</c:v>
                </c:pt>
                <c:pt idx="1324">
                  <c:v>48173.36</c:v>
                </c:pt>
                <c:pt idx="1325">
                  <c:v>48517.56</c:v>
                </c:pt>
                <c:pt idx="1326">
                  <c:v>48549.18</c:v>
                </c:pt>
                <c:pt idx="1327">
                  <c:v>48673.56</c:v>
                </c:pt>
                <c:pt idx="1328">
                  <c:v>48675.519999999997</c:v>
                </c:pt>
                <c:pt idx="1329">
                  <c:v>48824.45</c:v>
                </c:pt>
                <c:pt idx="1330">
                  <c:v>48885.14</c:v>
                </c:pt>
                <c:pt idx="1331">
                  <c:v>48970.25</c:v>
                </c:pt>
                <c:pt idx="1332">
                  <c:v>49577.66</c:v>
                </c:pt>
                <c:pt idx="1333">
                  <c:v>51194.559999999998</c:v>
                </c:pt>
                <c:pt idx="1334">
                  <c:v>52590.83</c:v>
                </c:pt>
                <c:pt idx="1335">
                  <c:v>55135.4</c:v>
                </c:pt>
                <c:pt idx="1336">
                  <c:v>58571.07</c:v>
                </c:pt>
                <c:pt idx="1337">
                  <c:v>60021.4</c:v>
                </c:pt>
                <c:pt idx="1338">
                  <c:v>62592.87</c:v>
                </c:pt>
                <c:pt idx="1339">
                  <c:v>63770.43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C4-4D59-982F-D3F0686AB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6682880"/>
        <c:axId val="1156677600"/>
      </c:scatterChart>
      <c:valAx>
        <c:axId val="115668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677600"/>
        <c:crosses val="autoZero"/>
        <c:crossBetween val="midCat"/>
      </c:valAx>
      <c:valAx>
        <c:axId val="115667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68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'insurance final cleaned'!$T$1</c:f>
              <c:strCache>
                <c:ptCount val="1"/>
                <c:pt idx="0">
                  <c:v>Predicted Claim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'insurance final cleaned'!$J$2:$J$1341</c:f>
              <c:numCache>
                <c:formatCode>General</c:formatCode>
                <c:ptCount val="1340"/>
                <c:pt idx="0">
                  <c:v>1121.8699999999999</c:v>
                </c:pt>
                <c:pt idx="1">
                  <c:v>1131.51</c:v>
                </c:pt>
                <c:pt idx="2">
                  <c:v>1135.94</c:v>
                </c:pt>
                <c:pt idx="3">
                  <c:v>1136.4000000000001</c:v>
                </c:pt>
                <c:pt idx="4">
                  <c:v>1137.01</c:v>
                </c:pt>
                <c:pt idx="5">
                  <c:v>1137.47</c:v>
                </c:pt>
                <c:pt idx="6">
                  <c:v>1141.45</c:v>
                </c:pt>
                <c:pt idx="7">
                  <c:v>1146.8</c:v>
                </c:pt>
                <c:pt idx="8">
                  <c:v>1149.4000000000001</c:v>
                </c:pt>
                <c:pt idx="9">
                  <c:v>1163.46</c:v>
                </c:pt>
                <c:pt idx="10">
                  <c:v>1241.57</c:v>
                </c:pt>
                <c:pt idx="11">
                  <c:v>1242.26</c:v>
                </c:pt>
                <c:pt idx="12">
                  <c:v>1242.82</c:v>
                </c:pt>
                <c:pt idx="13">
                  <c:v>1252.4100000000001</c:v>
                </c:pt>
                <c:pt idx="14">
                  <c:v>1253.94</c:v>
                </c:pt>
                <c:pt idx="15">
                  <c:v>1256.3</c:v>
                </c:pt>
                <c:pt idx="16">
                  <c:v>1261.44</c:v>
                </c:pt>
                <c:pt idx="17">
                  <c:v>1261.8599999999999</c:v>
                </c:pt>
                <c:pt idx="18">
                  <c:v>1263.25</c:v>
                </c:pt>
                <c:pt idx="19">
                  <c:v>1391.53</c:v>
                </c:pt>
                <c:pt idx="20">
                  <c:v>1515.34</c:v>
                </c:pt>
                <c:pt idx="21">
                  <c:v>1526.31</c:v>
                </c:pt>
                <c:pt idx="22">
                  <c:v>1532.47</c:v>
                </c:pt>
                <c:pt idx="23">
                  <c:v>1534.3</c:v>
                </c:pt>
                <c:pt idx="24">
                  <c:v>1607.51</c:v>
                </c:pt>
                <c:pt idx="25">
                  <c:v>1149.4000000000001</c:v>
                </c:pt>
                <c:pt idx="26">
                  <c:v>1615.77</c:v>
                </c:pt>
                <c:pt idx="27">
                  <c:v>1621.34</c:v>
                </c:pt>
                <c:pt idx="28">
                  <c:v>1621.88</c:v>
                </c:pt>
                <c:pt idx="29">
                  <c:v>1622.19</c:v>
                </c:pt>
                <c:pt idx="30">
                  <c:v>1625.43</c:v>
                </c:pt>
                <c:pt idx="31">
                  <c:v>1627.28</c:v>
                </c:pt>
                <c:pt idx="32">
                  <c:v>1628.47</c:v>
                </c:pt>
                <c:pt idx="33">
                  <c:v>1629.83</c:v>
                </c:pt>
                <c:pt idx="34">
                  <c:v>1631.67</c:v>
                </c:pt>
                <c:pt idx="35">
                  <c:v>1631.82</c:v>
                </c:pt>
                <c:pt idx="36">
                  <c:v>1632.04</c:v>
                </c:pt>
                <c:pt idx="37">
                  <c:v>1632.56</c:v>
                </c:pt>
                <c:pt idx="38">
                  <c:v>1633.04</c:v>
                </c:pt>
                <c:pt idx="39">
                  <c:v>1633.96</c:v>
                </c:pt>
                <c:pt idx="40">
                  <c:v>1634.57</c:v>
                </c:pt>
                <c:pt idx="41">
                  <c:v>1635.73</c:v>
                </c:pt>
                <c:pt idx="42">
                  <c:v>1639.56</c:v>
                </c:pt>
                <c:pt idx="43">
                  <c:v>1639.56</c:v>
                </c:pt>
                <c:pt idx="44">
                  <c:v>1646.43</c:v>
                </c:pt>
                <c:pt idx="45">
                  <c:v>1665</c:v>
                </c:pt>
                <c:pt idx="46">
                  <c:v>1674.63</c:v>
                </c:pt>
                <c:pt idx="47">
                  <c:v>1682.6</c:v>
                </c:pt>
                <c:pt idx="48">
                  <c:v>1694.8</c:v>
                </c:pt>
                <c:pt idx="49">
                  <c:v>1702.46</c:v>
                </c:pt>
                <c:pt idx="50">
                  <c:v>1704.57</c:v>
                </c:pt>
                <c:pt idx="51">
                  <c:v>1704.7</c:v>
                </c:pt>
                <c:pt idx="52">
                  <c:v>1705.62</c:v>
                </c:pt>
                <c:pt idx="53">
                  <c:v>1708</c:v>
                </c:pt>
                <c:pt idx="54">
                  <c:v>1708.93</c:v>
                </c:pt>
                <c:pt idx="55">
                  <c:v>1711.03</c:v>
                </c:pt>
                <c:pt idx="56">
                  <c:v>1712.23</c:v>
                </c:pt>
                <c:pt idx="57">
                  <c:v>1719.44</c:v>
                </c:pt>
                <c:pt idx="58">
                  <c:v>1720.35</c:v>
                </c:pt>
                <c:pt idx="59">
                  <c:v>1725.55</c:v>
                </c:pt>
                <c:pt idx="60">
                  <c:v>1727.54</c:v>
                </c:pt>
                <c:pt idx="61">
                  <c:v>1727.79</c:v>
                </c:pt>
                <c:pt idx="62">
                  <c:v>1728.9</c:v>
                </c:pt>
                <c:pt idx="63">
                  <c:v>1731.68</c:v>
                </c:pt>
                <c:pt idx="64">
                  <c:v>1737.38</c:v>
                </c:pt>
                <c:pt idx="65">
                  <c:v>1743.21</c:v>
                </c:pt>
                <c:pt idx="66">
                  <c:v>1744.47</c:v>
                </c:pt>
                <c:pt idx="67">
                  <c:v>1748.77</c:v>
                </c:pt>
                <c:pt idx="68">
                  <c:v>1759.34</c:v>
                </c:pt>
                <c:pt idx="69">
                  <c:v>1769.53</c:v>
                </c:pt>
                <c:pt idx="70">
                  <c:v>1815.88</c:v>
                </c:pt>
                <c:pt idx="71">
                  <c:v>1824.29</c:v>
                </c:pt>
                <c:pt idx="72">
                  <c:v>1826.84</c:v>
                </c:pt>
                <c:pt idx="73">
                  <c:v>1832.09</c:v>
                </c:pt>
                <c:pt idx="74">
                  <c:v>1837.24</c:v>
                </c:pt>
                <c:pt idx="75">
                  <c:v>1837.28</c:v>
                </c:pt>
                <c:pt idx="76">
                  <c:v>1842.52</c:v>
                </c:pt>
                <c:pt idx="77">
                  <c:v>1875.34</c:v>
                </c:pt>
                <c:pt idx="78">
                  <c:v>1877.93</c:v>
                </c:pt>
                <c:pt idx="79">
                  <c:v>1880.07</c:v>
                </c:pt>
                <c:pt idx="80">
                  <c:v>1880.49</c:v>
                </c:pt>
                <c:pt idx="81">
                  <c:v>1906.36</c:v>
                </c:pt>
                <c:pt idx="82">
                  <c:v>1909.53</c:v>
                </c:pt>
                <c:pt idx="83">
                  <c:v>1917.32</c:v>
                </c:pt>
                <c:pt idx="84">
                  <c:v>1964.78</c:v>
                </c:pt>
                <c:pt idx="85">
                  <c:v>1967.02</c:v>
                </c:pt>
                <c:pt idx="86">
                  <c:v>1969.61</c:v>
                </c:pt>
                <c:pt idx="87">
                  <c:v>1972.95</c:v>
                </c:pt>
                <c:pt idx="88">
                  <c:v>1977.82</c:v>
                </c:pt>
                <c:pt idx="89">
                  <c:v>1980.07</c:v>
                </c:pt>
                <c:pt idx="90">
                  <c:v>1981.58</c:v>
                </c:pt>
                <c:pt idx="91">
                  <c:v>1984.45</c:v>
                </c:pt>
                <c:pt idx="92">
                  <c:v>1986.93</c:v>
                </c:pt>
                <c:pt idx="93">
                  <c:v>2007.95</c:v>
                </c:pt>
                <c:pt idx="94">
                  <c:v>2020.18</c:v>
                </c:pt>
                <c:pt idx="95">
                  <c:v>2020.55</c:v>
                </c:pt>
                <c:pt idx="96">
                  <c:v>2026.97</c:v>
                </c:pt>
                <c:pt idx="97">
                  <c:v>2045.69</c:v>
                </c:pt>
                <c:pt idx="98">
                  <c:v>2055.3200000000002</c:v>
                </c:pt>
                <c:pt idx="99">
                  <c:v>2102.2600000000002</c:v>
                </c:pt>
                <c:pt idx="100">
                  <c:v>2103.08</c:v>
                </c:pt>
                <c:pt idx="101">
                  <c:v>2104.11</c:v>
                </c:pt>
                <c:pt idx="102">
                  <c:v>2117.34</c:v>
                </c:pt>
                <c:pt idx="103">
                  <c:v>2128.4299999999998</c:v>
                </c:pt>
                <c:pt idx="104">
                  <c:v>2130.6799999999998</c:v>
                </c:pt>
                <c:pt idx="105">
                  <c:v>2134.9</c:v>
                </c:pt>
                <c:pt idx="106">
                  <c:v>2136.88</c:v>
                </c:pt>
                <c:pt idx="107">
                  <c:v>2137.65</c:v>
                </c:pt>
                <c:pt idx="108">
                  <c:v>2138.0700000000002</c:v>
                </c:pt>
                <c:pt idx="109">
                  <c:v>2150.4699999999998</c:v>
                </c:pt>
                <c:pt idx="110">
                  <c:v>2154.36</c:v>
                </c:pt>
                <c:pt idx="111">
                  <c:v>2155.6799999999998</c:v>
                </c:pt>
                <c:pt idx="112">
                  <c:v>2156.75</c:v>
                </c:pt>
                <c:pt idx="113">
                  <c:v>2166.73</c:v>
                </c:pt>
                <c:pt idx="114">
                  <c:v>2196.4699999999998</c:v>
                </c:pt>
                <c:pt idx="115">
                  <c:v>2198.19</c:v>
                </c:pt>
                <c:pt idx="116">
                  <c:v>2200.83</c:v>
                </c:pt>
                <c:pt idx="117">
                  <c:v>2201.1</c:v>
                </c:pt>
                <c:pt idx="118">
                  <c:v>2203.4699999999998</c:v>
                </c:pt>
                <c:pt idx="119">
                  <c:v>2203.7399999999998</c:v>
                </c:pt>
                <c:pt idx="120">
                  <c:v>2205.98</c:v>
                </c:pt>
                <c:pt idx="121">
                  <c:v>2207.6999999999998</c:v>
                </c:pt>
                <c:pt idx="122">
                  <c:v>2211.13</c:v>
                </c:pt>
                <c:pt idx="123">
                  <c:v>2217.4699999999998</c:v>
                </c:pt>
                <c:pt idx="124">
                  <c:v>2217.6</c:v>
                </c:pt>
                <c:pt idx="125">
                  <c:v>2219.4499999999998</c:v>
                </c:pt>
                <c:pt idx="126">
                  <c:v>2221.56</c:v>
                </c:pt>
                <c:pt idx="127">
                  <c:v>2250.84</c:v>
                </c:pt>
                <c:pt idx="128">
                  <c:v>2254.8000000000002</c:v>
                </c:pt>
                <c:pt idx="129">
                  <c:v>2257.48</c:v>
                </c:pt>
                <c:pt idx="130">
                  <c:v>2261.5700000000002</c:v>
                </c:pt>
                <c:pt idx="131">
                  <c:v>2302.3000000000002</c:v>
                </c:pt>
                <c:pt idx="132">
                  <c:v>2304</c:v>
                </c:pt>
                <c:pt idx="133">
                  <c:v>2322.62</c:v>
                </c:pt>
                <c:pt idx="134">
                  <c:v>2331.52</c:v>
                </c:pt>
                <c:pt idx="135">
                  <c:v>2352.9699999999998</c:v>
                </c:pt>
                <c:pt idx="136">
                  <c:v>2362.23</c:v>
                </c:pt>
                <c:pt idx="137">
                  <c:v>2395.17</c:v>
                </c:pt>
                <c:pt idx="138">
                  <c:v>2396.1</c:v>
                </c:pt>
                <c:pt idx="139">
                  <c:v>2404.73</c:v>
                </c:pt>
                <c:pt idx="140">
                  <c:v>2416.96</c:v>
                </c:pt>
                <c:pt idx="141">
                  <c:v>2438.06</c:v>
                </c:pt>
                <c:pt idx="142">
                  <c:v>2457.21</c:v>
                </c:pt>
                <c:pt idx="143">
                  <c:v>2457.5</c:v>
                </c:pt>
                <c:pt idx="144">
                  <c:v>2459.7199999999998</c:v>
                </c:pt>
                <c:pt idx="145">
                  <c:v>2464.62</c:v>
                </c:pt>
                <c:pt idx="146">
                  <c:v>2473.33</c:v>
                </c:pt>
                <c:pt idx="147">
                  <c:v>2480.98</c:v>
                </c:pt>
                <c:pt idx="148">
                  <c:v>2483.7399999999998</c:v>
                </c:pt>
                <c:pt idx="149">
                  <c:v>2494.02</c:v>
                </c:pt>
                <c:pt idx="150">
                  <c:v>2497.04</c:v>
                </c:pt>
                <c:pt idx="151">
                  <c:v>2498.41</c:v>
                </c:pt>
                <c:pt idx="152">
                  <c:v>2523.17</c:v>
                </c:pt>
                <c:pt idx="153">
                  <c:v>2527.8200000000002</c:v>
                </c:pt>
                <c:pt idx="154">
                  <c:v>2534.39</c:v>
                </c:pt>
                <c:pt idx="155">
                  <c:v>2566.4699999999998</c:v>
                </c:pt>
                <c:pt idx="156">
                  <c:v>2585.27</c:v>
                </c:pt>
                <c:pt idx="157">
                  <c:v>2585.85</c:v>
                </c:pt>
                <c:pt idx="158">
                  <c:v>2597.7800000000002</c:v>
                </c:pt>
                <c:pt idx="159">
                  <c:v>2632.99</c:v>
                </c:pt>
                <c:pt idx="160">
                  <c:v>2639.04</c:v>
                </c:pt>
                <c:pt idx="161">
                  <c:v>2643.27</c:v>
                </c:pt>
                <c:pt idx="162">
                  <c:v>2680.95</c:v>
                </c:pt>
                <c:pt idx="163">
                  <c:v>2689.5</c:v>
                </c:pt>
                <c:pt idx="164">
                  <c:v>2690.11</c:v>
                </c:pt>
                <c:pt idx="165">
                  <c:v>2699.57</c:v>
                </c:pt>
                <c:pt idx="166">
                  <c:v>2709.11</c:v>
                </c:pt>
                <c:pt idx="167">
                  <c:v>2709.24</c:v>
                </c:pt>
                <c:pt idx="168">
                  <c:v>2710.83</c:v>
                </c:pt>
                <c:pt idx="169">
                  <c:v>2719.28</c:v>
                </c:pt>
                <c:pt idx="170">
                  <c:v>2721.32</c:v>
                </c:pt>
                <c:pt idx="171">
                  <c:v>2727.4</c:v>
                </c:pt>
                <c:pt idx="172">
                  <c:v>2730.11</c:v>
                </c:pt>
                <c:pt idx="173">
                  <c:v>2731.91</c:v>
                </c:pt>
                <c:pt idx="174">
                  <c:v>2741.95</c:v>
                </c:pt>
                <c:pt idx="175">
                  <c:v>2755.02</c:v>
                </c:pt>
                <c:pt idx="176">
                  <c:v>2775.19</c:v>
                </c:pt>
                <c:pt idx="177">
                  <c:v>2789.06</c:v>
                </c:pt>
                <c:pt idx="178">
                  <c:v>2801.26</c:v>
                </c:pt>
                <c:pt idx="179">
                  <c:v>2803.7</c:v>
                </c:pt>
                <c:pt idx="180">
                  <c:v>2842.76</c:v>
                </c:pt>
                <c:pt idx="181">
                  <c:v>2850.68</c:v>
                </c:pt>
                <c:pt idx="182">
                  <c:v>2855.44</c:v>
                </c:pt>
                <c:pt idx="183">
                  <c:v>2866.09</c:v>
                </c:pt>
                <c:pt idx="184">
                  <c:v>2867.12</c:v>
                </c:pt>
                <c:pt idx="185">
                  <c:v>2897.32</c:v>
                </c:pt>
                <c:pt idx="186">
                  <c:v>2899.49</c:v>
                </c:pt>
                <c:pt idx="187">
                  <c:v>2902.91</c:v>
                </c:pt>
                <c:pt idx="188">
                  <c:v>2904.09</c:v>
                </c:pt>
                <c:pt idx="189">
                  <c:v>2913.57</c:v>
                </c:pt>
                <c:pt idx="190">
                  <c:v>2927.06</c:v>
                </c:pt>
                <c:pt idx="191">
                  <c:v>2974.13</c:v>
                </c:pt>
                <c:pt idx="192">
                  <c:v>3021.81</c:v>
                </c:pt>
                <c:pt idx="193">
                  <c:v>3044.21</c:v>
                </c:pt>
                <c:pt idx="194">
                  <c:v>3046.06</c:v>
                </c:pt>
                <c:pt idx="195">
                  <c:v>3056.39</c:v>
                </c:pt>
                <c:pt idx="196">
                  <c:v>3062.51</c:v>
                </c:pt>
                <c:pt idx="197">
                  <c:v>3070.81</c:v>
                </c:pt>
                <c:pt idx="198">
                  <c:v>1704.57</c:v>
                </c:pt>
                <c:pt idx="199">
                  <c:v>3077.1</c:v>
                </c:pt>
                <c:pt idx="200">
                  <c:v>3161.45</c:v>
                </c:pt>
                <c:pt idx="201">
                  <c:v>3167.46</c:v>
                </c:pt>
                <c:pt idx="202">
                  <c:v>3171.61</c:v>
                </c:pt>
                <c:pt idx="203">
                  <c:v>3172.02</c:v>
                </c:pt>
                <c:pt idx="204">
                  <c:v>3176.29</c:v>
                </c:pt>
                <c:pt idx="205">
                  <c:v>3176.82</c:v>
                </c:pt>
                <c:pt idx="206">
                  <c:v>3180.51</c:v>
                </c:pt>
                <c:pt idx="207">
                  <c:v>3201.25</c:v>
                </c:pt>
                <c:pt idx="208">
                  <c:v>3206.49</c:v>
                </c:pt>
                <c:pt idx="209">
                  <c:v>3208.79</c:v>
                </c:pt>
                <c:pt idx="210">
                  <c:v>3213.62</c:v>
                </c:pt>
                <c:pt idx="211">
                  <c:v>3227.12</c:v>
                </c:pt>
                <c:pt idx="212">
                  <c:v>3238.44</c:v>
                </c:pt>
                <c:pt idx="213">
                  <c:v>3260.2</c:v>
                </c:pt>
                <c:pt idx="214">
                  <c:v>3268.85</c:v>
                </c:pt>
                <c:pt idx="215">
                  <c:v>3277.16</c:v>
                </c:pt>
                <c:pt idx="216">
                  <c:v>3279.87</c:v>
                </c:pt>
                <c:pt idx="217">
                  <c:v>3292.53</c:v>
                </c:pt>
                <c:pt idx="218">
                  <c:v>3309.79</c:v>
                </c:pt>
                <c:pt idx="219">
                  <c:v>3353.28</c:v>
                </c:pt>
                <c:pt idx="220">
                  <c:v>3353.47</c:v>
                </c:pt>
                <c:pt idx="221">
                  <c:v>3366.67</c:v>
                </c:pt>
                <c:pt idx="222">
                  <c:v>3378.91</c:v>
                </c:pt>
                <c:pt idx="223">
                  <c:v>3385.4</c:v>
                </c:pt>
                <c:pt idx="224">
                  <c:v>3392.37</c:v>
                </c:pt>
                <c:pt idx="225">
                  <c:v>3392.98</c:v>
                </c:pt>
                <c:pt idx="226">
                  <c:v>3393.36</c:v>
                </c:pt>
                <c:pt idx="227">
                  <c:v>3410.32</c:v>
                </c:pt>
                <c:pt idx="228">
                  <c:v>3443.06</c:v>
                </c:pt>
                <c:pt idx="229">
                  <c:v>3471.41</c:v>
                </c:pt>
                <c:pt idx="230">
                  <c:v>3481.87</c:v>
                </c:pt>
                <c:pt idx="231">
                  <c:v>3484.33</c:v>
                </c:pt>
                <c:pt idx="232">
                  <c:v>3490.55</c:v>
                </c:pt>
                <c:pt idx="233">
                  <c:v>3500.61</c:v>
                </c:pt>
                <c:pt idx="234">
                  <c:v>3537.7</c:v>
                </c:pt>
                <c:pt idx="235">
                  <c:v>3554.2</c:v>
                </c:pt>
                <c:pt idx="236">
                  <c:v>3556.92</c:v>
                </c:pt>
                <c:pt idx="237">
                  <c:v>3558.62</c:v>
                </c:pt>
                <c:pt idx="238">
                  <c:v>3561.89</c:v>
                </c:pt>
                <c:pt idx="239">
                  <c:v>3578</c:v>
                </c:pt>
                <c:pt idx="240">
                  <c:v>3579.83</c:v>
                </c:pt>
                <c:pt idx="241">
                  <c:v>3591.48</c:v>
                </c:pt>
                <c:pt idx="242">
                  <c:v>3594.17</c:v>
                </c:pt>
                <c:pt idx="243">
                  <c:v>3597.6</c:v>
                </c:pt>
                <c:pt idx="244">
                  <c:v>3645.09</c:v>
                </c:pt>
                <c:pt idx="245">
                  <c:v>3659.35</c:v>
                </c:pt>
                <c:pt idx="246">
                  <c:v>3693.43</c:v>
                </c:pt>
                <c:pt idx="247">
                  <c:v>3704.35</c:v>
                </c:pt>
                <c:pt idx="248">
                  <c:v>3732.63</c:v>
                </c:pt>
                <c:pt idx="249">
                  <c:v>3736.46</c:v>
                </c:pt>
                <c:pt idx="250">
                  <c:v>3756.62</c:v>
                </c:pt>
                <c:pt idx="251">
                  <c:v>3757.84</c:v>
                </c:pt>
                <c:pt idx="252">
                  <c:v>3761.29</c:v>
                </c:pt>
                <c:pt idx="253">
                  <c:v>3766.88</c:v>
                </c:pt>
                <c:pt idx="254">
                  <c:v>3847.67</c:v>
                </c:pt>
                <c:pt idx="255">
                  <c:v>3857.76</c:v>
                </c:pt>
                <c:pt idx="256">
                  <c:v>3861.21</c:v>
                </c:pt>
                <c:pt idx="257">
                  <c:v>3866.86</c:v>
                </c:pt>
                <c:pt idx="258">
                  <c:v>3875.73</c:v>
                </c:pt>
                <c:pt idx="259">
                  <c:v>3877.3</c:v>
                </c:pt>
                <c:pt idx="260">
                  <c:v>3906.13</c:v>
                </c:pt>
                <c:pt idx="261">
                  <c:v>3925.76</c:v>
                </c:pt>
                <c:pt idx="262">
                  <c:v>3935.18</c:v>
                </c:pt>
                <c:pt idx="263">
                  <c:v>3943.6</c:v>
                </c:pt>
                <c:pt idx="264">
                  <c:v>3947.41</c:v>
                </c:pt>
                <c:pt idx="265">
                  <c:v>3956.07</c:v>
                </c:pt>
                <c:pt idx="266">
                  <c:v>3972.92</c:v>
                </c:pt>
                <c:pt idx="267">
                  <c:v>3981.98</c:v>
                </c:pt>
                <c:pt idx="268">
                  <c:v>3987.93</c:v>
                </c:pt>
                <c:pt idx="269">
                  <c:v>3989.84</c:v>
                </c:pt>
                <c:pt idx="270">
                  <c:v>3994.18</c:v>
                </c:pt>
                <c:pt idx="271">
                  <c:v>4005.42</c:v>
                </c:pt>
                <c:pt idx="272">
                  <c:v>4032.24</c:v>
                </c:pt>
                <c:pt idx="273">
                  <c:v>4040.56</c:v>
                </c:pt>
                <c:pt idx="274">
                  <c:v>4058.12</c:v>
                </c:pt>
                <c:pt idx="275">
                  <c:v>4058.71</c:v>
                </c:pt>
                <c:pt idx="276">
                  <c:v>4074.45</c:v>
                </c:pt>
                <c:pt idx="277">
                  <c:v>4076.5</c:v>
                </c:pt>
                <c:pt idx="278">
                  <c:v>4133.6400000000003</c:v>
                </c:pt>
                <c:pt idx="279">
                  <c:v>4134.08</c:v>
                </c:pt>
                <c:pt idx="280">
                  <c:v>4137.5200000000004</c:v>
                </c:pt>
                <c:pt idx="281">
                  <c:v>4149.74</c:v>
                </c:pt>
                <c:pt idx="282">
                  <c:v>4151.03</c:v>
                </c:pt>
                <c:pt idx="283">
                  <c:v>4185.1000000000004</c:v>
                </c:pt>
                <c:pt idx="284">
                  <c:v>4189.1099999999997</c:v>
                </c:pt>
                <c:pt idx="285">
                  <c:v>4234.93</c:v>
                </c:pt>
                <c:pt idx="286">
                  <c:v>4237.13</c:v>
                </c:pt>
                <c:pt idx="287">
                  <c:v>4239.8900000000003</c:v>
                </c:pt>
                <c:pt idx="288">
                  <c:v>4243.59</c:v>
                </c:pt>
                <c:pt idx="289">
                  <c:v>4260.74</c:v>
                </c:pt>
                <c:pt idx="290">
                  <c:v>4266.17</c:v>
                </c:pt>
                <c:pt idx="291">
                  <c:v>4296.2700000000004</c:v>
                </c:pt>
                <c:pt idx="292">
                  <c:v>4320.41</c:v>
                </c:pt>
                <c:pt idx="293">
                  <c:v>4337.74</c:v>
                </c:pt>
                <c:pt idx="294">
                  <c:v>4340.4399999999996</c:v>
                </c:pt>
                <c:pt idx="295">
                  <c:v>4347.0200000000004</c:v>
                </c:pt>
                <c:pt idx="296">
                  <c:v>4349.46</c:v>
                </c:pt>
                <c:pt idx="297">
                  <c:v>4350.51</c:v>
                </c:pt>
                <c:pt idx="298">
                  <c:v>4357.04</c:v>
                </c:pt>
                <c:pt idx="299">
                  <c:v>4391.6499999999996</c:v>
                </c:pt>
                <c:pt idx="300">
                  <c:v>4399.7299999999996</c:v>
                </c:pt>
                <c:pt idx="301">
                  <c:v>4402.2299999999996</c:v>
                </c:pt>
                <c:pt idx="302">
                  <c:v>4415.16</c:v>
                </c:pt>
                <c:pt idx="303">
                  <c:v>4428.8900000000003</c:v>
                </c:pt>
                <c:pt idx="304">
                  <c:v>4433.3900000000003</c:v>
                </c:pt>
                <c:pt idx="305">
                  <c:v>4433.92</c:v>
                </c:pt>
                <c:pt idx="306">
                  <c:v>4435.09</c:v>
                </c:pt>
                <c:pt idx="307">
                  <c:v>4438.26</c:v>
                </c:pt>
                <c:pt idx="308">
                  <c:v>4441.21</c:v>
                </c:pt>
                <c:pt idx="309">
                  <c:v>4449.46</c:v>
                </c:pt>
                <c:pt idx="310">
                  <c:v>4454.3999999999996</c:v>
                </c:pt>
                <c:pt idx="311">
                  <c:v>4462.72</c:v>
                </c:pt>
                <c:pt idx="312">
                  <c:v>4463.21</c:v>
                </c:pt>
                <c:pt idx="313">
                  <c:v>4466.62</c:v>
                </c:pt>
                <c:pt idx="314">
                  <c:v>4500.34</c:v>
                </c:pt>
                <c:pt idx="315">
                  <c:v>4504.66</c:v>
                </c:pt>
                <c:pt idx="316">
                  <c:v>4518.83</c:v>
                </c:pt>
                <c:pt idx="317">
                  <c:v>4527.18</c:v>
                </c:pt>
                <c:pt idx="318">
                  <c:v>4529.4799999999996</c:v>
                </c:pt>
                <c:pt idx="319">
                  <c:v>4536.26</c:v>
                </c:pt>
                <c:pt idx="320">
                  <c:v>4544.2299999999996</c:v>
                </c:pt>
                <c:pt idx="321">
                  <c:v>4561.1899999999996</c:v>
                </c:pt>
                <c:pt idx="322">
                  <c:v>4562.84</c:v>
                </c:pt>
                <c:pt idx="323">
                  <c:v>4564.1899999999996</c:v>
                </c:pt>
                <c:pt idx="324">
                  <c:v>4571.41</c:v>
                </c:pt>
                <c:pt idx="325">
                  <c:v>4618.08</c:v>
                </c:pt>
                <c:pt idx="326">
                  <c:v>4646.76</c:v>
                </c:pt>
                <c:pt idx="327">
                  <c:v>4661.29</c:v>
                </c:pt>
                <c:pt idx="328">
                  <c:v>4667.6099999999997</c:v>
                </c:pt>
                <c:pt idx="329">
                  <c:v>4670.6400000000003</c:v>
                </c:pt>
                <c:pt idx="330">
                  <c:v>4673.3900000000003</c:v>
                </c:pt>
                <c:pt idx="331">
                  <c:v>4686.3900000000003</c:v>
                </c:pt>
                <c:pt idx="332">
                  <c:v>4687.8</c:v>
                </c:pt>
                <c:pt idx="333">
                  <c:v>4718.2</c:v>
                </c:pt>
                <c:pt idx="334">
                  <c:v>4719.5200000000004</c:v>
                </c:pt>
                <c:pt idx="335">
                  <c:v>4719.74</c:v>
                </c:pt>
                <c:pt idx="336">
                  <c:v>4738.2700000000004</c:v>
                </c:pt>
                <c:pt idx="337">
                  <c:v>4746.34</c:v>
                </c:pt>
                <c:pt idx="338">
                  <c:v>4747.05</c:v>
                </c:pt>
                <c:pt idx="339">
                  <c:v>4751.07</c:v>
                </c:pt>
                <c:pt idx="340">
                  <c:v>4753.6400000000003</c:v>
                </c:pt>
                <c:pt idx="341">
                  <c:v>4762.33</c:v>
                </c:pt>
                <c:pt idx="342">
                  <c:v>4766.0200000000004</c:v>
                </c:pt>
                <c:pt idx="343">
                  <c:v>4779.6000000000004</c:v>
                </c:pt>
                <c:pt idx="344">
                  <c:v>4795.66</c:v>
                </c:pt>
                <c:pt idx="345">
                  <c:v>4827.8999999999996</c:v>
                </c:pt>
                <c:pt idx="346">
                  <c:v>4830.63</c:v>
                </c:pt>
                <c:pt idx="347">
                  <c:v>4837.58</c:v>
                </c:pt>
                <c:pt idx="348">
                  <c:v>4846.92</c:v>
                </c:pt>
                <c:pt idx="349">
                  <c:v>4877.9799999999996</c:v>
                </c:pt>
                <c:pt idx="350">
                  <c:v>4883.87</c:v>
                </c:pt>
                <c:pt idx="351">
                  <c:v>4889.04</c:v>
                </c:pt>
                <c:pt idx="352">
                  <c:v>4890</c:v>
                </c:pt>
                <c:pt idx="353">
                  <c:v>4894.75</c:v>
                </c:pt>
                <c:pt idx="354">
                  <c:v>4906.41</c:v>
                </c:pt>
                <c:pt idx="355">
                  <c:v>4915.0600000000004</c:v>
                </c:pt>
                <c:pt idx="356">
                  <c:v>4922.92</c:v>
                </c:pt>
                <c:pt idx="357">
                  <c:v>4931.6499999999996</c:v>
                </c:pt>
                <c:pt idx="358">
                  <c:v>4934.71</c:v>
                </c:pt>
                <c:pt idx="359">
                  <c:v>4949.76</c:v>
                </c:pt>
                <c:pt idx="360">
                  <c:v>4992.38</c:v>
                </c:pt>
                <c:pt idx="361">
                  <c:v>5002.78</c:v>
                </c:pt>
                <c:pt idx="362">
                  <c:v>5003.8500000000004</c:v>
                </c:pt>
                <c:pt idx="363">
                  <c:v>5012.47</c:v>
                </c:pt>
                <c:pt idx="364">
                  <c:v>5028.1499999999996</c:v>
                </c:pt>
                <c:pt idx="365">
                  <c:v>5031.2700000000004</c:v>
                </c:pt>
                <c:pt idx="366">
                  <c:v>5080.1000000000004</c:v>
                </c:pt>
                <c:pt idx="367">
                  <c:v>5116.5</c:v>
                </c:pt>
                <c:pt idx="368">
                  <c:v>5124.1899999999996</c:v>
                </c:pt>
                <c:pt idx="369">
                  <c:v>5125.22</c:v>
                </c:pt>
                <c:pt idx="370">
                  <c:v>5138.26</c:v>
                </c:pt>
                <c:pt idx="371">
                  <c:v>5148.55</c:v>
                </c:pt>
                <c:pt idx="372">
                  <c:v>5152.13</c:v>
                </c:pt>
                <c:pt idx="373">
                  <c:v>5209.58</c:v>
                </c:pt>
                <c:pt idx="374">
                  <c:v>5227.99</c:v>
                </c:pt>
                <c:pt idx="375">
                  <c:v>5240.7700000000004</c:v>
                </c:pt>
                <c:pt idx="376">
                  <c:v>5245.23</c:v>
                </c:pt>
                <c:pt idx="377">
                  <c:v>5246.05</c:v>
                </c:pt>
                <c:pt idx="378">
                  <c:v>5253.52</c:v>
                </c:pt>
                <c:pt idx="379">
                  <c:v>5257.51</c:v>
                </c:pt>
                <c:pt idx="380">
                  <c:v>5261.47</c:v>
                </c:pt>
                <c:pt idx="381">
                  <c:v>5266.37</c:v>
                </c:pt>
                <c:pt idx="382">
                  <c:v>5267.82</c:v>
                </c:pt>
                <c:pt idx="383">
                  <c:v>5272.18</c:v>
                </c:pt>
                <c:pt idx="384">
                  <c:v>5312.17</c:v>
                </c:pt>
                <c:pt idx="385">
                  <c:v>5325.65</c:v>
                </c:pt>
                <c:pt idx="386">
                  <c:v>5327.4</c:v>
                </c:pt>
                <c:pt idx="387">
                  <c:v>5354.07</c:v>
                </c:pt>
                <c:pt idx="388">
                  <c:v>5373.36</c:v>
                </c:pt>
                <c:pt idx="389">
                  <c:v>5375.04</c:v>
                </c:pt>
                <c:pt idx="390">
                  <c:v>5377.46</c:v>
                </c:pt>
                <c:pt idx="391">
                  <c:v>5383.54</c:v>
                </c:pt>
                <c:pt idx="392">
                  <c:v>5385.34</c:v>
                </c:pt>
                <c:pt idx="393">
                  <c:v>5397.62</c:v>
                </c:pt>
                <c:pt idx="394">
                  <c:v>5400.98</c:v>
                </c:pt>
                <c:pt idx="395">
                  <c:v>5415.66</c:v>
                </c:pt>
                <c:pt idx="396">
                  <c:v>5425.02</c:v>
                </c:pt>
                <c:pt idx="397">
                  <c:v>5428.73</c:v>
                </c:pt>
                <c:pt idx="398">
                  <c:v>5438.75</c:v>
                </c:pt>
                <c:pt idx="399">
                  <c:v>5458.05</c:v>
                </c:pt>
                <c:pt idx="400">
                  <c:v>5469.01</c:v>
                </c:pt>
                <c:pt idx="401">
                  <c:v>5472.45</c:v>
                </c:pt>
                <c:pt idx="402">
                  <c:v>5478.04</c:v>
                </c:pt>
                <c:pt idx="403">
                  <c:v>5484.47</c:v>
                </c:pt>
                <c:pt idx="404">
                  <c:v>5488.26</c:v>
                </c:pt>
                <c:pt idx="405">
                  <c:v>5584.31</c:v>
                </c:pt>
                <c:pt idx="406">
                  <c:v>5594.85</c:v>
                </c:pt>
                <c:pt idx="407">
                  <c:v>5615.37</c:v>
                </c:pt>
                <c:pt idx="408">
                  <c:v>5630.46</c:v>
                </c:pt>
                <c:pt idx="409">
                  <c:v>5649.72</c:v>
                </c:pt>
                <c:pt idx="410">
                  <c:v>5662.23</c:v>
                </c:pt>
                <c:pt idx="411">
                  <c:v>5693.43</c:v>
                </c:pt>
                <c:pt idx="412">
                  <c:v>5699.84</c:v>
                </c:pt>
                <c:pt idx="413">
                  <c:v>5708.87</c:v>
                </c:pt>
                <c:pt idx="414">
                  <c:v>5709.16</c:v>
                </c:pt>
                <c:pt idx="415">
                  <c:v>5729.01</c:v>
                </c:pt>
                <c:pt idx="416">
                  <c:v>5757.41</c:v>
                </c:pt>
                <c:pt idx="417">
                  <c:v>5836.52</c:v>
                </c:pt>
                <c:pt idx="418">
                  <c:v>5846.92</c:v>
                </c:pt>
                <c:pt idx="419">
                  <c:v>5855.9</c:v>
                </c:pt>
                <c:pt idx="420">
                  <c:v>5910.94</c:v>
                </c:pt>
                <c:pt idx="421">
                  <c:v>5920.1</c:v>
                </c:pt>
                <c:pt idx="422">
                  <c:v>5926.85</c:v>
                </c:pt>
                <c:pt idx="423">
                  <c:v>5934.38</c:v>
                </c:pt>
                <c:pt idx="424">
                  <c:v>5966.89</c:v>
                </c:pt>
                <c:pt idx="425">
                  <c:v>5969.72</c:v>
                </c:pt>
                <c:pt idx="426">
                  <c:v>5972.38</c:v>
                </c:pt>
                <c:pt idx="427">
                  <c:v>5974.38</c:v>
                </c:pt>
                <c:pt idx="428">
                  <c:v>5976.83</c:v>
                </c:pt>
                <c:pt idx="429">
                  <c:v>5979.73</c:v>
                </c:pt>
                <c:pt idx="430">
                  <c:v>5989.52</c:v>
                </c:pt>
                <c:pt idx="431">
                  <c:v>6059.17</c:v>
                </c:pt>
                <c:pt idx="432">
                  <c:v>6067.13</c:v>
                </c:pt>
                <c:pt idx="433">
                  <c:v>6079.67</c:v>
                </c:pt>
                <c:pt idx="434">
                  <c:v>6082.41</c:v>
                </c:pt>
                <c:pt idx="435">
                  <c:v>6112.35</c:v>
                </c:pt>
                <c:pt idx="436">
                  <c:v>6113.23</c:v>
                </c:pt>
                <c:pt idx="437">
                  <c:v>6117.49</c:v>
                </c:pt>
                <c:pt idx="438">
                  <c:v>6123.57</c:v>
                </c:pt>
                <c:pt idx="439">
                  <c:v>6128.8</c:v>
                </c:pt>
                <c:pt idx="440">
                  <c:v>6184.3</c:v>
                </c:pt>
                <c:pt idx="441">
                  <c:v>6185.32</c:v>
                </c:pt>
                <c:pt idx="442">
                  <c:v>6186.13</c:v>
                </c:pt>
                <c:pt idx="443">
                  <c:v>6196.45</c:v>
                </c:pt>
                <c:pt idx="444">
                  <c:v>6198.75</c:v>
                </c:pt>
                <c:pt idx="445">
                  <c:v>6203.9</c:v>
                </c:pt>
                <c:pt idx="446">
                  <c:v>6238.3</c:v>
                </c:pt>
                <c:pt idx="447">
                  <c:v>6250.44</c:v>
                </c:pt>
                <c:pt idx="448">
                  <c:v>6272.48</c:v>
                </c:pt>
                <c:pt idx="449">
                  <c:v>6282.24</c:v>
                </c:pt>
                <c:pt idx="450">
                  <c:v>6289.75</c:v>
                </c:pt>
                <c:pt idx="451">
                  <c:v>6311.95</c:v>
                </c:pt>
                <c:pt idx="452">
                  <c:v>6313.76</c:v>
                </c:pt>
                <c:pt idx="453">
                  <c:v>6334.34</c:v>
                </c:pt>
                <c:pt idx="454">
                  <c:v>6338.08</c:v>
                </c:pt>
                <c:pt idx="455">
                  <c:v>6356.27</c:v>
                </c:pt>
                <c:pt idx="456">
                  <c:v>6358.78</c:v>
                </c:pt>
                <c:pt idx="457">
                  <c:v>6360.99</c:v>
                </c:pt>
                <c:pt idx="458">
                  <c:v>6373.56</c:v>
                </c:pt>
                <c:pt idx="459">
                  <c:v>6389.38</c:v>
                </c:pt>
                <c:pt idx="460">
                  <c:v>6393.6</c:v>
                </c:pt>
                <c:pt idx="461">
                  <c:v>6402.29</c:v>
                </c:pt>
                <c:pt idx="462">
                  <c:v>6406.41</c:v>
                </c:pt>
                <c:pt idx="463">
                  <c:v>6414.18</c:v>
                </c:pt>
                <c:pt idx="464">
                  <c:v>6435.62</c:v>
                </c:pt>
                <c:pt idx="465">
                  <c:v>6455.86</c:v>
                </c:pt>
                <c:pt idx="466">
                  <c:v>6457.84</c:v>
                </c:pt>
                <c:pt idx="467">
                  <c:v>6474.01</c:v>
                </c:pt>
                <c:pt idx="468">
                  <c:v>6496.89</c:v>
                </c:pt>
                <c:pt idx="469">
                  <c:v>6500.24</c:v>
                </c:pt>
                <c:pt idx="470">
                  <c:v>6548.2</c:v>
                </c:pt>
                <c:pt idx="471">
                  <c:v>6551.75</c:v>
                </c:pt>
                <c:pt idx="472">
                  <c:v>6555.07</c:v>
                </c:pt>
                <c:pt idx="473">
                  <c:v>6571.02</c:v>
                </c:pt>
                <c:pt idx="474">
                  <c:v>6571.54</c:v>
                </c:pt>
                <c:pt idx="475">
                  <c:v>6593.51</c:v>
                </c:pt>
                <c:pt idx="476">
                  <c:v>6600.21</c:v>
                </c:pt>
                <c:pt idx="477">
                  <c:v>6600.36</c:v>
                </c:pt>
                <c:pt idx="478">
                  <c:v>6610.11</c:v>
                </c:pt>
                <c:pt idx="479">
                  <c:v>6640.54</c:v>
                </c:pt>
                <c:pt idx="480">
                  <c:v>6652.53</c:v>
                </c:pt>
                <c:pt idx="481">
                  <c:v>6653.79</c:v>
                </c:pt>
                <c:pt idx="482">
                  <c:v>6664.69</c:v>
                </c:pt>
                <c:pt idx="483">
                  <c:v>6666.24</c:v>
                </c:pt>
                <c:pt idx="484">
                  <c:v>6686.43</c:v>
                </c:pt>
                <c:pt idx="485">
                  <c:v>6710.19</c:v>
                </c:pt>
                <c:pt idx="486">
                  <c:v>6746.74</c:v>
                </c:pt>
                <c:pt idx="487">
                  <c:v>6748.59</c:v>
                </c:pt>
                <c:pt idx="488">
                  <c:v>6753.04</c:v>
                </c:pt>
                <c:pt idx="489">
                  <c:v>6770.19</c:v>
                </c:pt>
                <c:pt idx="490">
                  <c:v>6775.96</c:v>
                </c:pt>
                <c:pt idx="491">
                  <c:v>6781.35</c:v>
                </c:pt>
                <c:pt idx="492">
                  <c:v>6796.86</c:v>
                </c:pt>
                <c:pt idx="493">
                  <c:v>6799.46</c:v>
                </c:pt>
                <c:pt idx="494">
                  <c:v>6837.37</c:v>
                </c:pt>
                <c:pt idx="495">
                  <c:v>6849.03</c:v>
                </c:pt>
                <c:pt idx="496">
                  <c:v>6858.48</c:v>
                </c:pt>
                <c:pt idx="497">
                  <c:v>6875.96</c:v>
                </c:pt>
                <c:pt idx="498">
                  <c:v>6877.98</c:v>
                </c:pt>
                <c:pt idx="499">
                  <c:v>6933.24</c:v>
                </c:pt>
                <c:pt idx="500">
                  <c:v>6940.91</c:v>
                </c:pt>
                <c:pt idx="501">
                  <c:v>6948.7</c:v>
                </c:pt>
                <c:pt idx="502">
                  <c:v>6985.51</c:v>
                </c:pt>
                <c:pt idx="503">
                  <c:v>6986.7</c:v>
                </c:pt>
                <c:pt idx="504">
                  <c:v>7045.5</c:v>
                </c:pt>
                <c:pt idx="505">
                  <c:v>7046.72</c:v>
                </c:pt>
                <c:pt idx="506">
                  <c:v>7050.02</c:v>
                </c:pt>
                <c:pt idx="507">
                  <c:v>7050.64</c:v>
                </c:pt>
                <c:pt idx="508">
                  <c:v>7077.19</c:v>
                </c:pt>
                <c:pt idx="509">
                  <c:v>7133.9</c:v>
                </c:pt>
                <c:pt idx="510">
                  <c:v>7144.86</c:v>
                </c:pt>
                <c:pt idx="511">
                  <c:v>7147.11</c:v>
                </c:pt>
                <c:pt idx="512">
                  <c:v>7147.47</c:v>
                </c:pt>
                <c:pt idx="513">
                  <c:v>7151.09</c:v>
                </c:pt>
                <c:pt idx="514">
                  <c:v>7152.67</c:v>
                </c:pt>
                <c:pt idx="515">
                  <c:v>7153.55</c:v>
                </c:pt>
                <c:pt idx="516">
                  <c:v>7160.09</c:v>
                </c:pt>
                <c:pt idx="517">
                  <c:v>7160.33</c:v>
                </c:pt>
                <c:pt idx="518">
                  <c:v>7162.01</c:v>
                </c:pt>
                <c:pt idx="519">
                  <c:v>7173.36</c:v>
                </c:pt>
                <c:pt idx="520">
                  <c:v>7196.87</c:v>
                </c:pt>
                <c:pt idx="521">
                  <c:v>7201.7</c:v>
                </c:pt>
                <c:pt idx="522">
                  <c:v>7209.49</c:v>
                </c:pt>
                <c:pt idx="523">
                  <c:v>7222.79</c:v>
                </c:pt>
                <c:pt idx="524">
                  <c:v>7228.22</c:v>
                </c:pt>
                <c:pt idx="525">
                  <c:v>7243.81</c:v>
                </c:pt>
                <c:pt idx="526">
                  <c:v>7256.72</c:v>
                </c:pt>
                <c:pt idx="527">
                  <c:v>7261.74</c:v>
                </c:pt>
                <c:pt idx="528">
                  <c:v>7265.7</c:v>
                </c:pt>
                <c:pt idx="529">
                  <c:v>7281.51</c:v>
                </c:pt>
                <c:pt idx="530">
                  <c:v>7323.73</c:v>
                </c:pt>
                <c:pt idx="531">
                  <c:v>7325.05</c:v>
                </c:pt>
                <c:pt idx="532">
                  <c:v>7337.75</c:v>
                </c:pt>
                <c:pt idx="533">
                  <c:v>7345.08</c:v>
                </c:pt>
                <c:pt idx="534">
                  <c:v>7345.73</c:v>
                </c:pt>
                <c:pt idx="535">
                  <c:v>7348.14</c:v>
                </c:pt>
                <c:pt idx="536">
                  <c:v>7358.18</c:v>
                </c:pt>
                <c:pt idx="537">
                  <c:v>7371.77</c:v>
                </c:pt>
                <c:pt idx="538">
                  <c:v>7418.52</c:v>
                </c:pt>
                <c:pt idx="539">
                  <c:v>7419.48</c:v>
                </c:pt>
                <c:pt idx="540">
                  <c:v>7421.19</c:v>
                </c:pt>
                <c:pt idx="541">
                  <c:v>7441.05</c:v>
                </c:pt>
                <c:pt idx="542">
                  <c:v>7441.5</c:v>
                </c:pt>
                <c:pt idx="543">
                  <c:v>7443.64</c:v>
                </c:pt>
                <c:pt idx="544">
                  <c:v>7445.92</c:v>
                </c:pt>
                <c:pt idx="545">
                  <c:v>7448.4</c:v>
                </c:pt>
                <c:pt idx="546">
                  <c:v>7512.27</c:v>
                </c:pt>
                <c:pt idx="547">
                  <c:v>7518.03</c:v>
                </c:pt>
                <c:pt idx="548">
                  <c:v>7526.71</c:v>
                </c:pt>
                <c:pt idx="549">
                  <c:v>7537.16</c:v>
                </c:pt>
                <c:pt idx="550">
                  <c:v>7623.52</c:v>
                </c:pt>
                <c:pt idx="551">
                  <c:v>7624.63</c:v>
                </c:pt>
                <c:pt idx="552">
                  <c:v>7626.99</c:v>
                </c:pt>
                <c:pt idx="553">
                  <c:v>7633.72</c:v>
                </c:pt>
                <c:pt idx="554">
                  <c:v>7639.42</c:v>
                </c:pt>
                <c:pt idx="555">
                  <c:v>7640.31</c:v>
                </c:pt>
                <c:pt idx="556">
                  <c:v>7650.77</c:v>
                </c:pt>
                <c:pt idx="557">
                  <c:v>7682.67</c:v>
                </c:pt>
                <c:pt idx="558">
                  <c:v>7726.85</c:v>
                </c:pt>
                <c:pt idx="559">
                  <c:v>7727.25</c:v>
                </c:pt>
                <c:pt idx="560">
                  <c:v>7729.65</c:v>
                </c:pt>
                <c:pt idx="561">
                  <c:v>7731.43</c:v>
                </c:pt>
                <c:pt idx="562">
                  <c:v>7731.86</c:v>
                </c:pt>
                <c:pt idx="563">
                  <c:v>7740.34</c:v>
                </c:pt>
                <c:pt idx="564">
                  <c:v>7742.11</c:v>
                </c:pt>
                <c:pt idx="565">
                  <c:v>7749.16</c:v>
                </c:pt>
                <c:pt idx="566">
                  <c:v>7789.64</c:v>
                </c:pt>
                <c:pt idx="567">
                  <c:v>7804.16</c:v>
                </c:pt>
                <c:pt idx="568">
                  <c:v>7935.29</c:v>
                </c:pt>
                <c:pt idx="569">
                  <c:v>7954.52</c:v>
                </c:pt>
                <c:pt idx="570">
                  <c:v>7985.82</c:v>
                </c:pt>
                <c:pt idx="571">
                  <c:v>7986.48</c:v>
                </c:pt>
                <c:pt idx="572">
                  <c:v>8017.06</c:v>
                </c:pt>
                <c:pt idx="573">
                  <c:v>8023.14</c:v>
                </c:pt>
                <c:pt idx="574">
                  <c:v>8026.67</c:v>
                </c:pt>
                <c:pt idx="575">
                  <c:v>8027.97</c:v>
                </c:pt>
                <c:pt idx="576">
                  <c:v>8059.68</c:v>
                </c:pt>
                <c:pt idx="577">
                  <c:v>8062.76</c:v>
                </c:pt>
                <c:pt idx="578">
                  <c:v>8068.19</c:v>
                </c:pt>
                <c:pt idx="579">
                  <c:v>8083.92</c:v>
                </c:pt>
                <c:pt idx="580">
                  <c:v>8116.27</c:v>
                </c:pt>
                <c:pt idx="581">
                  <c:v>8116.68</c:v>
                </c:pt>
                <c:pt idx="582">
                  <c:v>8124.41</c:v>
                </c:pt>
                <c:pt idx="583">
                  <c:v>8125.78</c:v>
                </c:pt>
                <c:pt idx="584">
                  <c:v>8162.72</c:v>
                </c:pt>
                <c:pt idx="585">
                  <c:v>8211.1</c:v>
                </c:pt>
                <c:pt idx="586">
                  <c:v>8219.2000000000007</c:v>
                </c:pt>
                <c:pt idx="587">
                  <c:v>8232.64</c:v>
                </c:pt>
                <c:pt idx="588">
                  <c:v>8233.1</c:v>
                </c:pt>
                <c:pt idx="589">
                  <c:v>8240.59</c:v>
                </c:pt>
                <c:pt idx="590">
                  <c:v>8252.2800000000007</c:v>
                </c:pt>
                <c:pt idx="591">
                  <c:v>8269.0400000000009</c:v>
                </c:pt>
                <c:pt idx="592">
                  <c:v>8277.52</c:v>
                </c:pt>
                <c:pt idx="593">
                  <c:v>8280.6200000000008</c:v>
                </c:pt>
                <c:pt idx="594">
                  <c:v>8283.68</c:v>
                </c:pt>
                <c:pt idx="595">
                  <c:v>8302.5400000000009</c:v>
                </c:pt>
                <c:pt idx="596">
                  <c:v>8310.84</c:v>
                </c:pt>
                <c:pt idx="597">
                  <c:v>8334.4599999999991</c:v>
                </c:pt>
                <c:pt idx="598">
                  <c:v>8334.59</c:v>
                </c:pt>
                <c:pt idx="599">
                  <c:v>8342.91</c:v>
                </c:pt>
                <c:pt idx="600">
                  <c:v>8347.16</c:v>
                </c:pt>
                <c:pt idx="601">
                  <c:v>8410.0499999999993</c:v>
                </c:pt>
                <c:pt idx="602">
                  <c:v>8413.4599999999991</c:v>
                </c:pt>
                <c:pt idx="603">
                  <c:v>8428.07</c:v>
                </c:pt>
                <c:pt idx="604">
                  <c:v>8442.67</c:v>
                </c:pt>
                <c:pt idx="605">
                  <c:v>8444.4699999999993</c:v>
                </c:pt>
                <c:pt idx="606">
                  <c:v>8457.82</c:v>
                </c:pt>
                <c:pt idx="607">
                  <c:v>8515.76</c:v>
                </c:pt>
                <c:pt idx="608">
                  <c:v>8516.83</c:v>
                </c:pt>
                <c:pt idx="609">
                  <c:v>8520.0300000000007</c:v>
                </c:pt>
                <c:pt idx="610">
                  <c:v>8522</c:v>
                </c:pt>
                <c:pt idx="611">
                  <c:v>8527.5300000000007</c:v>
                </c:pt>
                <c:pt idx="612">
                  <c:v>8534.67</c:v>
                </c:pt>
                <c:pt idx="613">
                  <c:v>8538.2900000000009</c:v>
                </c:pt>
                <c:pt idx="614">
                  <c:v>8539.67</c:v>
                </c:pt>
                <c:pt idx="615">
                  <c:v>8547.69</c:v>
                </c:pt>
                <c:pt idx="616">
                  <c:v>8551.35</c:v>
                </c:pt>
                <c:pt idx="617">
                  <c:v>8556.91</c:v>
                </c:pt>
                <c:pt idx="618">
                  <c:v>8569.86</c:v>
                </c:pt>
                <c:pt idx="619">
                  <c:v>8582.2999999999993</c:v>
                </c:pt>
                <c:pt idx="620">
                  <c:v>8596.83</c:v>
                </c:pt>
                <c:pt idx="621">
                  <c:v>8601.33</c:v>
                </c:pt>
                <c:pt idx="622">
                  <c:v>8603.82</c:v>
                </c:pt>
                <c:pt idx="623">
                  <c:v>8604.48</c:v>
                </c:pt>
                <c:pt idx="624">
                  <c:v>8605.36</c:v>
                </c:pt>
                <c:pt idx="625">
                  <c:v>8606.2199999999993</c:v>
                </c:pt>
                <c:pt idx="626">
                  <c:v>8615.2999999999993</c:v>
                </c:pt>
                <c:pt idx="627">
                  <c:v>8627.5400000000009</c:v>
                </c:pt>
                <c:pt idx="628">
                  <c:v>8671.19</c:v>
                </c:pt>
                <c:pt idx="629">
                  <c:v>8688.86</c:v>
                </c:pt>
                <c:pt idx="630">
                  <c:v>8703.4599999999991</c:v>
                </c:pt>
                <c:pt idx="631">
                  <c:v>8733.23</c:v>
                </c:pt>
                <c:pt idx="632">
                  <c:v>8765.25</c:v>
                </c:pt>
                <c:pt idx="633">
                  <c:v>8782.4699999999993</c:v>
                </c:pt>
                <c:pt idx="634">
                  <c:v>8798.59</c:v>
                </c:pt>
                <c:pt idx="635">
                  <c:v>8823.2800000000007</c:v>
                </c:pt>
                <c:pt idx="636">
                  <c:v>8823.99</c:v>
                </c:pt>
                <c:pt idx="637">
                  <c:v>8825.09</c:v>
                </c:pt>
                <c:pt idx="638">
                  <c:v>8827.2099999999991</c:v>
                </c:pt>
                <c:pt idx="639">
                  <c:v>8835.26</c:v>
                </c:pt>
                <c:pt idx="640">
                  <c:v>8871.15</c:v>
                </c:pt>
                <c:pt idx="641">
                  <c:v>8891.14</c:v>
                </c:pt>
                <c:pt idx="642">
                  <c:v>8930.93</c:v>
                </c:pt>
                <c:pt idx="643">
                  <c:v>8932.08</c:v>
                </c:pt>
                <c:pt idx="644">
                  <c:v>8944.1200000000008</c:v>
                </c:pt>
                <c:pt idx="645">
                  <c:v>8964.06</c:v>
                </c:pt>
                <c:pt idx="646">
                  <c:v>8965.7999999999993</c:v>
                </c:pt>
                <c:pt idx="647">
                  <c:v>8968.33</c:v>
                </c:pt>
                <c:pt idx="648">
                  <c:v>8978.19</c:v>
                </c:pt>
                <c:pt idx="649">
                  <c:v>8988.16</c:v>
                </c:pt>
                <c:pt idx="650">
                  <c:v>9048.0300000000007</c:v>
                </c:pt>
                <c:pt idx="651">
                  <c:v>9058.73</c:v>
                </c:pt>
                <c:pt idx="652">
                  <c:v>9095.07</c:v>
                </c:pt>
                <c:pt idx="653">
                  <c:v>9101.7999999999993</c:v>
                </c:pt>
                <c:pt idx="654">
                  <c:v>9140.9500000000007</c:v>
                </c:pt>
                <c:pt idx="655">
                  <c:v>9144.57</c:v>
                </c:pt>
                <c:pt idx="656">
                  <c:v>9174.14</c:v>
                </c:pt>
                <c:pt idx="657">
                  <c:v>9182.17</c:v>
                </c:pt>
                <c:pt idx="658">
                  <c:v>9193.84</c:v>
                </c:pt>
                <c:pt idx="659">
                  <c:v>9222.4</c:v>
                </c:pt>
                <c:pt idx="660">
                  <c:v>9225.26</c:v>
                </c:pt>
                <c:pt idx="661">
                  <c:v>9249.5</c:v>
                </c:pt>
                <c:pt idx="662">
                  <c:v>9264.7999999999993</c:v>
                </c:pt>
                <c:pt idx="663">
                  <c:v>9282.48</c:v>
                </c:pt>
                <c:pt idx="664">
                  <c:v>9283.56</c:v>
                </c:pt>
                <c:pt idx="665">
                  <c:v>9288.0300000000007</c:v>
                </c:pt>
                <c:pt idx="666">
                  <c:v>9290.14</c:v>
                </c:pt>
                <c:pt idx="667">
                  <c:v>9301.89</c:v>
                </c:pt>
                <c:pt idx="668">
                  <c:v>9304.7000000000007</c:v>
                </c:pt>
                <c:pt idx="669">
                  <c:v>9361.33</c:v>
                </c:pt>
                <c:pt idx="670">
                  <c:v>9377.9</c:v>
                </c:pt>
                <c:pt idx="671">
                  <c:v>9386.16</c:v>
                </c:pt>
                <c:pt idx="672">
                  <c:v>9391.35</c:v>
                </c:pt>
                <c:pt idx="673">
                  <c:v>9411.01</c:v>
                </c:pt>
                <c:pt idx="674">
                  <c:v>9414.92</c:v>
                </c:pt>
                <c:pt idx="675">
                  <c:v>9432.93</c:v>
                </c:pt>
                <c:pt idx="676">
                  <c:v>9447.25</c:v>
                </c:pt>
                <c:pt idx="677">
                  <c:v>9447.3799999999992</c:v>
                </c:pt>
                <c:pt idx="678">
                  <c:v>9487.64</c:v>
                </c:pt>
                <c:pt idx="679">
                  <c:v>9500.57</c:v>
                </c:pt>
                <c:pt idx="680">
                  <c:v>9504.31</c:v>
                </c:pt>
                <c:pt idx="681">
                  <c:v>9541.7000000000007</c:v>
                </c:pt>
                <c:pt idx="682">
                  <c:v>9549.57</c:v>
                </c:pt>
                <c:pt idx="683">
                  <c:v>9563.0300000000007</c:v>
                </c:pt>
                <c:pt idx="684">
                  <c:v>9566.99</c:v>
                </c:pt>
                <c:pt idx="685">
                  <c:v>9583.89</c:v>
                </c:pt>
                <c:pt idx="686">
                  <c:v>9617.66</c:v>
                </c:pt>
                <c:pt idx="687">
                  <c:v>9620.33</c:v>
                </c:pt>
                <c:pt idx="688">
                  <c:v>9625.92</c:v>
                </c:pt>
                <c:pt idx="689">
                  <c:v>9630.4</c:v>
                </c:pt>
                <c:pt idx="690">
                  <c:v>9634.5400000000009</c:v>
                </c:pt>
                <c:pt idx="691">
                  <c:v>9644.25</c:v>
                </c:pt>
                <c:pt idx="692">
                  <c:v>9704.67</c:v>
                </c:pt>
                <c:pt idx="693">
                  <c:v>9715.84</c:v>
                </c:pt>
                <c:pt idx="694">
                  <c:v>9722.77</c:v>
                </c:pt>
                <c:pt idx="695">
                  <c:v>9724.5300000000007</c:v>
                </c:pt>
                <c:pt idx="696">
                  <c:v>9748.91</c:v>
                </c:pt>
                <c:pt idx="697">
                  <c:v>9778.35</c:v>
                </c:pt>
                <c:pt idx="698">
                  <c:v>9788.8700000000008</c:v>
                </c:pt>
                <c:pt idx="699">
                  <c:v>9800.89</c:v>
                </c:pt>
                <c:pt idx="700">
                  <c:v>9850.43</c:v>
                </c:pt>
                <c:pt idx="701">
                  <c:v>9855.1299999999992</c:v>
                </c:pt>
                <c:pt idx="702">
                  <c:v>9861.0300000000007</c:v>
                </c:pt>
                <c:pt idx="703">
                  <c:v>9863.4699999999993</c:v>
                </c:pt>
                <c:pt idx="704">
                  <c:v>9866.2999999999993</c:v>
                </c:pt>
                <c:pt idx="705">
                  <c:v>9869.81</c:v>
                </c:pt>
                <c:pt idx="706">
                  <c:v>9872.7000000000007</c:v>
                </c:pt>
                <c:pt idx="707">
                  <c:v>9875.68</c:v>
                </c:pt>
                <c:pt idx="708">
                  <c:v>9877.61</c:v>
                </c:pt>
                <c:pt idx="709">
                  <c:v>9880.07</c:v>
                </c:pt>
                <c:pt idx="710">
                  <c:v>9910.36</c:v>
                </c:pt>
                <c:pt idx="711">
                  <c:v>9957.7199999999993</c:v>
                </c:pt>
                <c:pt idx="712">
                  <c:v>9964.06</c:v>
                </c:pt>
                <c:pt idx="713">
                  <c:v>9991.0400000000009</c:v>
                </c:pt>
                <c:pt idx="714">
                  <c:v>10043.25</c:v>
                </c:pt>
                <c:pt idx="715">
                  <c:v>10065.41</c:v>
                </c:pt>
                <c:pt idx="716">
                  <c:v>10072.06</c:v>
                </c:pt>
                <c:pt idx="717">
                  <c:v>10085.85</c:v>
                </c:pt>
                <c:pt idx="718">
                  <c:v>10096.969999999999</c:v>
                </c:pt>
                <c:pt idx="719">
                  <c:v>10106.129999999999</c:v>
                </c:pt>
                <c:pt idx="720">
                  <c:v>10107.219999999999</c:v>
                </c:pt>
                <c:pt idx="721">
                  <c:v>10115.01</c:v>
                </c:pt>
                <c:pt idx="722">
                  <c:v>10118.42</c:v>
                </c:pt>
                <c:pt idx="723">
                  <c:v>10141.14</c:v>
                </c:pt>
                <c:pt idx="724">
                  <c:v>10156.780000000001</c:v>
                </c:pt>
                <c:pt idx="725">
                  <c:v>10197.77</c:v>
                </c:pt>
                <c:pt idx="726">
                  <c:v>10214.64</c:v>
                </c:pt>
                <c:pt idx="727">
                  <c:v>10226.280000000001</c:v>
                </c:pt>
                <c:pt idx="728">
                  <c:v>10231.5</c:v>
                </c:pt>
                <c:pt idx="729">
                  <c:v>10264.44</c:v>
                </c:pt>
                <c:pt idx="730">
                  <c:v>10269.459999999999</c:v>
                </c:pt>
                <c:pt idx="731">
                  <c:v>10325.209999999999</c:v>
                </c:pt>
                <c:pt idx="732">
                  <c:v>10338.93</c:v>
                </c:pt>
                <c:pt idx="733">
                  <c:v>10355.64</c:v>
                </c:pt>
                <c:pt idx="734">
                  <c:v>10370.91</c:v>
                </c:pt>
                <c:pt idx="735">
                  <c:v>10381.48</c:v>
                </c:pt>
                <c:pt idx="736">
                  <c:v>10407.09</c:v>
                </c:pt>
                <c:pt idx="737">
                  <c:v>10422.92</c:v>
                </c:pt>
                <c:pt idx="738">
                  <c:v>10435.07</c:v>
                </c:pt>
                <c:pt idx="739">
                  <c:v>10436.1</c:v>
                </c:pt>
                <c:pt idx="740">
                  <c:v>10450.549999999999</c:v>
                </c:pt>
                <c:pt idx="741">
                  <c:v>10461.98</c:v>
                </c:pt>
                <c:pt idx="742">
                  <c:v>10493.95</c:v>
                </c:pt>
                <c:pt idx="743">
                  <c:v>10560.49</c:v>
                </c:pt>
                <c:pt idx="744">
                  <c:v>10564.88</c:v>
                </c:pt>
                <c:pt idx="745">
                  <c:v>10577.09</c:v>
                </c:pt>
                <c:pt idx="746">
                  <c:v>10579.71</c:v>
                </c:pt>
                <c:pt idx="747">
                  <c:v>10594.23</c:v>
                </c:pt>
                <c:pt idx="748">
                  <c:v>10594.5</c:v>
                </c:pt>
                <c:pt idx="749">
                  <c:v>10600.55</c:v>
                </c:pt>
                <c:pt idx="750">
                  <c:v>10601.41</c:v>
                </c:pt>
                <c:pt idx="751">
                  <c:v>10601.63</c:v>
                </c:pt>
                <c:pt idx="752">
                  <c:v>10602.39</c:v>
                </c:pt>
                <c:pt idx="753">
                  <c:v>10702.64</c:v>
                </c:pt>
                <c:pt idx="754">
                  <c:v>10704.47</c:v>
                </c:pt>
                <c:pt idx="755">
                  <c:v>10713.64</c:v>
                </c:pt>
                <c:pt idx="756">
                  <c:v>10736.87</c:v>
                </c:pt>
                <c:pt idx="757">
                  <c:v>10791.96</c:v>
                </c:pt>
                <c:pt idx="758">
                  <c:v>10795.94</c:v>
                </c:pt>
                <c:pt idx="759">
                  <c:v>10796.35</c:v>
                </c:pt>
                <c:pt idx="760">
                  <c:v>10797.34</c:v>
                </c:pt>
                <c:pt idx="761">
                  <c:v>10806.84</c:v>
                </c:pt>
                <c:pt idx="762">
                  <c:v>10807.49</c:v>
                </c:pt>
                <c:pt idx="763">
                  <c:v>10825.25</c:v>
                </c:pt>
                <c:pt idx="764">
                  <c:v>10848.13</c:v>
                </c:pt>
                <c:pt idx="765">
                  <c:v>10923.93</c:v>
                </c:pt>
                <c:pt idx="766">
                  <c:v>10928.85</c:v>
                </c:pt>
                <c:pt idx="767">
                  <c:v>10942.13</c:v>
                </c:pt>
                <c:pt idx="768">
                  <c:v>10959.33</c:v>
                </c:pt>
                <c:pt idx="769">
                  <c:v>10959.69</c:v>
                </c:pt>
                <c:pt idx="770">
                  <c:v>10965.45</c:v>
                </c:pt>
                <c:pt idx="771">
                  <c:v>10976.25</c:v>
                </c:pt>
                <c:pt idx="772">
                  <c:v>10977.21</c:v>
                </c:pt>
                <c:pt idx="773">
                  <c:v>10982.5</c:v>
                </c:pt>
                <c:pt idx="774">
                  <c:v>11013.71</c:v>
                </c:pt>
                <c:pt idx="775">
                  <c:v>11015.17</c:v>
                </c:pt>
                <c:pt idx="776">
                  <c:v>11033.66</c:v>
                </c:pt>
                <c:pt idx="777">
                  <c:v>11070.54</c:v>
                </c:pt>
                <c:pt idx="778">
                  <c:v>11073.18</c:v>
                </c:pt>
                <c:pt idx="779">
                  <c:v>11082.58</c:v>
                </c:pt>
                <c:pt idx="780">
                  <c:v>11085.59</c:v>
                </c:pt>
                <c:pt idx="781">
                  <c:v>11090.72</c:v>
                </c:pt>
                <c:pt idx="782">
                  <c:v>11093.62</c:v>
                </c:pt>
                <c:pt idx="783">
                  <c:v>11150.78</c:v>
                </c:pt>
                <c:pt idx="784">
                  <c:v>11163.57</c:v>
                </c:pt>
                <c:pt idx="785">
                  <c:v>11165.42</c:v>
                </c:pt>
                <c:pt idx="786">
                  <c:v>11187.66</c:v>
                </c:pt>
                <c:pt idx="787">
                  <c:v>11244.38</c:v>
                </c:pt>
                <c:pt idx="788">
                  <c:v>11253.42</c:v>
                </c:pt>
                <c:pt idx="789">
                  <c:v>11264.54</c:v>
                </c:pt>
                <c:pt idx="790">
                  <c:v>11272.33</c:v>
                </c:pt>
                <c:pt idx="791">
                  <c:v>11286.54</c:v>
                </c:pt>
                <c:pt idx="792">
                  <c:v>11289.11</c:v>
                </c:pt>
                <c:pt idx="793">
                  <c:v>11299.34</c:v>
                </c:pt>
                <c:pt idx="794">
                  <c:v>11305.93</c:v>
                </c:pt>
                <c:pt idx="795">
                  <c:v>11326.71</c:v>
                </c:pt>
                <c:pt idx="796">
                  <c:v>11345.52</c:v>
                </c:pt>
                <c:pt idx="797">
                  <c:v>11353.23</c:v>
                </c:pt>
                <c:pt idx="798">
                  <c:v>11356.66</c:v>
                </c:pt>
                <c:pt idx="799">
                  <c:v>11362.76</c:v>
                </c:pt>
                <c:pt idx="800">
                  <c:v>11363.28</c:v>
                </c:pt>
                <c:pt idx="801">
                  <c:v>11365.95</c:v>
                </c:pt>
                <c:pt idx="802">
                  <c:v>11381.33</c:v>
                </c:pt>
                <c:pt idx="803">
                  <c:v>11394.07</c:v>
                </c:pt>
                <c:pt idx="804">
                  <c:v>11396.9</c:v>
                </c:pt>
                <c:pt idx="805">
                  <c:v>11411.69</c:v>
                </c:pt>
                <c:pt idx="806">
                  <c:v>11436.74</c:v>
                </c:pt>
                <c:pt idx="807">
                  <c:v>11454.02</c:v>
                </c:pt>
                <c:pt idx="808">
                  <c:v>11455.28</c:v>
                </c:pt>
                <c:pt idx="809">
                  <c:v>11482.63</c:v>
                </c:pt>
                <c:pt idx="810">
                  <c:v>11488.32</c:v>
                </c:pt>
                <c:pt idx="811">
                  <c:v>11512.41</c:v>
                </c:pt>
                <c:pt idx="812">
                  <c:v>11520.1</c:v>
                </c:pt>
                <c:pt idx="813">
                  <c:v>11534.87</c:v>
                </c:pt>
                <c:pt idx="814">
                  <c:v>11538.42</c:v>
                </c:pt>
                <c:pt idx="815">
                  <c:v>11552.9</c:v>
                </c:pt>
                <c:pt idx="816">
                  <c:v>11554.22</c:v>
                </c:pt>
                <c:pt idx="817">
                  <c:v>11566.3</c:v>
                </c:pt>
                <c:pt idx="818">
                  <c:v>11576.13</c:v>
                </c:pt>
                <c:pt idx="819">
                  <c:v>11657.72</c:v>
                </c:pt>
                <c:pt idx="820">
                  <c:v>11658.12</c:v>
                </c:pt>
                <c:pt idx="821">
                  <c:v>11658.38</c:v>
                </c:pt>
                <c:pt idx="822">
                  <c:v>11674.13</c:v>
                </c:pt>
                <c:pt idx="823">
                  <c:v>11729.68</c:v>
                </c:pt>
                <c:pt idx="824">
                  <c:v>11735.88</c:v>
                </c:pt>
                <c:pt idx="825">
                  <c:v>11737.85</c:v>
                </c:pt>
                <c:pt idx="826">
                  <c:v>11741.73</c:v>
                </c:pt>
                <c:pt idx="827">
                  <c:v>11743.3</c:v>
                </c:pt>
                <c:pt idx="828">
                  <c:v>11743.93</c:v>
                </c:pt>
                <c:pt idx="829">
                  <c:v>11763</c:v>
                </c:pt>
                <c:pt idx="830">
                  <c:v>11830.61</c:v>
                </c:pt>
                <c:pt idx="831">
                  <c:v>11833.78</c:v>
                </c:pt>
                <c:pt idx="832">
                  <c:v>11837.16</c:v>
                </c:pt>
                <c:pt idx="833">
                  <c:v>11840.78</c:v>
                </c:pt>
                <c:pt idx="834">
                  <c:v>11842.44</c:v>
                </c:pt>
                <c:pt idx="835">
                  <c:v>11842.62</c:v>
                </c:pt>
                <c:pt idx="836">
                  <c:v>11848.14</c:v>
                </c:pt>
                <c:pt idx="837">
                  <c:v>11856.41</c:v>
                </c:pt>
                <c:pt idx="838">
                  <c:v>11879.1</c:v>
                </c:pt>
                <c:pt idx="839">
                  <c:v>11881.36</c:v>
                </c:pt>
                <c:pt idx="840">
                  <c:v>11881.97</c:v>
                </c:pt>
                <c:pt idx="841">
                  <c:v>11884.05</c:v>
                </c:pt>
                <c:pt idx="842">
                  <c:v>11931.13</c:v>
                </c:pt>
                <c:pt idx="843">
                  <c:v>11938.26</c:v>
                </c:pt>
                <c:pt idx="844">
                  <c:v>11944.59</c:v>
                </c:pt>
                <c:pt idx="845">
                  <c:v>11945.13</c:v>
                </c:pt>
                <c:pt idx="846">
                  <c:v>11946.63</c:v>
                </c:pt>
                <c:pt idx="847">
                  <c:v>11987.17</c:v>
                </c:pt>
                <c:pt idx="848">
                  <c:v>12029.29</c:v>
                </c:pt>
                <c:pt idx="849">
                  <c:v>12032.33</c:v>
                </c:pt>
                <c:pt idx="850">
                  <c:v>12044.34</c:v>
                </c:pt>
                <c:pt idx="851">
                  <c:v>12094.48</c:v>
                </c:pt>
                <c:pt idx="852">
                  <c:v>12096.65</c:v>
                </c:pt>
                <c:pt idx="853">
                  <c:v>12105.32</c:v>
                </c:pt>
                <c:pt idx="854">
                  <c:v>12124.99</c:v>
                </c:pt>
                <c:pt idx="855">
                  <c:v>12129.61</c:v>
                </c:pt>
                <c:pt idx="856">
                  <c:v>12142.58</c:v>
                </c:pt>
                <c:pt idx="857">
                  <c:v>12146.97</c:v>
                </c:pt>
                <c:pt idx="858">
                  <c:v>12222.9</c:v>
                </c:pt>
                <c:pt idx="859">
                  <c:v>12224.35</c:v>
                </c:pt>
                <c:pt idx="860">
                  <c:v>12231.61</c:v>
                </c:pt>
                <c:pt idx="861">
                  <c:v>12233.83</c:v>
                </c:pt>
                <c:pt idx="862">
                  <c:v>12235.84</c:v>
                </c:pt>
                <c:pt idx="863">
                  <c:v>12244.53</c:v>
                </c:pt>
                <c:pt idx="864">
                  <c:v>12265.51</c:v>
                </c:pt>
                <c:pt idx="865">
                  <c:v>12268.63</c:v>
                </c:pt>
                <c:pt idx="866">
                  <c:v>12269.69</c:v>
                </c:pt>
                <c:pt idx="867">
                  <c:v>12323.94</c:v>
                </c:pt>
                <c:pt idx="868">
                  <c:v>12333.83</c:v>
                </c:pt>
                <c:pt idx="869">
                  <c:v>12347.17</c:v>
                </c:pt>
                <c:pt idx="870">
                  <c:v>12363.55</c:v>
                </c:pt>
                <c:pt idx="871">
                  <c:v>12404.88</c:v>
                </c:pt>
                <c:pt idx="872">
                  <c:v>12430.95</c:v>
                </c:pt>
                <c:pt idx="873">
                  <c:v>12475.35</c:v>
                </c:pt>
                <c:pt idx="874">
                  <c:v>12479.71</c:v>
                </c:pt>
                <c:pt idx="875">
                  <c:v>12485.8</c:v>
                </c:pt>
                <c:pt idx="876">
                  <c:v>12495.29</c:v>
                </c:pt>
                <c:pt idx="877">
                  <c:v>12523.6</c:v>
                </c:pt>
                <c:pt idx="878">
                  <c:v>12557.61</c:v>
                </c:pt>
                <c:pt idx="879">
                  <c:v>12574.05</c:v>
                </c:pt>
                <c:pt idx="880">
                  <c:v>12592.53</c:v>
                </c:pt>
                <c:pt idx="881">
                  <c:v>12609.89</c:v>
                </c:pt>
                <c:pt idx="882">
                  <c:v>12622.18</c:v>
                </c:pt>
                <c:pt idx="883">
                  <c:v>12629.17</c:v>
                </c:pt>
                <c:pt idx="884">
                  <c:v>12629.9</c:v>
                </c:pt>
                <c:pt idx="885">
                  <c:v>12638.2</c:v>
                </c:pt>
                <c:pt idx="886">
                  <c:v>12643.38</c:v>
                </c:pt>
                <c:pt idx="887">
                  <c:v>12644.59</c:v>
                </c:pt>
                <c:pt idx="888">
                  <c:v>12646.21</c:v>
                </c:pt>
                <c:pt idx="889">
                  <c:v>12648.7</c:v>
                </c:pt>
                <c:pt idx="890">
                  <c:v>12731</c:v>
                </c:pt>
                <c:pt idx="891">
                  <c:v>12741.17</c:v>
                </c:pt>
                <c:pt idx="892">
                  <c:v>12797.21</c:v>
                </c:pt>
                <c:pt idx="893">
                  <c:v>12815.44</c:v>
                </c:pt>
                <c:pt idx="894">
                  <c:v>12829.46</c:v>
                </c:pt>
                <c:pt idx="895">
                  <c:v>12890.06</c:v>
                </c:pt>
                <c:pt idx="896">
                  <c:v>12913.99</c:v>
                </c:pt>
                <c:pt idx="897">
                  <c:v>12925.89</c:v>
                </c:pt>
                <c:pt idx="898">
                  <c:v>12928.79</c:v>
                </c:pt>
                <c:pt idx="899">
                  <c:v>12949.16</c:v>
                </c:pt>
                <c:pt idx="900">
                  <c:v>12950.07</c:v>
                </c:pt>
                <c:pt idx="901">
                  <c:v>12957.12</c:v>
                </c:pt>
                <c:pt idx="902">
                  <c:v>12979.36</c:v>
                </c:pt>
                <c:pt idx="903">
                  <c:v>12981.35</c:v>
                </c:pt>
                <c:pt idx="904">
                  <c:v>12982.87</c:v>
                </c:pt>
                <c:pt idx="905">
                  <c:v>13012.21</c:v>
                </c:pt>
                <c:pt idx="906">
                  <c:v>13019.16</c:v>
                </c:pt>
                <c:pt idx="907">
                  <c:v>13041.92</c:v>
                </c:pt>
                <c:pt idx="908">
                  <c:v>13047.33</c:v>
                </c:pt>
                <c:pt idx="909">
                  <c:v>13063.88</c:v>
                </c:pt>
                <c:pt idx="910">
                  <c:v>13112.6</c:v>
                </c:pt>
                <c:pt idx="911">
                  <c:v>13126.68</c:v>
                </c:pt>
                <c:pt idx="912">
                  <c:v>13129.6</c:v>
                </c:pt>
                <c:pt idx="913">
                  <c:v>13143.34</c:v>
                </c:pt>
                <c:pt idx="914">
                  <c:v>13143.86</c:v>
                </c:pt>
                <c:pt idx="915">
                  <c:v>13204.29</c:v>
                </c:pt>
                <c:pt idx="916">
                  <c:v>13217.09</c:v>
                </c:pt>
                <c:pt idx="917">
                  <c:v>13224.06</c:v>
                </c:pt>
                <c:pt idx="918">
                  <c:v>13224.69</c:v>
                </c:pt>
                <c:pt idx="919">
                  <c:v>13228.85</c:v>
                </c:pt>
                <c:pt idx="920">
                  <c:v>13352.1</c:v>
                </c:pt>
                <c:pt idx="921">
                  <c:v>13390.56</c:v>
                </c:pt>
                <c:pt idx="922">
                  <c:v>13393.76</c:v>
                </c:pt>
                <c:pt idx="923">
                  <c:v>13405.39</c:v>
                </c:pt>
                <c:pt idx="924">
                  <c:v>13415.04</c:v>
                </c:pt>
                <c:pt idx="925">
                  <c:v>13429.04</c:v>
                </c:pt>
                <c:pt idx="926">
                  <c:v>13430.27</c:v>
                </c:pt>
                <c:pt idx="927">
                  <c:v>13451.12</c:v>
                </c:pt>
                <c:pt idx="928">
                  <c:v>13457.96</c:v>
                </c:pt>
                <c:pt idx="929">
                  <c:v>13462.52</c:v>
                </c:pt>
                <c:pt idx="930">
                  <c:v>13470.8</c:v>
                </c:pt>
                <c:pt idx="931">
                  <c:v>13470.86</c:v>
                </c:pt>
                <c:pt idx="932">
                  <c:v>13555</c:v>
                </c:pt>
                <c:pt idx="933">
                  <c:v>13607.37</c:v>
                </c:pt>
                <c:pt idx="934">
                  <c:v>13616.36</c:v>
                </c:pt>
                <c:pt idx="935">
                  <c:v>13635.64</c:v>
                </c:pt>
                <c:pt idx="936">
                  <c:v>13725.47</c:v>
                </c:pt>
                <c:pt idx="937">
                  <c:v>13747.87</c:v>
                </c:pt>
                <c:pt idx="938">
                  <c:v>13770.1</c:v>
                </c:pt>
                <c:pt idx="939">
                  <c:v>13822.8</c:v>
                </c:pt>
                <c:pt idx="940">
                  <c:v>13831.12</c:v>
                </c:pt>
                <c:pt idx="941">
                  <c:v>13844.51</c:v>
                </c:pt>
                <c:pt idx="942">
                  <c:v>13844.8</c:v>
                </c:pt>
                <c:pt idx="943">
                  <c:v>13880.95</c:v>
                </c:pt>
                <c:pt idx="944">
                  <c:v>13887.2</c:v>
                </c:pt>
                <c:pt idx="945">
                  <c:v>13887.97</c:v>
                </c:pt>
                <c:pt idx="946">
                  <c:v>13919.82</c:v>
                </c:pt>
                <c:pt idx="947">
                  <c:v>13937.67</c:v>
                </c:pt>
                <c:pt idx="948">
                  <c:v>13974.46</c:v>
                </c:pt>
                <c:pt idx="949">
                  <c:v>13981.85</c:v>
                </c:pt>
                <c:pt idx="950">
                  <c:v>14001.13</c:v>
                </c:pt>
                <c:pt idx="951">
                  <c:v>14001.29</c:v>
                </c:pt>
                <c:pt idx="952">
                  <c:v>14007.22</c:v>
                </c:pt>
                <c:pt idx="953">
                  <c:v>14043.48</c:v>
                </c:pt>
                <c:pt idx="954">
                  <c:v>14119.62</c:v>
                </c:pt>
                <c:pt idx="955">
                  <c:v>14133.04</c:v>
                </c:pt>
                <c:pt idx="956">
                  <c:v>14210.54</c:v>
                </c:pt>
                <c:pt idx="957">
                  <c:v>14235.07</c:v>
                </c:pt>
                <c:pt idx="958">
                  <c:v>14254.61</c:v>
                </c:pt>
                <c:pt idx="959">
                  <c:v>14256.19</c:v>
                </c:pt>
                <c:pt idx="960">
                  <c:v>14283.46</c:v>
                </c:pt>
                <c:pt idx="961">
                  <c:v>14313.85</c:v>
                </c:pt>
                <c:pt idx="962">
                  <c:v>14319.03</c:v>
                </c:pt>
                <c:pt idx="963">
                  <c:v>14349.85</c:v>
                </c:pt>
                <c:pt idx="964">
                  <c:v>14358.36</c:v>
                </c:pt>
                <c:pt idx="965">
                  <c:v>14382.71</c:v>
                </c:pt>
                <c:pt idx="966">
                  <c:v>14394.4</c:v>
                </c:pt>
                <c:pt idx="967">
                  <c:v>14394.56</c:v>
                </c:pt>
                <c:pt idx="968">
                  <c:v>14410.93</c:v>
                </c:pt>
                <c:pt idx="969">
                  <c:v>14418.28</c:v>
                </c:pt>
                <c:pt idx="970">
                  <c:v>14426.07</c:v>
                </c:pt>
                <c:pt idx="971">
                  <c:v>14449.85</c:v>
                </c:pt>
                <c:pt idx="972">
                  <c:v>14451.84</c:v>
                </c:pt>
                <c:pt idx="973">
                  <c:v>14455.64</c:v>
                </c:pt>
                <c:pt idx="974">
                  <c:v>14474.68</c:v>
                </c:pt>
                <c:pt idx="975">
                  <c:v>14478.33</c:v>
                </c:pt>
                <c:pt idx="976">
                  <c:v>14571.89</c:v>
                </c:pt>
                <c:pt idx="977">
                  <c:v>14590.63</c:v>
                </c:pt>
                <c:pt idx="978">
                  <c:v>14692.67</c:v>
                </c:pt>
                <c:pt idx="979">
                  <c:v>14711.74</c:v>
                </c:pt>
                <c:pt idx="980">
                  <c:v>14901.52</c:v>
                </c:pt>
                <c:pt idx="981">
                  <c:v>14988.43</c:v>
                </c:pt>
                <c:pt idx="982">
                  <c:v>15006.58</c:v>
                </c:pt>
                <c:pt idx="983">
                  <c:v>15019.76</c:v>
                </c:pt>
                <c:pt idx="984">
                  <c:v>15161.53</c:v>
                </c:pt>
                <c:pt idx="985">
                  <c:v>15170.07</c:v>
                </c:pt>
                <c:pt idx="986">
                  <c:v>15230.32</c:v>
                </c:pt>
                <c:pt idx="987">
                  <c:v>15359.1</c:v>
                </c:pt>
                <c:pt idx="988">
                  <c:v>15518.18</c:v>
                </c:pt>
                <c:pt idx="989">
                  <c:v>15555.19</c:v>
                </c:pt>
                <c:pt idx="990">
                  <c:v>15612.19</c:v>
                </c:pt>
                <c:pt idx="991">
                  <c:v>15817.99</c:v>
                </c:pt>
                <c:pt idx="992">
                  <c:v>15820.7</c:v>
                </c:pt>
                <c:pt idx="993">
                  <c:v>15828.82</c:v>
                </c:pt>
                <c:pt idx="994">
                  <c:v>16069.08</c:v>
                </c:pt>
                <c:pt idx="995">
                  <c:v>16085.13</c:v>
                </c:pt>
                <c:pt idx="996">
                  <c:v>16115.3</c:v>
                </c:pt>
                <c:pt idx="997">
                  <c:v>16138.76</c:v>
                </c:pt>
                <c:pt idx="998">
                  <c:v>16232.85</c:v>
                </c:pt>
                <c:pt idx="999">
                  <c:v>16297.85</c:v>
                </c:pt>
                <c:pt idx="1000">
                  <c:v>16420.490000000002</c:v>
                </c:pt>
                <c:pt idx="1001">
                  <c:v>16450.89</c:v>
                </c:pt>
                <c:pt idx="1002">
                  <c:v>16455.71</c:v>
                </c:pt>
                <c:pt idx="1003">
                  <c:v>16577.78</c:v>
                </c:pt>
                <c:pt idx="1004">
                  <c:v>16586.5</c:v>
                </c:pt>
                <c:pt idx="1005">
                  <c:v>16657.72</c:v>
                </c:pt>
                <c:pt idx="1006">
                  <c:v>16776.3</c:v>
                </c:pt>
                <c:pt idx="1007">
                  <c:v>16796.41</c:v>
                </c:pt>
                <c:pt idx="1008">
                  <c:v>16884.919999999998</c:v>
                </c:pt>
                <c:pt idx="1009">
                  <c:v>17043.34</c:v>
                </c:pt>
                <c:pt idx="1010">
                  <c:v>17081.080000000002</c:v>
                </c:pt>
                <c:pt idx="1011">
                  <c:v>17085.27</c:v>
                </c:pt>
                <c:pt idx="1012">
                  <c:v>17128.43</c:v>
                </c:pt>
                <c:pt idx="1013">
                  <c:v>17178.68</c:v>
                </c:pt>
                <c:pt idx="1014">
                  <c:v>17179.52</c:v>
                </c:pt>
                <c:pt idx="1015">
                  <c:v>17352.68</c:v>
                </c:pt>
                <c:pt idx="1016">
                  <c:v>17361.77</c:v>
                </c:pt>
                <c:pt idx="1017">
                  <c:v>17468.98</c:v>
                </c:pt>
                <c:pt idx="1018">
                  <c:v>17496.310000000001</c:v>
                </c:pt>
                <c:pt idx="1019">
                  <c:v>17560.38</c:v>
                </c:pt>
                <c:pt idx="1020">
                  <c:v>17626.240000000002</c:v>
                </c:pt>
                <c:pt idx="1021">
                  <c:v>17663.14</c:v>
                </c:pt>
                <c:pt idx="1022">
                  <c:v>17748.509999999998</c:v>
                </c:pt>
                <c:pt idx="1023">
                  <c:v>17878.900000000001</c:v>
                </c:pt>
                <c:pt idx="1024">
                  <c:v>17904.53</c:v>
                </c:pt>
                <c:pt idx="1025">
                  <c:v>17929.3</c:v>
                </c:pt>
                <c:pt idx="1026">
                  <c:v>17942.11</c:v>
                </c:pt>
                <c:pt idx="1027">
                  <c:v>18033.97</c:v>
                </c:pt>
                <c:pt idx="1028">
                  <c:v>18157.88</c:v>
                </c:pt>
                <c:pt idx="1029">
                  <c:v>18218.16</c:v>
                </c:pt>
                <c:pt idx="1030">
                  <c:v>18223.45</c:v>
                </c:pt>
                <c:pt idx="1031">
                  <c:v>18246.5</c:v>
                </c:pt>
                <c:pt idx="1032">
                  <c:v>18259.22</c:v>
                </c:pt>
                <c:pt idx="1033">
                  <c:v>18310.740000000002</c:v>
                </c:pt>
                <c:pt idx="1034">
                  <c:v>18328.240000000002</c:v>
                </c:pt>
                <c:pt idx="1035">
                  <c:v>18608.259999999998</c:v>
                </c:pt>
                <c:pt idx="1036">
                  <c:v>18648.419999999998</c:v>
                </c:pt>
                <c:pt idx="1037">
                  <c:v>18765.88</c:v>
                </c:pt>
                <c:pt idx="1038">
                  <c:v>18767.740000000002</c:v>
                </c:pt>
                <c:pt idx="1039">
                  <c:v>18804.75</c:v>
                </c:pt>
                <c:pt idx="1040">
                  <c:v>18806.150000000001</c:v>
                </c:pt>
                <c:pt idx="1041">
                  <c:v>18838.7</c:v>
                </c:pt>
                <c:pt idx="1042">
                  <c:v>18903.490000000002</c:v>
                </c:pt>
                <c:pt idx="1043">
                  <c:v>18955.22</c:v>
                </c:pt>
                <c:pt idx="1044">
                  <c:v>18963.169999999998</c:v>
                </c:pt>
                <c:pt idx="1045">
                  <c:v>18972.5</c:v>
                </c:pt>
                <c:pt idx="1046">
                  <c:v>19023.259999999998</c:v>
                </c:pt>
                <c:pt idx="1047">
                  <c:v>19040.88</c:v>
                </c:pt>
                <c:pt idx="1048">
                  <c:v>19107.78</c:v>
                </c:pt>
                <c:pt idx="1049">
                  <c:v>19144.580000000002</c:v>
                </c:pt>
                <c:pt idx="1050">
                  <c:v>19199.939999999999</c:v>
                </c:pt>
                <c:pt idx="1051">
                  <c:v>19214.71</c:v>
                </c:pt>
                <c:pt idx="1052">
                  <c:v>19350.37</c:v>
                </c:pt>
                <c:pt idx="1053">
                  <c:v>19362</c:v>
                </c:pt>
                <c:pt idx="1054">
                  <c:v>19442.349999999999</c:v>
                </c:pt>
                <c:pt idx="1055">
                  <c:v>19444.27</c:v>
                </c:pt>
                <c:pt idx="1056">
                  <c:v>19496.72</c:v>
                </c:pt>
                <c:pt idx="1057">
                  <c:v>19515.54</c:v>
                </c:pt>
                <c:pt idx="1058">
                  <c:v>19521.97</c:v>
                </c:pt>
                <c:pt idx="1059">
                  <c:v>19539.240000000002</c:v>
                </c:pt>
                <c:pt idx="1060">
                  <c:v>19594.810000000001</c:v>
                </c:pt>
                <c:pt idx="1061">
                  <c:v>19673.34</c:v>
                </c:pt>
                <c:pt idx="1062">
                  <c:v>19719.689999999999</c:v>
                </c:pt>
                <c:pt idx="1063">
                  <c:v>19749.38</c:v>
                </c:pt>
                <c:pt idx="1064">
                  <c:v>19798.05</c:v>
                </c:pt>
                <c:pt idx="1065">
                  <c:v>19933.46</c:v>
                </c:pt>
                <c:pt idx="1066">
                  <c:v>19964.75</c:v>
                </c:pt>
                <c:pt idx="1067">
                  <c:v>20009.63</c:v>
                </c:pt>
                <c:pt idx="1068">
                  <c:v>20149.32</c:v>
                </c:pt>
                <c:pt idx="1069">
                  <c:v>20167.34</c:v>
                </c:pt>
                <c:pt idx="1070">
                  <c:v>20177.669999999998</c:v>
                </c:pt>
                <c:pt idx="1071">
                  <c:v>20234.849999999999</c:v>
                </c:pt>
                <c:pt idx="1072">
                  <c:v>20277.810000000001</c:v>
                </c:pt>
                <c:pt idx="1073">
                  <c:v>20296.86</c:v>
                </c:pt>
                <c:pt idx="1074">
                  <c:v>20420.599999999999</c:v>
                </c:pt>
                <c:pt idx="1075">
                  <c:v>20463</c:v>
                </c:pt>
                <c:pt idx="1076">
                  <c:v>20630.28</c:v>
                </c:pt>
                <c:pt idx="1077">
                  <c:v>20709.02</c:v>
                </c:pt>
                <c:pt idx="1078">
                  <c:v>20745.990000000002</c:v>
                </c:pt>
                <c:pt idx="1079">
                  <c:v>20773.63</c:v>
                </c:pt>
                <c:pt idx="1080">
                  <c:v>20781.490000000002</c:v>
                </c:pt>
                <c:pt idx="1081">
                  <c:v>20878.78</c:v>
                </c:pt>
                <c:pt idx="1082">
                  <c:v>20984.09</c:v>
                </c:pt>
                <c:pt idx="1083">
                  <c:v>21082.16</c:v>
                </c:pt>
                <c:pt idx="1084">
                  <c:v>21098.55</c:v>
                </c:pt>
                <c:pt idx="1085">
                  <c:v>21195.82</c:v>
                </c:pt>
                <c:pt idx="1086">
                  <c:v>21223.68</c:v>
                </c:pt>
                <c:pt idx="1087">
                  <c:v>21232.18</c:v>
                </c:pt>
                <c:pt idx="1088">
                  <c:v>21259.38</c:v>
                </c:pt>
                <c:pt idx="1089">
                  <c:v>21344.85</c:v>
                </c:pt>
                <c:pt idx="1090">
                  <c:v>21348.71</c:v>
                </c:pt>
                <c:pt idx="1091">
                  <c:v>21472.48</c:v>
                </c:pt>
                <c:pt idx="1092">
                  <c:v>21595.38</c:v>
                </c:pt>
                <c:pt idx="1093">
                  <c:v>21659.93</c:v>
                </c:pt>
                <c:pt idx="1094">
                  <c:v>21677.279999999999</c:v>
                </c:pt>
                <c:pt idx="1095">
                  <c:v>21771.34</c:v>
                </c:pt>
                <c:pt idx="1096">
                  <c:v>21774.32</c:v>
                </c:pt>
                <c:pt idx="1097">
                  <c:v>21797</c:v>
                </c:pt>
                <c:pt idx="1098">
                  <c:v>21880.82</c:v>
                </c:pt>
                <c:pt idx="1099">
                  <c:v>21978.68</c:v>
                </c:pt>
                <c:pt idx="1100">
                  <c:v>21984.47</c:v>
                </c:pt>
                <c:pt idx="1101">
                  <c:v>22144.03</c:v>
                </c:pt>
                <c:pt idx="1102">
                  <c:v>22192.44</c:v>
                </c:pt>
                <c:pt idx="1103">
                  <c:v>22218.11</c:v>
                </c:pt>
                <c:pt idx="1104">
                  <c:v>22331.57</c:v>
                </c:pt>
                <c:pt idx="1105">
                  <c:v>22395.74</c:v>
                </c:pt>
                <c:pt idx="1106">
                  <c:v>22412.65</c:v>
                </c:pt>
                <c:pt idx="1107">
                  <c:v>22462.04</c:v>
                </c:pt>
                <c:pt idx="1108">
                  <c:v>22478.6</c:v>
                </c:pt>
                <c:pt idx="1109">
                  <c:v>22493.66</c:v>
                </c:pt>
                <c:pt idx="1110">
                  <c:v>23045.57</c:v>
                </c:pt>
                <c:pt idx="1111">
                  <c:v>23065.42</c:v>
                </c:pt>
                <c:pt idx="1112">
                  <c:v>23082.959999999999</c:v>
                </c:pt>
                <c:pt idx="1113">
                  <c:v>23241.47</c:v>
                </c:pt>
                <c:pt idx="1114">
                  <c:v>23244.79</c:v>
                </c:pt>
                <c:pt idx="1115">
                  <c:v>23288.93</c:v>
                </c:pt>
                <c:pt idx="1116">
                  <c:v>23306.55</c:v>
                </c:pt>
                <c:pt idx="1117">
                  <c:v>23401.31</c:v>
                </c:pt>
                <c:pt idx="1118">
                  <c:v>23563.02</c:v>
                </c:pt>
                <c:pt idx="1119">
                  <c:v>23568.27</c:v>
                </c:pt>
                <c:pt idx="1120">
                  <c:v>23807.24</c:v>
                </c:pt>
                <c:pt idx="1121">
                  <c:v>23887.66</c:v>
                </c:pt>
                <c:pt idx="1122">
                  <c:v>23967.38</c:v>
                </c:pt>
                <c:pt idx="1123">
                  <c:v>24059.68</c:v>
                </c:pt>
                <c:pt idx="1124">
                  <c:v>24106.91</c:v>
                </c:pt>
                <c:pt idx="1125">
                  <c:v>24180.93</c:v>
                </c:pt>
                <c:pt idx="1126">
                  <c:v>24227.34</c:v>
                </c:pt>
                <c:pt idx="1127">
                  <c:v>24393.62</c:v>
                </c:pt>
                <c:pt idx="1128">
                  <c:v>24476.48</c:v>
                </c:pt>
                <c:pt idx="1129">
                  <c:v>24513.09</c:v>
                </c:pt>
                <c:pt idx="1130">
                  <c:v>24520.26</c:v>
                </c:pt>
                <c:pt idx="1131">
                  <c:v>24535.7</c:v>
                </c:pt>
                <c:pt idx="1132">
                  <c:v>24603.05</c:v>
                </c:pt>
                <c:pt idx="1133">
                  <c:v>24667.42</c:v>
                </c:pt>
                <c:pt idx="1134">
                  <c:v>24671.66</c:v>
                </c:pt>
                <c:pt idx="1135">
                  <c:v>24869.84</c:v>
                </c:pt>
                <c:pt idx="1136">
                  <c:v>24873.38</c:v>
                </c:pt>
                <c:pt idx="1137">
                  <c:v>24915.05</c:v>
                </c:pt>
                <c:pt idx="1138">
                  <c:v>24915.22</c:v>
                </c:pt>
                <c:pt idx="1139">
                  <c:v>25081.77</c:v>
                </c:pt>
                <c:pt idx="1140">
                  <c:v>25309.49</c:v>
                </c:pt>
                <c:pt idx="1141">
                  <c:v>25333.33</c:v>
                </c:pt>
                <c:pt idx="1142">
                  <c:v>25382.3</c:v>
                </c:pt>
                <c:pt idx="1143">
                  <c:v>25517.11</c:v>
                </c:pt>
                <c:pt idx="1144">
                  <c:v>25656.58</c:v>
                </c:pt>
                <c:pt idx="1145">
                  <c:v>25678.78</c:v>
                </c:pt>
                <c:pt idx="1146">
                  <c:v>25992.82</c:v>
                </c:pt>
                <c:pt idx="1147">
                  <c:v>26018.95</c:v>
                </c:pt>
                <c:pt idx="1148">
                  <c:v>26109.33</c:v>
                </c:pt>
                <c:pt idx="1149">
                  <c:v>26125.67</c:v>
                </c:pt>
                <c:pt idx="1150">
                  <c:v>26140.36</c:v>
                </c:pt>
                <c:pt idx="1151">
                  <c:v>26236.58</c:v>
                </c:pt>
                <c:pt idx="1152">
                  <c:v>26392.26</c:v>
                </c:pt>
                <c:pt idx="1153">
                  <c:v>26467.1</c:v>
                </c:pt>
                <c:pt idx="1154">
                  <c:v>26926.51</c:v>
                </c:pt>
                <c:pt idx="1155">
                  <c:v>27000.98</c:v>
                </c:pt>
                <c:pt idx="1156">
                  <c:v>27037.91</c:v>
                </c:pt>
                <c:pt idx="1157">
                  <c:v>27117.99</c:v>
                </c:pt>
                <c:pt idx="1158">
                  <c:v>27218.44</c:v>
                </c:pt>
                <c:pt idx="1159">
                  <c:v>27322.73</c:v>
                </c:pt>
                <c:pt idx="1160">
                  <c:v>27346.04</c:v>
                </c:pt>
                <c:pt idx="1161">
                  <c:v>27375.9</c:v>
                </c:pt>
                <c:pt idx="1162">
                  <c:v>27533.91</c:v>
                </c:pt>
                <c:pt idx="1163">
                  <c:v>27724.29</c:v>
                </c:pt>
                <c:pt idx="1164">
                  <c:v>27808.73</c:v>
                </c:pt>
                <c:pt idx="1165">
                  <c:v>27941.29</c:v>
                </c:pt>
                <c:pt idx="1166">
                  <c:v>28101.33</c:v>
                </c:pt>
                <c:pt idx="1167">
                  <c:v>28287.9</c:v>
                </c:pt>
                <c:pt idx="1168">
                  <c:v>28340.19</c:v>
                </c:pt>
                <c:pt idx="1169">
                  <c:v>28468.92</c:v>
                </c:pt>
                <c:pt idx="1170">
                  <c:v>28476.73</c:v>
                </c:pt>
                <c:pt idx="1171">
                  <c:v>28868.66</c:v>
                </c:pt>
                <c:pt idx="1172">
                  <c:v>28923.14</c:v>
                </c:pt>
                <c:pt idx="1173">
                  <c:v>28950.47</c:v>
                </c:pt>
                <c:pt idx="1174">
                  <c:v>29141.360000000001</c:v>
                </c:pt>
                <c:pt idx="1175">
                  <c:v>29186.48</c:v>
                </c:pt>
                <c:pt idx="1176">
                  <c:v>29330.98</c:v>
                </c:pt>
                <c:pt idx="1177">
                  <c:v>29523.17</c:v>
                </c:pt>
                <c:pt idx="1178">
                  <c:v>30063.58</c:v>
                </c:pt>
                <c:pt idx="1179">
                  <c:v>30166.62</c:v>
                </c:pt>
                <c:pt idx="1180">
                  <c:v>30184.94</c:v>
                </c:pt>
                <c:pt idx="1181">
                  <c:v>30260</c:v>
                </c:pt>
                <c:pt idx="1182">
                  <c:v>30284.639999999999</c:v>
                </c:pt>
                <c:pt idx="1183">
                  <c:v>30942.19</c:v>
                </c:pt>
                <c:pt idx="1184">
                  <c:v>31620</c:v>
                </c:pt>
                <c:pt idx="1185">
                  <c:v>32108.66</c:v>
                </c:pt>
                <c:pt idx="1186">
                  <c:v>32548.34</c:v>
                </c:pt>
                <c:pt idx="1187">
                  <c:v>32734.19</c:v>
                </c:pt>
                <c:pt idx="1188">
                  <c:v>32787.46</c:v>
                </c:pt>
                <c:pt idx="1189">
                  <c:v>33307.550000000003</c:v>
                </c:pt>
                <c:pt idx="1190">
                  <c:v>33471.97</c:v>
                </c:pt>
                <c:pt idx="1191">
                  <c:v>33475.82</c:v>
                </c:pt>
                <c:pt idx="1192">
                  <c:v>33732.69</c:v>
                </c:pt>
                <c:pt idx="1193">
                  <c:v>33750.29</c:v>
                </c:pt>
                <c:pt idx="1194">
                  <c:v>33900.65</c:v>
                </c:pt>
                <c:pt idx="1195">
                  <c:v>33907.550000000003</c:v>
                </c:pt>
                <c:pt idx="1196">
                  <c:v>34166.269999999997</c:v>
                </c:pt>
                <c:pt idx="1197">
                  <c:v>34254.050000000003</c:v>
                </c:pt>
                <c:pt idx="1198">
                  <c:v>34303.17</c:v>
                </c:pt>
                <c:pt idx="1199">
                  <c:v>34439.86</c:v>
                </c:pt>
                <c:pt idx="1200">
                  <c:v>34472.839999999997</c:v>
                </c:pt>
                <c:pt idx="1201">
                  <c:v>34617.839999999997</c:v>
                </c:pt>
                <c:pt idx="1202">
                  <c:v>34672.15</c:v>
                </c:pt>
                <c:pt idx="1203">
                  <c:v>34779.620000000003</c:v>
                </c:pt>
                <c:pt idx="1204">
                  <c:v>34806.47</c:v>
                </c:pt>
                <c:pt idx="1205">
                  <c:v>34828.65</c:v>
                </c:pt>
                <c:pt idx="1206">
                  <c:v>34838.870000000003</c:v>
                </c:pt>
                <c:pt idx="1207">
                  <c:v>35069.370000000003</c:v>
                </c:pt>
                <c:pt idx="1208">
                  <c:v>35147.53</c:v>
                </c:pt>
                <c:pt idx="1209">
                  <c:v>35160.129999999997</c:v>
                </c:pt>
                <c:pt idx="1210">
                  <c:v>35491.64</c:v>
                </c:pt>
                <c:pt idx="1211">
                  <c:v>35585.58</c:v>
                </c:pt>
                <c:pt idx="1212">
                  <c:v>35595.589999999997</c:v>
                </c:pt>
                <c:pt idx="1213">
                  <c:v>36021.01</c:v>
                </c:pt>
                <c:pt idx="1214">
                  <c:v>36085.22</c:v>
                </c:pt>
                <c:pt idx="1215">
                  <c:v>36124.57</c:v>
                </c:pt>
                <c:pt idx="1216">
                  <c:v>36149.480000000003</c:v>
                </c:pt>
                <c:pt idx="1217">
                  <c:v>36189.1</c:v>
                </c:pt>
                <c:pt idx="1218">
                  <c:v>36197.699999999997</c:v>
                </c:pt>
                <c:pt idx="1219">
                  <c:v>36219.410000000003</c:v>
                </c:pt>
                <c:pt idx="1220">
                  <c:v>36307.800000000003</c:v>
                </c:pt>
                <c:pt idx="1221">
                  <c:v>36397.58</c:v>
                </c:pt>
                <c:pt idx="1222">
                  <c:v>36580.28</c:v>
                </c:pt>
                <c:pt idx="1223">
                  <c:v>36837.47</c:v>
                </c:pt>
                <c:pt idx="1224">
                  <c:v>36898.730000000003</c:v>
                </c:pt>
                <c:pt idx="1225">
                  <c:v>36910.61</c:v>
                </c:pt>
                <c:pt idx="1226">
                  <c:v>36950.26</c:v>
                </c:pt>
                <c:pt idx="1227">
                  <c:v>37079.370000000003</c:v>
                </c:pt>
                <c:pt idx="1228">
                  <c:v>37133.9</c:v>
                </c:pt>
                <c:pt idx="1229">
                  <c:v>37165.160000000003</c:v>
                </c:pt>
                <c:pt idx="1230">
                  <c:v>37270.15</c:v>
                </c:pt>
                <c:pt idx="1231">
                  <c:v>37465.339999999997</c:v>
                </c:pt>
                <c:pt idx="1232">
                  <c:v>37484.449999999997</c:v>
                </c:pt>
                <c:pt idx="1233">
                  <c:v>37607.53</c:v>
                </c:pt>
                <c:pt idx="1234">
                  <c:v>37701.879999999997</c:v>
                </c:pt>
                <c:pt idx="1235">
                  <c:v>37742.58</c:v>
                </c:pt>
                <c:pt idx="1236">
                  <c:v>37829.72</c:v>
                </c:pt>
                <c:pt idx="1237">
                  <c:v>38126.25</c:v>
                </c:pt>
                <c:pt idx="1238">
                  <c:v>38245.589999999997</c:v>
                </c:pt>
                <c:pt idx="1239">
                  <c:v>38282.75</c:v>
                </c:pt>
                <c:pt idx="1240">
                  <c:v>38344.57</c:v>
                </c:pt>
                <c:pt idx="1241">
                  <c:v>38415.47</c:v>
                </c:pt>
                <c:pt idx="1242">
                  <c:v>38511.629999999997</c:v>
                </c:pt>
                <c:pt idx="1243">
                  <c:v>38709.18</c:v>
                </c:pt>
                <c:pt idx="1244">
                  <c:v>38711</c:v>
                </c:pt>
                <c:pt idx="1245">
                  <c:v>38746.36</c:v>
                </c:pt>
                <c:pt idx="1246">
                  <c:v>38792.69</c:v>
                </c:pt>
                <c:pt idx="1247">
                  <c:v>38998.550000000003</c:v>
                </c:pt>
                <c:pt idx="1248">
                  <c:v>39047.29</c:v>
                </c:pt>
                <c:pt idx="1249">
                  <c:v>39125.33</c:v>
                </c:pt>
                <c:pt idx="1250">
                  <c:v>39241.440000000002</c:v>
                </c:pt>
                <c:pt idx="1251">
                  <c:v>39556.49</c:v>
                </c:pt>
                <c:pt idx="1252">
                  <c:v>39597.410000000003</c:v>
                </c:pt>
                <c:pt idx="1253">
                  <c:v>39611.760000000002</c:v>
                </c:pt>
                <c:pt idx="1254">
                  <c:v>39722.75</c:v>
                </c:pt>
                <c:pt idx="1255">
                  <c:v>39725.519999999997</c:v>
                </c:pt>
                <c:pt idx="1256">
                  <c:v>39727.61</c:v>
                </c:pt>
                <c:pt idx="1257">
                  <c:v>39774.28</c:v>
                </c:pt>
                <c:pt idx="1258">
                  <c:v>39836.519999999997</c:v>
                </c:pt>
                <c:pt idx="1259">
                  <c:v>39871.699999999997</c:v>
                </c:pt>
                <c:pt idx="1260">
                  <c:v>39983.43</c:v>
                </c:pt>
                <c:pt idx="1261">
                  <c:v>40003.33</c:v>
                </c:pt>
                <c:pt idx="1262">
                  <c:v>40103.89</c:v>
                </c:pt>
                <c:pt idx="1263">
                  <c:v>40182.25</c:v>
                </c:pt>
                <c:pt idx="1264">
                  <c:v>40273.65</c:v>
                </c:pt>
                <c:pt idx="1265">
                  <c:v>40419.019999999997</c:v>
                </c:pt>
                <c:pt idx="1266">
                  <c:v>40720.550000000003</c:v>
                </c:pt>
                <c:pt idx="1267">
                  <c:v>40904.199999999997</c:v>
                </c:pt>
                <c:pt idx="1268">
                  <c:v>40932.43</c:v>
                </c:pt>
                <c:pt idx="1269">
                  <c:v>40941.29</c:v>
                </c:pt>
                <c:pt idx="1270">
                  <c:v>40974.160000000003</c:v>
                </c:pt>
                <c:pt idx="1271">
                  <c:v>41034.22</c:v>
                </c:pt>
                <c:pt idx="1272">
                  <c:v>41097.160000000003</c:v>
                </c:pt>
                <c:pt idx="1273">
                  <c:v>41661.599999999999</c:v>
                </c:pt>
                <c:pt idx="1274">
                  <c:v>41676.080000000002</c:v>
                </c:pt>
                <c:pt idx="1275">
                  <c:v>41919.1</c:v>
                </c:pt>
                <c:pt idx="1276">
                  <c:v>41949.24</c:v>
                </c:pt>
                <c:pt idx="1277">
                  <c:v>41999.519999999997</c:v>
                </c:pt>
                <c:pt idx="1278">
                  <c:v>42111.66</c:v>
                </c:pt>
                <c:pt idx="1279">
                  <c:v>42112.24</c:v>
                </c:pt>
                <c:pt idx="1280">
                  <c:v>42124.52</c:v>
                </c:pt>
                <c:pt idx="1281">
                  <c:v>42211.14</c:v>
                </c:pt>
                <c:pt idx="1282">
                  <c:v>42303.69</c:v>
                </c:pt>
                <c:pt idx="1283">
                  <c:v>42560.43</c:v>
                </c:pt>
                <c:pt idx="1284">
                  <c:v>42760.5</c:v>
                </c:pt>
                <c:pt idx="1285">
                  <c:v>42856.84</c:v>
                </c:pt>
                <c:pt idx="1286">
                  <c:v>42969.85</c:v>
                </c:pt>
                <c:pt idx="1287">
                  <c:v>42983.46</c:v>
                </c:pt>
                <c:pt idx="1288">
                  <c:v>43254.42</c:v>
                </c:pt>
                <c:pt idx="1289">
                  <c:v>43578.94</c:v>
                </c:pt>
                <c:pt idx="1290">
                  <c:v>43753.34</c:v>
                </c:pt>
                <c:pt idx="1291">
                  <c:v>43813.87</c:v>
                </c:pt>
                <c:pt idx="1292">
                  <c:v>43896.38</c:v>
                </c:pt>
                <c:pt idx="1293">
                  <c:v>43921.18</c:v>
                </c:pt>
                <c:pt idx="1294">
                  <c:v>43943.88</c:v>
                </c:pt>
                <c:pt idx="1295">
                  <c:v>44202.65</c:v>
                </c:pt>
                <c:pt idx="1296">
                  <c:v>44260.75</c:v>
                </c:pt>
                <c:pt idx="1297">
                  <c:v>44400.41</c:v>
                </c:pt>
                <c:pt idx="1298">
                  <c:v>44423.8</c:v>
                </c:pt>
                <c:pt idx="1299">
                  <c:v>44501.4</c:v>
                </c:pt>
                <c:pt idx="1300">
                  <c:v>44585.46</c:v>
                </c:pt>
                <c:pt idx="1301">
                  <c:v>44641.2</c:v>
                </c:pt>
                <c:pt idx="1302">
                  <c:v>45008.959999999999</c:v>
                </c:pt>
                <c:pt idx="1303">
                  <c:v>45702.02</c:v>
                </c:pt>
                <c:pt idx="1304">
                  <c:v>45710.21</c:v>
                </c:pt>
                <c:pt idx="1305">
                  <c:v>45863.21</c:v>
                </c:pt>
                <c:pt idx="1306">
                  <c:v>46113.51</c:v>
                </c:pt>
                <c:pt idx="1307">
                  <c:v>46130.53</c:v>
                </c:pt>
                <c:pt idx="1308">
                  <c:v>46151.12</c:v>
                </c:pt>
                <c:pt idx="1309">
                  <c:v>46200.99</c:v>
                </c:pt>
                <c:pt idx="1310">
                  <c:v>46255.11</c:v>
                </c:pt>
                <c:pt idx="1311">
                  <c:v>46599.11</c:v>
                </c:pt>
                <c:pt idx="1312">
                  <c:v>46661.440000000002</c:v>
                </c:pt>
                <c:pt idx="1313">
                  <c:v>46718.16</c:v>
                </c:pt>
                <c:pt idx="1314">
                  <c:v>46889.26</c:v>
                </c:pt>
                <c:pt idx="1315">
                  <c:v>47055.53</c:v>
                </c:pt>
                <c:pt idx="1316">
                  <c:v>47269.85</c:v>
                </c:pt>
                <c:pt idx="1317">
                  <c:v>47291.06</c:v>
                </c:pt>
                <c:pt idx="1318">
                  <c:v>47305.31</c:v>
                </c:pt>
                <c:pt idx="1319">
                  <c:v>47403.88</c:v>
                </c:pt>
                <c:pt idx="1320">
                  <c:v>47462.89</c:v>
                </c:pt>
                <c:pt idx="1321">
                  <c:v>47496.49</c:v>
                </c:pt>
                <c:pt idx="1322">
                  <c:v>47896.79</c:v>
                </c:pt>
                <c:pt idx="1323">
                  <c:v>47928.03</c:v>
                </c:pt>
                <c:pt idx="1324">
                  <c:v>48173.36</c:v>
                </c:pt>
                <c:pt idx="1325">
                  <c:v>48517.56</c:v>
                </c:pt>
                <c:pt idx="1326">
                  <c:v>48549.18</c:v>
                </c:pt>
                <c:pt idx="1327">
                  <c:v>48673.56</c:v>
                </c:pt>
                <c:pt idx="1328">
                  <c:v>48675.519999999997</c:v>
                </c:pt>
                <c:pt idx="1329">
                  <c:v>48824.45</c:v>
                </c:pt>
                <c:pt idx="1330">
                  <c:v>48885.14</c:v>
                </c:pt>
                <c:pt idx="1331">
                  <c:v>48970.25</c:v>
                </c:pt>
                <c:pt idx="1332">
                  <c:v>49577.66</c:v>
                </c:pt>
                <c:pt idx="1333">
                  <c:v>51194.559999999998</c:v>
                </c:pt>
                <c:pt idx="1334">
                  <c:v>52590.83</c:v>
                </c:pt>
                <c:pt idx="1335">
                  <c:v>55135.4</c:v>
                </c:pt>
                <c:pt idx="1336">
                  <c:v>58571.07</c:v>
                </c:pt>
                <c:pt idx="1337">
                  <c:v>60021.4</c:v>
                </c:pt>
                <c:pt idx="1338">
                  <c:v>62592.87</c:v>
                </c:pt>
                <c:pt idx="1339">
                  <c:v>63770.43</c:v>
                </c:pt>
              </c:numCache>
            </c:numRef>
          </c:xVal>
          <c:yVal>
            <c:numRef>
              <c:f>'insurance final cleaned'!$T$2:$T$1341</c:f>
              <c:numCache>
                <c:formatCode>General</c:formatCode>
                <c:ptCount val="1340"/>
                <c:pt idx="0">
                  <c:v>5464.87</c:v>
                </c:pt>
                <c:pt idx="1">
                  <c:v>5504.7200000000012</c:v>
                </c:pt>
                <c:pt idx="2">
                  <c:v>4893.3900000000003</c:v>
                </c:pt>
                <c:pt idx="3">
                  <c:v>5374.1600000000008</c:v>
                </c:pt>
                <c:pt idx="4">
                  <c:v>8600.16</c:v>
                </c:pt>
                <c:pt idx="5">
                  <c:v>7918.3899999999976</c:v>
                </c:pt>
                <c:pt idx="6">
                  <c:v>6570.4399999999987</c:v>
                </c:pt>
                <c:pt idx="7">
                  <c:v>9222.98</c:v>
                </c:pt>
                <c:pt idx="8">
                  <c:v>7149.89</c:v>
                </c:pt>
                <c:pt idx="9">
                  <c:v>9756.130000000001</c:v>
                </c:pt>
                <c:pt idx="10">
                  <c:v>5395.93</c:v>
                </c:pt>
                <c:pt idx="11">
                  <c:v>5756.58</c:v>
                </c:pt>
                <c:pt idx="12">
                  <c:v>4446.5700000000006</c:v>
                </c:pt>
                <c:pt idx="13">
                  <c:v>8052.0900000000011</c:v>
                </c:pt>
                <c:pt idx="14">
                  <c:v>5034.630000000001</c:v>
                </c:pt>
                <c:pt idx="15">
                  <c:v>5988.17</c:v>
                </c:pt>
                <c:pt idx="16">
                  <c:v>7000.0299999999988</c:v>
                </c:pt>
                <c:pt idx="17">
                  <c:v>6060.4599999999991</c:v>
                </c:pt>
                <c:pt idx="18">
                  <c:v>8141.329999999999</c:v>
                </c:pt>
                <c:pt idx="19">
                  <c:v>6316.9000000000005</c:v>
                </c:pt>
                <c:pt idx="20">
                  <c:v>4499.6499999999987</c:v>
                </c:pt>
                <c:pt idx="21">
                  <c:v>7702.3499999999985</c:v>
                </c:pt>
                <c:pt idx="22">
                  <c:v>7979.71</c:v>
                </c:pt>
                <c:pt idx="23">
                  <c:v>7020.6200000000008</c:v>
                </c:pt>
                <c:pt idx="24">
                  <c:v>4733</c:v>
                </c:pt>
                <c:pt idx="25">
                  <c:v>7146.05</c:v>
                </c:pt>
                <c:pt idx="26">
                  <c:v>7170.4499999999989</c:v>
                </c:pt>
                <c:pt idx="27">
                  <c:v>6004.9100000000017</c:v>
                </c:pt>
                <c:pt idx="28">
                  <c:v>5991.6500000000005</c:v>
                </c:pt>
                <c:pt idx="29">
                  <c:v>7004.2800000000016</c:v>
                </c:pt>
                <c:pt idx="30">
                  <c:v>4179.47</c:v>
                </c:pt>
                <c:pt idx="31">
                  <c:v>4342.63</c:v>
                </c:pt>
                <c:pt idx="32">
                  <c:v>6931.2499999999982</c:v>
                </c:pt>
                <c:pt idx="33">
                  <c:v>5537.6900000000014</c:v>
                </c:pt>
                <c:pt idx="34">
                  <c:v>6389.25</c:v>
                </c:pt>
                <c:pt idx="35">
                  <c:v>7578.8700000000017</c:v>
                </c:pt>
                <c:pt idx="36">
                  <c:v>7507.2300000000005</c:v>
                </c:pt>
                <c:pt idx="37">
                  <c:v>5165.5000000000009</c:v>
                </c:pt>
                <c:pt idx="38">
                  <c:v>6722.6000000000013</c:v>
                </c:pt>
                <c:pt idx="39">
                  <c:v>8752.630000000001</c:v>
                </c:pt>
                <c:pt idx="40">
                  <c:v>7932.5000000000009</c:v>
                </c:pt>
                <c:pt idx="41">
                  <c:v>6969.9800000000005</c:v>
                </c:pt>
                <c:pt idx="42">
                  <c:v>7191.46</c:v>
                </c:pt>
                <c:pt idx="43">
                  <c:v>5420.6100000000015</c:v>
                </c:pt>
                <c:pt idx="44">
                  <c:v>7284.8300000000008</c:v>
                </c:pt>
                <c:pt idx="45">
                  <c:v>6264.2400000000007</c:v>
                </c:pt>
                <c:pt idx="46">
                  <c:v>6140.25</c:v>
                </c:pt>
                <c:pt idx="47">
                  <c:v>5801.89</c:v>
                </c:pt>
                <c:pt idx="48">
                  <c:v>7292.7400000000007</c:v>
                </c:pt>
                <c:pt idx="49">
                  <c:v>7699.0500000000011</c:v>
                </c:pt>
                <c:pt idx="50">
                  <c:v>7488.92</c:v>
                </c:pt>
                <c:pt idx="51">
                  <c:v>4567.3500000000004</c:v>
                </c:pt>
                <c:pt idx="52">
                  <c:v>6224.380000000001</c:v>
                </c:pt>
                <c:pt idx="53">
                  <c:v>4928.3</c:v>
                </c:pt>
                <c:pt idx="54">
                  <c:v>5794.1900000000005</c:v>
                </c:pt>
                <c:pt idx="55">
                  <c:v>5175.8999999999996</c:v>
                </c:pt>
                <c:pt idx="56">
                  <c:v>6156.42</c:v>
                </c:pt>
                <c:pt idx="57">
                  <c:v>7768.77</c:v>
                </c:pt>
                <c:pt idx="58">
                  <c:v>6360.7200000000012</c:v>
                </c:pt>
                <c:pt idx="59">
                  <c:v>7008.6399999999994</c:v>
                </c:pt>
                <c:pt idx="60">
                  <c:v>5460.8200000000006</c:v>
                </c:pt>
                <c:pt idx="61">
                  <c:v>6055.1699999999992</c:v>
                </c:pt>
                <c:pt idx="62">
                  <c:v>7306.91</c:v>
                </c:pt>
                <c:pt idx="63">
                  <c:v>6258.7299999999987</c:v>
                </c:pt>
                <c:pt idx="64">
                  <c:v>6485.53</c:v>
                </c:pt>
                <c:pt idx="65">
                  <c:v>6432.07</c:v>
                </c:pt>
                <c:pt idx="66">
                  <c:v>8683.4699999999993</c:v>
                </c:pt>
                <c:pt idx="67">
                  <c:v>8704.51</c:v>
                </c:pt>
                <c:pt idx="68">
                  <c:v>7455.869999999999</c:v>
                </c:pt>
                <c:pt idx="69">
                  <c:v>4970.7800000000007</c:v>
                </c:pt>
                <c:pt idx="70">
                  <c:v>5282.329999999999</c:v>
                </c:pt>
                <c:pt idx="71">
                  <c:v>4501.5600000000022</c:v>
                </c:pt>
                <c:pt idx="72">
                  <c:v>8249.98</c:v>
                </c:pt>
                <c:pt idx="73">
                  <c:v>7905.5899999999983</c:v>
                </c:pt>
                <c:pt idx="74">
                  <c:v>6906.82</c:v>
                </c:pt>
                <c:pt idx="75">
                  <c:v>7713.6000000000013</c:v>
                </c:pt>
                <c:pt idx="76">
                  <c:v>6768.3099999999977</c:v>
                </c:pt>
                <c:pt idx="77">
                  <c:v>7838.9800000000005</c:v>
                </c:pt>
                <c:pt idx="78">
                  <c:v>8120.9999999999991</c:v>
                </c:pt>
                <c:pt idx="79">
                  <c:v>5453.0800000000017</c:v>
                </c:pt>
                <c:pt idx="80">
                  <c:v>6201.91</c:v>
                </c:pt>
                <c:pt idx="81">
                  <c:v>6652.34</c:v>
                </c:pt>
                <c:pt idx="82">
                  <c:v>8036.46</c:v>
                </c:pt>
                <c:pt idx="83">
                  <c:v>7327.7899999999991</c:v>
                </c:pt>
                <c:pt idx="84">
                  <c:v>6314.199999999998</c:v>
                </c:pt>
                <c:pt idx="85">
                  <c:v>10015.820000000002</c:v>
                </c:pt>
                <c:pt idx="86">
                  <c:v>7230.86</c:v>
                </c:pt>
                <c:pt idx="87">
                  <c:v>5657.53</c:v>
                </c:pt>
                <c:pt idx="88">
                  <c:v>7639.369999999999</c:v>
                </c:pt>
                <c:pt idx="89">
                  <c:v>6002.6900000000005</c:v>
                </c:pt>
                <c:pt idx="90">
                  <c:v>7679.1800000000012</c:v>
                </c:pt>
                <c:pt idx="91">
                  <c:v>7675.760000000002</c:v>
                </c:pt>
                <c:pt idx="92">
                  <c:v>7574.76</c:v>
                </c:pt>
                <c:pt idx="93">
                  <c:v>8273.6899999999987</c:v>
                </c:pt>
                <c:pt idx="94">
                  <c:v>8907.4000000000015</c:v>
                </c:pt>
                <c:pt idx="95">
                  <c:v>6800.4400000000014</c:v>
                </c:pt>
                <c:pt idx="96">
                  <c:v>7616.25</c:v>
                </c:pt>
                <c:pt idx="97">
                  <c:v>6395.22</c:v>
                </c:pt>
                <c:pt idx="98">
                  <c:v>5385.4300000000012</c:v>
                </c:pt>
                <c:pt idx="99">
                  <c:v>7967.670000000001</c:v>
                </c:pt>
                <c:pt idx="100">
                  <c:v>5549.5800000000008</c:v>
                </c:pt>
                <c:pt idx="101">
                  <c:v>10981.75</c:v>
                </c:pt>
                <c:pt idx="102">
                  <c:v>5951.7599999999984</c:v>
                </c:pt>
                <c:pt idx="103">
                  <c:v>8572.5999999999985</c:v>
                </c:pt>
                <c:pt idx="104">
                  <c:v>7829.5900000000011</c:v>
                </c:pt>
                <c:pt idx="105">
                  <c:v>5940.9600000000009</c:v>
                </c:pt>
                <c:pt idx="106">
                  <c:v>7657.84</c:v>
                </c:pt>
                <c:pt idx="107">
                  <c:v>7122.61</c:v>
                </c:pt>
                <c:pt idx="108">
                  <c:v>6560.53</c:v>
                </c:pt>
                <c:pt idx="109">
                  <c:v>6689.93</c:v>
                </c:pt>
                <c:pt idx="110">
                  <c:v>6468.48</c:v>
                </c:pt>
                <c:pt idx="111">
                  <c:v>4644.9000000000005</c:v>
                </c:pt>
                <c:pt idx="112">
                  <c:v>5904.73</c:v>
                </c:pt>
                <c:pt idx="113">
                  <c:v>6017.9299999999994</c:v>
                </c:pt>
                <c:pt idx="114">
                  <c:v>4375.6000000000013</c:v>
                </c:pt>
                <c:pt idx="115">
                  <c:v>5553.15</c:v>
                </c:pt>
                <c:pt idx="116">
                  <c:v>7441.65</c:v>
                </c:pt>
                <c:pt idx="117">
                  <c:v>5332.1600000000008</c:v>
                </c:pt>
                <c:pt idx="118">
                  <c:v>4879.5500000000011</c:v>
                </c:pt>
                <c:pt idx="119">
                  <c:v>7004.6</c:v>
                </c:pt>
                <c:pt idx="120">
                  <c:v>6406.11</c:v>
                </c:pt>
                <c:pt idx="121">
                  <c:v>7779.9000000000005</c:v>
                </c:pt>
                <c:pt idx="122">
                  <c:v>6703.2600000000011</c:v>
                </c:pt>
                <c:pt idx="123">
                  <c:v>5975.5900000000029</c:v>
                </c:pt>
                <c:pt idx="124">
                  <c:v>7858.32</c:v>
                </c:pt>
                <c:pt idx="125">
                  <c:v>7356.9199999999983</c:v>
                </c:pt>
                <c:pt idx="126">
                  <c:v>6392.7500000000009</c:v>
                </c:pt>
                <c:pt idx="127">
                  <c:v>5109.2700000000004</c:v>
                </c:pt>
                <c:pt idx="128">
                  <c:v>6808.0199999999995</c:v>
                </c:pt>
                <c:pt idx="129">
                  <c:v>5502.67</c:v>
                </c:pt>
                <c:pt idx="130">
                  <c:v>7111.76</c:v>
                </c:pt>
                <c:pt idx="131">
                  <c:v>5538.97</c:v>
                </c:pt>
                <c:pt idx="132">
                  <c:v>7254.1100000000006</c:v>
                </c:pt>
                <c:pt idx="133">
                  <c:v>7205.1500000000015</c:v>
                </c:pt>
                <c:pt idx="134">
                  <c:v>7132.6799999999985</c:v>
                </c:pt>
                <c:pt idx="135">
                  <c:v>5897.93</c:v>
                </c:pt>
                <c:pt idx="136">
                  <c:v>6158.28</c:v>
                </c:pt>
                <c:pt idx="137">
                  <c:v>6177.5700000000006</c:v>
                </c:pt>
                <c:pt idx="138">
                  <c:v>5425.39</c:v>
                </c:pt>
                <c:pt idx="139">
                  <c:v>7532.31</c:v>
                </c:pt>
                <c:pt idx="140">
                  <c:v>6221.0600000000013</c:v>
                </c:pt>
                <c:pt idx="141">
                  <c:v>8200.5700000000015</c:v>
                </c:pt>
                <c:pt idx="142">
                  <c:v>6860.9900000000016</c:v>
                </c:pt>
                <c:pt idx="143">
                  <c:v>6544.58</c:v>
                </c:pt>
                <c:pt idx="144">
                  <c:v>7343.0299999999988</c:v>
                </c:pt>
                <c:pt idx="145">
                  <c:v>4551.880000000001</c:v>
                </c:pt>
                <c:pt idx="146">
                  <c:v>5774.9099999999989</c:v>
                </c:pt>
                <c:pt idx="147">
                  <c:v>5872.2800000000007</c:v>
                </c:pt>
                <c:pt idx="148">
                  <c:v>5444.8</c:v>
                </c:pt>
                <c:pt idx="149">
                  <c:v>5432.1500000000015</c:v>
                </c:pt>
                <c:pt idx="150">
                  <c:v>6662.8000000000029</c:v>
                </c:pt>
                <c:pt idx="151">
                  <c:v>7725.0400000000009</c:v>
                </c:pt>
                <c:pt idx="152">
                  <c:v>7043.4100000000017</c:v>
                </c:pt>
                <c:pt idx="153">
                  <c:v>4996.84</c:v>
                </c:pt>
                <c:pt idx="154">
                  <c:v>8415.630000000001</c:v>
                </c:pt>
                <c:pt idx="155">
                  <c:v>7125.2300000000005</c:v>
                </c:pt>
                <c:pt idx="156">
                  <c:v>6279.1599999999989</c:v>
                </c:pt>
                <c:pt idx="157">
                  <c:v>4374.3400000000011</c:v>
                </c:pt>
                <c:pt idx="158">
                  <c:v>6858.3499999999976</c:v>
                </c:pt>
                <c:pt idx="159">
                  <c:v>7695.7800000000007</c:v>
                </c:pt>
                <c:pt idx="160">
                  <c:v>6534.0599999999995</c:v>
                </c:pt>
                <c:pt idx="161">
                  <c:v>7693.0000000000009</c:v>
                </c:pt>
                <c:pt idx="162">
                  <c:v>5840.66</c:v>
                </c:pt>
                <c:pt idx="163">
                  <c:v>5157.0000000000009</c:v>
                </c:pt>
                <c:pt idx="164">
                  <c:v>6849.2300000000005</c:v>
                </c:pt>
                <c:pt idx="165">
                  <c:v>6917.5900000000011</c:v>
                </c:pt>
                <c:pt idx="166">
                  <c:v>5685.05</c:v>
                </c:pt>
                <c:pt idx="167">
                  <c:v>6801.7699999999995</c:v>
                </c:pt>
                <c:pt idx="168">
                  <c:v>7165.43</c:v>
                </c:pt>
                <c:pt idx="169">
                  <c:v>7598.72</c:v>
                </c:pt>
                <c:pt idx="170">
                  <c:v>4664.34</c:v>
                </c:pt>
                <c:pt idx="171">
                  <c:v>6985.0600000000013</c:v>
                </c:pt>
                <c:pt idx="172">
                  <c:v>8753.35</c:v>
                </c:pt>
                <c:pt idx="173">
                  <c:v>4236.1900000000014</c:v>
                </c:pt>
                <c:pt idx="174">
                  <c:v>5543.5599999999995</c:v>
                </c:pt>
                <c:pt idx="175">
                  <c:v>9352.35</c:v>
                </c:pt>
                <c:pt idx="176">
                  <c:v>6165.3</c:v>
                </c:pt>
                <c:pt idx="177">
                  <c:v>7315.1600000000008</c:v>
                </c:pt>
                <c:pt idx="178">
                  <c:v>9306.5600000000013</c:v>
                </c:pt>
                <c:pt idx="179">
                  <c:v>7631.5900000000011</c:v>
                </c:pt>
                <c:pt idx="180">
                  <c:v>6274.619999999999</c:v>
                </c:pt>
                <c:pt idx="181">
                  <c:v>7069.630000000001</c:v>
                </c:pt>
                <c:pt idx="182">
                  <c:v>7645.0099999999993</c:v>
                </c:pt>
                <c:pt idx="183">
                  <c:v>5859.69</c:v>
                </c:pt>
                <c:pt idx="184">
                  <c:v>4418.8900000000003</c:v>
                </c:pt>
                <c:pt idx="185">
                  <c:v>9864.1</c:v>
                </c:pt>
                <c:pt idx="186">
                  <c:v>12078.19</c:v>
                </c:pt>
                <c:pt idx="187">
                  <c:v>7447.85</c:v>
                </c:pt>
                <c:pt idx="188">
                  <c:v>6749.3599999999988</c:v>
                </c:pt>
                <c:pt idx="189">
                  <c:v>8961.59</c:v>
                </c:pt>
                <c:pt idx="190">
                  <c:v>8757.1700000000019</c:v>
                </c:pt>
                <c:pt idx="191">
                  <c:v>5003.04</c:v>
                </c:pt>
                <c:pt idx="192">
                  <c:v>6913.8200000000006</c:v>
                </c:pt>
                <c:pt idx="193">
                  <c:v>11220.27</c:v>
                </c:pt>
                <c:pt idx="194">
                  <c:v>8614.5500000000011</c:v>
                </c:pt>
                <c:pt idx="195">
                  <c:v>9246.4100000000017</c:v>
                </c:pt>
                <c:pt idx="196">
                  <c:v>6512.25</c:v>
                </c:pt>
                <c:pt idx="197">
                  <c:v>10453.33</c:v>
                </c:pt>
                <c:pt idx="198">
                  <c:v>7514.52</c:v>
                </c:pt>
                <c:pt idx="199">
                  <c:v>8967.3399999999983</c:v>
                </c:pt>
                <c:pt idx="200">
                  <c:v>8230.1699999999983</c:v>
                </c:pt>
                <c:pt idx="201">
                  <c:v>10517.94</c:v>
                </c:pt>
                <c:pt idx="202">
                  <c:v>6170.3300000000008</c:v>
                </c:pt>
                <c:pt idx="203">
                  <c:v>8821.4399999999987</c:v>
                </c:pt>
                <c:pt idx="204">
                  <c:v>6914.3700000000008</c:v>
                </c:pt>
                <c:pt idx="205">
                  <c:v>7091.52</c:v>
                </c:pt>
                <c:pt idx="206">
                  <c:v>5604.0800000000008</c:v>
                </c:pt>
                <c:pt idx="207">
                  <c:v>6681.2400000000016</c:v>
                </c:pt>
                <c:pt idx="208">
                  <c:v>10439.529999999999</c:v>
                </c:pt>
                <c:pt idx="209">
                  <c:v>6500.7999999999993</c:v>
                </c:pt>
                <c:pt idx="210">
                  <c:v>8623.4000000000015</c:v>
                </c:pt>
                <c:pt idx="211">
                  <c:v>7096.5299999999988</c:v>
                </c:pt>
                <c:pt idx="212">
                  <c:v>8004.9299999999994</c:v>
                </c:pt>
                <c:pt idx="213">
                  <c:v>5509.5</c:v>
                </c:pt>
                <c:pt idx="214">
                  <c:v>9349.6299999999992</c:v>
                </c:pt>
                <c:pt idx="215">
                  <c:v>7934.6699999999992</c:v>
                </c:pt>
                <c:pt idx="216">
                  <c:v>10885.53</c:v>
                </c:pt>
                <c:pt idx="217">
                  <c:v>6308.2900000000018</c:v>
                </c:pt>
                <c:pt idx="218">
                  <c:v>8622.3100000000013</c:v>
                </c:pt>
                <c:pt idx="219">
                  <c:v>7843.0899999999992</c:v>
                </c:pt>
                <c:pt idx="220">
                  <c:v>6687.25</c:v>
                </c:pt>
                <c:pt idx="221">
                  <c:v>7613.91</c:v>
                </c:pt>
                <c:pt idx="222">
                  <c:v>7347.24</c:v>
                </c:pt>
                <c:pt idx="223">
                  <c:v>11324.150000000001</c:v>
                </c:pt>
                <c:pt idx="224">
                  <c:v>8690.8000000000011</c:v>
                </c:pt>
                <c:pt idx="225">
                  <c:v>5757.7200000000012</c:v>
                </c:pt>
                <c:pt idx="226">
                  <c:v>7828.19</c:v>
                </c:pt>
                <c:pt idx="227">
                  <c:v>9213.33</c:v>
                </c:pt>
                <c:pt idx="228">
                  <c:v>7831.8899999999994</c:v>
                </c:pt>
                <c:pt idx="229">
                  <c:v>8089.4500000000007</c:v>
                </c:pt>
                <c:pt idx="230">
                  <c:v>8955.3100000000031</c:v>
                </c:pt>
                <c:pt idx="231">
                  <c:v>7268.1299999999992</c:v>
                </c:pt>
                <c:pt idx="232">
                  <c:v>7304.64</c:v>
                </c:pt>
                <c:pt idx="233">
                  <c:v>9003.0200000000023</c:v>
                </c:pt>
                <c:pt idx="234">
                  <c:v>9231.3599999999988</c:v>
                </c:pt>
                <c:pt idx="235">
                  <c:v>5591.62</c:v>
                </c:pt>
                <c:pt idx="236">
                  <c:v>6615.1699999999992</c:v>
                </c:pt>
                <c:pt idx="237">
                  <c:v>4702.050000000002</c:v>
                </c:pt>
                <c:pt idx="238">
                  <c:v>6337.84</c:v>
                </c:pt>
                <c:pt idx="239">
                  <c:v>7929.0099999999975</c:v>
                </c:pt>
                <c:pt idx="240">
                  <c:v>7844.8199999999988</c:v>
                </c:pt>
                <c:pt idx="241">
                  <c:v>7764.6300000000019</c:v>
                </c:pt>
                <c:pt idx="242">
                  <c:v>7288.7399999999989</c:v>
                </c:pt>
                <c:pt idx="243">
                  <c:v>10571.74</c:v>
                </c:pt>
                <c:pt idx="244">
                  <c:v>10609.85</c:v>
                </c:pt>
                <c:pt idx="245">
                  <c:v>7203.5999999999985</c:v>
                </c:pt>
                <c:pt idx="246">
                  <c:v>10621.739999999998</c:v>
                </c:pt>
                <c:pt idx="247">
                  <c:v>6310.8100000000013</c:v>
                </c:pt>
                <c:pt idx="248">
                  <c:v>7618.91</c:v>
                </c:pt>
                <c:pt idx="249">
                  <c:v>6423.4</c:v>
                </c:pt>
                <c:pt idx="250">
                  <c:v>4429.46</c:v>
                </c:pt>
                <c:pt idx="251">
                  <c:v>5892.8600000000006</c:v>
                </c:pt>
                <c:pt idx="252">
                  <c:v>6995.72</c:v>
                </c:pt>
                <c:pt idx="253">
                  <c:v>6824.79</c:v>
                </c:pt>
                <c:pt idx="254">
                  <c:v>6483.85</c:v>
                </c:pt>
                <c:pt idx="255">
                  <c:v>8987.92</c:v>
                </c:pt>
                <c:pt idx="256">
                  <c:v>9387.7900000000009</c:v>
                </c:pt>
                <c:pt idx="257">
                  <c:v>6087.29</c:v>
                </c:pt>
                <c:pt idx="258">
                  <c:v>7126.95</c:v>
                </c:pt>
                <c:pt idx="259">
                  <c:v>8551.9200000000019</c:v>
                </c:pt>
                <c:pt idx="260">
                  <c:v>8918.7400000000016</c:v>
                </c:pt>
                <c:pt idx="261">
                  <c:v>10315.460000000001</c:v>
                </c:pt>
                <c:pt idx="262">
                  <c:v>7207.1600000000008</c:v>
                </c:pt>
                <c:pt idx="263">
                  <c:v>9750.8200000000015</c:v>
                </c:pt>
                <c:pt idx="264">
                  <c:v>6388.3499999999985</c:v>
                </c:pt>
                <c:pt idx="265">
                  <c:v>7240.6299999999983</c:v>
                </c:pt>
                <c:pt idx="266">
                  <c:v>6767.4900000000007</c:v>
                </c:pt>
                <c:pt idx="267">
                  <c:v>8283.4500000000007</c:v>
                </c:pt>
                <c:pt idx="268">
                  <c:v>10280.620000000001</c:v>
                </c:pt>
                <c:pt idx="269">
                  <c:v>7637.32</c:v>
                </c:pt>
                <c:pt idx="270">
                  <c:v>7696.3600000000006</c:v>
                </c:pt>
                <c:pt idx="271">
                  <c:v>9671.9500000000007</c:v>
                </c:pt>
                <c:pt idx="272">
                  <c:v>6241.46</c:v>
                </c:pt>
                <c:pt idx="273">
                  <c:v>10407.68</c:v>
                </c:pt>
                <c:pt idx="274">
                  <c:v>9442.82</c:v>
                </c:pt>
                <c:pt idx="275">
                  <c:v>8336.01</c:v>
                </c:pt>
                <c:pt idx="276">
                  <c:v>7443.3500000000013</c:v>
                </c:pt>
                <c:pt idx="277">
                  <c:v>8256.380000000001</c:v>
                </c:pt>
                <c:pt idx="278">
                  <c:v>5807.3099999999986</c:v>
                </c:pt>
                <c:pt idx="279">
                  <c:v>7662.76</c:v>
                </c:pt>
                <c:pt idx="280">
                  <c:v>5850.82</c:v>
                </c:pt>
                <c:pt idx="281">
                  <c:v>8645.51</c:v>
                </c:pt>
                <c:pt idx="282">
                  <c:v>8936.4000000000015</c:v>
                </c:pt>
                <c:pt idx="283">
                  <c:v>5850.68</c:v>
                </c:pt>
                <c:pt idx="284">
                  <c:v>9594.9000000000015</c:v>
                </c:pt>
                <c:pt idx="285">
                  <c:v>7891.63</c:v>
                </c:pt>
                <c:pt idx="286">
                  <c:v>6500.3000000000011</c:v>
                </c:pt>
                <c:pt idx="287">
                  <c:v>6018.6399999999976</c:v>
                </c:pt>
                <c:pt idx="288">
                  <c:v>7683.24</c:v>
                </c:pt>
                <c:pt idx="289">
                  <c:v>7293.9500000000007</c:v>
                </c:pt>
                <c:pt idx="290">
                  <c:v>7037.6200000000008</c:v>
                </c:pt>
                <c:pt idx="291">
                  <c:v>9315.0600000000031</c:v>
                </c:pt>
                <c:pt idx="292">
                  <c:v>6852.19</c:v>
                </c:pt>
                <c:pt idx="293">
                  <c:v>6568.670000000001</c:v>
                </c:pt>
                <c:pt idx="294">
                  <c:v>7485.82</c:v>
                </c:pt>
                <c:pt idx="295">
                  <c:v>6184.5199999999995</c:v>
                </c:pt>
                <c:pt idx="296">
                  <c:v>7922.9400000000005</c:v>
                </c:pt>
                <c:pt idx="297">
                  <c:v>6529.9699999999993</c:v>
                </c:pt>
                <c:pt idx="298">
                  <c:v>7562.02</c:v>
                </c:pt>
                <c:pt idx="299">
                  <c:v>8757.8600000000024</c:v>
                </c:pt>
                <c:pt idx="300">
                  <c:v>4496.340000000002</c:v>
                </c:pt>
                <c:pt idx="301">
                  <c:v>6401.0099999999993</c:v>
                </c:pt>
                <c:pt idx="302">
                  <c:v>6451.6</c:v>
                </c:pt>
                <c:pt idx="303">
                  <c:v>6393.7699999999995</c:v>
                </c:pt>
                <c:pt idx="304">
                  <c:v>7097.0300000000007</c:v>
                </c:pt>
                <c:pt idx="305">
                  <c:v>7128.67</c:v>
                </c:pt>
                <c:pt idx="306">
                  <c:v>8696.1600000000017</c:v>
                </c:pt>
                <c:pt idx="307">
                  <c:v>5698.45</c:v>
                </c:pt>
                <c:pt idx="308">
                  <c:v>6426.3700000000008</c:v>
                </c:pt>
                <c:pt idx="309">
                  <c:v>9005.220000000003</c:v>
                </c:pt>
                <c:pt idx="310">
                  <c:v>5761.14</c:v>
                </c:pt>
                <c:pt idx="311">
                  <c:v>7718.13</c:v>
                </c:pt>
                <c:pt idx="312">
                  <c:v>7625.63</c:v>
                </c:pt>
                <c:pt idx="313">
                  <c:v>9822.4500000000025</c:v>
                </c:pt>
                <c:pt idx="314">
                  <c:v>5064.6900000000005</c:v>
                </c:pt>
                <c:pt idx="315">
                  <c:v>10176.19</c:v>
                </c:pt>
                <c:pt idx="316">
                  <c:v>5176.5200000000013</c:v>
                </c:pt>
                <c:pt idx="317">
                  <c:v>8162.23</c:v>
                </c:pt>
                <c:pt idx="318">
                  <c:v>8024.7899999999991</c:v>
                </c:pt>
                <c:pt idx="319">
                  <c:v>9231.08</c:v>
                </c:pt>
                <c:pt idx="320">
                  <c:v>5345.7099999999991</c:v>
                </c:pt>
                <c:pt idx="321">
                  <c:v>10904.54</c:v>
                </c:pt>
                <c:pt idx="322">
                  <c:v>7493.9600000000009</c:v>
                </c:pt>
                <c:pt idx="323">
                  <c:v>8730.9900000000016</c:v>
                </c:pt>
                <c:pt idx="324">
                  <c:v>7426.7100000000009</c:v>
                </c:pt>
                <c:pt idx="325">
                  <c:v>8222.3100000000013</c:v>
                </c:pt>
                <c:pt idx="326">
                  <c:v>7787.7099999999982</c:v>
                </c:pt>
                <c:pt idx="327">
                  <c:v>7062.3600000000015</c:v>
                </c:pt>
                <c:pt idx="328">
                  <c:v>6627.3499999999995</c:v>
                </c:pt>
                <c:pt idx="329">
                  <c:v>8039.37</c:v>
                </c:pt>
                <c:pt idx="330">
                  <c:v>6780.0600000000013</c:v>
                </c:pt>
                <c:pt idx="331">
                  <c:v>7651.6600000000008</c:v>
                </c:pt>
                <c:pt idx="332">
                  <c:v>9055.9500000000007</c:v>
                </c:pt>
                <c:pt idx="333">
                  <c:v>7951.4599999999991</c:v>
                </c:pt>
                <c:pt idx="334">
                  <c:v>7162.56</c:v>
                </c:pt>
                <c:pt idx="335">
                  <c:v>6374.96</c:v>
                </c:pt>
                <c:pt idx="336">
                  <c:v>8852.9000000000015</c:v>
                </c:pt>
                <c:pt idx="337">
                  <c:v>5801.6699999999992</c:v>
                </c:pt>
                <c:pt idx="338">
                  <c:v>5844.02</c:v>
                </c:pt>
                <c:pt idx="339">
                  <c:v>7701.0700000000006</c:v>
                </c:pt>
                <c:pt idx="340">
                  <c:v>10259.86</c:v>
                </c:pt>
                <c:pt idx="341">
                  <c:v>6922.7500000000009</c:v>
                </c:pt>
                <c:pt idx="342">
                  <c:v>7421.2799999999988</c:v>
                </c:pt>
                <c:pt idx="343">
                  <c:v>8498.66</c:v>
                </c:pt>
                <c:pt idx="344">
                  <c:v>7111.0999999999985</c:v>
                </c:pt>
                <c:pt idx="345">
                  <c:v>6681.2599999999993</c:v>
                </c:pt>
                <c:pt idx="346">
                  <c:v>10172.340000000002</c:v>
                </c:pt>
                <c:pt idx="347">
                  <c:v>8142.5500000000011</c:v>
                </c:pt>
                <c:pt idx="348">
                  <c:v>7038.0200000000013</c:v>
                </c:pt>
                <c:pt idx="349">
                  <c:v>9791.77</c:v>
                </c:pt>
                <c:pt idx="350">
                  <c:v>8173.8399999999992</c:v>
                </c:pt>
                <c:pt idx="351">
                  <c:v>5604.4299999999994</c:v>
                </c:pt>
                <c:pt idx="352">
                  <c:v>9059.33</c:v>
                </c:pt>
                <c:pt idx="353">
                  <c:v>7148.4100000000008</c:v>
                </c:pt>
                <c:pt idx="354">
                  <c:v>8841.57</c:v>
                </c:pt>
                <c:pt idx="355">
                  <c:v>9178</c:v>
                </c:pt>
                <c:pt idx="356">
                  <c:v>9481.0200000000023</c:v>
                </c:pt>
                <c:pt idx="357">
                  <c:v>8826.7800000000007</c:v>
                </c:pt>
                <c:pt idx="358">
                  <c:v>9272.68</c:v>
                </c:pt>
                <c:pt idx="359">
                  <c:v>7405.91</c:v>
                </c:pt>
                <c:pt idx="360">
                  <c:v>5318.4599999999991</c:v>
                </c:pt>
                <c:pt idx="361">
                  <c:v>8308.4500000000007</c:v>
                </c:pt>
                <c:pt idx="362">
                  <c:v>8820.18</c:v>
                </c:pt>
                <c:pt idx="363">
                  <c:v>8959.77</c:v>
                </c:pt>
                <c:pt idx="364">
                  <c:v>7192.65</c:v>
                </c:pt>
                <c:pt idx="365">
                  <c:v>8828.0400000000009</c:v>
                </c:pt>
                <c:pt idx="366">
                  <c:v>8875.6699999999983</c:v>
                </c:pt>
                <c:pt idx="367">
                  <c:v>6381.72</c:v>
                </c:pt>
                <c:pt idx="368">
                  <c:v>10062.67</c:v>
                </c:pt>
                <c:pt idx="369">
                  <c:v>6508.2199999999993</c:v>
                </c:pt>
                <c:pt idx="370">
                  <c:v>8708.9700000000012</c:v>
                </c:pt>
                <c:pt idx="371">
                  <c:v>6636.4999999999991</c:v>
                </c:pt>
                <c:pt idx="372">
                  <c:v>10081.93</c:v>
                </c:pt>
                <c:pt idx="373">
                  <c:v>8016.9400000000023</c:v>
                </c:pt>
                <c:pt idx="374">
                  <c:v>4563.1499999999996</c:v>
                </c:pt>
                <c:pt idx="375">
                  <c:v>6946.5499999999984</c:v>
                </c:pt>
                <c:pt idx="376">
                  <c:v>7884.7000000000007</c:v>
                </c:pt>
                <c:pt idx="377">
                  <c:v>9172.4499999999989</c:v>
                </c:pt>
                <c:pt idx="378">
                  <c:v>8719.31</c:v>
                </c:pt>
                <c:pt idx="379">
                  <c:v>8010.71</c:v>
                </c:pt>
                <c:pt idx="380">
                  <c:v>6823.6300000000019</c:v>
                </c:pt>
                <c:pt idx="381">
                  <c:v>6731.880000000001</c:v>
                </c:pt>
                <c:pt idx="382">
                  <c:v>7773.23</c:v>
                </c:pt>
                <c:pt idx="383">
                  <c:v>6718.0999999999995</c:v>
                </c:pt>
                <c:pt idx="384">
                  <c:v>7647.4100000000008</c:v>
                </c:pt>
                <c:pt idx="385">
                  <c:v>9299.1200000000008</c:v>
                </c:pt>
                <c:pt idx="386">
                  <c:v>7394.8700000000008</c:v>
                </c:pt>
                <c:pt idx="387">
                  <c:v>7521.7899999999991</c:v>
                </c:pt>
                <c:pt idx="388">
                  <c:v>7636.1699999999992</c:v>
                </c:pt>
                <c:pt idx="389">
                  <c:v>8885.0700000000015</c:v>
                </c:pt>
                <c:pt idx="390">
                  <c:v>8666.7099999999991</c:v>
                </c:pt>
                <c:pt idx="391">
                  <c:v>7132.9500000000007</c:v>
                </c:pt>
                <c:pt idx="392">
                  <c:v>7115.2599999999993</c:v>
                </c:pt>
                <c:pt idx="393">
                  <c:v>8025.54</c:v>
                </c:pt>
                <c:pt idx="394">
                  <c:v>6418.58</c:v>
                </c:pt>
                <c:pt idx="395">
                  <c:v>7075.1500000000005</c:v>
                </c:pt>
                <c:pt idx="396">
                  <c:v>8251.2199999999993</c:v>
                </c:pt>
                <c:pt idx="397">
                  <c:v>7701.3900000000012</c:v>
                </c:pt>
                <c:pt idx="398">
                  <c:v>6261.47</c:v>
                </c:pt>
                <c:pt idx="399">
                  <c:v>4116.1900000000005</c:v>
                </c:pt>
                <c:pt idx="400">
                  <c:v>7229.07</c:v>
                </c:pt>
                <c:pt idx="401">
                  <c:v>8908.1899999999987</c:v>
                </c:pt>
                <c:pt idx="402">
                  <c:v>6950.31</c:v>
                </c:pt>
                <c:pt idx="403">
                  <c:v>6628.920000000001</c:v>
                </c:pt>
                <c:pt idx="404">
                  <c:v>7488.58</c:v>
                </c:pt>
                <c:pt idx="405">
                  <c:v>8311.51</c:v>
                </c:pt>
                <c:pt idx="406">
                  <c:v>7985.26</c:v>
                </c:pt>
                <c:pt idx="407">
                  <c:v>8672.26</c:v>
                </c:pt>
                <c:pt idx="408">
                  <c:v>7441.4699999999984</c:v>
                </c:pt>
                <c:pt idx="409">
                  <c:v>6602.0899999999983</c:v>
                </c:pt>
                <c:pt idx="410">
                  <c:v>8156.4000000000015</c:v>
                </c:pt>
                <c:pt idx="411">
                  <c:v>9043.0400000000027</c:v>
                </c:pt>
                <c:pt idx="412">
                  <c:v>7791.6600000000008</c:v>
                </c:pt>
                <c:pt idx="413">
                  <c:v>8384.2300000000014</c:v>
                </c:pt>
                <c:pt idx="414">
                  <c:v>5355.3400000000011</c:v>
                </c:pt>
                <c:pt idx="415">
                  <c:v>8401.48</c:v>
                </c:pt>
                <c:pt idx="416">
                  <c:v>5785.3500000000022</c:v>
                </c:pt>
                <c:pt idx="417">
                  <c:v>7102.3400000000011</c:v>
                </c:pt>
                <c:pt idx="418">
                  <c:v>9028.4000000000015</c:v>
                </c:pt>
                <c:pt idx="419">
                  <c:v>6697.8200000000006</c:v>
                </c:pt>
                <c:pt idx="420">
                  <c:v>7759.68</c:v>
                </c:pt>
                <c:pt idx="421">
                  <c:v>6846.3700000000008</c:v>
                </c:pt>
                <c:pt idx="422">
                  <c:v>9349.69</c:v>
                </c:pt>
                <c:pt idx="423">
                  <c:v>8300.5000000000018</c:v>
                </c:pt>
                <c:pt idx="424">
                  <c:v>6175.9700000000012</c:v>
                </c:pt>
                <c:pt idx="425">
                  <c:v>6370.3499999999985</c:v>
                </c:pt>
                <c:pt idx="426">
                  <c:v>11590.54</c:v>
                </c:pt>
                <c:pt idx="427">
                  <c:v>8098.07</c:v>
                </c:pt>
                <c:pt idx="428">
                  <c:v>7205.1799999999994</c:v>
                </c:pt>
                <c:pt idx="429">
                  <c:v>6996.1899999999987</c:v>
                </c:pt>
                <c:pt idx="430">
                  <c:v>9934.5800000000036</c:v>
                </c:pt>
                <c:pt idx="431">
                  <c:v>10504.839999999998</c:v>
                </c:pt>
                <c:pt idx="432">
                  <c:v>8135.52</c:v>
                </c:pt>
                <c:pt idx="433">
                  <c:v>6985.6900000000005</c:v>
                </c:pt>
                <c:pt idx="434">
                  <c:v>9566.92</c:v>
                </c:pt>
                <c:pt idx="435">
                  <c:v>8666.2200000000012</c:v>
                </c:pt>
                <c:pt idx="436">
                  <c:v>7326.4600000000009</c:v>
                </c:pt>
                <c:pt idx="437">
                  <c:v>6801.4499999999989</c:v>
                </c:pt>
                <c:pt idx="438">
                  <c:v>6030.2099999999991</c:v>
                </c:pt>
                <c:pt idx="439">
                  <c:v>9336.5700000000015</c:v>
                </c:pt>
                <c:pt idx="440">
                  <c:v>7594.1799999999994</c:v>
                </c:pt>
                <c:pt idx="441">
                  <c:v>7603.3199999999988</c:v>
                </c:pt>
                <c:pt idx="442">
                  <c:v>7325.5999999999985</c:v>
                </c:pt>
                <c:pt idx="443">
                  <c:v>10316.170000000002</c:v>
                </c:pt>
                <c:pt idx="444">
                  <c:v>6380.2</c:v>
                </c:pt>
                <c:pt idx="445">
                  <c:v>8444.36</c:v>
                </c:pt>
                <c:pt idx="446">
                  <c:v>9655.119999999999</c:v>
                </c:pt>
                <c:pt idx="447">
                  <c:v>6374.4599999999991</c:v>
                </c:pt>
                <c:pt idx="448">
                  <c:v>4825.8900000000003</c:v>
                </c:pt>
                <c:pt idx="449">
                  <c:v>7753.65</c:v>
                </c:pt>
                <c:pt idx="450">
                  <c:v>6848.7500000000009</c:v>
                </c:pt>
                <c:pt idx="451">
                  <c:v>9309.4700000000012</c:v>
                </c:pt>
                <c:pt idx="452">
                  <c:v>8173.93</c:v>
                </c:pt>
                <c:pt idx="453">
                  <c:v>10315.27</c:v>
                </c:pt>
                <c:pt idx="454">
                  <c:v>7898.19</c:v>
                </c:pt>
                <c:pt idx="455">
                  <c:v>8907.2300000000014</c:v>
                </c:pt>
                <c:pt idx="456">
                  <c:v>6937.2500000000009</c:v>
                </c:pt>
                <c:pt idx="457">
                  <c:v>11677.689999999999</c:v>
                </c:pt>
                <c:pt idx="458">
                  <c:v>10025.040000000001</c:v>
                </c:pt>
                <c:pt idx="459">
                  <c:v>6230.3499999999985</c:v>
                </c:pt>
                <c:pt idx="460">
                  <c:v>8785.9199999999983</c:v>
                </c:pt>
                <c:pt idx="461">
                  <c:v>7955.9400000000014</c:v>
                </c:pt>
                <c:pt idx="462">
                  <c:v>8559.1299999999992</c:v>
                </c:pt>
                <c:pt idx="463">
                  <c:v>7655.7100000000019</c:v>
                </c:pt>
                <c:pt idx="464">
                  <c:v>9445.94</c:v>
                </c:pt>
                <c:pt idx="465">
                  <c:v>8364.6</c:v>
                </c:pt>
                <c:pt idx="466">
                  <c:v>8567.0299999999988</c:v>
                </c:pt>
                <c:pt idx="467">
                  <c:v>7898.7499999999991</c:v>
                </c:pt>
                <c:pt idx="468">
                  <c:v>6170.22</c:v>
                </c:pt>
                <c:pt idx="469">
                  <c:v>8540.2200000000012</c:v>
                </c:pt>
                <c:pt idx="470">
                  <c:v>7876.6</c:v>
                </c:pt>
                <c:pt idx="471">
                  <c:v>8049.7300000000023</c:v>
                </c:pt>
                <c:pt idx="472">
                  <c:v>6210.9</c:v>
                </c:pt>
                <c:pt idx="473">
                  <c:v>8778.6700000000019</c:v>
                </c:pt>
                <c:pt idx="474">
                  <c:v>7290.75</c:v>
                </c:pt>
                <c:pt idx="475">
                  <c:v>7155.35</c:v>
                </c:pt>
                <c:pt idx="476">
                  <c:v>7994.3899999999994</c:v>
                </c:pt>
                <c:pt idx="477">
                  <c:v>9489.7799999999988</c:v>
                </c:pt>
                <c:pt idx="478">
                  <c:v>6147.4900000000007</c:v>
                </c:pt>
                <c:pt idx="479">
                  <c:v>7585.4599999999991</c:v>
                </c:pt>
                <c:pt idx="480">
                  <c:v>6121.2700000000023</c:v>
                </c:pt>
                <c:pt idx="481">
                  <c:v>9733.31</c:v>
                </c:pt>
                <c:pt idx="482">
                  <c:v>6787.8999999999987</c:v>
                </c:pt>
                <c:pt idx="483">
                  <c:v>11634.36</c:v>
                </c:pt>
                <c:pt idx="484">
                  <c:v>7122.0699999999988</c:v>
                </c:pt>
                <c:pt idx="485">
                  <c:v>7022.86</c:v>
                </c:pt>
                <c:pt idx="486">
                  <c:v>7884.6800000000012</c:v>
                </c:pt>
                <c:pt idx="487">
                  <c:v>8238.5600000000013</c:v>
                </c:pt>
                <c:pt idx="488">
                  <c:v>6629.1100000000006</c:v>
                </c:pt>
                <c:pt idx="489">
                  <c:v>7693.8500000000022</c:v>
                </c:pt>
                <c:pt idx="490">
                  <c:v>7836.86</c:v>
                </c:pt>
                <c:pt idx="491">
                  <c:v>6063.300000000002</c:v>
                </c:pt>
                <c:pt idx="492">
                  <c:v>9119.0499999999993</c:v>
                </c:pt>
                <c:pt idx="493">
                  <c:v>8084.9400000000023</c:v>
                </c:pt>
                <c:pt idx="494">
                  <c:v>5622.7000000000007</c:v>
                </c:pt>
                <c:pt idx="495">
                  <c:v>6515.1799999999976</c:v>
                </c:pt>
                <c:pt idx="496">
                  <c:v>5158.6299999999983</c:v>
                </c:pt>
                <c:pt idx="497">
                  <c:v>9828.1</c:v>
                </c:pt>
                <c:pt idx="498">
                  <c:v>8397.4600000000009</c:v>
                </c:pt>
                <c:pt idx="499">
                  <c:v>8447.18</c:v>
                </c:pt>
                <c:pt idx="500">
                  <c:v>8191.45</c:v>
                </c:pt>
                <c:pt idx="501">
                  <c:v>7144.22</c:v>
                </c:pt>
                <c:pt idx="502">
                  <c:v>6295.1900000000023</c:v>
                </c:pt>
                <c:pt idx="503">
                  <c:v>7776.4499999999989</c:v>
                </c:pt>
                <c:pt idx="504">
                  <c:v>7495.75</c:v>
                </c:pt>
                <c:pt idx="505">
                  <c:v>6432.1899999999987</c:v>
                </c:pt>
                <c:pt idx="506">
                  <c:v>5600.2799999999988</c:v>
                </c:pt>
                <c:pt idx="507">
                  <c:v>8237.4600000000009</c:v>
                </c:pt>
                <c:pt idx="508">
                  <c:v>6283.0899999999992</c:v>
                </c:pt>
                <c:pt idx="509">
                  <c:v>6779.4400000000005</c:v>
                </c:pt>
                <c:pt idx="510">
                  <c:v>6003.630000000001</c:v>
                </c:pt>
                <c:pt idx="511">
                  <c:v>4575.3000000000011</c:v>
                </c:pt>
                <c:pt idx="512">
                  <c:v>6893.08</c:v>
                </c:pt>
                <c:pt idx="513">
                  <c:v>9439.41</c:v>
                </c:pt>
                <c:pt idx="514">
                  <c:v>7544.84</c:v>
                </c:pt>
                <c:pt idx="515">
                  <c:v>7386.4499999999989</c:v>
                </c:pt>
                <c:pt idx="516">
                  <c:v>7259.44</c:v>
                </c:pt>
                <c:pt idx="517">
                  <c:v>8450.8700000000008</c:v>
                </c:pt>
                <c:pt idx="518">
                  <c:v>8961.9000000000015</c:v>
                </c:pt>
                <c:pt idx="519">
                  <c:v>6439.03</c:v>
                </c:pt>
                <c:pt idx="520">
                  <c:v>10292.809999999998</c:v>
                </c:pt>
                <c:pt idx="521">
                  <c:v>8078.7199999999993</c:v>
                </c:pt>
                <c:pt idx="522">
                  <c:v>9381.07</c:v>
                </c:pt>
                <c:pt idx="523">
                  <c:v>5592.829999999999</c:v>
                </c:pt>
                <c:pt idx="524">
                  <c:v>6766.5700000000015</c:v>
                </c:pt>
                <c:pt idx="525">
                  <c:v>8221.07</c:v>
                </c:pt>
                <c:pt idx="526">
                  <c:v>8204.5299999999988</c:v>
                </c:pt>
                <c:pt idx="527">
                  <c:v>6982.6400000000012</c:v>
                </c:pt>
                <c:pt idx="528">
                  <c:v>7219.0700000000015</c:v>
                </c:pt>
                <c:pt idx="529">
                  <c:v>7989.3600000000006</c:v>
                </c:pt>
                <c:pt idx="530">
                  <c:v>6654.0300000000016</c:v>
                </c:pt>
                <c:pt idx="531">
                  <c:v>6568.9600000000009</c:v>
                </c:pt>
                <c:pt idx="532">
                  <c:v>6291.869999999999</c:v>
                </c:pt>
                <c:pt idx="533">
                  <c:v>7932.619999999999</c:v>
                </c:pt>
                <c:pt idx="534">
                  <c:v>5994.95</c:v>
                </c:pt>
                <c:pt idx="535">
                  <c:v>9140.92</c:v>
                </c:pt>
                <c:pt idx="536">
                  <c:v>7414.8400000000011</c:v>
                </c:pt>
                <c:pt idx="537">
                  <c:v>8870.3000000000011</c:v>
                </c:pt>
                <c:pt idx="538">
                  <c:v>8365.0600000000013</c:v>
                </c:pt>
                <c:pt idx="539">
                  <c:v>7891.3499999999985</c:v>
                </c:pt>
                <c:pt idx="540">
                  <c:v>6712.1100000000006</c:v>
                </c:pt>
                <c:pt idx="541">
                  <c:v>5794.84</c:v>
                </c:pt>
                <c:pt idx="542">
                  <c:v>8938.0400000000009</c:v>
                </c:pt>
                <c:pt idx="543">
                  <c:v>9333.5</c:v>
                </c:pt>
                <c:pt idx="544">
                  <c:v>8034.77</c:v>
                </c:pt>
                <c:pt idx="545">
                  <c:v>6488.5400000000009</c:v>
                </c:pt>
                <c:pt idx="546">
                  <c:v>8775.41</c:v>
                </c:pt>
                <c:pt idx="547">
                  <c:v>8265.1299999999974</c:v>
                </c:pt>
                <c:pt idx="548">
                  <c:v>6594.5100000000011</c:v>
                </c:pt>
                <c:pt idx="549">
                  <c:v>10137.39</c:v>
                </c:pt>
                <c:pt idx="550">
                  <c:v>8531.2599999999984</c:v>
                </c:pt>
                <c:pt idx="551">
                  <c:v>6992.2399999999989</c:v>
                </c:pt>
                <c:pt idx="552">
                  <c:v>8508.6799999999967</c:v>
                </c:pt>
                <c:pt idx="553">
                  <c:v>8681.0700000000015</c:v>
                </c:pt>
                <c:pt idx="554">
                  <c:v>6301.800000000002</c:v>
                </c:pt>
                <c:pt idx="555">
                  <c:v>6377.6300000000019</c:v>
                </c:pt>
                <c:pt idx="556">
                  <c:v>8886.3900000000012</c:v>
                </c:pt>
                <c:pt idx="557">
                  <c:v>8385.4600000000009</c:v>
                </c:pt>
                <c:pt idx="558">
                  <c:v>7570.4</c:v>
                </c:pt>
                <c:pt idx="559">
                  <c:v>7092.59</c:v>
                </c:pt>
                <c:pt idx="560">
                  <c:v>7973.1699999999992</c:v>
                </c:pt>
                <c:pt idx="561">
                  <c:v>6523.01</c:v>
                </c:pt>
                <c:pt idx="562">
                  <c:v>9136.76</c:v>
                </c:pt>
                <c:pt idx="563">
                  <c:v>8731.73</c:v>
                </c:pt>
                <c:pt idx="564">
                  <c:v>7228.1100000000006</c:v>
                </c:pt>
                <c:pt idx="565">
                  <c:v>8976.7400000000016</c:v>
                </c:pt>
                <c:pt idx="566">
                  <c:v>7469.7300000000005</c:v>
                </c:pt>
                <c:pt idx="567">
                  <c:v>6904.2900000000018</c:v>
                </c:pt>
                <c:pt idx="568">
                  <c:v>10182.92</c:v>
                </c:pt>
                <c:pt idx="569">
                  <c:v>10630.66</c:v>
                </c:pt>
                <c:pt idx="570">
                  <c:v>10921.76</c:v>
                </c:pt>
                <c:pt idx="571">
                  <c:v>11112.58</c:v>
                </c:pt>
                <c:pt idx="572">
                  <c:v>6621.79</c:v>
                </c:pt>
                <c:pt idx="573">
                  <c:v>6834.380000000001</c:v>
                </c:pt>
                <c:pt idx="574">
                  <c:v>6494.5699999999988</c:v>
                </c:pt>
                <c:pt idx="575">
                  <c:v>7686.6699999999983</c:v>
                </c:pt>
                <c:pt idx="576">
                  <c:v>8875.369999999999</c:v>
                </c:pt>
                <c:pt idx="577">
                  <c:v>8873.89</c:v>
                </c:pt>
                <c:pt idx="578">
                  <c:v>9461.3000000000011</c:v>
                </c:pt>
                <c:pt idx="579">
                  <c:v>7181.55</c:v>
                </c:pt>
                <c:pt idx="580">
                  <c:v>6821.42</c:v>
                </c:pt>
                <c:pt idx="581">
                  <c:v>5482.54</c:v>
                </c:pt>
                <c:pt idx="582">
                  <c:v>6475.5499999999993</c:v>
                </c:pt>
                <c:pt idx="583">
                  <c:v>7177.6500000000015</c:v>
                </c:pt>
                <c:pt idx="584">
                  <c:v>9466.49</c:v>
                </c:pt>
                <c:pt idx="585">
                  <c:v>7696.1500000000005</c:v>
                </c:pt>
                <c:pt idx="586">
                  <c:v>6919.1699999999992</c:v>
                </c:pt>
                <c:pt idx="587">
                  <c:v>8518.9800000000014</c:v>
                </c:pt>
                <c:pt idx="588">
                  <c:v>7303.3400000000011</c:v>
                </c:pt>
                <c:pt idx="589">
                  <c:v>9028.09</c:v>
                </c:pt>
                <c:pt idx="590">
                  <c:v>12585.6</c:v>
                </c:pt>
                <c:pt idx="591">
                  <c:v>5138.17</c:v>
                </c:pt>
                <c:pt idx="592">
                  <c:v>5327.74</c:v>
                </c:pt>
                <c:pt idx="593">
                  <c:v>6970.9500000000016</c:v>
                </c:pt>
                <c:pt idx="594">
                  <c:v>7100.23</c:v>
                </c:pt>
                <c:pt idx="595">
                  <c:v>8980.5500000000011</c:v>
                </c:pt>
                <c:pt idx="596">
                  <c:v>8885.1100000000024</c:v>
                </c:pt>
                <c:pt idx="597">
                  <c:v>11054.890000000001</c:v>
                </c:pt>
                <c:pt idx="598">
                  <c:v>11266.490000000002</c:v>
                </c:pt>
                <c:pt idx="599">
                  <c:v>11718.11</c:v>
                </c:pt>
                <c:pt idx="600">
                  <c:v>6616.4300000000012</c:v>
                </c:pt>
                <c:pt idx="601">
                  <c:v>8230.9399999999987</c:v>
                </c:pt>
                <c:pt idx="602">
                  <c:v>7635.35</c:v>
                </c:pt>
                <c:pt idx="603">
                  <c:v>6592</c:v>
                </c:pt>
                <c:pt idx="604">
                  <c:v>7156.1900000000005</c:v>
                </c:pt>
                <c:pt idx="605">
                  <c:v>7782.2899999999991</c:v>
                </c:pt>
                <c:pt idx="606">
                  <c:v>6367.5499999999993</c:v>
                </c:pt>
                <c:pt idx="607">
                  <c:v>6079.0900000000011</c:v>
                </c:pt>
                <c:pt idx="608">
                  <c:v>6066.91</c:v>
                </c:pt>
                <c:pt idx="609">
                  <c:v>6971.3799999999992</c:v>
                </c:pt>
                <c:pt idx="610">
                  <c:v>8897.64</c:v>
                </c:pt>
                <c:pt idx="611">
                  <c:v>8519.15</c:v>
                </c:pt>
                <c:pt idx="612">
                  <c:v>9981.8600000000024</c:v>
                </c:pt>
                <c:pt idx="613">
                  <c:v>13814.300000000001</c:v>
                </c:pt>
                <c:pt idx="614">
                  <c:v>7547.1100000000006</c:v>
                </c:pt>
                <c:pt idx="615">
                  <c:v>7956.91</c:v>
                </c:pt>
                <c:pt idx="616">
                  <c:v>6566.0800000000008</c:v>
                </c:pt>
                <c:pt idx="617">
                  <c:v>8313.67</c:v>
                </c:pt>
                <c:pt idx="618">
                  <c:v>9339.4</c:v>
                </c:pt>
                <c:pt idx="619">
                  <c:v>10518.92</c:v>
                </c:pt>
                <c:pt idx="620">
                  <c:v>11411.96</c:v>
                </c:pt>
                <c:pt idx="621">
                  <c:v>6890.18</c:v>
                </c:pt>
                <c:pt idx="622">
                  <c:v>9895.23</c:v>
                </c:pt>
                <c:pt idx="623">
                  <c:v>11147.330000000002</c:v>
                </c:pt>
                <c:pt idx="624">
                  <c:v>8462.9500000000007</c:v>
                </c:pt>
                <c:pt idx="625">
                  <c:v>11928.710000000001</c:v>
                </c:pt>
                <c:pt idx="626">
                  <c:v>9782.9399999999987</c:v>
                </c:pt>
                <c:pt idx="627">
                  <c:v>10777.44</c:v>
                </c:pt>
                <c:pt idx="628">
                  <c:v>9235.82</c:v>
                </c:pt>
                <c:pt idx="629">
                  <c:v>10018.81</c:v>
                </c:pt>
                <c:pt idx="630">
                  <c:v>7766.8600000000006</c:v>
                </c:pt>
                <c:pt idx="631">
                  <c:v>10317.869999999999</c:v>
                </c:pt>
                <c:pt idx="632">
                  <c:v>8821.8599999999988</c:v>
                </c:pt>
                <c:pt idx="633">
                  <c:v>5716.03</c:v>
                </c:pt>
                <c:pt idx="634">
                  <c:v>6229.0599999999986</c:v>
                </c:pt>
                <c:pt idx="635">
                  <c:v>9264.5700000000015</c:v>
                </c:pt>
                <c:pt idx="636">
                  <c:v>9602.3200000000015</c:v>
                </c:pt>
                <c:pt idx="637">
                  <c:v>9941.18</c:v>
                </c:pt>
                <c:pt idx="638">
                  <c:v>7881.7099999999991</c:v>
                </c:pt>
                <c:pt idx="639">
                  <c:v>7591.1800000000021</c:v>
                </c:pt>
                <c:pt idx="640">
                  <c:v>8221.91</c:v>
                </c:pt>
                <c:pt idx="641">
                  <c:v>12564.07</c:v>
                </c:pt>
                <c:pt idx="642">
                  <c:v>9209.98</c:v>
                </c:pt>
                <c:pt idx="643">
                  <c:v>8234.8299999999981</c:v>
                </c:pt>
                <c:pt idx="644">
                  <c:v>9125.1400000000012</c:v>
                </c:pt>
                <c:pt idx="645">
                  <c:v>11667.35</c:v>
                </c:pt>
                <c:pt idx="646">
                  <c:v>11561.719999999998</c:v>
                </c:pt>
                <c:pt idx="647">
                  <c:v>8956.3700000000008</c:v>
                </c:pt>
                <c:pt idx="648">
                  <c:v>7267.3799999999992</c:v>
                </c:pt>
                <c:pt idx="649">
                  <c:v>6293.4399999999987</c:v>
                </c:pt>
                <c:pt idx="650">
                  <c:v>8244.49</c:v>
                </c:pt>
                <c:pt idx="651">
                  <c:v>8231.26</c:v>
                </c:pt>
                <c:pt idx="652">
                  <c:v>9585.6500000000015</c:v>
                </c:pt>
                <c:pt idx="653">
                  <c:v>9403.630000000001</c:v>
                </c:pt>
                <c:pt idx="654">
                  <c:v>6072.5200000000013</c:v>
                </c:pt>
                <c:pt idx="655">
                  <c:v>7542.7900000000009</c:v>
                </c:pt>
                <c:pt idx="656">
                  <c:v>6939.8600000000015</c:v>
                </c:pt>
                <c:pt idx="657">
                  <c:v>8657.84</c:v>
                </c:pt>
                <c:pt idx="658">
                  <c:v>7815.79</c:v>
                </c:pt>
                <c:pt idx="659">
                  <c:v>13921.43</c:v>
                </c:pt>
                <c:pt idx="660">
                  <c:v>9970.7000000000007</c:v>
                </c:pt>
                <c:pt idx="661">
                  <c:v>6709.8499999999995</c:v>
                </c:pt>
                <c:pt idx="662">
                  <c:v>7539.29</c:v>
                </c:pt>
                <c:pt idx="663">
                  <c:v>9611.85</c:v>
                </c:pt>
                <c:pt idx="664">
                  <c:v>5309.81</c:v>
                </c:pt>
                <c:pt idx="665">
                  <c:v>8969.4300000000021</c:v>
                </c:pt>
                <c:pt idx="666">
                  <c:v>11048.19</c:v>
                </c:pt>
                <c:pt idx="667">
                  <c:v>6911.28</c:v>
                </c:pt>
                <c:pt idx="668">
                  <c:v>8004.4100000000008</c:v>
                </c:pt>
                <c:pt idx="669">
                  <c:v>7756.8</c:v>
                </c:pt>
                <c:pt idx="670">
                  <c:v>7494.4900000000016</c:v>
                </c:pt>
                <c:pt idx="671">
                  <c:v>8740.2199999999993</c:v>
                </c:pt>
                <c:pt idx="672">
                  <c:v>8236.27</c:v>
                </c:pt>
                <c:pt idx="673">
                  <c:v>10383.010000000002</c:v>
                </c:pt>
                <c:pt idx="674">
                  <c:v>9826.880000000001</c:v>
                </c:pt>
                <c:pt idx="675">
                  <c:v>11551.280000000002</c:v>
                </c:pt>
                <c:pt idx="676">
                  <c:v>12147.43</c:v>
                </c:pt>
                <c:pt idx="677">
                  <c:v>9920.44</c:v>
                </c:pt>
                <c:pt idx="678">
                  <c:v>7189.7099999999991</c:v>
                </c:pt>
                <c:pt idx="679">
                  <c:v>10575.2</c:v>
                </c:pt>
                <c:pt idx="680">
                  <c:v>5657.1500000000015</c:v>
                </c:pt>
                <c:pt idx="681">
                  <c:v>12594.35</c:v>
                </c:pt>
                <c:pt idx="682">
                  <c:v>11084.280000000002</c:v>
                </c:pt>
                <c:pt idx="683">
                  <c:v>11626.98</c:v>
                </c:pt>
                <c:pt idx="684">
                  <c:v>8298.2899999999991</c:v>
                </c:pt>
                <c:pt idx="685">
                  <c:v>7744.2099999999991</c:v>
                </c:pt>
                <c:pt idx="686">
                  <c:v>8618.3100000000013</c:v>
                </c:pt>
                <c:pt idx="687">
                  <c:v>8128.55</c:v>
                </c:pt>
                <c:pt idx="688">
                  <c:v>6776.7899999999991</c:v>
                </c:pt>
                <c:pt idx="689">
                  <c:v>7917.7299999999987</c:v>
                </c:pt>
                <c:pt idx="690">
                  <c:v>9744.26</c:v>
                </c:pt>
                <c:pt idx="691">
                  <c:v>5049.4899999999989</c:v>
                </c:pt>
                <c:pt idx="692">
                  <c:v>14066.28</c:v>
                </c:pt>
                <c:pt idx="693">
                  <c:v>10088.470000000001</c:v>
                </c:pt>
                <c:pt idx="694">
                  <c:v>11737.6</c:v>
                </c:pt>
                <c:pt idx="695">
                  <c:v>8852.65</c:v>
                </c:pt>
                <c:pt idx="696">
                  <c:v>7875.35</c:v>
                </c:pt>
                <c:pt idx="697">
                  <c:v>13227.990000000002</c:v>
                </c:pt>
                <c:pt idx="698">
                  <c:v>9017.9200000000019</c:v>
                </c:pt>
                <c:pt idx="699">
                  <c:v>11354.310000000003</c:v>
                </c:pt>
                <c:pt idx="700">
                  <c:v>9325.64</c:v>
                </c:pt>
                <c:pt idx="701">
                  <c:v>9387.720000000003</c:v>
                </c:pt>
                <c:pt idx="702">
                  <c:v>10676.890000000001</c:v>
                </c:pt>
                <c:pt idx="703">
                  <c:v>5962.0300000000007</c:v>
                </c:pt>
                <c:pt idx="704">
                  <c:v>9427.73</c:v>
                </c:pt>
                <c:pt idx="705">
                  <c:v>5212.6000000000004</c:v>
                </c:pt>
                <c:pt idx="706">
                  <c:v>7562.3699999999981</c:v>
                </c:pt>
                <c:pt idx="707">
                  <c:v>12571.53</c:v>
                </c:pt>
                <c:pt idx="708">
                  <c:v>6212.9000000000005</c:v>
                </c:pt>
                <c:pt idx="709">
                  <c:v>8655.16</c:v>
                </c:pt>
                <c:pt idx="710">
                  <c:v>9358.2100000000009</c:v>
                </c:pt>
                <c:pt idx="711">
                  <c:v>13124.410000000002</c:v>
                </c:pt>
                <c:pt idx="712">
                  <c:v>12948.41</c:v>
                </c:pt>
                <c:pt idx="713">
                  <c:v>8483.2000000000007</c:v>
                </c:pt>
                <c:pt idx="714">
                  <c:v>13401.140000000001</c:v>
                </c:pt>
                <c:pt idx="715">
                  <c:v>8877.7199999999993</c:v>
                </c:pt>
                <c:pt idx="716">
                  <c:v>9801.5300000000007</c:v>
                </c:pt>
                <c:pt idx="717">
                  <c:v>10084.710000000001</c:v>
                </c:pt>
                <c:pt idx="718">
                  <c:v>11509.699999999999</c:v>
                </c:pt>
                <c:pt idx="719">
                  <c:v>12625.740000000002</c:v>
                </c:pt>
                <c:pt idx="720">
                  <c:v>7783.55</c:v>
                </c:pt>
                <c:pt idx="721">
                  <c:v>11165.99</c:v>
                </c:pt>
                <c:pt idx="722">
                  <c:v>10142.74</c:v>
                </c:pt>
                <c:pt idx="723">
                  <c:v>12548.830000000002</c:v>
                </c:pt>
                <c:pt idx="724">
                  <c:v>11037.470000000001</c:v>
                </c:pt>
                <c:pt idx="725">
                  <c:v>11633.060000000001</c:v>
                </c:pt>
                <c:pt idx="726">
                  <c:v>6647.33</c:v>
                </c:pt>
                <c:pt idx="727">
                  <c:v>6924.47</c:v>
                </c:pt>
                <c:pt idx="728">
                  <c:v>6502.2599999999993</c:v>
                </c:pt>
                <c:pt idx="729">
                  <c:v>11410.210000000001</c:v>
                </c:pt>
                <c:pt idx="730">
                  <c:v>9499.1100000000024</c:v>
                </c:pt>
                <c:pt idx="731">
                  <c:v>7523.1600000000008</c:v>
                </c:pt>
                <c:pt idx="732">
                  <c:v>5777.9499999999989</c:v>
                </c:pt>
                <c:pt idx="733">
                  <c:v>9144.2700000000023</c:v>
                </c:pt>
                <c:pt idx="734">
                  <c:v>10157.010000000002</c:v>
                </c:pt>
                <c:pt idx="735">
                  <c:v>11398.610000000002</c:v>
                </c:pt>
                <c:pt idx="736">
                  <c:v>13217.960000000003</c:v>
                </c:pt>
                <c:pt idx="737">
                  <c:v>8460.630000000001</c:v>
                </c:pt>
                <c:pt idx="738">
                  <c:v>9216.869999999999</c:v>
                </c:pt>
                <c:pt idx="739">
                  <c:v>10348.970000000001</c:v>
                </c:pt>
                <c:pt idx="740">
                  <c:v>9905.19</c:v>
                </c:pt>
                <c:pt idx="741">
                  <c:v>8795.59</c:v>
                </c:pt>
                <c:pt idx="742">
                  <c:v>11217.230000000001</c:v>
                </c:pt>
                <c:pt idx="743">
                  <c:v>10135.200000000001</c:v>
                </c:pt>
                <c:pt idx="744">
                  <c:v>8800.44</c:v>
                </c:pt>
                <c:pt idx="745">
                  <c:v>4781.4400000000014</c:v>
                </c:pt>
                <c:pt idx="746">
                  <c:v>8098.8400000000011</c:v>
                </c:pt>
                <c:pt idx="747">
                  <c:v>8891.7800000000007</c:v>
                </c:pt>
                <c:pt idx="748">
                  <c:v>9587.8900000000012</c:v>
                </c:pt>
                <c:pt idx="749">
                  <c:v>10547.27</c:v>
                </c:pt>
                <c:pt idx="750">
                  <c:v>7797.1399999999994</c:v>
                </c:pt>
                <c:pt idx="751">
                  <c:v>6719.44</c:v>
                </c:pt>
                <c:pt idx="752">
                  <c:v>8481.2699999999986</c:v>
                </c:pt>
                <c:pt idx="753">
                  <c:v>7824.4299999999994</c:v>
                </c:pt>
                <c:pt idx="754">
                  <c:v>5829.7400000000007</c:v>
                </c:pt>
                <c:pt idx="755">
                  <c:v>9372.5500000000011</c:v>
                </c:pt>
                <c:pt idx="756">
                  <c:v>15533.250000000002</c:v>
                </c:pt>
                <c:pt idx="757">
                  <c:v>6188.5999999999985</c:v>
                </c:pt>
                <c:pt idx="758">
                  <c:v>6330.369999999999</c:v>
                </c:pt>
                <c:pt idx="759">
                  <c:v>12644.110000000002</c:v>
                </c:pt>
                <c:pt idx="760">
                  <c:v>13331.320000000002</c:v>
                </c:pt>
                <c:pt idx="761">
                  <c:v>10849.710000000001</c:v>
                </c:pt>
                <c:pt idx="762">
                  <c:v>9013.5800000000017</c:v>
                </c:pt>
                <c:pt idx="763">
                  <c:v>6034.7899999999991</c:v>
                </c:pt>
                <c:pt idx="764">
                  <c:v>11231.620000000003</c:v>
                </c:pt>
                <c:pt idx="765">
                  <c:v>10223.850000000002</c:v>
                </c:pt>
                <c:pt idx="766">
                  <c:v>9132.0400000000027</c:v>
                </c:pt>
                <c:pt idx="767">
                  <c:v>7162.37</c:v>
                </c:pt>
                <c:pt idx="768">
                  <c:v>6198.8</c:v>
                </c:pt>
                <c:pt idx="769">
                  <c:v>6791.8400000000011</c:v>
                </c:pt>
                <c:pt idx="770">
                  <c:v>8966.2900000000009</c:v>
                </c:pt>
                <c:pt idx="771">
                  <c:v>8985.9100000000017</c:v>
                </c:pt>
                <c:pt idx="772">
                  <c:v>9512.07</c:v>
                </c:pt>
                <c:pt idx="773">
                  <c:v>6635.4899999999989</c:v>
                </c:pt>
                <c:pt idx="774">
                  <c:v>5788.03</c:v>
                </c:pt>
                <c:pt idx="775">
                  <c:v>8670.5200000000023</c:v>
                </c:pt>
                <c:pt idx="776">
                  <c:v>11245.26</c:v>
                </c:pt>
                <c:pt idx="777">
                  <c:v>8834.7400000000016</c:v>
                </c:pt>
                <c:pt idx="778">
                  <c:v>6757.8099999999995</c:v>
                </c:pt>
                <c:pt idx="779">
                  <c:v>5884.619999999999</c:v>
                </c:pt>
                <c:pt idx="780">
                  <c:v>11637.87</c:v>
                </c:pt>
                <c:pt idx="781">
                  <c:v>7621.42</c:v>
                </c:pt>
                <c:pt idx="782">
                  <c:v>8773.8700000000008</c:v>
                </c:pt>
                <c:pt idx="783">
                  <c:v>10120.700000000001</c:v>
                </c:pt>
                <c:pt idx="784">
                  <c:v>11294.26</c:v>
                </c:pt>
                <c:pt idx="785">
                  <c:v>7991.1200000000008</c:v>
                </c:pt>
                <c:pt idx="786">
                  <c:v>11220.230000000001</c:v>
                </c:pt>
                <c:pt idx="787">
                  <c:v>9801.369999999999</c:v>
                </c:pt>
                <c:pt idx="788">
                  <c:v>8111.2599999999984</c:v>
                </c:pt>
                <c:pt idx="789">
                  <c:v>8453.0399999999991</c:v>
                </c:pt>
                <c:pt idx="790">
                  <c:v>10347.83</c:v>
                </c:pt>
                <c:pt idx="791">
                  <c:v>11699.390000000001</c:v>
                </c:pt>
                <c:pt idx="792">
                  <c:v>7979.1800000000012</c:v>
                </c:pt>
                <c:pt idx="793">
                  <c:v>10451.710000000001</c:v>
                </c:pt>
                <c:pt idx="794">
                  <c:v>8257.260000000002</c:v>
                </c:pt>
                <c:pt idx="795">
                  <c:v>8710.0299999999988</c:v>
                </c:pt>
                <c:pt idx="796">
                  <c:v>7349.5099999999984</c:v>
                </c:pt>
                <c:pt idx="797">
                  <c:v>9660.98</c:v>
                </c:pt>
                <c:pt idx="798">
                  <c:v>9378.0400000000009</c:v>
                </c:pt>
                <c:pt idx="799">
                  <c:v>7302.82</c:v>
                </c:pt>
                <c:pt idx="800">
                  <c:v>4890.3500000000022</c:v>
                </c:pt>
                <c:pt idx="801">
                  <c:v>10286.390000000001</c:v>
                </c:pt>
                <c:pt idx="802">
                  <c:v>10548.100000000002</c:v>
                </c:pt>
                <c:pt idx="803">
                  <c:v>11126.810000000001</c:v>
                </c:pt>
                <c:pt idx="804">
                  <c:v>13451.6</c:v>
                </c:pt>
                <c:pt idx="805">
                  <c:v>9127.130000000001</c:v>
                </c:pt>
                <c:pt idx="806">
                  <c:v>9993.2900000000009</c:v>
                </c:pt>
                <c:pt idx="807">
                  <c:v>5528.1800000000012</c:v>
                </c:pt>
                <c:pt idx="808">
                  <c:v>7769.71</c:v>
                </c:pt>
                <c:pt idx="809">
                  <c:v>7142.57</c:v>
                </c:pt>
                <c:pt idx="810">
                  <c:v>11213.02</c:v>
                </c:pt>
                <c:pt idx="811">
                  <c:v>12002.78</c:v>
                </c:pt>
                <c:pt idx="812">
                  <c:v>11124.519999999999</c:v>
                </c:pt>
                <c:pt idx="813">
                  <c:v>9403.19</c:v>
                </c:pt>
                <c:pt idx="814">
                  <c:v>11657.03</c:v>
                </c:pt>
                <c:pt idx="815">
                  <c:v>10886.7</c:v>
                </c:pt>
                <c:pt idx="816">
                  <c:v>7579.14</c:v>
                </c:pt>
                <c:pt idx="817">
                  <c:v>8872.58</c:v>
                </c:pt>
                <c:pt idx="818">
                  <c:v>10336.32</c:v>
                </c:pt>
                <c:pt idx="819">
                  <c:v>9098.2800000000007</c:v>
                </c:pt>
                <c:pt idx="820">
                  <c:v>13112.400000000001</c:v>
                </c:pt>
                <c:pt idx="821">
                  <c:v>8824.4100000000017</c:v>
                </c:pt>
                <c:pt idx="822">
                  <c:v>11365.900000000001</c:v>
                </c:pt>
                <c:pt idx="823">
                  <c:v>12573.62</c:v>
                </c:pt>
                <c:pt idx="824">
                  <c:v>5678.5199999999986</c:v>
                </c:pt>
                <c:pt idx="825">
                  <c:v>6680.71</c:v>
                </c:pt>
                <c:pt idx="826">
                  <c:v>8005.2500000000009</c:v>
                </c:pt>
                <c:pt idx="827">
                  <c:v>7979.13</c:v>
                </c:pt>
                <c:pt idx="828">
                  <c:v>9914.0499999999993</c:v>
                </c:pt>
                <c:pt idx="829">
                  <c:v>11584.25</c:v>
                </c:pt>
                <c:pt idx="830">
                  <c:v>6342.3099999999995</c:v>
                </c:pt>
                <c:pt idx="831">
                  <c:v>6835.7199999999993</c:v>
                </c:pt>
                <c:pt idx="832">
                  <c:v>6764.32</c:v>
                </c:pt>
                <c:pt idx="833">
                  <c:v>10349.850000000002</c:v>
                </c:pt>
                <c:pt idx="834">
                  <c:v>6517.36</c:v>
                </c:pt>
                <c:pt idx="835">
                  <c:v>8056.9100000000017</c:v>
                </c:pt>
                <c:pt idx="836">
                  <c:v>10562.800000000003</c:v>
                </c:pt>
                <c:pt idx="837">
                  <c:v>8760.5600000000013</c:v>
                </c:pt>
                <c:pt idx="838">
                  <c:v>9855.09</c:v>
                </c:pt>
                <c:pt idx="839">
                  <c:v>10614.81</c:v>
                </c:pt>
                <c:pt idx="840">
                  <c:v>8137.1200000000008</c:v>
                </c:pt>
                <c:pt idx="841">
                  <c:v>7070.7800000000007</c:v>
                </c:pt>
                <c:pt idx="842">
                  <c:v>10943</c:v>
                </c:pt>
                <c:pt idx="843">
                  <c:v>11465.740000000002</c:v>
                </c:pt>
                <c:pt idx="844">
                  <c:v>9635.02</c:v>
                </c:pt>
                <c:pt idx="845">
                  <c:v>8804.0799999999981</c:v>
                </c:pt>
                <c:pt idx="846">
                  <c:v>5740.1700000000019</c:v>
                </c:pt>
                <c:pt idx="847">
                  <c:v>7017.7400000000007</c:v>
                </c:pt>
                <c:pt idx="848">
                  <c:v>10741.93</c:v>
                </c:pt>
                <c:pt idx="849">
                  <c:v>8407.17</c:v>
                </c:pt>
                <c:pt idx="850">
                  <c:v>7486.0999999999995</c:v>
                </c:pt>
                <c:pt idx="851">
                  <c:v>7036.73</c:v>
                </c:pt>
                <c:pt idx="852">
                  <c:v>12077.730000000001</c:v>
                </c:pt>
                <c:pt idx="853">
                  <c:v>10435.859999999999</c:v>
                </c:pt>
                <c:pt idx="854">
                  <c:v>5774.829999999999</c:v>
                </c:pt>
                <c:pt idx="855">
                  <c:v>5931.95</c:v>
                </c:pt>
                <c:pt idx="856">
                  <c:v>5524.1500000000005</c:v>
                </c:pt>
                <c:pt idx="857">
                  <c:v>5384.5999999999995</c:v>
                </c:pt>
                <c:pt idx="858">
                  <c:v>7821.9199999999983</c:v>
                </c:pt>
                <c:pt idx="859">
                  <c:v>7839.6399999999985</c:v>
                </c:pt>
                <c:pt idx="860">
                  <c:v>6364.0399999999981</c:v>
                </c:pt>
                <c:pt idx="861">
                  <c:v>6161.739999999998</c:v>
                </c:pt>
                <c:pt idx="862">
                  <c:v>6004.81</c:v>
                </c:pt>
                <c:pt idx="863">
                  <c:v>5674.4600000000009</c:v>
                </c:pt>
                <c:pt idx="864">
                  <c:v>9539.61</c:v>
                </c:pt>
                <c:pt idx="865">
                  <c:v>8160.82</c:v>
                </c:pt>
                <c:pt idx="866">
                  <c:v>9964.64</c:v>
                </c:pt>
                <c:pt idx="867">
                  <c:v>8180.82</c:v>
                </c:pt>
                <c:pt idx="868">
                  <c:v>9327.65</c:v>
                </c:pt>
                <c:pt idx="869">
                  <c:v>6961.7699999999977</c:v>
                </c:pt>
                <c:pt idx="870">
                  <c:v>7723.3499999999995</c:v>
                </c:pt>
                <c:pt idx="871">
                  <c:v>12683.920000000002</c:v>
                </c:pt>
                <c:pt idx="872">
                  <c:v>8959.9800000000014</c:v>
                </c:pt>
                <c:pt idx="873">
                  <c:v>7946.99</c:v>
                </c:pt>
                <c:pt idx="874">
                  <c:v>7203.3600000000015</c:v>
                </c:pt>
                <c:pt idx="875">
                  <c:v>9005.0600000000013</c:v>
                </c:pt>
                <c:pt idx="876">
                  <c:v>12847.890000000003</c:v>
                </c:pt>
                <c:pt idx="877">
                  <c:v>8026.4599999999991</c:v>
                </c:pt>
                <c:pt idx="878">
                  <c:v>5869.0099999999993</c:v>
                </c:pt>
                <c:pt idx="879">
                  <c:v>8751.4399999999987</c:v>
                </c:pt>
                <c:pt idx="880">
                  <c:v>14095.810000000001</c:v>
                </c:pt>
                <c:pt idx="881">
                  <c:v>6732.67</c:v>
                </c:pt>
                <c:pt idx="882">
                  <c:v>6398.65</c:v>
                </c:pt>
                <c:pt idx="883">
                  <c:v>8124.8400000000011</c:v>
                </c:pt>
                <c:pt idx="884">
                  <c:v>5519.16</c:v>
                </c:pt>
                <c:pt idx="885">
                  <c:v>8103.6799999999994</c:v>
                </c:pt>
                <c:pt idx="886">
                  <c:v>8201.58</c:v>
                </c:pt>
                <c:pt idx="887">
                  <c:v>6473.159999999998</c:v>
                </c:pt>
                <c:pt idx="888">
                  <c:v>12386.610000000002</c:v>
                </c:pt>
                <c:pt idx="889">
                  <c:v>5797.3200000000024</c:v>
                </c:pt>
                <c:pt idx="890">
                  <c:v>8087.7800000000007</c:v>
                </c:pt>
                <c:pt idx="891">
                  <c:v>10455.49</c:v>
                </c:pt>
                <c:pt idx="892">
                  <c:v>12047.720000000001</c:v>
                </c:pt>
                <c:pt idx="893">
                  <c:v>10384.530000000002</c:v>
                </c:pt>
                <c:pt idx="894">
                  <c:v>12601.737000000003</c:v>
                </c:pt>
                <c:pt idx="895">
                  <c:v>12211.74</c:v>
                </c:pt>
                <c:pt idx="896">
                  <c:v>9159.8499999999985</c:v>
                </c:pt>
                <c:pt idx="897">
                  <c:v>6857.46</c:v>
                </c:pt>
                <c:pt idx="898">
                  <c:v>8307.3300000000017</c:v>
                </c:pt>
                <c:pt idx="899">
                  <c:v>10509.45</c:v>
                </c:pt>
                <c:pt idx="900">
                  <c:v>6092.6300000000019</c:v>
                </c:pt>
                <c:pt idx="901">
                  <c:v>5067.6499999999987</c:v>
                </c:pt>
                <c:pt idx="902">
                  <c:v>5835.630000000001</c:v>
                </c:pt>
                <c:pt idx="903">
                  <c:v>7442.1500000000005</c:v>
                </c:pt>
                <c:pt idx="904">
                  <c:v>6500.93</c:v>
                </c:pt>
                <c:pt idx="905">
                  <c:v>9592.27</c:v>
                </c:pt>
                <c:pt idx="906">
                  <c:v>13852.52</c:v>
                </c:pt>
                <c:pt idx="907">
                  <c:v>9265.3200000000015</c:v>
                </c:pt>
                <c:pt idx="908">
                  <c:v>13403.92</c:v>
                </c:pt>
                <c:pt idx="909">
                  <c:v>7915.989999999998</c:v>
                </c:pt>
                <c:pt idx="910">
                  <c:v>6923.8</c:v>
                </c:pt>
                <c:pt idx="911">
                  <c:v>9222.6200000000008</c:v>
                </c:pt>
                <c:pt idx="912">
                  <c:v>8857.49</c:v>
                </c:pt>
                <c:pt idx="913">
                  <c:v>11607.910000000002</c:v>
                </c:pt>
                <c:pt idx="914">
                  <c:v>8294.5600000000013</c:v>
                </c:pt>
                <c:pt idx="915">
                  <c:v>7686.49</c:v>
                </c:pt>
                <c:pt idx="916">
                  <c:v>12159.890000000001</c:v>
                </c:pt>
                <c:pt idx="917">
                  <c:v>11974.960000000001</c:v>
                </c:pt>
                <c:pt idx="918">
                  <c:v>8492.59</c:v>
                </c:pt>
                <c:pt idx="919">
                  <c:v>9429.7700000000023</c:v>
                </c:pt>
                <c:pt idx="920">
                  <c:v>9776.4500000000025</c:v>
                </c:pt>
                <c:pt idx="921">
                  <c:v>8004.8399999999983</c:v>
                </c:pt>
                <c:pt idx="922">
                  <c:v>5965.9499999999989</c:v>
                </c:pt>
                <c:pt idx="923">
                  <c:v>8936.92</c:v>
                </c:pt>
                <c:pt idx="924">
                  <c:v>6967.1100000000006</c:v>
                </c:pt>
                <c:pt idx="925">
                  <c:v>7446.2599999999993</c:v>
                </c:pt>
                <c:pt idx="926">
                  <c:v>11255.240000000003</c:v>
                </c:pt>
                <c:pt idx="927">
                  <c:v>7081.7599999999984</c:v>
                </c:pt>
                <c:pt idx="928">
                  <c:v>5895.45</c:v>
                </c:pt>
                <c:pt idx="929">
                  <c:v>9932.9900000000016</c:v>
                </c:pt>
                <c:pt idx="930">
                  <c:v>8084.73</c:v>
                </c:pt>
                <c:pt idx="931">
                  <c:v>6917.0899999999992</c:v>
                </c:pt>
                <c:pt idx="932">
                  <c:v>9929.3700000000008</c:v>
                </c:pt>
                <c:pt idx="933">
                  <c:v>14812.620000000003</c:v>
                </c:pt>
                <c:pt idx="934">
                  <c:v>9199.27</c:v>
                </c:pt>
                <c:pt idx="935">
                  <c:v>10364.68</c:v>
                </c:pt>
                <c:pt idx="936">
                  <c:v>10540.850000000002</c:v>
                </c:pt>
                <c:pt idx="937">
                  <c:v>20743.984000000008</c:v>
                </c:pt>
                <c:pt idx="938">
                  <c:v>5720.6500000000005</c:v>
                </c:pt>
                <c:pt idx="939">
                  <c:v>7846.26</c:v>
                </c:pt>
                <c:pt idx="940">
                  <c:v>8215.6200000000008</c:v>
                </c:pt>
                <c:pt idx="941">
                  <c:v>14353.223</c:v>
                </c:pt>
                <c:pt idx="942">
                  <c:v>10457.370000000001</c:v>
                </c:pt>
                <c:pt idx="943">
                  <c:v>8046.28</c:v>
                </c:pt>
                <c:pt idx="944">
                  <c:v>8123.9599999999991</c:v>
                </c:pt>
                <c:pt idx="945">
                  <c:v>6579.3600000000006</c:v>
                </c:pt>
                <c:pt idx="946">
                  <c:v>9896.14</c:v>
                </c:pt>
                <c:pt idx="947">
                  <c:v>10225.36</c:v>
                </c:pt>
                <c:pt idx="948">
                  <c:v>8453.69</c:v>
                </c:pt>
                <c:pt idx="949">
                  <c:v>9378.7999999999993</c:v>
                </c:pt>
                <c:pt idx="950">
                  <c:v>7720.2999999999993</c:v>
                </c:pt>
                <c:pt idx="951">
                  <c:v>6748.27</c:v>
                </c:pt>
                <c:pt idx="952">
                  <c:v>12444.170000000004</c:v>
                </c:pt>
                <c:pt idx="953">
                  <c:v>9069.8000000000011</c:v>
                </c:pt>
                <c:pt idx="954">
                  <c:v>9461.89</c:v>
                </c:pt>
                <c:pt idx="955">
                  <c:v>8398.5800000000017</c:v>
                </c:pt>
                <c:pt idx="956">
                  <c:v>9392.3100000000013</c:v>
                </c:pt>
                <c:pt idx="957">
                  <c:v>8204.9500000000007</c:v>
                </c:pt>
                <c:pt idx="958">
                  <c:v>8767.18</c:v>
                </c:pt>
                <c:pt idx="959">
                  <c:v>9241.5000000000018</c:v>
                </c:pt>
                <c:pt idx="960">
                  <c:v>18750.762999999999</c:v>
                </c:pt>
                <c:pt idx="961">
                  <c:v>5797.8400000000011</c:v>
                </c:pt>
                <c:pt idx="962">
                  <c:v>9196.66</c:v>
                </c:pt>
                <c:pt idx="963">
                  <c:v>9323.7100000000009</c:v>
                </c:pt>
                <c:pt idx="964">
                  <c:v>7386.949999999998</c:v>
                </c:pt>
                <c:pt idx="965">
                  <c:v>9596.69</c:v>
                </c:pt>
                <c:pt idx="966">
                  <c:v>14643.59</c:v>
                </c:pt>
                <c:pt idx="967">
                  <c:v>11290.6</c:v>
                </c:pt>
                <c:pt idx="968">
                  <c:v>11352.2</c:v>
                </c:pt>
                <c:pt idx="969">
                  <c:v>7650.41</c:v>
                </c:pt>
                <c:pt idx="970">
                  <c:v>9266.619999999999</c:v>
                </c:pt>
                <c:pt idx="971">
                  <c:v>9085.36</c:v>
                </c:pt>
                <c:pt idx="972">
                  <c:v>9764.4100000000017</c:v>
                </c:pt>
                <c:pt idx="973">
                  <c:v>12575.118000000004</c:v>
                </c:pt>
                <c:pt idx="974">
                  <c:v>8198.8500000000022</c:v>
                </c:pt>
                <c:pt idx="975">
                  <c:v>8290.57</c:v>
                </c:pt>
                <c:pt idx="976">
                  <c:v>16668.605000000003</c:v>
                </c:pt>
                <c:pt idx="977">
                  <c:v>14293.44</c:v>
                </c:pt>
                <c:pt idx="978">
                  <c:v>9752.8500000000022</c:v>
                </c:pt>
                <c:pt idx="979">
                  <c:v>18368.065999999999</c:v>
                </c:pt>
                <c:pt idx="980">
                  <c:v>9567.6900000000023</c:v>
                </c:pt>
                <c:pt idx="981">
                  <c:v>8565.630000000001</c:v>
                </c:pt>
                <c:pt idx="982">
                  <c:v>16859.310000000005</c:v>
                </c:pt>
                <c:pt idx="983">
                  <c:v>10158.81</c:v>
                </c:pt>
                <c:pt idx="984">
                  <c:v>10261.5</c:v>
                </c:pt>
                <c:pt idx="985">
                  <c:v>10445.070000000002</c:v>
                </c:pt>
                <c:pt idx="986">
                  <c:v>12353.560000000001</c:v>
                </c:pt>
                <c:pt idx="987">
                  <c:v>19612.431000000004</c:v>
                </c:pt>
                <c:pt idx="988">
                  <c:v>25249.047999999999</c:v>
                </c:pt>
                <c:pt idx="989">
                  <c:v>8989.33</c:v>
                </c:pt>
                <c:pt idx="990">
                  <c:v>10210.800000000003</c:v>
                </c:pt>
                <c:pt idx="991">
                  <c:v>19478.919000000009</c:v>
                </c:pt>
                <c:pt idx="992">
                  <c:v>11187.947000000006</c:v>
                </c:pt>
                <c:pt idx="993">
                  <c:v>9440.99</c:v>
                </c:pt>
                <c:pt idx="994">
                  <c:v>12615.42</c:v>
                </c:pt>
                <c:pt idx="995">
                  <c:v>8186.7900000000009</c:v>
                </c:pt>
                <c:pt idx="996">
                  <c:v>19363.201000000001</c:v>
                </c:pt>
                <c:pt idx="997">
                  <c:v>22884.161</c:v>
                </c:pt>
                <c:pt idx="998">
                  <c:v>22738.297000000002</c:v>
                </c:pt>
                <c:pt idx="999">
                  <c:v>24144.463000000003</c:v>
                </c:pt>
                <c:pt idx="1000">
                  <c:v>15963.960000000003</c:v>
                </c:pt>
                <c:pt idx="1001">
                  <c:v>20439.310000000001</c:v>
                </c:pt>
                <c:pt idx="1002">
                  <c:v>11639.040000000003</c:v>
                </c:pt>
                <c:pt idx="1003">
                  <c:v>18234.182000000004</c:v>
                </c:pt>
                <c:pt idx="1004">
                  <c:v>5715.66</c:v>
                </c:pt>
                <c:pt idx="1005">
                  <c:v>22076.142000000003</c:v>
                </c:pt>
                <c:pt idx="1006">
                  <c:v>19670.169000000005</c:v>
                </c:pt>
                <c:pt idx="1007">
                  <c:v>10029.33</c:v>
                </c:pt>
                <c:pt idx="1008">
                  <c:v>25302.560999999998</c:v>
                </c:pt>
                <c:pt idx="1009">
                  <c:v>21317.329000000002</c:v>
                </c:pt>
                <c:pt idx="1010">
                  <c:v>27412.077000000005</c:v>
                </c:pt>
                <c:pt idx="1011">
                  <c:v>25823.941999999999</c:v>
                </c:pt>
                <c:pt idx="1012">
                  <c:v>12797.29</c:v>
                </c:pt>
                <c:pt idx="1013">
                  <c:v>25664.555999999997</c:v>
                </c:pt>
                <c:pt idx="1014">
                  <c:v>15472.032000000007</c:v>
                </c:pt>
                <c:pt idx="1015">
                  <c:v>26495.949000000008</c:v>
                </c:pt>
                <c:pt idx="1016">
                  <c:v>20055.780000000002</c:v>
                </c:pt>
                <c:pt idx="1017">
                  <c:v>25086.397000000008</c:v>
                </c:pt>
                <c:pt idx="1018">
                  <c:v>20655.634000000005</c:v>
                </c:pt>
                <c:pt idx="1019">
                  <c:v>23961.200000000001</c:v>
                </c:pt>
                <c:pt idx="1020">
                  <c:v>6663.93</c:v>
                </c:pt>
                <c:pt idx="1021">
                  <c:v>18478.870000000003</c:v>
                </c:pt>
                <c:pt idx="1022">
                  <c:v>24354.561000000002</c:v>
                </c:pt>
                <c:pt idx="1023">
                  <c:v>12272.93</c:v>
                </c:pt>
                <c:pt idx="1024">
                  <c:v>24172.592000000004</c:v>
                </c:pt>
                <c:pt idx="1025">
                  <c:v>8534.6</c:v>
                </c:pt>
                <c:pt idx="1026">
                  <c:v>24654.323</c:v>
                </c:pt>
                <c:pt idx="1027">
                  <c:v>26845.727000000003</c:v>
                </c:pt>
                <c:pt idx="1028">
                  <c:v>9956.9600000000009</c:v>
                </c:pt>
                <c:pt idx="1029">
                  <c:v>9976.1200000000026</c:v>
                </c:pt>
                <c:pt idx="1030">
                  <c:v>27149.217000000001</c:v>
                </c:pt>
                <c:pt idx="1031">
                  <c:v>24432.197999999993</c:v>
                </c:pt>
                <c:pt idx="1032">
                  <c:v>20111.236000000001</c:v>
                </c:pt>
                <c:pt idx="1033">
                  <c:v>25719.855000000003</c:v>
                </c:pt>
                <c:pt idx="1034">
                  <c:v>24593.814999999999</c:v>
                </c:pt>
                <c:pt idx="1035">
                  <c:v>19511.794000000005</c:v>
                </c:pt>
                <c:pt idx="1036">
                  <c:v>28731.831999999999</c:v>
                </c:pt>
                <c:pt idx="1037">
                  <c:v>21561.032999999999</c:v>
                </c:pt>
                <c:pt idx="1038">
                  <c:v>16962.299000000006</c:v>
                </c:pt>
                <c:pt idx="1039">
                  <c:v>9596.42</c:v>
                </c:pt>
                <c:pt idx="1040">
                  <c:v>7716.82</c:v>
                </c:pt>
                <c:pt idx="1041">
                  <c:v>8186.5299999999988</c:v>
                </c:pt>
                <c:pt idx="1042">
                  <c:v>9569.1900000000023</c:v>
                </c:pt>
                <c:pt idx="1043">
                  <c:v>6721.96</c:v>
                </c:pt>
                <c:pt idx="1044">
                  <c:v>8886.5299999999988</c:v>
                </c:pt>
                <c:pt idx="1045">
                  <c:v>21882.577000000005</c:v>
                </c:pt>
                <c:pt idx="1046">
                  <c:v>13621.827000000007</c:v>
                </c:pt>
                <c:pt idx="1047">
                  <c:v>25679.469000000005</c:v>
                </c:pt>
                <c:pt idx="1048">
                  <c:v>23130.720999999994</c:v>
                </c:pt>
                <c:pt idx="1049">
                  <c:v>12913.09</c:v>
                </c:pt>
                <c:pt idx="1050">
                  <c:v>21851.271000000001</c:v>
                </c:pt>
                <c:pt idx="1051">
                  <c:v>8089.4200000000019</c:v>
                </c:pt>
                <c:pt idx="1052">
                  <c:v>26897.572</c:v>
                </c:pt>
                <c:pt idx="1053">
                  <c:v>22278.596000000001</c:v>
                </c:pt>
                <c:pt idx="1054">
                  <c:v>8827.17</c:v>
                </c:pt>
                <c:pt idx="1055">
                  <c:v>18880.197999999997</c:v>
                </c:pt>
                <c:pt idx="1056">
                  <c:v>16049.790000000003</c:v>
                </c:pt>
                <c:pt idx="1057">
                  <c:v>18185.534</c:v>
                </c:pt>
                <c:pt idx="1058">
                  <c:v>27896.145999999993</c:v>
                </c:pt>
                <c:pt idx="1059">
                  <c:v>23906.905999999999</c:v>
                </c:pt>
                <c:pt idx="1060">
                  <c:v>17055.858000000004</c:v>
                </c:pt>
                <c:pt idx="1061">
                  <c:v>8243.8099999999977</c:v>
                </c:pt>
                <c:pt idx="1062">
                  <c:v>27716.391000000003</c:v>
                </c:pt>
                <c:pt idx="1063">
                  <c:v>9555.9600000000028</c:v>
                </c:pt>
                <c:pt idx="1064">
                  <c:v>18924.410000000003</c:v>
                </c:pt>
                <c:pt idx="1065">
                  <c:v>29790.253000000001</c:v>
                </c:pt>
                <c:pt idx="1066">
                  <c:v>19766.415999999997</c:v>
                </c:pt>
                <c:pt idx="1067">
                  <c:v>24856.692000000003</c:v>
                </c:pt>
                <c:pt idx="1068">
                  <c:v>24184.206000000002</c:v>
                </c:pt>
                <c:pt idx="1069">
                  <c:v>14587.472000000005</c:v>
                </c:pt>
                <c:pt idx="1070">
                  <c:v>11470.940000000002</c:v>
                </c:pt>
                <c:pt idx="1071">
                  <c:v>23002.67</c:v>
                </c:pt>
                <c:pt idx="1072">
                  <c:v>10419.36</c:v>
                </c:pt>
                <c:pt idx="1073">
                  <c:v>26331.754000000008</c:v>
                </c:pt>
                <c:pt idx="1074">
                  <c:v>6388.37</c:v>
                </c:pt>
                <c:pt idx="1075">
                  <c:v>10509.220000000003</c:v>
                </c:pt>
                <c:pt idx="1076">
                  <c:v>9140.1299999999992</c:v>
                </c:pt>
                <c:pt idx="1077">
                  <c:v>13698.52</c:v>
                </c:pt>
                <c:pt idx="1078">
                  <c:v>25629.593000000008</c:v>
                </c:pt>
                <c:pt idx="1079">
                  <c:v>30136.82</c:v>
                </c:pt>
                <c:pt idx="1080">
                  <c:v>5409.17</c:v>
                </c:pt>
                <c:pt idx="1081">
                  <c:v>13036.760000000002</c:v>
                </c:pt>
                <c:pt idx="1082">
                  <c:v>27713.883000000005</c:v>
                </c:pt>
                <c:pt idx="1083">
                  <c:v>28009.187000000009</c:v>
                </c:pt>
                <c:pt idx="1084">
                  <c:v>21007.721000000001</c:v>
                </c:pt>
                <c:pt idx="1085">
                  <c:v>14943.910999999993</c:v>
                </c:pt>
                <c:pt idx="1086">
                  <c:v>21557.726000000002</c:v>
                </c:pt>
                <c:pt idx="1087">
                  <c:v>6694.29</c:v>
                </c:pt>
                <c:pt idx="1088">
                  <c:v>23222.324000000004</c:v>
                </c:pt>
                <c:pt idx="1089">
                  <c:v>8860.1000000000022</c:v>
                </c:pt>
                <c:pt idx="1090">
                  <c:v>23889.394000000004</c:v>
                </c:pt>
                <c:pt idx="1091">
                  <c:v>27747.979000000003</c:v>
                </c:pt>
                <c:pt idx="1092">
                  <c:v>5512.61</c:v>
                </c:pt>
                <c:pt idx="1093">
                  <c:v>28196.090999999997</c:v>
                </c:pt>
                <c:pt idx="1094">
                  <c:v>19896.862999999998</c:v>
                </c:pt>
                <c:pt idx="1095">
                  <c:v>26576.947</c:v>
                </c:pt>
                <c:pt idx="1096">
                  <c:v>25275.941000000003</c:v>
                </c:pt>
                <c:pt idx="1097">
                  <c:v>8644.31</c:v>
                </c:pt>
                <c:pt idx="1098">
                  <c:v>20092.813000000006</c:v>
                </c:pt>
                <c:pt idx="1099">
                  <c:v>21880.046000000002</c:v>
                </c:pt>
                <c:pt idx="1100">
                  <c:v>8678.65</c:v>
                </c:pt>
                <c:pt idx="1101">
                  <c:v>29143.370000000003</c:v>
                </c:pt>
                <c:pt idx="1102">
                  <c:v>6076.82</c:v>
                </c:pt>
                <c:pt idx="1103">
                  <c:v>15835.817999999997</c:v>
                </c:pt>
                <c:pt idx="1104">
                  <c:v>27191.179</c:v>
                </c:pt>
                <c:pt idx="1105">
                  <c:v>13092.99</c:v>
                </c:pt>
                <c:pt idx="1106">
                  <c:v>19221.880000000008</c:v>
                </c:pt>
                <c:pt idx="1107">
                  <c:v>29293.041000000001</c:v>
                </c:pt>
                <c:pt idx="1108">
                  <c:v>23743.183000000001</c:v>
                </c:pt>
                <c:pt idx="1109">
                  <c:v>8545.380000000001</c:v>
                </c:pt>
                <c:pt idx="1110">
                  <c:v>8982.2000000000007</c:v>
                </c:pt>
                <c:pt idx="1111">
                  <c:v>22856.752</c:v>
                </c:pt>
                <c:pt idx="1112">
                  <c:v>7090.76</c:v>
                </c:pt>
                <c:pt idx="1113">
                  <c:v>9004.9700000000012</c:v>
                </c:pt>
                <c:pt idx="1114">
                  <c:v>16506.760999999999</c:v>
                </c:pt>
                <c:pt idx="1115">
                  <c:v>12504.970000000001</c:v>
                </c:pt>
                <c:pt idx="1116">
                  <c:v>24631.594000000001</c:v>
                </c:pt>
                <c:pt idx="1117">
                  <c:v>26870.109000000004</c:v>
                </c:pt>
                <c:pt idx="1118">
                  <c:v>7627.02</c:v>
                </c:pt>
                <c:pt idx="1119">
                  <c:v>25112.440000000002</c:v>
                </c:pt>
                <c:pt idx="1120">
                  <c:v>24104.252000000004</c:v>
                </c:pt>
                <c:pt idx="1121">
                  <c:v>19913.729000000007</c:v>
                </c:pt>
                <c:pt idx="1122">
                  <c:v>21347.572000000004</c:v>
                </c:pt>
                <c:pt idx="1123">
                  <c:v>7800.33</c:v>
                </c:pt>
                <c:pt idx="1124">
                  <c:v>23153.531999999999</c:v>
                </c:pt>
                <c:pt idx="1125">
                  <c:v>24939.791000000001</c:v>
                </c:pt>
                <c:pt idx="1126">
                  <c:v>9956.2200000000012</c:v>
                </c:pt>
                <c:pt idx="1127">
                  <c:v>25645.005999999994</c:v>
                </c:pt>
                <c:pt idx="1128">
                  <c:v>5687.21</c:v>
                </c:pt>
                <c:pt idx="1129">
                  <c:v>8198.0800000000017</c:v>
                </c:pt>
                <c:pt idx="1130">
                  <c:v>26712.344000000005</c:v>
                </c:pt>
                <c:pt idx="1131">
                  <c:v>28001.364000000005</c:v>
                </c:pt>
                <c:pt idx="1132">
                  <c:v>5472.66</c:v>
                </c:pt>
                <c:pt idx="1133">
                  <c:v>21929.046999999999</c:v>
                </c:pt>
                <c:pt idx="1134">
                  <c:v>14404.330000000002</c:v>
                </c:pt>
                <c:pt idx="1135">
                  <c:v>25234.917000000009</c:v>
                </c:pt>
                <c:pt idx="1136">
                  <c:v>21238.644000000008</c:v>
                </c:pt>
                <c:pt idx="1137">
                  <c:v>12828.490000000002</c:v>
                </c:pt>
                <c:pt idx="1138">
                  <c:v>29061.848000000002</c:v>
                </c:pt>
                <c:pt idx="1139">
                  <c:v>5186.05</c:v>
                </c:pt>
                <c:pt idx="1140">
                  <c:v>28403.002</c:v>
                </c:pt>
                <c:pt idx="1141">
                  <c:v>10471.35</c:v>
                </c:pt>
                <c:pt idx="1142">
                  <c:v>21435.639000000003</c:v>
                </c:pt>
                <c:pt idx="1143">
                  <c:v>9112.5500000000011</c:v>
                </c:pt>
                <c:pt idx="1144">
                  <c:v>8216.9800000000014</c:v>
                </c:pt>
                <c:pt idx="1145">
                  <c:v>17593.382999999998</c:v>
                </c:pt>
                <c:pt idx="1146">
                  <c:v>8600.510000000002</c:v>
                </c:pt>
                <c:pt idx="1147">
                  <c:v>14812.87</c:v>
                </c:pt>
                <c:pt idx="1148">
                  <c:v>26829.693000000003</c:v>
                </c:pt>
                <c:pt idx="1149">
                  <c:v>20959.436000000002</c:v>
                </c:pt>
                <c:pt idx="1150">
                  <c:v>14740.670000000002</c:v>
                </c:pt>
                <c:pt idx="1151">
                  <c:v>6279.8599999999969</c:v>
                </c:pt>
                <c:pt idx="1152">
                  <c:v>17353.810000000001</c:v>
                </c:pt>
                <c:pt idx="1153">
                  <c:v>14450.43</c:v>
                </c:pt>
                <c:pt idx="1154">
                  <c:v>23251.931999999997</c:v>
                </c:pt>
                <c:pt idx="1155">
                  <c:v>7405.6100000000015</c:v>
                </c:pt>
                <c:pt idx="1156">
                  <c:v>24357.42</c:v>
                </c:pt>
                <c:pt idx="1157">
                  <c:v>6066.6900000000005</c:v>
                </c:pt>
                <c:pt idx="1158">
                  <c:v>29982.440000000002</c:v>
                </c:pt>
                <c:pt idx="1159">
                  <c:v>8241.5499999999993</c:v>
                </c:pt>
                <c:pt idx="1160">
                  <c:v>4573.9100000000008</c:v>
                </c:pt>
                <c:pt idx="1161">
                  <c:v>17880.580000000002</c:v>
                </c:pt>
                <c:pt idx="1162">
                  <c:v>26315.921999999999</c:v>
                </c:pt>
                <c:pt idx="1163">
                  <c:v>5713.380000000001</c:v>
                </c:pt>
                <c:pt idx="1164">
                  <c:v>25982.376999999997</c:v>
                </c:pt>
                <c:pt idx="1165">
                  <c:v>7806.4900000000016</c:v>
                </c:pt>
                <c:pt idx="1166">
                  <c:v>30327.732999999997</c:v>
                </c:pt>
                <c:pt idx="1167">
                  <c:v>12170.880000000001</c:v>
                </c:pt>
                <c:pt idx="1168">
                  <c:v>12102.779999999999</c:v>
                </c:pt>
                <c:pt idx="1169">
                  <c:v>14362.48</c:v>
                </c:pt>
                <c:pt idx="1170">
                  <c:v>9623.630000000001</c:v>
                </c:pt>
                <c:pt idx="1171">
                  <c:v>25531.597000000009</c:v>
                </c:pt>
                <c:pt idx="1172">
                  <c:v>7922.8999999999987</c:v>
                </c:pt>
                <c:pt idx="1173">
                  <c:v>26692.250000000004</c:v>
                </c:pt>
                <c:pt idx="1174">
                  <c:v>33647.519</c:v>
                </c:pt>
                <c:pt idx="1175">
                  <c:v>13069.16</c:v>
                </c:pt>
                <c:pt idx="1176">
                  <c:v>26626.551000000007</c:v>
                </c:pt>
                <c:pt idx="1177">
                  <c:v>30161.333000000006</c:v>
                </c:pt>
                <c:pt idx="1178">
                  <c:v>10338.810000000001</c:v>
                </c:pt>
                <c:pt idx="1179">
                  <c:v>8011.1899999999987</c:v>
                </c:pt>
                <c:pt idx="1180">
                  <c:v>34684.902000000009</c:v>
                </c:pt>
                <c:pt idx="1181">
                  <c:v>16192.510000000002</c:v>
                </c:pt>
                <c:pt idx="1182">
                  <c:v>6781.9099999999989</c:v>
                </c:pt>
                <c:pt idx="1183">
                  <c:v>29168.201000000001</c:v>
                </c:pt>
                <c:pt idx="1184">
                  <c:v>16403.75</c:v>
                </c:pt>
                <c:pt idx="1185">
                  <c:v>13152.85</c:v>
                </c:pt>
                <c:pt idx="1186">
                  <c:v>30058.136999999999</c:v>
                </c:pt>
                <c:pt idx="1187">
                  <c:v>11016.282000000003</c:v>
                </c:pt>
                <c:pt idx="1188">
                  <c:v>26211.407000000007</c:v>
                </c:pt>
                <c:pt idx="1189">
                  <c:v>25546.540000000008</c:v>
                </c:pt>
                <c:pt idx="1190">
                  <c:v>11712.290000000003</c:v>
                </c:pt>
                <c:pt idx="1191">
                  <c:v>31139.763000000006</c:v>
                </c:pt>
                <c:pt idx="1192">
                  <c:v>37978.003000000004</c:v>
                </c:pt>
                <c:pt idx="1193">
                  <c:v>27799.450999999997</c:v>
                </c:pt>
                <c:pt idx="1194">
                  <c:v>33448.527999999998</c:v>
                </c:pt>
                <c:pt idx="1195">
                  <c:v>25960.605999999996</c:v>
                </c:pt>
                <c:pt idx="1196">
                  <c:v>36194.646000000001</c:v>
                </c:pt>
                <c:pt idx="1197">
                  <c:v>38379.139000000003</c:v>
                </c:pt>
                <c:pt idx="1198">
                  <c:v>33676.553</c:v>
                </c:pt>
                <c:pt idx="1199">
                  <c:v>30937.309000000008</c:v>
                </c:pt>
                <c:pt idx="1200">
                  <c:v>31497.313000000009</c:v>
                </c:pt>
                <c:pt idx="1201">
                  <c:v>32809.745000000003</c:v>
                </c:pt>
                <c:pt idx="1202">
                  <c:v>33783.173000000003</c:v>
                </c:pt>
                <c:pt idx="1203">
                  <c:v>33631.662000000004</c:v>
                </c:pt>
                <c:pt idx="1204">
                  <c:v>31890.048999999995</c:v>
                </c:pt>
                <c:pt idx="1205">
                  <c:v>38561.511000000006</c:v>
                </c:pt>
                <c:pt idx="1206">
                  <c:v>32261.155999999999</c:v>
                </c:pt>
                <c:pt idx="1207">
                  <c:v>18425.881000000001</c:v>
                </c:pt>
                <c:pt idx="1208">
                  <c:v>30104.205000000002</c:v>
                </c:pt>
                <c:pt idx="1209">
                  <c:v>10275.94</c:v>
                </c:pt>
                <c:pt idx="1210">
                  <c:v>35595.322000000007</c:v>
                </c:pt>
                <c:pt idx="1211">
                  <c:v>35191.304000000011</c:v>
                </c:pt>
                <c:pt idx="1212">
                  <c:v>36040.14</c:v>
                </c:pt>
                <c:pt idx="1213">
                  <c:v>32877.391999999993</c:v>
                </c:pt>
                <c:pt idx="1214">
                  <c:v>31418.181</c:v>
                </c:pt>
                <c:pt idx="1215">
                  <c:v>36147.237000000001</c:v>
                </c:pt>
                <c:pt idx="1216">
                  <c:v>42175.490999999995</c:v>
                </c:pt>
                <c:pt idx="1217">
                  <c:v>36386.883000000009</c:v>
                </c:pt>
                <c:pt idx="1218">
                  <c:v>38255.646000000001</c:v>
                </c:pt>
                <c:pt idx="1219">
                  <c:v>38820.79</c:v>
                </c:pt>
                <c:pt idx="1220">
                  <c:v>44050.498000000007</c:v>
                </c:pt>
                <c:pt idx="1221">
                  <c:v>35800.463000000003</c:v>
                </c:pt>
                <c:pt idx="1222">
                  <c:v>8976.9600000000009</c:v>
                </c:pt>
                <c:pt idx="1223">
                  <c:v>33104.026999999995</c:v>
                </c:pt>
                <c:pt idx="1224">
                  <c:v>31496.205000000005</c:v>
                </c:pt>
                <c:pt idx="1225">
                  <c:v>16872.55</c:v>
                </c:pt>
                <c:pt idx="1226">
                  <c:v>41199.865000000005</c:v>
                </c:pt>
                <c:pt idx="1227">
                  <c:v>37157.115000000005</c:v>
                </c:pt>
                <c:pt idx="1228">
                  <c:v>35607.179000000004</c:v>
                </c:pt>
                <c:pt idx="1229">
                  <c:v>42693.684000000001</c:v>
                </c:pt>
                <c:pt idx="1230">
                  <c:v>38863.612000000001</c:v>
                </c:pt>
                <c:pt idx="1231">
                  <c:v>38907.944000000003</c:v>
                </c:pt>
                <c:pt idx="1232">
                  <c:v>41553.199000000001</c:v>
                </c:pt>
                <c:pt idx="1233">
                  <c:v>37225.434000000008</c:v>
                </c:pt>
                <c:pt idx="1234">
                  <c:v>33046.531000000003</c:v>
                </c:pt>
                <c:pt idx="1235">
                  <c:v>34398.265999999996</c:v>
                </c:pt>
                <c:pt idx="1236">
                  <c:v>22116.002000000004</c:v>
                </c:pt>
                <c:pt idx="1237">
                  <c:v>39449.878000000012</c:v>
                </c:pt>
                <c:pt idx="1238">
                  <c:v>27866.829000000002</c:v>
                </c:pt>
                <c:pt idx="1239">
                  <c:v>39878.892</c:v>
                </c:pt>
                <c:pt idx="1240">
                  <c:v>39916.226000000002</c:v>
                </c:pt>
                <c:pt idx="1241">
                  <c:v>36090.516000000011</c:v>
                </c:pt>
                <c:pt idx="1242">
                  <c:v>48473.033000000018</c:v>
                </c:pt>
                <c:pt idx="1243">
                  <c:v>32848.067999999999</c:v>
                </c:pt>
                <c:pt idx="1244">
                  <c:v>41827.466999999997</c:v>
                </c:pt>
                <c:pt idx="1245">
                  <c:v>42245.445999999996</c:v>
                </c:pt>
                <c:pt idx="1246">
                  <c:v>49244.808000000012</c:v>
                </c:pt>
                <c:pt idx="1247">
                  <c:v>28034.088000000003</c:v>
                </c:pt>
                <c:pt idx="1248">
                  <c:v>37632.488000000005</c:v>
                </c:pt>
                <c:pt idx="1249">
                  <c:v>35442.262000000002</c:v>
                </c:pt>
                <c:pt idx="1250">
                  <c:v>41105.871999999996</c:v>
                </c:pt>
                <c:pt idx="1251">
                  <c:v>31962.516</c:v>
                </c:pt>
                <c:pt idx="1252">
                  <c:v>38356.942000000003</c:v>
                </c:pt>
                <c:pt idx="1253">
                  <c:v>46823.209000000003</c:v>
                </c:pt>
                <c:pt idx="1254">
                  <c:v>53520.771000000015</c:v>
                </c:pt>
                <c:pt idx="1255">
                  <c:v>28863.244999999995</c:v>
                </c:pt>
                <c:pt idx="1256">
                  <c:v>35636.701000000001</c:v>
                </c:pt>
                <c:pt idx="1257">
                  <c:v>47040.713000000011</c:v>
                </c:pt>
                <c:pt idx="1258">
                  <c:v>41671.211999999992</c:v>
                </c:pt>
                <c:pt idx="1259">
                  <c:v>39938.989000000001</c:v>
                </c:pt>
                <c:pt idx="1260">
                  <c:v>33412.319000000003</c:v>
                </c:pt>
                <c:pt idx="1261">
                  <c:v>34928.531999999999</c:v>
                </c:pt>
                <c:pt idx="1262">
                  <c:v>35046.476999999999</c:v>
                </c:pt>
                <c:pt idx="1263">
                  <c:v>34404.959000000003</c:v>
                </c:pt>
                <c:pt idx="1264">
                  <c:v>38612.411999999997</c:v>
                </c:pt>
                <c:pt idx="1265">
                  <c:v>36756.725999999995</c:v>
                </c:pt>
                <c:pt idx="1266">
                  <c:v>30369.704999999998</c:v>
                </c:pt>
                <c:pt idx="1267">
                  <c:v>50262.212000000007</c:v>
                </c:pt>
                <c:pt idx="1268">
                  <c:v>47269.229000000007</c:v>
                </c:pt>
                <c:pt idx="1269">
                  <c:v>34854.334000000003</c:v>
                </c:pt>
                <c:pt idx="1270">
                  <c:v>36595.858999999997</c:v>
                </c:pt>
                <c:pt idx="1271">
                  <c:v>40046.340000000004</c:v>
                </c:pt>
                <c:pt idx="1272">
                  <c:v>32775.952000000012</c:v>
                </c:pt>
                <c:pt idx="1273">
                  <c:v>33306.254000000001</c:v>
                </c:pt>
                <c:pt idx="1274">
                  <c:v>35531.748000000007</c:v>
                </c:pt>
                <c:pt idx="1275">
                  <c:v>37370.656999999999</c:v>
                </c:pt>
                <c:pt idx="1276">
                  <c:v>44794.025999999998</c:v>
                </c:pt>
                <c:pt idx="1277">
                  <c:v>32495.322</c:v>
                </c:pt>
                <c:pt idx="1278">
                  <c:v>44574.735000000001</c:v>
                </c:pt>
                <c:pt idx="1279">
                  <c:v>53581.325000000004</c:v>
                </c:pt>
                <c:pt idx="1280">
                  <c:v>37393.11</c:v>
                </c:pt>
                <c:pt idx="1281">
                  <c:v>37806.589000000007</c:v>
                </c:pt>
                <c:pt idx="1282">
                  <c:v>34724.633000000002</c:v>
                </c:pt>
                <c:pt idx="1283">
                  <c:v>43801.729000000007</c:v>
                </c:pt>
                <c:pt idx="1284">
                  <c:v>38999.365000000005</c:v>
                </c:pt>
                <c:pt idx="1285">
                  <c:v>34910.248000000007</c:v>
                </c:pt>
                <c:pt idx="1286">
                  <c:v>40727.953999999998</c:v>
                </c:pt>
                <c:pt idx="1287">
                  <c:v>40043.880000000005</c:v>
                </c:pt>
                <c:pt idx="1288">
                  <c:v>37954.929000000004</c:v>
                </c:pt>
                <c:pt idx="1289">
                  <c:v>34546.048000000003</c:v>
                </c:pt>
                <c:pt idx="1290">
                  <c:v>55664.051000000014</c:v>
                </c:pt>
                <c:pt idx="1291">
                  <c:v>30372.652000000006</c:v>
                </c:pt>
                <c:pt idx="1292">
                  <c:v>47067.585999999996</c:v>
                </c:pt>
                <c:pt idx="1293">
                  <c:v>33140.674000000014</c:v>
                </c:pt>
                <c:pt idx="1294">
                  <c:v>34438.847999999998</c:v>
                </c:pt>
                <c:pt idx="1295">
                  <c:v>41178.751000000004</c:v>
                </c:pt>
                <c:pt idx="1296">
                  <c:v>34479.718000000001</c:v>
                </c:pt>
                <c:pt idx="1297">
                  <c:v>41152.539000000004</c:v>
                </c:pt>
                <c:pt idx="1298">
                  <c:v>34080.338000000003</c:v>
                </c:pt>
                <c:pt idx="1299">
                  <c:v>60208.544000000002</c:v>
                </c:pt>
                <c:pt idx="1300">
                  <c:v>36753.005000000005</c:v>
                </c:pt>
                <c:pt idx="1301">
                  <c:v>38415.440000000002</c:v>
                </c:pt>
                <c:pt idx="1302">
                  <c:v>36667.285000000003</c:v>
                </c:pt>
                <c:pt idx="1303">
                  <c:v>42803.124000000003</c:v>
                </c:pt>
                <c:pt idx="1304">
                  <c:v>31046.670000000002</c:v>
                </c:pt>
                <c:pt idx="1305">
                  <c:v>49066.018000000018</c:v>
                </c:pt>
                <c:pt idx="1306">
                  <c:v>55615.984000000004</c:v>
                </c:pt>
                <c:pt idx="1307">
                  <c:v>38187.055999999997</c:v>
                </c:pt>
                <c:pt idx="1308">
                  <c:v>47050.046000000002</c:v>
                </c:pt>
                <c:pt idx="1309">
                  <c:v>48739.231000000007</c:v>
                </c:pt>
                <c:pt idx="1310">
                  <c:v>42568.879000000001</c:v>
                </c:pt>
                <c:pt idx="1311">
                  <c:v>38077.411</c:v>
                </c:pt>
                <c:pt idx="1312">
                  <c:v>41707.350999999995</c:v>
                </c:pt>
                <c:pt idx="1313">
                  <c:v>33798.120999999999</c:v>
                </c:pt>
                <c:pt idx="1314">
                  <c:v>32285.770999999993</c:v>
                </c:pt>
                <c:pt idx="1315">
                  <c:v>37728.279000000002</c:v>
                </c:pt>
                <c:pt idx="1316">
                  <c:v>46207.002000000008</c:v>
                </c:pt>
                <c:pt idx="1317">
                  <c:v>33599.327000000005</c:v>
                </c:pt>
                <c:pt idx="1318">
                  <c:v>35407.008000000009</c:v>
                </c:pt>
                <c:pt idx="1319">
                  <c:v>36369.017000000007</c:v>
                </c:pt>
                <c:pt idx="1320">
                  <c:v>46916.370999999999</c:v>
                </c:pt>
                <c:pt idx="1321">
                  <c:v>36068.92</c:v>
                </c:pt>
                <c:pt idx="1322">
                  <c:v>44121.951999999997</c:v>
                </c:pt>
                <c:pt idx="1323">
                  <c:v>35584.451999999997</c:v>
                </c:pt>
                <c:pt idx="1324">
                  <c:v>43893.390999999996</c:v>
                </c:pt>
                <c:pt idx="1325">
                  <c:v>46113.196000000004</c:v>
                </c:pt>
                <c:pt idx="1326">
                  <c:v>49633.904000000017</c:v>
                </c:pt>
                <c:pt idx="1327">
                  <c:v>43259.940999999999</c:v>
                </c:pt>
                <c:pt idx="1328">
                  <c:v>47212.828999999998</c:v>
                </c:pt>
                <c:pt idx="1329">
                  <c:v>40336.783000000003</c:v>
                </c:pt>
                <c:pt idx="1330">
                  <c:v>40608.839</c:v>
                </c:pt>
                <c:pt idx="1331">
                  <c:v>43828.029000000002</c:v>
                </c:pt>
                <c:pt idx="1332">
                  <c:v>41596.239999999998</c:v>
                </c:pt>
                <c:pt idx="1333">
                  <c:v>41833.896000000001</c:v>
                </c:pt>
                <c:pt idx="1334">
                  <c:v>35936.872000000003</c:v>
                </c:pt>
                <c:pt idx="1335">
                  <c:v>34045.385000000002</c:v>
                </c:pt>
                <c:pt idx="1336">
                  <c:v>46384.599000000002</c:v>
                </c:pt>
                <c:pt idx="1337">
                  <c:v>34967.155000000006</c:v>
                </c:pt>
                <c:pt idx="1338">
                  <c:v>28996.466</c:v>
                </c:pt>
                <c:pt idx="1339">
                  <c:v>51512.155999999995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21-446B-A7E4-5E3933649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9935888"/>
        <c:axId val="1739936368"/>
      </c:scatterChart>
      <c:valAx>
        <c:axId val="1739935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936368"/>
        <c:crosses val="autoZero"/>
        <c:crossBetween val="midCat"/>
      </c:valAx>
      <c:valAx>
        <c:axId val="173993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935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final cleaned.xlsx]Sheet6!PivotTable2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Sheet6!$A$5:$A$10</c:f>
              <c:strCache>
                <c:ptCount val="5"/>
                <c:pt idx="0">
                  <c:v>&lt;20</c:v>
                </c:pt>
                <c:pt idx="1">
                  <c:v>20-25</c:v>
                </c:pt>
                <c:pt idx="2">
                  <c:v>25-30</c:v>
                </c:pt>
                <c:pt idx="3">
                  <c:v>30-35</c:v>
                </c:pt>
                <c:pt idx="4">
                  <c:v>35+</c:v>
                </c:pt>
              </c:strCache>
            </c:strRef>
          </c:cat>
          <c:val>
            <c:numRef>
              <c:f>Sheet6!$B$5:$B$10</c:f>
              <c:numCache>
                <c:formatCode>General</c:formatCode>
                <c:ptCount val="5"/>
                <c:pt idx="0">
                  <c:v>6083.7122222222233</c:v>
                </c:pt>
                <c:pt idx="1">
                  <c:v>7624.7020496894384</c:v>
                </c:pt>
                <c:pt idx="2">
                  <c:v>8299.4799047619017</c:v>
                </c:pt>
                <c:pt idx="3">
                  <c:v>8545.007816455698</c:v>
                </c:pt>
                <c:pt idx="4">
                  <c:v>9192.387449392716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EC-4A50-B9D4-153719BE2D79}"/>
            </c:ext>
          </c:extLst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Sheet6!$A$5:$A$10</c:f>
              <c:strCache>
                <c:ptCount val="5"/>
                <c:pt idx="0">
                  <c:v>&lt;20</c:v>
                </c:pt>
                <c:pt idx="1">
                  <c:v>20-25</c:v>
                </c:pt>
                <c:pt idx="2">
                  <c:v>25-30</c:v>
                </c:pt>
                <c:pt idx="3">
                  <c:v>30-35</c:v>
                </c:pt>
                <c:pt idx="4">
                  <c:v>35+</c:v>
                </c:pt>
              </c:strCache>
            </c:strRef>
          </c:cat>
          <c:val>
            <c:numRef>
              <c:f>Sheet6!$C$5:$C$10</c:f>
              <c:numCache>
                <c:formatCode>General</c:formatCode>
                <c:ptCount val="5"/>
                <c:pt idx="0">
                  <c:v>17978.206249999999</c:v>
                </c:pt>
                <c:pt idx="1">
                  <c:v>20156.056170212771</c:v>
                </c:pt>
                <c:pt idx="2">
                  <c:v>22495.874054054049</c:v>
                </c:pt>
                <c:pt idx="3">
                  <c:v>39551.784583333327</c:v>
                </c:pt>
                <c:pt idx="4">
                  <c:v>43536.713698630141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EC-4A50-B9D4-153719BE2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284880"/>
        <c:axId val="71285360"/>
      </c:barChart>
      <c:catAx>
        <c:axId val="7128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85360"/>
        <c:crosses val="autoZero"/>
        <c:auto val="1"/>
        <c:lblAlgn val="ctr"/>
        <c:lblOffset val="100"/>
        <c:noMultiLvlLbl val="0"/>
      </c:catAx>
      <c:valAx>
        <c:axId val="7128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8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Dashboard!$B$59</c:f>
              <c:strCache>
                <c:ptCount val="1"/>
                <c:pt idx="0">
                  <c:v>Absolute Coefficient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Dashboard!$A$60:$A$65</c:f>
              <c:strCache>
                <c:ptCount val="6"/>
                <c:pt idx="0">
                  <c:v>Smoker Penalty</c:v>
                </c:pt>
                <c:pt idx="1">
                  <c:v>Region (Southeast)</c:v>
                </c:pt>
                <c:pt idx="2">
                  <c:v>BMI × Smoker</c:v>
                </c:pt>
                <c:pt idx="3">
                  <c:v>Dependents</c:v>
                </c:pt>
                <c:pt idx="4">
                  <c:v>Blood Pressure</c:v>
                </c:pt>
                <c:pt idx="5">
                  <c:v>BMI</c:v>
                </c:pt>
              </c:strCache>
            </c:strRef>
          </c:cat>
          <c:val>
            <c:numRef>
              <c:f>Dashboard!$B$60:$B$65</c:f>
              <c:numCache>
                <c:formatCode>General</c:formatCode>
                <c:ptCount val="6"/>
                <c:pt idx="0">
                  <c:v>17828</c:v>
                </c:pt>
                <c:pt idx="1">
                  <c:v>3644</c:v>
                </c:pt>
                <c:pt idx="2">
                  <c:v>1259</c:v>
                </c:pt>
                <c:pt idx="3">
                  <c:v>738</c:v>
                </c:pt>
                <c:pt idx="4">
                  <c:v>159</c:v>
                </c:pt>
                <c:pt idx="5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CB-4B1A-9407-E58BD50FA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0808128"/>
        <c:axId val="1990811008"/>
      </c:barChart>
      <c:catAx>
        <c:axId val="199080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811008"/>
        <c:crosses val="autoZero"/>
        <c:auto val="1"/>
        <c:lblAlgn val="ctr"/>
        <c:lblOffset val="100"/>
        <c:noMultiLvlLbl val="0"/>
      </c:catAx>
      <c:valAx>
        <c:axId val="199081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80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final cleaned.xlsx]Sheet3!PivotTable1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Sheet3!$A$4:$A$6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2"/>
                <c:pt idx="0">
                  <c:v>32050.231970802903</c:v>
                </c:pt>
                <c:pt idx="1">
                  <c:v>8421.1215759849892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D9-44D0-945E-D7943DCF4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0847887"/>
        <c:axId val="960848847"/>
      </c:barChart>
      <c:catAx>
        <c:axId val="960847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48847"/>
        <c:crosses val="autoZero"/>
        <c:auto val="1"/>
        <c:lblAlgn val="ctr"/>
        <c:lblOffset val="100"/>
        <c:noMultiLvlLbl val="0"/>
      </c:catAx>
      <c:valAx>
        <c:axId val="96084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47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final cleaned.xlsx]Sheet3!PivotTable2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Sheet3!$A$12:$A$17</c:f>
              <c:strCache>
                <c:ptCount val="5"/>
                <c:pt idx="0">
                  <c:v>&lt;20</c:v>
                </c:pt>
                <c:pt idx="1">
                  <c:v>20-25</c:v>
                </c:pt>
                <c:pt idx="2">
                  <c:v>25-30</c:v>
                </c:pt>
                <c:pt idx="3">
                  <c:v>30-35</c:v>
                </c:pt>
                <c:pt idx="4">
                  <c:v>35+</c:v>
                </c:pt>
              </c:strCache>
            </c:strRef>
          </c:cat>
          <c:val>
            <c:numRef>
              <c:f>Sheet3!$B$12:$B$17</c:f>
              <c:numCache>
                <c:formatCode>General</c:formatCode>
                <c:ptCount val="5"/>
                <c:pt idx="0">
                  <c:v>8802.4537142857153</c:v>
                </c:pt>
                <c:pt idx="1">
                  <c:v>10456.306105769228</c:v>
                </c:pt>
                <c:pt idx="2">
                  <c:v>11000.079305912595</c:v>
                </c:pt>
                <c:pt idx="3">
                  <c:v>14298.842680412366</c:v>
                </c:pt>
                <c:pt idx="4">
                  <c:v>17027.186875000007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2A-419C-AB49-765D62A73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0572735"/>
        <c:axId val="720571295"/>
      </c:barChart>
      <c:catAx>
        <c:axId val="720572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571295"/>
        <c:crosses val="autoZero"/>
        <c:auto val="1"/>
        <c:lblAlgn val="ctr"/>
        <c:lblOffset val="100"/>
        <c:noMultiLvlLbl val="0"/>
      </c:catAx>
      <c:valAx>
        <c:axId val="72057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57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final cleaned.xlsx]Sheet3!PivotTable3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Sheet3!$A$21:$A$27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Sheet3!$B$21:$B$27</c:f>
              <c:numCache>
                <c:formatCode>General</c:formatCode>
                <c:ptCount val="6"/>
                <c:pt idx="0">
                  <c:v>12327.993159722228</c:v>
                </c:pt>
                <c:pt idx="1">
                  <c:v>12731.171820987651</c:v>
                </c:pt>
                <c:pt idx="2">
                  <c:v>15073.564000000004</c:v>
                </c:pt>
                <c:pt idx="3">
                  <c:v>15355.318535031845</c:v>
                </c:pt>
                <c:pt idx="4">
                  <c:v>13850.656799999997</c:v>
                </c:pt>
                <c:pt idx="5">
                  <c:v>8786.0355555555543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60-4C66-8AF0-DAD157106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5114703"/>
        <c:axId val="895107983"/>
      </c:barChart>
      <c:catAx>
        <c:axId val="895114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107983"/>
        <c:crosses val="autoZero"/>
        <c:auto val="1"/>
        <c:lblAlgn val="ctr"/>
        <c:lblOffset val="100"/>
        <c:noMultiLvlLbl val="0"/>
      </c:catAx>
      <c:valAx>
        <c:axId val="89510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11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312420</xdr:colOff>
      <xdr:row>4</xdr:row>
      <xdr:rowOff>45720</xdr:rowOff>
    </xdr:from>
    <xdr:to>
      <xdr:col>6</xdr:col>
      <xdr:colOff>502920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2228E7-9C40-4C5B-8A02-0C5B605200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</xdr:colOff>
      <xdr:row>21</xdr:row>
      <xdr:rowOff>38100</xdr:rowOff>
    </xdr:from>
    <xdr:to>
      <xdr:col>6</xdr:col>
      <xdr:colOff>563880</xdr:colOff>
      <xdr:row>35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9E8633-04E9-48B2-8FC3-A3CC773F2E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4</xdr:row>
      <xdr:rowOff>0</xdr:rowOff>
    </xdr:from>
    <xdr:to>
      <xdr:col>20</xdr:col>
      <xdr:colOff>45720</xdr:colOff>
      <xdr:row>16</xdr:row>
      <xdr:rowOff>45720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74F5D7F-5251-41CB-999C-E6C48B0AD7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40</xdr:row>
      <xdr:rowOff>0</xdr:rowOff>
    </xdr:from>
    <xdr:to>
      <xdr:col>23</xdr:col>
      <xdr:colOff>304800</xdr:colOff>
      <xdr:row>55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685A874-B58C-44B7-9662-C79A6B57A4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21</xdr:row>
      <xdr:rowOff>0</xdr:rowOff>
    </xdr:from>
    <xdr:to>
      <xdr:col>25</xdr:col>
      <xdr:colOff>121920</xdr:colOff>
      <xdr:row>35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974D3F-396B-403E-BBE9-E75B8DF001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39</xdr:row>
      <xdr:rowOff>0</xdr:rowOff>
    </xdr:from>
    <xdr:to>
      <xdr:col>7</xdr:col>
      <xdr:colOff>304800</xdr:colOff>
      <xdr:row>54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263F75A-166C-450C-B2F1-078A8D0799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21</xdr:row>
      <xdr:rowOff>7620</xdr:rowOff>
    </xdr:from>
    <xdr:to>
      <xdr:col>15</xdr:col>
      <xdr:colOff>304800</xdr:colOff>
      <xdr:row>36</xdr:row>
      <xdr:rowOff>7620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A173D99-E569-4FF6-AA91-4CF22BF596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594360</xdr:colOff>
      <xdr:row>58</xdr:row>
      <xdr:rowOff>175260</xdr:rowOff>
    </xdr:from>
    <xdr:to>
      <xdr:col>13</xdr:col>
      <xdr:colOff>289560</xdr:colOff>
      <xdr:row>64</xdr:row>
      <xdr:rowOff>68580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554A4CE-23C3-AD84-B640-09819FB3C2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243840</xdr:colOff>
      <xdr:row>0</xdr:row>
      <xdr:rowOff>0</xdr:rowOff>
    </xdr:from>
    <xdr:to>
      <xdr:col>8</xdr:col>
      <xdr:colOff>495300</xdr:colOff>
      <xdr:row>10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980000-0204-1FC7-8240-2B9BE1BDD5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266700</xdr:colOff>
      <xdr:row>10</xdr:row>
      <xdr:rowOff>152400</xdr:rowOff>
    </xdr:from>
    <xdr:to>
      <xdr:col>9</xdr:col>
      <xdr:colOff>297180</xdr:colOff>
      <xdr:row>21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DF9159-FF23-B0F9-D5F5-D65D357770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106680</xdr:colOff>
      <xdr:row>22</xdr:row>
      <xdr:rowOff>83820</xdr:rowOff>
    </xdr:from>
    <xdr:to>
      <xdr:col>9</xdr:col>
      <xdr:colOff>129540</xdr:colOff>
      <xdr:row>33</xdr:row>
      <xdr:rowOff>53340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4BD255-78D1-8EC5-AC03-5CB7ACD4A8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itha rajpurohit" refreshedDate="46186.793679513888" createdVersion="8" refreshedVersion="8" minRefreshableVersion="3" recordCount="1340" xr:uid="{1E22DBF1-16E9-4E1F-8893-274F3DFAB563}">
  <cacheSource type="worksheet">
    <worksheetSource ref="A1:S1341" sheet="insurance final cleaned"/>
  </cacheSource>
  <cacheFields count="19">
    <cacheField name="PatientID" numFmtId="0">
      <sharedItems containsSemiMixedTypes="0" containsString="0" containsNumber="1" containsInteger="1" minValue="1" maxValue="1340"/>
    </cacheField>
    <cacheField name="age" numFmtId="0">
      <sharedItems containsSemiMixedTypes="0" containsString="0" containsNumber="1" containsInteger="1" minValue="18" maxValue="60"/>
    </cacheField>
    <cacheField name="gender" numFmtId="0">
      <sharedItems/>
    </cacheField>
    <cacheField name="bmi" numFmtId="0">
      <sharedItems containsSemiMixedTypes="0" containsString="0" containsNumber="1" minValue="16" maxValue="53.1"/>
    </cacheField>
    <cacheField name="bloodpressure" numFmtId="0">
      <sharedItems containsSemiMixedTypes="0" containsString="0" containsNumber="1" containsInteger="1" minValue="80" maxValue="140"/>
    </cacheField>
    <cacheField name="diabetic" numFmtId="0">
      <sharedItems/>
    </cacheField>
    <cacheField name="children" numFmtId="0">
      <sharedItems containsSemiMixedTypes="0" containsString="0" containsNumber="1" containsInteger="1" minValue="0" maxValue="5" count="6">
        <n v="0"/>
        <n v="1"/>
        <n v="2"/>
        <n v="3"/>
        <n v="4"/>
        <n v="5"/>
      </sharedItems>
    </cacheField>
    <cacheField name="smoker" numFmtId="0">
      <sharedItems count="2">
        <s v="No"/>
        <s v="Yes"/>
      </sharedItems>
    </cacheField>
    <cacheField name="region" numFmtId="0">
      <sharedItems/>
    </cacheField>
    <cacheField name="claim" numFmtId="0">
      <sharedItems containsSemiMixedTypes="0" containsString="0" containsNumber="1" minValue="1121.8699999999999" maxValue="63770.43"/>
    </cacheField>
    <cacheField name="BMI Group" numFmtId="0">
      <sharedItems count="5">
        <s v="20-25"/>
        <s v="30-35"/>
        <s v="35+"/>
        <s v="&lt;20"/>
        <s v="25-30"/>
      </sharedItems>
    </cacheField>
    <cacheField name="BMI_Smoker" numFmtId="0">
      <sharedItems containsSemiMixedTypes="0" containsString="0" containsNumber="1" minValue="0" maxValue="52.6"/>
    </cacheField>
    <cacheField name="Is Southeast" numFmtId="0">
      <sharedItems containsSemiMixedTypes="0" containsString="0" containsNumber="1" containsInteger="1" minValue="0" maxValue="1"/>
    </cacheField>
    <cacheField name="Is Southwest" numFmtId="0">
      <sharedItems containsSemiMixedTypes="0" containsString="0" containsNumber="1" containsInteger="1" minValue="0" maxValue="1"/>
    </cacheField>
    <cacheField name="Is Northwest" numFmtId="0">
      <sharedItems containsSemiMixedTypes="0" containsString="0" containsNumber="1" containsInteger="1" minValue="0" maxValue="1"/>
    </cacheField>
    <cacheField name="Randomizer" numFmtId="0">
      <sharedItems containsSemiMixedTypes="0" containsString="0" containsNumber="1" minValue="2.1653967290824472E-3" maxValue="0.99983047274615822"/>
    </cacheField>
    <cacheField name="Is Smoker" numFmtId="0">
      <sharedItems containsSemiMixedTypes="0" containsString="0" containsNumber="1" containsInteger="1" minValue="0" maxValue="1"/>
    </cacheField>
    <cacheField name="Is Diabetic" numFmtId="0">
      <sharedItems containsSemiMixedTypes="0" containsString="0" containsNumber="1" containsInteger="1" minValue="0" maxValue="1"/>
    </cacheField>
    <cacheField name="Is Female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itha rajpurohit" refreshedDate="46186.805681712962" createdVersion="8" refreshedVersion="8" minRefreshableVersion="3" recordCount="1341" xr:uid="{F949BB38-A750-471C-A701-3E802CB0CE8E}">
  <cacheSource type="worksheet">
    <worksheetSource ref="A1:U1342" sheet="insurance final cleaned"/>
  </cacheSource>
  <cacheFields count="21">
    <cacheField name="PatientID" numFmtId="0">
      <sharedItems containsString="0" containsBlank="1" containsNumber="1" containsInteger="1" minValue="1" maxValue="1340"/>
    </cacheField>
    <cacheField name="age" numFmtId="0">
      <sharedItems containsString="0" containsBlank="1" containsNumber="1" containsInteger="1" minValue="18" maxValue="60"/>
    </cacheField>
    <cacheField name="gender" numFmtId="0">
      <sharedItems containsBlank="1"/>
    </cacheField>
    <cacheField name="bmi" numFmtId="0">
      <sharedItems containsString="0" containsBlank="1" containsNumber="1" minValue="16" maxValue="53.1" count="276">
        <n v="23.2"/>
        <n v="30.1"/>
        <n v="33.299999999999997"/>
        <n v="33.700000000000003"/>
        <n v="34.1"/>
        <n v="34.4"/>
        <n v="37.299999999999997"/>
        <n v="41.1"/>
        <n v="43"/>
        <n v="53.1"/>
        <n v="19.8"/>
        <n v="20.3"/>
        <n v="20.7"/>
        <n v="27.6"/>
        <n v="28.7"/>
        <n v="30.4"/>
        <n v="35.4"/>
        <n v="31.1"/>
        <n v="35.5"/>
        <n v="36.9"/>
        <n v="20.8"/>
        <n v="26.7"/>
        <n v="17.5"/>
        <n v="31.4"/>
        <n v="20.399999999999999"/>
        <n v="21.8"/>
        <n v="22.6"/>
        <n v="38.200000000000003"/>
        <n v="38.299999999999997"/>
        <n v="25.2"/>
        <n v="25.6"/>
        <n v="39.200000000000003"/>
        <n v="39.799999999999997"/>
        <n v="40.299999999999997"/>
        <n v="27.8"/>
        <n v="30.6"/>
        <n v="26.8"/>
        <n v="33.799999999999997"/>
        <n v="39.5"/>
        <n v="16"/>
        <n v="21.5"/>
        <n v="23"/>
        <n v="23.1"/>
        <n v="23.8"/>
        <n v="25.5"/>
        <n v="26.1"/>
        <n v="23.3"/>
        <n v="28.5"/>
        <n v="29.4"/>
        <n v="30"/>
        <n v="35.200000000000003"/>
        <n v="17.8"/>
        <n v="18.600000000000001"/>
        <n v="20.6"/>
        <n v="24.7"/>
        <n v="28.9"/>
        <n v="29.8"/>
        <n v="32.9"/>
        <n v="40.5"/>
        <n v="29.7"/>
        <n v="26.5"/>
        <n v="32.6"/>
        <n v="20.9"/>
        <n v="24.6"/>
        <n v="41.9"/>
        <n v="28.4"/>
        <n v="29.6"/>
        <n v="31.5"/>
        <n v="33"/>
        <n v="29"/>
        <n v="31.3"/>
        <n v="22"/>
        <n v="27.9"/>
        <n v="23.4"/>
        <n v="25.8"/>
        <n v="29.3"/>
        <n v="32"/>
        <n v="35.9"/>
        <n v="34.6"/>
        <n v="34.9"/>
        <n v="32.1"/>
        <n v="26"/>
        <n v="22.3"/>
        <n v="27.4"/>
        <n v="22.5"/>
        <n v="30.5"/>
        <n v="36.6"/>
        <n v="25.7"/>
        <n v="37.4"/>
        <n v="24.3"/>
        <n v="27.1"/>
        <n v="28.1"/>
        <n v="28.8"/>
        <n v="36"/>
        <n v="25.1"/>
        <n v="26.3"/>
        <n v="28.2"/>
        <n v="24.1"/>
        <n v="30.3"/>
        <n v="31.9"/>
        <n v="33.200000000000003"/>
        <n v="35.6"/>
        <n v="40.200000000000003"/>
        <n v="31.7"/>
        <n v="26.2"/>
        <n v="23.7"/>
        <n v="32.4"/>
        <n v="24.5"/>
        <n v="35.700000000000003"/>
        <n v="50.4"/>
        <n v="27.7"/>
        <n v="34"/>
        <n v="32.700000000000003"/>
        <n v="20.2"/>
        <n v="17.399999999999999"/>
        <n v="22.1"/>
        <n v="26.4"/>
        <n v="28.3"/>
        <n v="17.7"/>
        <n v="38.1"/>
        <n v="31.8"/>
        <n v="39.6"/>
        <n v="24.2"/>
        <n v="29.9"/>
        <n v="27.2"/>
        <n v="29.5"/>
        <n v="29.2"/>
        <n v="46.5"/>
        <n v="34.5"/>
        <n v="25.3"/>
        <n v="26.6"/>
        <n v="30.9"/>
        <n v="16.8"/>
        <n v="33.1"/>
        <n v="33.4"/>
        <n v="22.2"/>
        <n v="21.9"/>
        <n v="23.5"/>
        <n v="28.6"/>
        <n v="42.1"/>
        <n v="37.1"/>
        <n v="33.9"/>
        <n v="25.9"/>
        <n v="38.700000000000003"/>
        <n v="42.4"/>
        <n v="34.799999999999997"/>
        <n v="38.9"/>
        <n v="32.5"/>
        <n v="39.299999999999997"/>
        <n v="33.6"/>
        <n v="45.9"/>
        <n v="17.3"/>
        <n v="29.1"/>
        <n v="37.6"/>
        <n v="34.200000000000003"/>
        <n v="31.2"/>
        <n v="44.2"/>
        <n v="20"/>
        <n v="21.3"/>
        <n v="35.799999999999997"/>
        <n v="27"/>
        <n v="26.9"/>
        <n v="38.4"/>
        <n v="35"/>
        <n v="21.4"/>
        <n v="34.700000000000003"/>
        <n v="42.9"/>
        <n v="20.5"/>
        <n v="30.2"/>
        <n v="30.8"/>
        <n v="27.3"/>
        <n v="37.200000000000003"/>
        <n v="22.9"/>
        <n v="43.1"/>
        <n v="38.6"/>
        <n v="18.5"/>
        <n v="18.899999999999999"/>
        <n v="37"/>
        <n v="31.6"/>
        <n v="23.6"/>
        <n v="27.5"/>
        <n v="23.9"/>
        <n v="17.899999999999999"/>
        <n v="38.799999999999997"/>
        <n v="31"/>
        <n v="32.799999999999997"/>
        <n v="37.700000000000003"/>
        <n v="41.7"/>
        <n v="19.899999999999999"/>
        <n v="41.8"/>
        <n v="42.7"/>
        <n v="43.3"/>
        <n v="36.200000000000003"/>
        <n v="34.299999999999997"/>
        <n v="24.9"/>
        <n v="30.7"/>
        <n v="28"/>
        <n v="38"/>
        <n v="32.299999999999997"/>
        <n v="45.4"/>
        <n v="40.6"/>
        <n v="37.9"/>
        <n v="36.299999999999997"/>
        <n v="25"/>
        <n v="41.2"/>
        <n v="21.1"/>
        <n v="19"/>
        <n v="32.200000000000003"/>
        <n v="36.1"/>
        <n v="19.5"/>
        <n v="22.7"/>
        <n v="35.299999999999997"/>
        <n v="25.4"/>
        <n v="41.3"/>
        <n v="22.8"/>
        <n v="47.5"/>
        <n v="24"/>
        <n v="39.4"/>
        <n v="19.600000000000001"/>
        <n v="45.3"/>
        <n v="19.2"/>
        <n v="40.4"/>
        <n v="43.9"/>
        <n v="44.8"/>
        <n v="36.700000000000003"/>
        <n v="37.5"/>
        <n v="22.4"/>
        <n v="39.700000000000003"/>
        <n v="48.1"/>
        <n v="24.8"/>
        <n v="41.5"/>
        <n v="44.7"/>
        <n v="46.1"/>
        <n v="18.100000000000001"/>
        <n v="40"/>
        <n v="47.7"/>
        <n v="21.6"/>
        <n v="40.700000000000003"/>
        <n v="18.3"/>
        <n v="21"/>
        <n v="42.5"/>
        <n v="49.1"/>
        <n v="36.4"/>
        <n v="24.4"/>
        <n v="46.7"/>
        <n v="40.9"/>
        <n v="43.7"/>
        <n v="39.1"/>
        <n v="20.100000000000001"/>
        <n v="36.5"/>
        <n v="33.5"/>
        <n v="40.799999999999997"/>
        <n v="43.4"/>
        <n v="46.8"/>
        <n v="35.1"/>
        <n v="39.9"/>
        <n v="44"/>
        <n v="21.7"/>
        <n v="36.799999999999997"/>
        <n v="17.2"/>
        <n v="18"/>
        <n v="19.3"/>
        <n v="19.100000000000001"/>
        <n v="18.7"/>
        <n v="41.4"/>
        <n v="42.2"/>
        <n v="37.799999999999997"/>
        <n v="44.9"/>
        <n v="42.8"/>
        <n v="45.5"/>
        <n v="39"/>
        <n v="52.6"/>
        <n v="46.2"/>
        <n v="47.6"/>
        <n v="47.4"/>
        <m/>
      </sharedItems>
    </cacheField>
    <cacheField name="bloodpressure" numFmtId="0">
      <sharedItems containsString="0" containsBlank="1" containsNumber="1" containsInteger="1" minValue="80" maxValue="140"/>
    </cacheField>
    <cacheField name="diabetic" numFmtId="0">
      <sharedItems containsBlank="1"/>
    </cacheField>
    <cacheField name="children" numFmtId="0">
      <sharedItems containsString="0" containsBlank="1" containsNumber="1" containsInteger="1" minValue="0" maxValue="5"/>
    </cacheField>
    <cacheField name="smoker" numFmtId="0">
      <sharedItems containsBlank="1" count="3">
        <s v="No"/>
        <s v="Yes"/>
        <m/>
      </sharedItems>
    </cacheField>
    <cacheField name="region" numFmtId="0">
      <sharedItems containsBlank="1"/>
    </cacheField>
    <cacheField name="claim" numFmtId="0">
      <sharedItems containsString="0" containsBlank="1" containsNumber="1" minValue="1121.8699999999999" maxValue="63770.43"/>
    </cacheField>
    <cacheField name="BMI Group" numFmtId="0">
      <sharedItems containsBlank="1" count="6">
        <s v="20-25"/>
        <s v="30-35"/>
        <s v="35+"/>
        <s v="&lt;20"/>
        <s v="25-30"/>
        <m/>
      </sharedItems>
    </cacheField>
    <cacheField name="BMI_Smoker" numFmtId="0">
      <sharedItems containsString="0" containsBlank="1" containsNumber="1" minValue="0" maxValue="52.6"/>
    </cacheField>
    <cacheField name="Is Southeast" numFmtId="0">
      <sharedItems containsString="0" containsBlank="1" containsNumber="1" containsInteger="1" minValue="0" maxValue="1"/>
    </cacheField>
    <cacheField name="Is Southwest" numFmtId="0">
      <sharedItems containsString="0" containsBlank="1" containsNumber="1" containsInteger="1" minValue="0" maxValue="1"/>
    </cacheField>
    <cacheField name="Is Northwest" numFmtId="0">
      <sharedItems containsString="0" containsBlank="1" containsNumber="1" containsInteger="1" minValue="0" maxValue="1"/>
    </cacheField>
    <cacheField name="Randomizer" numFmtId="0">
      <sharedItems containsString="0" containsBlank="1" containsNumber="1" minValue="2.1653967290824472E-3" maxValue="0.99983047274615822"/>
    </cacheField>
    <cacheField name="Is Smoker" numFmtId="0">
      <sharedItems containsSemiMixedTypes="0" containsString="0" containsNumber="1" containsInteger="1" minValue="0" maxValue="274"/>
    </cacheField>
    <cacheField name="Is Diabetic" numFmtId="0">
      <sharedItems containsSemiMixedTypes="0" containsString="0" containsNumber="1" containsInteger="1" minValue="0" maxValue="642"/>
    </cacheField>
    <cacheField name="Is Female" numFmtId="0">
      <sharedItems containsSemiMixedTypes="0" containsString="0" containsNumber="1" containsInteger="1" minValue="0" maxValue="662"/>
    </cacheField>
    <cacheField name="Predicted Claim" numFmtId="0">
      <sharedItems containsString="0" containsBlank="1" containsNumber="1" minValue="4116.1900000000005" maxValue="60208.544000000002"/>
    </cacheField>
    <cacheField name="Residual" numFmtId="0">
      <sharedItems containsString="0" containsBlank="1" containsNumber="1" minValue="-15707.144" maxValue="33596.404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0">
  <r>
    <n v="1"/>
    <n v="39"/>
    <s v="male"/>
    <n v="23.2"/>
    <n v="91"/>
    <s v="Yes"/>
    <x v="0"/>
    <x v="0"/>
    <s v="southeast"/>
    <n v="1121.8699999999999"/>
    <x v="0"/>
    <n v="0"/>
    <n v="1"/>
    <n v="0"/>
    <n v="0"/>
    <n v="0.71471673812021075"/>
    <n v="0"/>
    <n v="1"/>
    <n v="0"/>
  </r>
  <r>
    <n v="2"/>
    <n v="24"/>
    <s v="male"/>
    <n v="30.1"/>
    <n v="87"/>
    <s v="No"/>
    <x v="0"/>
    <x v="0"/>
    <s v="southeast"/>
    <n v="1131.51"/>
    <x v="1"/>
    <n v="0"/>
    <n v="1"/>
    <n v="0"/>
    <n v="0"/>
    <n v="0.95799827889432532"/>
    <n v="0"/>
    <n v="0"/>
    <n v="0"/>
  </r>
  <r>
    <n v="3"/>
    <n v="38"/>
    <s v="male"/>
    <n v="33.299999999999997"/>
    <n v="82"/>
    <s v="Yes"/>
    <x v="0"/>
    <x v="0"/>
    <s v="southeast"/>
    <n v="1135.94"/>
    <x v="1"/>
    <n v="0"/>
    <n v="1"/>
    <n v="0"/>
    <n v="0"/>
    <n v="0.52184096627103371"/>
    <n v="0"/>
    <n v="1"/>
    <n v="0"/>
  </r>
  <r>
    <n v="4"/>
    <n v="38"/>
    <s v="male"/>
    <n v="33.700000000000003"/>
    <n v="80"/>
    <s v="No"/>
    <x v="0"/>
    <x v="0"/>
    <s v="northwest"/>
    <n v="1136.4000000000001"/>
    <x v="1"/>
    <n v="0"/>
    <n v="0"/>
    <n v="0"/>
    <n v="1"/>
    <n v="0.674654772660915"/>
    <n v="0"/>
    <n v="0"/>
    <n v="0"/>
  </r>
  <r>
    <n v="5"/>
    <n v="38"/>
    <s v="male"/>
    <n v="34.1"/>
    <n v="100"/>
    <s v="No"/>
    <x v="0"/>
    <x v="0"/>
    <s v="northwest"/>
    <n v="1137.01"/>
    <x v="1"/>
    <n v="0"/>
    <n v="0"/>
    <n v="0"/>
    <n v="1"/>
    <n v="0.84569391769793034"/>
    <n v="0"/>
    <n v="0"/>
    <n v="0"/>
  </r>
  <r>
    <n v="6"/>
    <n v="38"/>
    <s v="male"/>
    <n v="34.4"/>
    <n v="96"/>
    <s v="Yes"/>
    <x v="0"/>
    <x v="0"/>
    <s v="northwest"/>
    <n v="1137.47"/>
    <x v="1"/>
    <n v="0"/>
    <n v="0"/>
    <n v="0"/>
    <n v="1"/>
    <n v="0.68910948759611224"/>
    <n v="0"/>
    <n v="1"/>
    <n v="0"/>
  </r>
  <r>
    <n v="7"/>
    <n v="38"/>
    <s v="male"/>
    <n v="37.299999999999997"/>
    <n v="86"/>
    <s v="Yes"/>
    <x v="0"/>
    <x v="0"/>
    <s v="northwest"/>
    <n v="1141.45"/>
    <x v="2"/>
    <n v="0"/>
    <n v="0"/>
    <n v="0"/>
    <n v="1"/>
    <n v="0.16280539098894986"/>
    <n v="0"/>
    <n v="1"/>
    <n v="0"/>
  </r>
  <r>
    <n v="8"/>
    <n v="19"/>
    <s v="male"/>
    <n v="41.1"/>
    <n v="100"/>
    <s v="No"/>
    <x v="0"/>
    <x v="0"/>
    <s v="northwest"/>
    <n v="1146.8"/>
    <x v="2"/>
    <n v="0"/>
    <n v="0"/>
    <n v="0"/>
    <n v="1"/>
    <n v="0.68992857608799318"/>
    <n v="0"/>
    <n v="0"/>
    <n v="0"/>
  </r>
  <r>
    <n v="9"/>
    <n v="20"/>
    <s v="male"/>
    <n v="43"/>
    <n v="86"/>
    <s v="No"/>
    <x v="0"/>
    <x v="0"/>
    <s v="northwest"/>
    <n v="1149.4000000000001"/>
    <x v="2"/>
    <n v="0"/>
    <n v="0"/>
    <n v="0"/>
    <n v="1"/>
    <n v="0.70153267279255715"/>
    <n v="0"/>
    <n v="0"/>
    <n v="0"/>
  </r>
  <r>
    <n v="10"/>
    <n v="30"/>
    <s v="male"/>
    <n v="53.1"/>
    <n v="97"/>
    <s v="No"/>
    <x v="0"/>
    <x v="0"/>
    <s v="northwest"/>
    <n v="1163.46"/>
    <x v="2"/>
    <n v="0"/>
    <n v="0"/>
    <n v="0"/>
    <n v="1"/>
    <n v="0.2611333124392059"/>
    <n v="0"/>
    <n v="0"/>
    <n v="0"/>
  </r>
  <r>
    <n v="11"/>
    <n v="36"/>
    <s v="male"/>
    <n v="19.8"/>
    <n v="88"/>
    <s v="Yes"/>
    <x v="0"/>
    <x v="0"/>
    <s v="northwest"/>
    <n v="1241.57"/>
    <x v="3"/>
    <n v="0"/>
    <n v="0"/>
    <n v="0"/>
    <n v="1"/>
    <n v="0.74024267527775622"/>
    <n v="0"/>
    <n v="1"/>
    <n v="0"/>
  </r>
  <r>
    <n v="12"/>
    <n v="37"/>
    <s v="male"/>
    <n v="20.3"/>
    <n v="90"/>
    <s v="Yes"/>
    <x v="0"/>
    <x v="0"/>
    <s v="northwest"/>
    <n v="1242.26"/>
    <x v="0"/>
    <n v="0"/>
    <n v="0"/>
    <n v="0"/>
    <n v="1"/>
    <n v="0.83110142427607847"/>
    <n v="0"/>
    <n v="1"/>
    <n v="0"/>
  </r>
  <r>
    <n v="13"/>
    <n v="19"/>
    <s v="male"/>
    <n v="20.7"/>
    <n v="81"/>
    <s v="No"/>
    <x v="0"/>
    <x v="0"/>
    <s v="northwest"/>
    <n v="1242.82"/>
    <x v="0"/>
    <n v="0"/>
    <n v="0"/>
    <n v="0"/>
    <n v="1"/>
    <n v="0.87564291447932718"/>
    <n v="0"/>
    <n v="0"/>
    <n v="0"/>
  </r>
  <r>
    <n v="14"/>
    <n v="32"/>
    <s v="male"/>
    <n v="27.6"/>
    <n v="100"/>
    <s v="No"/>
    <x v="0"/>
    <x v="0"/>
    <s v="northwest"/>
    <n v="1252.4100000000001"/>
    <x v="4"/>
    <n v="0"/>
    <n v="0"/>
    <n v="0"/>
    <n v="1"/>
    <n v="0.11556962321567554"/>
    <n v="0"/>
    <n v="0"/>
    <n v="0"/>
  </r>
  <r>
    <n v="15"/>
    <n v="40"/>
    <s v="male"/>
    <n v="28.7"/>
    <n v="81"/>
    <s v="Yes"/>
    <x v="0"/>
    <x v="0"/>
    <s v="northwest"/>
    <n v="1253.94"/>
    <x v="4"/>
    <n v="0"/>
    <n v="0"/>
    <n v="0"/>
    <n v="1"/>
    <n v="0.47712655382012792"/>
    <n v="0"/>
    <n v="1"/>
    <n v="0"/>
  </r>
  <r>
    <n v="16"/>
    <n v="32"/>
    <s v="male"/>
    <n v="30.4"/>
    <n v="86"/>
    <s v="Yes"/>
    <x v="0"/>
    <x v="0"/>
    <s v="northwest"/>
    <n v="1256.3"/>
    <x v="1"/>
    <n v="0"/>
    <n v="0"/>
    <n v="0"/>
    <n v="1"/>
    <n v="0.66782829645637298"/>
    <n v="0"/>
    <n v="1"/>
    <n v="0"/>
  </r>
  <r>
    <n v="17"/>
    <n v="35"/>
    <s v="male"/>
    <n v="34.1"/>
    <n v="90"/>
    <s v="No"/>
    <x v="0"/>
    <x v="0"/>
    <s v="southwest"/>
    <n v="1261.44"/>
    <x v="1"/>
    <n v="0"/>
    <n v="0"/>
    <n v="1"/>
    <n v="0"/>
    <n v="0.70871844070246559"/>
    <n v="0"/>
    <n v="0"/>
    <n v="0"/>
  </r>
  <r>
    <n v="18"/>
    <n v="41"/>
    <s v="male"/>
    <n v="34.4"/>
    <n v="84"/>
    <s v="No"/>
    <x v="0"/>
    <x v="0"/>
    <s v="southwest"/>
    <n v="1261.8599999999999"/>
    <x v="1"/>
    <n v="0"/>
    <n v="0"/>
    <n v="1"/>
    <n v="0"/>
    <n v="0.12005503535420159"/>
    <n v="0"/>
    <n v="0"/>
    <n v="0"/>
  </r>
  <r>
    <n v="19"/>
    <n v="49"/>
    <s v="male"/>
    <n v="35.4"/>
    <n v="97"/>
    <s v="Yes"/>
    <x v="0"/>
    <x v="0"/>
    <s v="southwest"/>
    <n v="1263.25"/>
    <x v="2"/>
    <n v="0"/>
    <n v="0"/>
    <n v="1"/>
    <n v="0"/>
    <n v="0.77034982095688254"/>
    <n v="0"/>
    <n v="1"/>
    <n v="0"/>
  </r>
  <r>
    <n v="20"/>
    <n v="48"/>
    <s v="male"/>
    <n v="33.299999999999997"/>
    <n v="91"/>
    <s v="Yes"/>
    <x v="0"/>
    <x v="0"/>
    <s v="southeast"/>
    <n v="1391.53"/>
    <x v="1"/>
    <n v="0"/>
    <n v="1"/>
    <n v="0"/>
    <n v="0"/>
    <n v="0.63742411051028103"/>
    <n v="0"/>
    <n v="1"/>
    <n v="0"/>
  </r>
  <r>
    <n v="21"/>
    <n v="45"/>
    <s v="male"/>
    <n v="23.2"/>
    <n v="85"/>
    <s v="Yes"/>
    <x v="0"/>
    <x v="0"/>
    <s v="southeast"/>
    <n v="1515.34"/>
    <x v="0"/>
    <n v="0"/>
    <n v="1"/>
    <n v="0"/>
    <n v="0"/>
    <n v="0.64837798831384352"/>
    <n v="0"/>
    <n v="1"/>
    <n v="0"/>
  </r>
  <r>
    <n v="22"/>
    <n v="34"/>
    <s v="male"/>
    <n v="31.1"/>
    <n v="96"/>
    <s v="No"/>
    <x v="0"/>
    <x v="0"/>
    <s v="southwest"/>
    <n v="1526.31"/>
    <x v="1"/>
    <n v="0"/>
    <n v="0"/>
    <n v="1"/>
    <n v="0"/>
    <n v="0.94079666267467466"/>
    <n v="0"/>
    <n v="0"/>
    <n v="0"/>
  </r>
  <r>
    <n v="23"/>
    <n v="18"/>
    <s v="male"/>
    <n v="35.5"/>
    <n v="100"/>
    <s v="Yes"/>
    <x v="0"/>
    <x v="0"/>
    <s v="southeast"/>
    <n v="1532.47"/>
    <x v="2"/>
    <n v="0"/>
    <n v="1"/>
    <n v="0"/>
    <n v="0"/>
    <n v="0.85151494993836985"/>
    <n v="0"/>
    <n v="1"/>
    <n v="0"/>
  </r>
  <r>
    <n v="24"/>
    <n v="42"/>
    <s v="male"/>
    <n v="36.9"/>
    <n v="93"/>
    <s v="No"/>
    <x v="0"/>
    <x v="0"/>
    <s v="southeast"/>
    <n v="1534.3"/>
    <x v="2"/>
    <n v="0"/>
    <n v="1"/>
    <n v="0"/>
    <n v="0"/>
    <n v="0.25790375303336643"/>
    <n v="0"/>
    <n v="0"/>
    <n v="0"/>
  </r>
  <r>
    <n v="25"/>
    <n v="50"/>
    <s v="female"/>
    <n v="20.8"/>
    <n v="85"/>
    <s v="Yes"/>
    <x v="0"/>
    <x v="0"/>
    <s v="southeast"/>
    <n v="1607.51"/>
    <x v="0"/>
    <n v="0"/>
    <n v="1"/>
    <n v="0"/>
    <n v="0"/>
    <n v="0.50896327038247657"/>
    <n v="0"/>
    <n v="1"/>
    <n v="1"/>
  </r>
  <r>
    <n v="26"/>
    <n v="23"/>
    <s v="male"/>
    <n v="43"/>
    <n v="86"/>
    <s v="No"/>
    <x v="0"/>
    <x v="0"/>
    <s v="northwest"/>
    <n v="1149.4000000000001"/>
    <x v="2"/>
    <n v="0"/>
    <n v="0"/>
    <n v="0"/>
    <n v="1"/>
    <n v="0.99131583349167574"/>
    <n v="0"/>
    <n v="0"/>
    <n v="0"/>
  </r>
  <r>
    <n v="27"/>
    <n v="36"/>
    <s v="female"/>
    <n v="26.7"/>
    <n v="97"/>
    <s v="Yes"/>
    <x v="0"/>
    <x v="0"/>
    <s v="southeast"/>
    <n v="1615.77"/>
    <x v="4"/>
    <n v="0"/>
    <n v="1"/>
    <n v="0"/>
    <n v="0"/>
    <n v="0.2715218724151347"/>
    <n v="0"/>
    <n v="1"/>
    <n v="1"/>
  </r>
  <r>
    <n v="28"/>
    <n v="30"/>
    <s v="male"/>
    <n v="17.5"/>
    <n v="93"/>
    <s v="Yes"/>
    <x v="0"/>
    <x v="0"/>
    <s v="northwest"/>
    <n v="1621.34"/>
    <x v="3"/>
    <n v="0"/>
    <n v="0"/>
    <n v="0"/>
    <n v="1"/>
    <n v="0.53324941791992664"/>
    <n v="0"/>
    <n v="1"/>
    <n v="0"/>
  </r>
  <r>
    <n v="29"/>
    <n v="58"/>
    <s v="female"/>
    <n v="31.1"/>
    <n v="87"/>
    <s v="No"/>
    <x v="0"/>
    <x v="0"/>
    <s v="southeast"/>
    <n v="1621.88"/>
    <x v="1"/>
    <n v="0"/>
    <n v="1"/>
    <n v="0"/>
    <n v="0"/>
    <n v="0.23266182722786288"/>
    <n v="0"/>
    <n v="0"/>
    <n v="1"/>
  </r>
  <r>
    <n v="30"/>
    <n v="35"/>
    <s v="female"/>
    <n v="31.4"/>
    <n v="93"/>
    <s v="No"/>
    <x v="0"/>
    <x v="0"/>
    <s v="southeast"/>
    <n v="1622.19"/>
    <x v="1"/>
    <n v="0"/>
    <n v="1"/>
    <n v="0"/>
    <n v="0"/>
    <n v="0.58617084059799673"/>
    <n v="0"/>
    <n v="0"/>
    <n v="1"/>
  </r>
  <r>
    <n v="31"/>
    <n v="29"/>
    <s v="male"/>
    <n v="20.399999999999999"/>
    <n v="80"/>
    <s v="Yes"/>
    <x v="0"/>
    <x v="0"/>
    <s v="northwest"/>
    <n v="1625.43"/>
    <x v="0"/>
    <n v="0"/>
    <n v="0"/>
    <n v="0"/>
    <n v="1"/>
    <n v="0.96241045622543042"/>
    <n v="0"/>
    <n v="1"/>
    <n v="0"/>
  </r>
  <r>
    <n v="32"/>
    <n v="49"/>
    <s v="male"/>
    <n v="21.8"/>
    <n v="80"/>
    <s v="No"/>
    <x v="0"/>
    <x v="0"/>
    <s v="northwest"/>
    <n v="1627.28"/>
    <x v="0"/>
    <n v="0"/>
    <n v="0"/>
    <n v="0"/>
    <n v="1"/>
    <n v="0.62175153786167803"/>
    <n v="0"/>
    <n v="0"/>
    <n v="0"/>
  </r>
  <r>
    <n v="33"/>
    <n v="21"/>
    <s v="male"/>
    <n v="22.6"/>
    <n v="96"/>
    <s v="Yes"/>
    <x v="0"/>
    <x v="0"/>
    <s v="northwest"/>
    <n v="1628.47"/>
    <x v="0"/>
    <n v="0"/>
    <n v="0"/>
    <n v="0"/>
    <n v="1"/>
    <n v="0.62335601474790836"/>
    <n v="0"/>
    <n v="1"/>
    <n v="0"/>
  </r>
  <r>
    <n v="34"/>
    <n v="52"/>
    <s v="female"/>
    <n v="36.9"/>
    <n v="81"/>
    <s v="No"/>
    <x v="0"/>
    <x v="0"/>
    <s v="southeast"/>
    <n v="1629.83"/>
    <x v="2"/>
    <n v="0"/>
    <n v="1"/>
    <n v="0"/>
    <n v="0"/>
    <n v="0.39018158623880328"/>
    <n v="0"/>
    <n v="0"/>
    <n v="1"/>
  </r>
  <r>
    <n v="35"/>
    <n v="43"/>
    <s v="female"/>
    <n v="38.200000000000003"/>
    <n v="86"/>
    <s v="Yes"/>
    <x v="0"/>
    <x v="0"/>
    <s v="southeast"/>
    <n v="1631.67"/>
    <x v="2"/>
    <n v="0"/>
    <n v="1"/>
    <n v="0"/>
    <n v="0"/>
    <n v="0.76892981538106642"/>
    <n v="0"/>
    <n v="1"/>
    <n v="1"/>
  </r>
  <r>
    <n v="36"/>
    <n v="47"/>
    <s v="female"/>
    <n v="38.299999999999997"/>
    <n v="93"/>
    <s v="No"/>
    <x v="0"/>
    <x v="0"/>
    <s v="southeast"/>
    <n v="1631.82"/>
    <x v="2"/>
    <n v="0"/>
    <n v="1"/>
    <n v="0"/>
    <n v="0"/>
    <n v="0.72533094223550898"/>
    <n v="0"/>
    <n v="0"/>
    <n v="1"/>
  </r>
  <r>
    <n v="37"/>
    <n v="48"/>
    <s v="male"/>
    <n v="25.2"/>
    <n v="98"/>
    <s v="No"/>
    <x v="0"/>
    <x v="0"/>
    <s v="northwest"/>
    <n v="1632.04"/>
    <x v="4"/>
    <n v="0"/>
    <n v="0"/>
    <n v="0"/>
    <n v="1"/>
    <n v="2.3809640965968604E-2"/>
    <n v="0"/>
    <n v="0"/>
    <n v="0"/>
  </r>
  <r>
    <n v="38"/>
    <n v="34"/>
    <s v="male"/>
    <n v="25.6"/>
    <n v="83"/>
    <s v="No"/>
    <x v="0"/>
    <x v="0"/>
    <s v="northwest"/>
    <n v="1632.56"/>
    <x v="4"/>
    <n v="0"/>
    <n v="0"/>
    <n v="0"/>
    <n v="1"/>
    <n v="0.49045245221418643"/>
    <n v="0"/>
    <n v="0"/>
    <n v="0"/>
  </r>
  <r>
    <n v="39"/>
    <n v="28"/>
    <s v="female"/>
    <n v="39.200000000000003"/>
    <n v="87"/>
    <s v="No"/>
    <x v="0"/>
    <x v="0"/>
    <s v="southeast"/>
    <n v="1633.04"/>
    <x v="2"/>
    <n v="0"/>
    <n v="1"/>
    <n v="0"/>
    <n v="0"/>
    <n v="0.20756277816126811"/>
    <n v="0"/>
    <n v="0"/>
    <n v="1"/>
  </r>
  <r>
    <n v="40"/>
    <n v="49"/>
    <s v="female"/>
    <n v="39.799999999999997"/>
    <n v="100"/>
    <s v="Yes"/>
    <x v="0"/>
    <x v="0"/>
    <s v="southeast"/>
    <n v="1633.96"/>
    <x v="2"/>
    <n v="0"/>
    <n v="1"/>
    <n v="0"/>
    <n v="0"/>
    <n v="0.59708051709477061"/>
    <n v="0"/>
    <n v="1"/>
    <n v="1"/>
  </r>
  <r>
    <n v="41"/>
    <n v="29"/>
    <s v="female"/>
    <n v="40.299999999999997"/>
    <n v="94"/>
    <s v="No"/>
    <x v="0"/>
    <x v="0"/>
    <s v="southeast"/>
    <n v="1634.57"/>
    <x v="2"/>
    <n v="0"/>
    <n v="1"/>
    <n v="0"/>
    <n v="0"/>
    <n v="0.57223510441098124"/>
    <n v="0"/>
    <n v="0"/>
    <n v="1"/>
  </r>
  <r>
    <n v="42"/>
    <n v="18"/>
    <s v="male"/>
    <n v="27.8"/>
    <n v="93"/>
    <s v="No"/>
    <x v="0"/>
    <x v="0"/>
    <s v="northwest"/>
    <n v="1635.73"/>
    <x v="4"/>
    <n v="0"/>
    <n v="0"/>
    <n v="0"/>
    <n v="1"/>
    <n v="0.68730976727114468"/>
    <n v="0"/>
    <n v="0"/>
    <n v="0"/>
  </r>
  <r>
    <n v="43"/>
    <n v="32"/>
    <s v="male"/>
    <n v="30.6"/>
    <n v="93"/>
    <s v="No"/>
    <x v="0"/>
    <x v="0"/>
    <s v="northwest"/>
    <n v="1639.56"/>
    <x v="1"/>
    <n v="0"/>
    <n v="0"/>
    <n v="0"/>
    <n v="1"/>
    <n v="0.42033475161408984"/>
    <n v="0"/>
    <n v="0"/>
    <n v="0"/>
  </r>
  <r>
    <n v="44"/>
    <n v="44"/>
    <s v="male"/>
    <n v="30.6"/>
    <n v="82"/>
    <s v="No"/>
    <x v="0"/>
    <x v="0"/>
    <s v="northwest"/>
    <n v="1639.56"/>
    <x v="1"/>
    <n v="0"/>
    <n v="0"/>
    <n v="0"/>
    <n v="1"/>
    <n v="0.15481899971970836"/>
    <n v="0"/>
    <n v="0"/>
    <n v="0"/>
  </r>
  <r>
    <n v="45"/>
    <n v="37"/>
    <s v="male"/>
    <n v="35.5"/>
    <n v="91"/>
    <s v="No"/>
    <x v="0"/>
    <x v="0"/>
    <s v="northwest"/>
    <n v="1646.43"/>
    <x v="2"/>
    <n v="0"/>
    <n v="0"/>
    <n v="0"/>
    <n v="1"/>
    <n v="5.9356092489473045E-2"/>
    <n v="0"/>
    <n v="0"/>
    <n v="0"/>
  </r>
  <r>
    <n v="46"/>
    <n v="29"/>
    <s v="male"/>
    <n v="26.8"/>
    <n v="94"/>
    <s v="Yes"/>
    <x v="0"/>
    <x v="0"/>
    <s v="southeast"/>
    <n v="1665"/>
    <x v="4"/>
    <n v="0"/>
    <n v="1"/>
    <n v="0"/>
    <n v="0"/>
    <n v="0.88212104746881592"/>
    <n v="0"/>
    <n v="1"/>
    <n v="0"/>
  </r>
  <r>
    <n v="47"/>
    <n v="24"/>
    <s v="male"/>
    <n v="33.799999999999997"/>
    <n v="89"/>
    <s v="No"/>
    <x v="0"/>
    <x v="0"/>
    <s v="southeast"/>
    <n v="1674.63"/>
    <x v="1"/>
    <n v="0"/>
    <n v="1"/>
    <n v="0"/>
    <n v="0"/>
    <n v="0.18161570078189326"/>
    <n v="0"/>
    <n v="0"/>
    <n v="0"/>
  </r>
  <r>
    <n v="48"/>
    <n v="31"/>
    <s v="male"/>
    <n v="39.5"/>
    <n v="80"/>
    <s v="Yes"/>
    <x v="0"/>
    <x v="0"/>
    <s v="southwest"/>
    <n v="1682.6"/>
    <x v="2"/>
    <n v="0"/>
    <n v="0"/>
    <n v="1"/>
    <n v="0"/>
    <n v="0.12901430822825621"/>
    <n v="0"/>
    <n v="1"/>
    <n v="0"/>
  </r>
  <r>
    <n v="49"/>
    <n v="34"/>
    <s v="male"/>
    <n v="16"/>
    <n v="83"/>
    <s v="No"/>
    <x v="0"/>
    <x v="0"/>
    <s v="northeast"/>
    <n v="1694.8"/>
    <x v="3"/>
    <n v="0"/>
    <n v="0"/>
    <n v="0"/>
    <n v="0"/>
    <n v="0.97801132014736636"/>
    <n v="0"/>
    <n v="0"/>
    <n v="0"/>
  </r>
  <r>
    <n v="50"/>
    <n v="30"/>
    <s v="male"/>
    <n v="21.5"/>
    <n v="83"/>
    <s v="Yes"/>
    <x v="0"/>
    <x v="0"/>
    <s v="northeast"/>
    <n v="1702.46"/>
    <x v="0"/>
    <n v="0"/>
    <n v="0"/>
    <n v="0"/>
    <n v="0"/>
    <n v="0.39701724423456686"/>
    <n v="0"/>
    <n v="1"/>
    <n v="0"/>
  </r>
  <r>
    <n v="51"/>
    <n v="45"/>
    <s v="male"/>
    <n v="23"/>
    <n v="81"/>
    <s v="Yes"/>
    <x v="0"/>
    <x v="0"/>
    <s v="northeast"/>
    <n v="1704.57"/>
    <x v="0"/>
    <n v="0"/>
    <n v="0"/>
    <n v="0"/>
    <n v="0"/>
    <n v="0.26083144871018193"/>
    <n v="0"/>
    <n v="1"/>
    <n v="0"/>
  </r>
  <r>
    <n v="52"/>
    <n v="31"/>
    <s v="male"/>
    <n v="23.1"/>
    <n v="81"/>
    <s v="Yes"/>
    <x v="0"/>
    <x v="0"/>
    <s v="northwest"/>
    <n v="1704.7"/>
    <x v="0"/>
    <n v="0"/>
    <n v="0"/>
    <n v="0"/>
    <n v="1"/>
    <n v="0.68288004602540664"/>
    <n v="0"/>
    <n v="1"/>
    <n v="0"/>
  </r>
  <r>
    <n v="53"/>
    <n v="30"/>
    <s v="male"/>
    <n v="23.8"/>
    <n v="91"/>
    <s v="Yes"/>
    <x v="0"/>
    <x v="0"/>
    <s v="northwest"/>
    <n v="1705.62"/>
    <x v="0"/>
    <n v="0"/>
    <n v="0"/>
    <n v="0"/>
    <n v="1"/>
    <n v="0.35218364411163128"/>
    <n v="0"/>
    <n v="1"/>
    <n v="0"/>
  </r>
  <r>
    <n v="54"/>
    <n v="34"/>
    <s v="male"/>
    <n v="25.5"/>
    <n v="82"/>
    <s v="Yes"/>
    <x v="0"/>
    <x v="0"/>
    <s v="northwest"/>
    <n v="1708"/>
    <x v="4"/>
    <n v="0"/>
    <n v="0"/>
    <n v="0"/>
    <n v="1"/>
    <n v="0.16914178108958622"/>
    <n v="0"/>
    <n v="1"/>
    <n v="0"/>
  </r>
  <r>
    <n v="55"/>
    <n v="21"/>
    <s v="male"/>
    <n v="26.1"/>
    <n v="87"/>
    <s v="Yes"/>
    <x v="0"/>
    <x v="0"/>
    <s v="northwest"/>
    <n v="1708.93"/>
    <x v="4"/>
    <n v="0"/>
    <n v="0"/>
    <n v="0"/>
    <n v="1"/>
    <n v="0.95388723598794822"/>
    <n v="0"/>
    <n v="1"/>
    <n v="0"/>
  </r>
  <r>
    <n v="56"/>
    <n v="21"/>
    <s v="male"/>
    <n v="23.3"/>
    <n v="80"/>
    <s v="Yes"/>
    <x v="1"/>
    <x v="0"/>
    <s v="northwest"/>
    <n v="1711.03"/>
    <x v="0"/>
    <n v="0"/>
    <n v="0"/>
    <n v="0"/>
    <n v="1"/>
    <n v="0.98976128588657486"/>
    <n v="0"/>
    <n v="1"/>
    <n v="0"/>
  </r>
  <r>
    <n v="57"/>
    <n v="23"/>
    <s v="male"/>
    <n v="28.5"/>
    <n v="88"/>
    <s v="Yes"/>
    <x v="0"/>
    <x v="0"/>
    <s v="northwest"/>
    <n v="1712.23"/>
    <x v="4"/>
    <n v="0"/>
    <n v="0"/>
    <n v="0"/>
    <n v="1"/>
    <n v="0.87049889303227812"/>
    <n v="0"/>
    <n v="1"/>
    <n v="0"/>
  </r>
  <r>
    <n v="58"/>
    <n v="32"/>
    <s v="male"/>
    <n v="29.4"/>
    <n v="97"/>
    <s v="No"/>
    <x v="1"/>
    <x v="0"/>
    <s v="southeast"/>
    <n v="1719.44"/>
    <x v="4"/>
    <n v="0"/>
    <n v="1"/>
    <n v="0"/>
    <n v="0"/>
    <n v="0.7601842524641792"/>
    <n v="0"/>
    <n v="0"/>
    <n v="0"/>
  </r>
  <r>
    <n v="59"/>
    <n v="50"/>
    <s v="male"/>
    <n v="30"/>
    <n v="88"/>
    <s v="No"/>
    <x v="1"/>
    <x v="0"/>
    <s v="southeast"/>
    <n v="1720.35"/>
    <x v="1"/>
    <n v="0"/>
    <n v="1"/>
    <n v="0"/>
    <n v="0"/>
    <n v="2.0688348861055195E-2"/>
    <n v="0"/>
    <n v="0"/>
    <n v="0"/>
  </r>
  <r>
    <n v="60"/>
    <n v="47"/>
    <s v="male"/>
    <n v="33.799999999999997"/>
    <n v="90"/>
    <s v="No"/>
    <x v="1"/>
    <x v="0"/>
    <s v="southeast"/>
    <n v="1725.55"/>
    <x v="1"/>
    <n v="0"/>
    <n v="1"/>
    <n v="0"/>
    <n v="0"/>
    <n v="0.75709272325402732"/>
    <n v="0"/>
    <n v="0"/>
    <n v="0"/>
  </r>
  <r>
    <n v="61"/>
    <n v="49"/>
    <s v="male"/>
    <n v="35.200000000000003"/>
    <n v="80"/>
    <s v="Yes"/>
    <x v="1"/>
    <x v="0"/>
    <s v="southeast"/>
    <n v="1727.54"/>
    <x v="2"/>
    <n v="0"/>
    <n v="1"/>
    <n v="0"/>
    <n v="0"/>
    <n v="8.4069243062525278E-2"/>
    <n v="0"/>
    <n v="1"/>
    <n v="0"/>
  </r>
  <r>
    <n v="62"/>
    <n v="32"/>
    <s v="female"/>
    <n v="17.8"/>
    <n v="90"/>
    <s v="No"/>
    <x v="0"/>
    <x v="0"/>
    <s v="southwest"/>
    <n v="1727.79"/>
    <x v="3"/>
    <n v="0"/>
    <n v="0"/>
    <n v="1"/>
    <n v="0"/>
    <n v="1.654842013884128E-2"/>
    <n v="0"/>
    <n v="0"/>
    <n v="1"/>
  </r>
  <r>
    <n v="63"/>
    <n v="51"/>
    <s v="female"/>
    <n v="18.600000000000001"/>
    <n v="98"/>
    <s v="Yes"/>
    <x v="0"/>
    <x v="0"/>
    <s v="southwest"/>
    <n v="1728.9"/>
    <x v="3"/>
    <n v="0"/>
    <n v="0"/>
    <n v="1"/>
    <n v="0"/>
    <n v="0.68343118393017421"/>
    <n v="0"/>
    <n v="1"/>
    <n v="1"/>
  </r>
  <r>
    <n v="64"/>
    <n v="60"/>
    <s v="female"/>
    <n v="20.6"/>
    <n v="90"/>
    <s v="No"/>
    <x v="0"/>
    <x v="0"/>
    <s v="southwest"/>
    <n v="1731.68"/>
    <x v="0"/>
    <n v="0"/>
    <n v="0"/>
    <n v="1"/>
    <n v="0"/>
    <n v="0.76440070635353397"/>
    <n v="0"/>
    <n v="0"/>
    <n v="1"/>
  </r>
  <r>
    <n v="65"/>
    <n v="32"/>
    <s v="female"/>
    <n v="24.7"/>
    <n v="89"/>
    <s v="No"/>
    <x v="0"/>
    <x v="0"/>
    <s v="southwest"/>
    <n v="1737.38"/>
    <x v="0"/>
    <n v="0"/>
    <n v="0"/>
    <n v="1"/>
    <n v="0"/>
    <n v="0.66863222934086497"/>
    <n v="0"/>
    <n v="0"/>
    <n v="1"/>
  </r>
  <r>
    <n v="66"/>
    <n v="51"/>
    <s v="female"/>
    <n v="28.9"/>
    <n v="87"/>
    <s v="Yes"/>
    <x v="0"/>
    <x v="0"/>
    <s v="southwest"/>
    <n v="1743.21"/>
    <x v="4"/>
    <n v="0"/>
    <n v="0"/>
    <n v="1"/>
    <n v="0"/>
    <n v="0.71575429574564209"/>
    <n v="0"/>
    <n v="1"/>
    <n v="1"/>
  </r>
  <r>
    <n v="67"/>
    <n v="27"/>
    <s v="female"/>
    <n v="29.8"/>
    <n v="100"/>
    <s v="No"/>
    <x v="0"/>
    <x v="0"/>
    <s v="southwest"/>
    <n v="1744.47"/>
    <x v="4"/>
    <n v="0"/>
    <n v="0"/>
    <n v="1"/>
    <n v="0"/>
    <n v="0.56640844949201097"/>
    <n v="0"/>
    <n v="0"/>
    <n v="1"/>
  </r>
  <r>
    <n v="68"/>
    <n v="39"/>
    <s v="female"/>
    <n v="32.9"/>
    <n v="99"/>
    <s v="Yes"/>
    <x v="0"/>
    <x v="0"/>
    <s v="southwest"/>
    <n v="1748.77"/>
    <x v="1"/>
    <n v="0"/>
    <n v="0"/>
    <n v="1"/>
    <n v="0"/>
    <n v="0.95345993875171797"/>
    <n v="0"/>
    <n v="1"/>
    <n v="1"/>
  </r>
  <r>
    <n v="69"/>
    <n v="26"/>
    <s v="female"/>
    <n v="40.5"/>
    <n v="87"/>
    <s v="Yes"/>
    <x v="0"/>
    <x v="0"/>
    <s v="southwest"/>
    <n v="1759.34"/>
    <x v="2"/>
    <n v="0"/>
    <n v="0"/>
    <n v="1"/>
    <n v="0"/>
    <n v="7.1325755410341585E-2"/>
    <n v="0"/>
    <n v="1"/>
    <n v="1"/>
  </r>
  <r>
    <n v="70"/>
    <n v="32"/>
    <s v="male"/>
    <n v="29.7"/>
    <n v="80"/>
    <s v="Yes"/>
    <x v="0"/>
    <x v="0"/>
    <s v="northwest"/>
    <n v="1769.53"/>
    <x v="4"/>
    <n v="0"/>
    <n v="0"/>
    <n v="0"/>
    <n v="1"/>
    <n v="0.19739927990635664"/>
    <n v="0"/>
    <n v="1"/>
    <n v="0"/>
  </r>
  <r>
    <n v="71"/>
    <n v="28"/>
    <s v="male"/>
    <n v="26.5"/>
    <n v="88"/>
    <s v="Yes"/>
    <x v="0"/>
    <x v="0"/>
    <s v="southeast"/>
    <n v="1815.88"/>
    <x v="4"/>
    <n v="0"/>
    <n v="1"/>
    <n v="0"/>
    <n v="0"/>
    <n v="0.57655820899534138"/>
    <n v="0"/>
    <n v="1"/>
    <n v="0"/>
  </r>
  <r>
    <n v="72"/>
    <n v="48"/>
    <s v="male"/>
    <n v="32.6"/>
    <n v="80"/>
    <s v="Yes"/>
    <x v="0"/>
    <x v="0"/>
    <s v="southeast"/>
    <n v="1824.29"/>
    <x v="1"/>
    <n v="0"/>
    <n v="1"/>
    <n v="0"/>
    <n v="0"/>
    <n v="0.16195034780697337"/>
    <n v="0"/>
    <n v="1"/>
    <n v="0"/>
  </r>
  <r>
    <n v="73"/>
    <n v="22"/>
    <s v="male"/>
    <n v="34.4"/>
    <n v="98"/>
    <s v="Yes"/>
    <x v="0"/>
    <x v="0"/>
    <s v="southwest"/>
    <n v="1826.84"/>
    <x v="1"/>
    <n v="0"/>
    <n v="0"/>
    <n v="1"/>
    <n v="0"/>
    <n v="2.7306245383220018E-2"/>
    <n v="0"/>
    <n v="1"/>
    <n v="0"/>
  </r>
  <r>
    <n v="74"/>
    <n v="20"/>
    <s v="male"/>
    <n v="20.9"/>
    <n v="98"/>
    <s v="No"/>
    <x v="1"/>
    <x v="0"/>
    <s v="southwest"/>
    <n v="1832.09"/>
    <x v="0"/>
    <n v="0"/>
    <n v="0"/>
    <n v="1"/>
    <n v="0"/>
    <n v="0.72423517206769361"/>
    <n v="0"/>
    <n v="0"/>
    <n v="0"/>
  </r>
  <r>
    <n v="75"/>
    <n v="50"/>
    <s v="male"/>
    <n v="24.6"/>
    <n v="90"/>
    <s v="No"/>
    <x v="1"/>
    <x v="0"/>
    <s v="southwest"/>
    <n v="1837.24"/>
    <x v="0"/>
    <n v="0"/>
    <n v="0"/>
    <n v="1"/>
    <n v="0"/>
    <n v="0.45147284683746014"/>
    <n v="0"/>
    <n v="0"/>
    <n v="0"/>
  </r>
  <r>
    <n v="76"/>
    <n v="30"/>
    <s v="male"/>
    <n v="41.9"/>
    <n v="95"/>
    <s v="Yes"/>
    <x v="0"/>
    <x v="0"/>
    <s v="southeast"/>
    <n v="1837.28"/>
    <x v="2"/>
    <n v="0"/>
    <n v="1"/>
    <n v="0"/>
    <n v="0"/>
    <n v="0.58345948615882948"/>
    <n v="0"/>
    <n v="1"/>
    <n v="0"/>
  </r>
  <r>
    <n v="77"/>
    <n v="38"/>
    <s v="male"/>
    <n v="28.4"/>
    <n v="87"/>
    <s v="No"/>
    <x v="1"/>
    <x v="0"/>
    <s v="southwest"/>
    <n v="1842.52"/>
    <x v="4"/>
    <n v="0"/>
    <n v="0"/>
    <n v="1"/>
    <n v="0"/>
    <n v="2.7157038348454288E-2"/>
    <n v="0"/>
    <n v="0"/>
    <n v="0"/>
  </r>
  <r>
    <n v="78"/>
    <n v="50"/>
    <s v="female"/>
    <n v="29.6"/>
    <n v="95"/>
    <s v="No"/>
    <x v="0"/>
    <x v="0"/>
    <s v="southwest"/>
    <n v="1875.34"/>
    <x v="4"/>
    <n v="0"/>
    <n v="0"/>
    <n v="1"/>
    <n v="0"/>
    <n v="0.78887395046599873"/>
    <n v="0"/>
    <n v="0"/>
    <n v="1"/>
  </r>
  <r>
    <n v="79"/>
    <n v="42"/>
    <s v="female"/>
    <n v="31.5"/>
    <n v="100"/>
    <s v="No"/>
    <x v="0"/>
    <x v="0"/>
    <s v="southeast"/>
    <n v="1877.93"/>
    <x v="1"/>
    <n v="0"/>
    <n v="1"/>
    <n v="0"/>
    <n v="0"/>
    <n v="0.97213176703597182"/>
    <n v="0"/>
    <n v="0"/>
    <n v="1"/>
  </r>
  <r>
    <n v="80"/>
    <n v="53"/>
    <s v="female"/>
    <n v="33"/>
    <n v="83"/>
    <s v="Yes"/>
    <x v="0"/>
    <x v="0"/>
    <s v="southeast"/>
    <n v="1880.07"/>
    <x v="1"/>
    <n v="0"/>
    <n v="1"/>
    <n v="0"/>
    <n v="0"/>
    <n v="0.91466283177211649"/>
    <n v="0"/>
    <n v="1"/>
    <n v="1"/>
  </r>
  <r>
    <n v="81"/>
    <n v="26"/>
    <s v="female"/>
    <n v="33.299999999999997"/>
    <n v="83"/>
    <s v="Yes"/>
    <x v="0"/>
    <x v="0"/>
    <s v="southwest"/>
    <n v="1880.49"/>
    <x v="1"/>
    <n v="0"/>
    <n v="0"/>
    <n v="1"/>
    <n v="0"/>
    <n v="0.1481442643971318"/>
    <n v="0"/>
    <n v="1"/>
    <n v="1"/>
  </r>
  <r>
    <n v="82"/>
    <n v="43"/>
    <s v="male"/>
    <n v="29"/>
    <n v="91"/>
    <s v="Yes"/>
    <x v="0"/>
    <x v="0"/>
    <s v="northwest"/>
    <n v="1906.36"/>
    <x v="4"/>
    <n v="0"/>
    <n v="0"/>
    <n v="0"/>
    <n v="1"/>
    <n v="0.51661508862899408"/>
    <n v="0"/>
    <n v="1"/>
    <n v="0"/>
  </r>
  <r>
    <n v="83"/>
    <n v="42"/>
    <s v="male"/>
    <n v="31.3"/>
    <n v="98"/>
    <s v="No"/>
    <x v="0"/>
    <x v="0"/>
    <s v="northwest"/>
    <n v="1909.53"/>
    <x v="1"/>
    <n v="0"/>
    <n v="0"/>
    <n v="0"/>
    <n v="1"/>
    <n v="0.28984155963512848"/>
    <n v="0"/>
    <n v="0"/>
    <n v="0"/>
  </r>
  <r>
    <n v="84"/>
    <n v="43"/>
    <s v="male"/>
    <n v="36.9"/>
    <n v="91"/>
    <s v="Yes"/>
    <x v="0"/>
    <x v="0"/>
    <s v="northwest"/>
    <n v="1917.32"/>
    <x v="2"/>
    <n v="0"/>
    <n v="0"/>
    <n v="0"/>
    <n v="1"/>
    <n v="0.16756476508925622"/>
    <n v="0"/>
    <n v="1"/>
    <n v="0"/>
  </r>
  <r>
    <n v="85"/>
    <n v="36"/>
    <s v="male"/>
    <n v="22"/>
    <n v="88"/>
    <s v="Yes"/>
    <x v="1"/>
    <x v="0"/>
    <s v="southwest"/>
    <n v="1964.78"/>
    <x v="0"/>
    <n v="0"/>
    <n v="0"/>
    <n v="1"/>
    <n v="0"/>
    <n v="0.24090551391846826"/>
    <n v="0"/>
    <n v="1"/>
    <n v="0"/>
  </r>
  <r>
    <n v="86"/>
    <n v="19"/>
    <s v="male"/>
    <n v="27.9"/>
    <n v="94"/>
    <s v="Yes"/>
    <x v="0"/>
    <x v="0"/>
    <s v="northeast"/>
    <n v="1967.02"/>
    <x v="4"/>
    <n v="0"/>
    <n v="0"/>
    <n v="0"/>
    <n v="0"/>
    <n v="0.93798974248629241"/>
    <n v="0"/>
    <n v="1"/>
    <n v="0"/>
  </r>
  <r>
    <n v="87"/>
    <n v="19"/>
    <s v="male"/>
    <n v="23.4"/>
    <n v="97"/>
    <s v="No"/>
    <x v="0"/>
    <x v="0"/>
    <s v="northwest"/>
    <n v="1969.61"/>
    <x v="0"/>
    <n v="0"/>
    <n v="0"/>
    <n v="0"/>
    <n v="1"/>
    <n v="0.22687774604939825"/>
    <n v="0"/>
    <n v="0"/>
    <n v="0"/>
  </r>
  <r>
    <n v="88"/>
    <n v="37"/>
    <s v="male"/>
    <n v="25.8"/>
    <n v="86"/>
    <s v="No"/>
    <x v="0"/>
    <x v="0"/>
    <s v="northwest"/>
    <n v="1972.95"/>
    <x v="4"/>
    <n v="0"/>
    <n v="0"/>
    <n v="0"/>
    <n v="1"/>
    <n v="0.22037194588172959"/>
    <n v="0"/>
    <n v="0"/>
    <n v="0"/>
  </r>
  <r>
    <n v="89"/>
    <n v="40"/>
    <s v="male"/>
    <n v="29.3"/>
    <n v="97"/>
    <s v="Yes"/>
    <x v="0"/>
    <x v="0"/>
    <s v="northwest"/>
    <n v="1977.82"/>
    <x v="4"/>
    <n v="0"/>
    <n v="0"/>
    <n v="0"/>
    <n v="1"/>
    <n v="0.63586743647157329"/>
    <n v="0"/>
    <n v="1"/>
    <n v="0"/>
  </r>
  <r>
    <n v="90"/>
    <n v="23"/>
    <s v="male"/>
    <n v="33"/>
    <n v="80"/>
    <s v="Yes"/>
    <x v="1"/>
    <x v="0"/>
    <s v="northwest"/>
    <n v="1980.07"/>
    <x v="1"/>
    <n v="0"/>
    <n v="0"/>
    <n v="0"/>
    <n v="1"/>
    <n v="0.58110696976970144"/>
    <n v="0"/>
    <n v="1"/>
    <n v="0"/>
  </r>
  <r>
    <n v="91"/>
    <n v="19"/>
    <s v="male"/>
    <n v="32"/>
    <n v="100"/>
    <s v="Yes"/>
    <x v="0"/>
    <x v="0"/>
    <s v="southeast"/>
    <n v="1981.58"/>
    <x v="1"/>
    <n v="0"/>
    <n v="1"/>
    <n v="0"/>
    <n v="0"/>
    <n v="1.220371666127007E-2"/>
    <n v="0"/>
    <n v="1"/>
    <n v="0"/>
  </r>
  <r>
    <n v="92"/>
    <n v="20"/>
    <s v="male"/>
    <n v="40.5"/>
    <n v="95"/>
    <s v="No"/>
    <x v="0"/>
    <x v="0"/>
    <s v="southeast"/>
    <n v="1984.45"/>
    <x v="2"/>
    <n v="0"/>
    <n v="1"/>
    <n v="0"/>
    <n v="0"/>
    <n v="0.88901849357992169"/>
    <n v="0"/>
    <n v="0"/>
    <n v="0"/>
  </r>
  <r>
    <n v="93"/>
    <n v="41"/>
    <s v="male"/>
    <n v="35.9"/>
    <n v="97"/>
    <s v="No"/>
    <x v="0"/>
    <x v="0"/>
    <s v="southeast"/>
    <n v="1986.93"/>
    <x v="2"/>
    <n v="0"/>
    <n v="1"/>
    <n v="0"/>
    <n v="0"/>
    <n v="0.27509808147604642"/>
    <n v="0"/>
    <n v="0"/>
    <n v="0"/>
  </r>
  <r>
    <n v="94"/>
    <n v="26"/>
    <s v="female"/>
    <n v="25.8"/>
    <n v="100"/>
    <s v="Yes"/>
    <x v="0"/>
    <x v="0"/>
    <s v="southwest"/>
    <n v="2007.95"/>
    <x v="4"/>
    <n v="0"/>
    <n v="0"/>
    <n v="1"/>
    <n v="0"/>
    <n v="0.49645862124874796"/>
    <n v="0"/>
    <n v="1"/>
    <n v="1"/>
  </r>
  <r>
    <n v="95"/>
    <n v="48"/>
    <s v="female"/>
    <n v="34.6"/>
    <n v="99"/>
    <s v="No"/>
    <x v="0"/>
    <x v="0"/>
    <s v="southwest"/>
    <n v="2020.18"/>
    <x v="1"/>
    <n v="0"/>
    <n v="0"/>
    <n v="1"/>
    <n v="0"/>
    <n v="0.83552574232505161"/>
    <n v="0"/>
    <n v="0"/>
    <n v="1"/>
  </r>
  <r>
    <n v="96"/>
    <n v="54"/>
    <s v="female"/>
    <n v="34.9"/>
    <n v="90"/>
    <s v="No"/>
    <x v="0"/>
    <x v="0"/>
    <s v="southeast"/>
    <n v="2020.55"/>
    <x v="1"/>
    <n v="0"/>
    <n v="1"/>
    <n v="0"/>
    <n v="0"/>
    <n v="0.31618421958672371"/>
    <n v="0"/>
    <n v="0"/>
    <n v="1"/>
  </r>
  <r>
    <n v="97"/>
    <n v="44"/>
    <s v="female"/>
    <n v="39.5"/>
    <n v="93"/>
    <s v="Yes"/>
    <x v="0"/>
    <x v="0"/>
    <s v="southeast"/>
    <n v="2026.97"/>
    <x v="2"/>
    <n v="0"/>
    <n v="1"/>
    <n v="0"/>
    <n v="0"/>
    <n v="0.33562609812554933"/>
    <n v="0"/>
    <n v="1"/>
    <n v="1"/>
  </r>
  <r>
    <n v="98"/>
    <n v="44"/>
    <s v="male"/>
    <n v="25.2"/>
    <n v="91"/>
    <s v="No"/>
    <x v="0"/>
    <x v="0"/>
    <s v="northwest"/>
    <n v="2045.69"/>
    <x v="4"/>
    <n v="0"/>
    <n v="0"/>
    <n v="0"/>
    <n v="1"/>
    <n v="0.16076843073001834"/>
    <n v="0"/>
    <n v="0"/>
    <n v="0"/>
  </r>
  <r>
    <n v="99"/>
    <n v="47"/>
    <s v="male"/>
    <n v="32.1"/>
    <n v="81"/>
    <s v="No"/>
    <x v="0"/>
    <x v="0"/>
    <s v="northwest"/>
    <n v="2055.3200000000002"/>
    <x v="1"/>
    <n v="0"/>
    <n v="0"/>
    <n v="0"/>
    <n v="1"/>
    <n v="0.90260165208010767"/>
    <n v="0"/>
    <n v="0"/>
    <n v="0"/>
  </r>
  <r>
    <n v="100"/>
    <n v="50"/>
    <s v="male"/>
    <n v="26"/>
    <n v="82"/>
    <s v="No"/>
    <x v="0"/>
    <x v="0"/>
    <s v="northeast"/>
    <n v="2102.2600000000002"/>
    <x v="4"/>
    <n v="0"/>
    <n v="0"/>
    <n v="0"/>
    <n v="0"/>
    <n v="0.87395549795440863"/>
    <n v="0"/>
    <n v="0"/>
    <n v="0"/>
  </r>
  <r>
    <n v="101"/>
    <n v="30"/>
    <s v="male"/>
    <n v="22.3"/>
    <n v="83"/>
    <s v="Yes"/>
    <x v="1"/>
    <x v="0"/>
    <s v="southwest"/>
    <n v="2103.08"/>
    <x v="0"/>
    <n v="0"/>
    <n v="0"/>
    <n v="1"/>
    <n v="0"/>
    <n v="0.56262564004701199"/>
    <n v="0"/>
    <n v="1"/>
    <n v="0"/>
  </r>
  <r>
    <n v="102"/>
    <n v="33"/>
    <s v="male"/>
    <n v="27.4"/>
    <n v="100"/>
    <s v="No"/>
    <x v="0"/>
    <x v="0"/>
    <s v="northeast"/>
    <n v="2104.11"/>
    <x v="4"/>
    <n v="0"/>
    <n v="0"/>
    <n v="0"/>
    <n v="0"/>
    <n v="0.94230576539601696"/>
    <n v="0"/>
    <n v="0"/>
    <n v="0"/>
  </r>
  <r>
    <n v="103"/>
    <n v="59"/>
    <s v="female"/>
    <n v="22.5"/>
    <n v="87"/>
    <s v="No"/>
    <x v="0"/>
    <x v="0"/>
    <s v="northwest"/>
    <n v="2117.34"/>
    <x v="0"/>
    <n v="0"/>
    <n v="0"/>
    <n v="0"/>
    <n v="1"/>
    <n v="0.29315891196537713"/>
    <n v="0"/>
    <n v="0"/>
    <n v="1"/>
  </r>
  <r>
    <n v="104"/>
    <n v="42"/>
    <s v="female"/>
    <n v="30.5"/>
    <n v="99"/>
    <s v="No"/>
    <x v="0"/>
    <x v="0"/>
    <s v="northwest"/>
    <n v="2128.4299999999998"/>
    <x v="1"/>
    <n v="0"/>
    <n v="0"/>
    <n v="0"/>
    <n v="1"/>
    <n v="3.0104459633108482E-2"/>
    <n v="0"/>
    <n v="0"/>
    <n v="1"/>
  </r>
  <r>
    <n v="105"/>
    <n v="52"/>
    <s v="female"/>
    <n v="32.1"/>
    <n v="94"/>
    <s v="Yes"/>
    <x v="0"/>
    <x v="0"/>
    <s v="northwest"/>
    <n v="2130.6799999999998"/>
    <x v="1"/>
    <n v="0"/>
    <n v="0"/>
    <n v="0"/>
    <n v="1"/>
    <n v="0.88533300128905257"/>
    <n v="0"/>
    <n v="1"/>
    <n v="1"/>
  </r>
  <r>
    <n v="106"/>
    <n v="43"/>
    <s v="female"/>
    <n v="35.200000000000003"/>
    <n v="80"/>
    <s v="No"/>
    <x v="0"/>
    <x v="0"/>
    <s v="northwest"/>
    <n v="2134.9"/>
    <x v="2"/>
    <n v="0"/>
    <n v="0"/>
    <n v="0"/>
    <n v="1"/>
    <n v="0.35730084165644904"/>
    <n v="0"/>
    <n v="0"/>
    <n v="1"/>
  </r>
  <r>
    <n v="107"/>
    <n v="42"/>
    <s v="female"/>
    <n v="36.6"/>
    <n v="90"/>
    <s v="No"/>
    <x v="0"/>
    <x v="0"/>
    <s v="northwest"/>
    <n v="2136.88"/>
    <x v="2"/>
    <n v="0"/>
    <n v="0"/>
    <n v="0"/>
    <n v="1"/>
    <n v="0.15860751864286726"/>
    <n v="0"/>
    <n v="0"/>
    <n v="1"/>
  </r>
  <r>
    <n v="108"/>
    <n v="33"/>
    <s v="male"/>
    <n v="25.7"/>
    <n v="100"/>
    <s v="Yes"/>
    <x v="0"/>
    <x v="0"/>
    <s v="southeast"/>
    <n v="2137.65"/>
    <x v="4"/>
    <n v="0"/>
    <n v="1"/>
    <n v="0"/>
    <n v="0"/>
    <n v="0.99599502784293215"/>
    <n v="0"/>
    <n v="1"/>
    <n v="0"/>
  </r>
  <r>
    <n v="109"/>
    <n v="26"/>
    <s v="female"/>
    <n v="37.4"/>
    <n v="83"/>
    <s v="Yes"/>
    <x v="0"/>
    <x v="0"/>
    <s v="northwest"/>
    <n v="2138.0700000000002"/>
    <x v="2"/>
    <n v="0"/>
    <n v="0"/>
    <n v="0"/>
    <n v="1"/>
    <n v="0.72633569603728632"/>
    <n v="0"/>
    <n v="1"/>
    <n v="1"/>
  </r>
  <r>
    <n v="110"/>
    <n v="41"/>
    <s v="female"/>
    <n v="24.3"/>
    <n v="91"/>
    <s v="Yes"/>
    <x v="0"/>
    <x v="0"/>
    <s v="southwest"/>
    <n v="2150.4699999999998"/>
    <x v="0"/>
    <n v="0"/>
    <n v="0"/>
    <n v="1"/>
    <n v="0"/>
    <n v="0.79948990240476037"/>
    <n v="0"/>
    <n v="1"/>
    <n v="1"/>
  </r>
  <r>
    <n v="111"/>
    <n v="27"/>
    <s v="female"/>
    <n v="27.1"/>
    <n v="88"/>
    <s v="Yes"/>
    <x v="0"/>
    <x v="0"/>
    <s v="southwest"/>
    <n v="2154.36"/>
    <x v="4"/>
    <n v="0"/>
    <n v="0"/>
    <n v="1"/>
    <n v="0"/>
    <n v="0.5104429919056005"/>
    <n v="0"/>
    <n v="1"/>
    <n v="1"/>
  </r>
  <r>
    <n v="112"/>
    <n v="37"/>
    <s v="female"/>
    <n v="28.1"/>
    <n v="80"/>
    <s v="No"/>
    <x v="0"/>
    <x v="0"/>
    <s v="southeast"/>
    <n v="2155.6799999999998"/>
    <x v="4"/>
    <n v="0"/>
    <n v="1"/>
    <n v="0"/>
    <n v="0"/>
    <n v="0.63300919219666996"/>
    <n v="0"/>
    <n v="0"/>
    <n v="1"/>
  </r>
  <r>
    <n v="113"/>
    <n v="43"/>
    <s v="female"/>
    <n v="28.8"/>
    <n v="88"/>
    <s v="Yes"/>
    <x v="0"/>
    <x v="0"/>
    <s v="southeast"/>
    <n v="2156.75"/>
    <x v="4"/>
    <n v="0"/>
    <n v="1"/>
    <n v="0"/>
    <n v="0"/>
    <n v="0.35738756319234055"/>
    <n v="0"/>
    <n v="1"/>
    <n v="1"/>
  </r>
  <r>
    <n v="114"/>
    <n v="30"/>
    <s v="female"/>
    <n v="36"/>
    <n v="80"/>
    <s v="No"/>
    <x v="0"/>
    <x v="0"/>
    <s v="southwest"/>
    <n v="2166.73"/>
    <x v="2"/>
    <n v="0"/>
    <n v="0"/>
    <n v="1"/>
    <n v="0"/>
    <n v="0.91135675360114654"/>
    <n v="0"/>
    <n v="0"/>
    <n v="1"/>
  </r>
  <r>
    <n v="115"/>
    <n v="47"/>
    <s v="female"/>
    <n v="25.1"/>
    <n v="80"/>
    <s v="No"/>
    <x v="0"/>
    <x v="0"/>
    <s v="southeast"/>
    <n v="2196.4699999999998"/>
    <x v="4"/>
    <n v="0"/>
    <n v="1"/>
    <n v="0"/>
    <n v="0"/>
    <n v="0.73187014903617398"/>
    <n v="0"/>
    <n v="0"/>
    <n v="1"/>
  </r>
  <r>
    <n v="116"/>
    <n v="26"/>
    <s v="female"/>
    <n v="26.3"/>
    <n v="87"/>
    <s v="Yes"/>
    <x v="0"/>
    <x v="0"/>
    <s v="southeast"/>
    <n v="2198.19"/>
    <x v="4"/>
    <n v="0"/>
    <n v="1"/>
    <n v="0"/>
    <n v="0"/>
    <n v="3.7131384639720322E-2"/>
    <n v="0"/>
    <n v="1"/>
    <n v="1"/>
  </r>
  <r>
    <n v="117"/>
    <n v="49"/>
    <s v="female"/>
    <n v="28.2"/>
    <n v="98"/>
    <s v="Yes"/>
    <x v="0"/>
    <x v="0"/>
    <s v="southeast"/>
    <n v="2200.83"/>
    <x v="4"/>
    <n v="0"/>
    <n v="1"/>
    <n v="0"/>
    <n v="0"/>
    <n v="6.0439127165402562E-2"/>
    <n v="0"/>
    <n v="1"/>
    <n v="1"/>
  </r>
  <r>
    <n v="118"/>
    <n v="59"/>
    <s v="female"/>
    <n v="24.1"/>
    <n v="82"/>
    <s v="No"/>
    <x v="1"/>
    <x v="0"/>
    <s v="southeast"/>
    <n v="2201.1"/>
    <x v="0"/>
    <n v="0"/>
    <n v="1"/>
    <n v="0"/>
    <n v="0"/>
    <n v="0.63207090318068115"/>
    <n v="0"/>
    <n v="0"/>
    <n v="1"/>
  </r>
  <r>
    <n v="119"/>
    <n v="58"/>
    <s v="female"/>
    <n v="30.1"/>
    <n v="81"/>
    <s v="Yes"/>
    <x v="0"/>
    <x v="0"/>
    <s v="southeast"/>
    <n v="2203.4699999999998"/>
    <x v="1"/>
    <n v="0"/>
    <n v="1"/>
    <n v="0"/>
    <n v="0"/>
    <n v="3.2268799692133254E-2"/>
    <n v="0"/>
    <n v="1"/>
    <n v="1"/>
  </r>
  <r>
    <n v="120"/>
    <n v="32"/>
    <s v="female"/>
    <n v="30.3"/>
    <n v="94"/>
    <s v="Yes"/>
    <x v="0"/>
    <x v="0"/>
    <s v="southeast"/>
    <n v="2203.7399999999998"/>
    <x v="1"/>
    <n v="0"/>
    <n v="1"/>
    <n v="0"/>
    <n v="0"/>
    <n v="0.27570706585478666"/>
    <n v="0"/>
    <n v="1"/>
    <n v="1"/>
  </r>
  <r>
    <n v="121"/>
    <n v="37"/>
    <s v="female"/>
    <n v="31.9"/>
    <n v="89"/>
    <s v="No"/>
    <x v="0"/>
    <x v="0"/>
    <s v="southeast"/>
    <n v="2205.98"/>
    <x v="1"/>
    <n v="0"/>
    <n v="1"/>
    <n v="0"/>
    <n v="0"/>
    <n v="0.50103290041036552"/>
    <n v="0"/>
    <n v="0"/>
    <n v="1"/>
  </r>
  <r>
    <n v="122"/>
    <n v="48"/>
    <s v="female"/>
    <n v="33.200000000000003"/>
    <n v="97"/>
    <s v="No"/>
    <x v="0"/>
    <x v="0"/>
    <s v="southeast"/>
    <n v="2207.6999999999998"/>
    <x v="1"/>
    <n v="0"/>
    <n v="1"/>
    <n v="0"/>
    <n v="0"/>
    <n v="0.9995379318311951"/>
    <n v="0"/>
    <n v="0"/>
    <n v="1"/>
  </r>
  <r>
    <n v="123"/>
    <n v="52"/>
    <s v="female"/>
    <n v="35.6"/>
    <n v="89"/>
    <s v="No"/>
    <x v="0"/>
    <x v="0"/>
    <s v="southeast"/>
    <n v="2211.13"/>
    <x v="2"/>
    <n v="0"/>
    <n v="1"/>
    <n v="0"/>
    <n v="0"/>
    <n v="0.11486293329593267"/>
    <n v="0"/>
    <n v="0"/>
    <n v="1"/>
  </r>
  <r>
    <n v="124"/>
    <n v="55"/>
    <s v="female"/>
    <n v="40.200000000000003"/>
    <n v="82"/>
    <s v="No"/>
    <x v="0"/>
    <x v="0"/>
    <s v="southeast"/>
    <n v="2217.4699999999998"/>
    <x v="2"/>
    <n v="0"/>
    <n v="1"/>
    <n v="0"/>
    <n v="0"/>
    <n v="0.12194725847491261"/>
    <n v="0"/>
    <n v="0"/>
    <n v="1"/>
  </r>
  <r>
    <n v="125"/>
    <n v="33"/>
    <s v="female"/>
    <n v="40.299999999999997"/>
    <n v="94"/>
    <s v="Yes"/>
    <x v="0"/>
    <x v="0"/>
    <s v="southeast"/>
    <n v="2217.6"/>
    <x v="2"/>
    <n v="0"/>
    <n v="1"/>
    <n v="0"/>
    <n v="0"/>
    <n v="0.19309090261018946"/>
    <n v="0"/>
    <n v="1"/>
    <n v="1"/>
  </r>
  <r>
    <n v="126"/>
    <n v="53"/>
    <s v="female"/>
    <n v="37.299999999999997"/>
    <n v="88"/>
    <s v="Yes"/>
    <x v="1"/>
    <x v="0"/>
    <s v="southeast"/>
    <n v="2219.4499999999998"/>
    <x v="2"/>
    <n v="0"/>
    <n v="1"/>
    <n v="0"/>
    <n v="0"/>
    <n v="0.34574930489144995"/>
    <n v="0"/>
    <n v="1"/>
    <n v="1"/>
  </r>
  <r>
    <n v="127"/>
    <n v="26"/>
    <s v="male"/>
    <n v="25.6"/>
    <n v="86"/>
    <s v="No"/>
    <x v="1"/>
    <x v="0"/>
    <s v="northwest"/>
    <n v="2221.56"/>
    <x v="4"/>
    <n v="0"/>
    <n v="0"/>
    <n v="0"/>
    <n v="1"/>
    <n v="0.48450624225708205"/>
    <n v="0"/>
    <n v="0"/>
    <n v="0"/>
  </r>
  <r>
    <n v="128"/>
    <n v="49"/>
    <s v="male"/>
    <n v="28.9"/>
    <n v="81"/>
    <s v="No"/>
    <x v="0"/>
    <x v="0"/>
    <s v="northwest"/>
    <n v="2250.84"/>
    <x v="4"/>
    <n v="0"/>
    <n v="0"/>
    <n v="0"/>
    <n v="1"/>
    <n v="0.73849601147656074"/>
    <n v="0"/>
    <n v="0"/>
    <n v="0"/>
  </r>
  <r>
    <n v="129"/>
    <n v="31"/>
    <s v="male"/>
    <n v="31.7"/>
    <n v="90"/>
    <s v="No"/>
    <x v="0"/>
    <x v="0"/>
    <s v="northwest"/>
    <n v="2254.8000000000002"/>
    <x v="1"/>
    <n v="0"/>
    <n v="0"/>
    <n v="0"/>
    <n v="1"/>
    <n v="0.69493257283006826"/>
    <n v="0"/>
    <n v="0"/>
    <n v="0"/>
  </r>
  <r>
    <n v="130"/>
    <n v="42"/>
    <s v="female"/>
    <n v="29"/>
    <n v="81"/>
    <s v="Yes"/>
    <x v="0"/>
    <x v="0"/>
    <s v="northwest"/>
    <n v="2257.48"/>
    <x v="4"/>
    <n v="0"/>
    <n v="0"/>
    <n v="0"/>
    <n v="1"/>
    <n v="0.93224884942020569"/>
    <n v="0"/>
    <n v="1"/>
    <n v="1"/>
  </r>
  <r>
    <n v="131"/>
    <n v="30"/>
    <s v="female"/>
    <n v="31.9"/>
    <n v="89"/>
    <s v="No"/>
    <x v="0"/>
    <x v="0"/>
    <s v="northwest"/>
    <n v="2261.5700000000002"/>
    <x v="1"/>
    <n v="0"/>
    <n v="0"/>
    <n v="0"/>
    <n v="1"/>
    <n v="0.49339231818038576"/>
    <n v="0"/>
    <n v="0"/>
    <n v="1"/>
  </r>
  <r>
    <n v="132"/>
    <n v="45"/>
    <s v="male"/>
    <n v="20.8"/>
    <n v="88"/>
    <s v="No"/>
    <x v="0"/>
    <x v="0"/>
    <s v="northwest"/>
    <n v="2302.3000000000002"/>
    <x v="0"/>
    <n v="0"/>
    <n v="0"/>
    <n v="0"/>
    <n v="1"/>
    <n v="0.94072711994661795"/>
    <n v="0"/>
    <n v="0"/>
    <n v="0"/>
  </r>
  <r>
    <n v="133"/>
    <n v="49"/>
    <s v="male"/>
    <n v="26.2"/>
    <n v="91"/>
    <s v="No"/>
    <x v="2"/>
    <x v="0"/>
    <s v="southeast"/>
    <n v="2304"/>
    <x v="4"/>
    <n v="0"/>
    <n v="1"/>
    <n v="0"/>
    <n v="0"/>
    <n v="0.44817037384513159"/>
    <n v="0"/>
    <n v="0"/>
    <n v="0"/>
  </r>
  <r>
    <n v="134"/>
    <n v="47"/>
    <s v="male"/>
    <n v="35.4"/>
    <n v="95"/>
    <s v="No"/>
    <x v="0"/>
    <x v="0"/>
    <s v="southeast"/>
    <n v="2322.62"/>
    <x v="2"/>
    <n v="0"/>
    <n v="1"/>
    <n v="0"/>
    <n v="0"/>
    <n v="0.84714485436639275"/>
    <n v="0"/>
    <n v="0"/>
    <n v="0"/>
  </r>
  <r>
    <n v="135"/>
    <n v="47"/>
    <s v="female"/>
    <n v="28.4"/>
    <n v="87"/>
    <s v="Yes"/>
    <x v="1"/>
    <x v="0"/>
    <s v="southwest"/>
    <n v="2331.52"/>
    <x v="4"/>
    <n v="0"/>
    <n v="0"/>
    <n v="1"/>
    <n v="0"/>
    <n v="0.96606755134075706"/>
    <n v="0"/>
    <n v="1"/>
    <n v="1"/>
  </r>
  <r>
    <n v="136"/>
    <n v="29"/>
    <s v="male"/>
    <n v="23.7"/>
    <n v="89"/>
    <s v="Yes"/>
    <x v="0"/>
    <x v="0"/>
    <s v="northwest"/>
    <n v="2352.9699999999998"/>
    <x v="0"/>
    <n v="0"/>
    <n v="0"/>
    <n v="0"/>
    <n v="1"/>
    <n v="5.1981070840706689E-2"/>
    <n v="0"/>
    <n v="1"/>
    <n v="0"/>
  </r>
  <r>
    <n v="137"/>
    <n v="40"/>
    <s v="male"/>
    <n v="32.4"/>
    <n v="81"/>
    <s v="No"/>
    <x v="1"/>
    <x v="0"/>
    <s v="northwest"/>
    <n v="2362.23"/>
    <x v="1"/>
    <n v="0"/>
    <n v="0"/>
    <n v="0"/>
    <n v="1"/>
    <n v="8.2945096426828235E-2"/>
    <n v="0"/>
    <n v="0"/>
    <n v="0"/>
  </r>
  <r>
    <n v="138"/>
    <n v="21"/>
    <s v="male"/>
    <n v="23.8"/>
    <n v="95"/>
    <s v="Yes"/>
    <x v="0"/>
    <x v="0"/>
    <s v="southeast"/>
    <n v="2395.17"/>
    <x v="0"/>
    <n v="0"/>
    <n v="1"/>
    <n v="0"/>
    <n v="0"/>
    <n v="0.80855538455537834"/>
    <n v="0"/>
    <n v="1"/>
    <n v="0"/>
  </r>
  <r>
    <n v="139"/>
    <n v="32"/>
    <s v="male"/>
    <n v="24.5"/>
    <n v="90"/>
    <s v="Yes"/>
    <x v="0"/>
    <x v="0"/>
    <s v="southeast"/>
    <n v="2396.1"/>
    <x v="0"/>
    <n v="0"/>
    <n v="1"/>
    <n v="0"/>
    <n v="0"/>
    <n v="0.4725575772325511"/>
    <n v="0"/>
    <n v="1"/>
    <n v="0"/>
  </r>
  <r>
    <n v="140"/>
    <n v="26"/>
    <s v="female"/>
    <n v="35.700000000000003"/>
    <n v="90"/>
    <s v="Yes"/>
    <x v="0"/>
    <x v="0"/>
    <s v="northwest"/>
    <n v="2404.73"/>
    <x v="2"/>
    <n v="0"/>
    <n v="0"/>
    <n v="0"/>
    <n v="1"/>
    <n v="0.54997162500488228"/>
    <n v="0"/>
    <n v="1"/>
    <n v="1"/>
  </r>
  <r>
    <n v="141"/>
    <n v="47"/>
    <s v="male"/>
    <n v="35.200000000000003"/>
    <n v="80"/>
    <s v="No"/>
    <x v="1"/>
    <x v="0"/>
    <s v="southwest"/>
    <n v="2416.96"/>
    <x v="2"/>
    <n v="0"/>
    <n v="0"/>
    <n v="1"/>
    <n v="0"/>
    <n v="0.8060976057337218"/>
    <n v="0"/>
    <n v="0"/>
    <n v="0"/>
  </r>
  <r>
    <n v="142"/>
    <n v="46"/>
    <s v="male"/>
    <n v="50.4"/>
    <n v="89"/>
    <s v="Yes"/>
    <x v="1"/>
    <x v="0"/>
    <s v="southeast"/>
    <n v="2438.06"/>
    <x v="2"/>
    <n v="0"/>
    <n v="1"/>
    <n v="0"/>
    <n v="0"/>
    <n v="7.6238901257465908E-2"/>
    <n v="0"/>
    <n v="1"/>
    <n v="0"/>
  </r>
  <r>
    <n v="143"/>
    <n v="44"/>
    <s v="female"/>
    <n v="28.8"/>
    <n v="94"/>
    <s v="Yes"/>
    <x v="0"/>
    <x v="0"/>
    <s v="southeast"/>
    <n v="2457.21"/>
    <x v="4"/>
    <n v="0"/>
    <n v="1"/>
    <n v="0"/>
    <n v="0"/>
    <n v="0.55284901497639238"/>
    <n v="0"/>
    <n v="1"/>
    <n v="1"/>
  </r>
  <r>
    <n v="144"/>
    <n v="41"/>
    <s v="female"/>
    <n v="22.6"/>
    <n v="91"/>
    <s v="Yes"/>
    <x v="0"/>
    <x v="0"/>
    <s v="southwest"/>
    <n v="2457.5"/>
    <x v="0"/>
    <n v="0"/>
    <n v="0"/>
    <n v="1"/>
    <n v="0"/>
    <n v="0.74066166162785618"/>
    <n v="0"/>
    <n v="1"/>
    <n v="1"/>
  </r>
  <r>
    <n v="145"/>
    <n v="37"/>
    <s v="female"/>
    <n v="30.6"/>
    <n v="96"/>
    <s v="Yes"/>
    <x v="0"/>
    <x v="0"/>
    <s v="southeast"/>
    <n v="2459.7199999999998"/>
    <x v="1"/>
    <n v="0"/>
    <n v="1"/>
    <n v="0"/>
    <n v="0"/>
    <n v="0.47684368574699709"/>
    <n v="0"/>
    <n v="1"/>
    <n v="1"/>
  </r>
  <r>
    <n v="146"/>
    <n v="29"/>
    <s v="female"/>
    <n v="27.7"/>
    <n v="80"/>
    <s v="Yes"/>
    <x v="0"/>
    <x v="0"/>
    <s v="southeast"/>
    <n v="2464.62"/>
    <x v="4"/>
    <n v="0"/>
    <n v="1"/>
    <n v="0"/>
    <n v="0"/>
    <n v="0.34337383796364507"/>
    <n v="0"/>
    <n v="1"/>
    <n v="1"/>
  </r>
  <r>
    <n v="147"/>
    <n v="47"/>
    <s v="female"/>
    <n v="34"/>
    <n v="84"/>
    <s v="No"/>
    <x v="0"/>
    <x v="0"/>
    <s v="southeast"/>
    <n v="2473.33"/>
    <x v="1"/>
    <n v="0"/>
    <n v="1"/>
    <n v="0"/>
    <n v="0"/>
    <n v="0.70002988240724051"/>
    <n v="0"/>
    <n v="0"/>
    <n v="1"/>
  </r>
  <r>
    <n v="148"/>
    <n v="35"/>
    <s v="female"/>
    <n v="39.5"/>
    <n v="82"/>
    <s v="Yes"/>
    <x v="0"/>
    <x v="0"/>
    <s v="southeast"/>
    <n v="2480.98"/>
    <x v="2"/>
    <n v="0"/>
    <n v="1"/>
    <n v="0"/>
    <n v="0"/>
    <n v="0.1386027243933865"/>
    <n v="0"/>
    <n v="1"/>
    <n v="1"/>
  </r>
  <r>
    <n v="149"/>
    <n v="48"/>
    <s v="male"/>
    <n v="23.1"/>
    <n v="91"/>
    <s v="Yes"/>
    <x v="0"/>
    <x v="0"/>
    <s v="southeast"/>
    <n v="2483.7399999999998"/>
    <x v="0"/>
    <n v="0"/>
    <n v="1"/>
    <n v="0"/>
    <n v="0"/>
    <n v="0.92118702614260262"/>
    <n v="0"/>
    <n v="1"/>
    <n v="0"/>
  </r>
  <r>
    <n v="150"/>
    <n v="22"/>
    <s v="male"/>
    <n v="30.5"/>
    <n v="82"/>
    <s v="No"/>
    <x v="0"/>
    <x v="0"/>
    <s v="southwest"/>
    <n v="2494.02"/>
    <x v="1"/>
    <n v="0"/>
    <n v="0"/>
    <n v="1"/>
    <n v="0"/>
    <n v="0.33903340613784771"/>
    <n v="0"/>
    <n v="0"/>
    <n v="0"/>
  </r>
  <r>
    <n v="151"/>
    <n v="41"/>
    <s v="male"/>
    <n v="32.700000000000003"/>
    <n v="93"/>
    <s v="No"/>
    <x v="0"/>
    <x v="0"/>
    <s v="southeast"/>
    <n v="2497.04"/>
    <x v="1"/>
    <n v="0"/>
    <n v="1"/>
    <n v="0"/>
    <n v="0"/>
    <n v="0.64107226817314789"/>
    <n v="0"/>
    <n v="0"/>
    <n v="0"/>
  </r>
  <r>
    <n v="152"/>
    <n v="26"/>
    <s v="male"/>
    <n v="33.700000000000003"/>
    <n v="99"/>
    <s v="No"/>
    <x v="0"/>
    <x v="0"/>
    <s v="southeast"/>
    <n v="2498.41"/>
    <x v="1"/>
    <n v="0"/>
    <n v="1"/>
    <n v="0"/>
    <n v="0"/>
    <n v="0.90291371927632258"/>
    <n v="0"/>
    <n v="0"/>
    <n v="0"/>
  </r>
  <r>
    <n v="153"/>
    <n v="18"/>
    <s v="male"/>
    <n v="27.6"/>
    <n v="94"/>
    <s v="Yes"/>
    <x v="0"/>
    <x v="0"/>
    <s v="northwest"/>
    <n v="2523.17"/>
    <x v="4"/>
    <n v="0"/>
    <n v="0"/>
    <n v="0"/>
    <n v="1"/>
    <n v="0.96903456235014862"/>
    <n v="0"/>
    <n v="1"/>
    <n v="0"/>
  </r>
  <r>
    <n v="154"/>
    <n v="28"/>
    <s v="female"/>
    <n v="20.2"/>
    <n v="82"/>
    <s v="No"/>
    <x v="0"/>
    <x v="0"/>
    <s v="northwest"/>
    <n v="2527.8200000000002"/>
    <x v="0"/>
    <n v="0"/>
    <n v="0"/>
    <n v="0"/>
    <n v="1"/>
    <n v="5.1603474680423256E-2"/>
    <n v="0"/>
    <n v="0"/>
    <n v="1"/>
  </r>
  <r>
    <n v="155"/>
    <n v="33"/>
    <s v="male"/>
    <n v="35.6"/>
    <n v="98"/>
    <s v="No"/>
    <x v="0"/>
    <x v="0"/>
    <s v="northwest"/>
    <n v="2534.39"/>
    <x v="2"/>
    <n v="0"/>
    <n v="0"/>
    <n v="0"/>
    <n v="1"/>
    <n v="0.4435545320548222"/>
    <n v="0"/>
    <n v="0"/>
    <n v="0"/>
  </r>
  <r>
    <n v="156"/>
    <n v="49"/>
    <s v="male"/>
    <n v="31.1"/>
    <n v="88"/>
    <s v="Yes"/>
    <x v="2"/>
    <x v="0"/>
    <s v="southeast"/>
    <n v="2566.4699999999998"/>
    <x v="1"/>
    <n v="0"/>
    <n v="1"/>
    <n v="0"/>
    <n v="0"/>
    <n v="0.74510163566453624"/>
    <n v="0"/>
    <n v="1"/>
    <n v="0"/>
  </r>
  <r>
    <n v="157"/>
    <n v="33"/>
    <s v="female"/>
    <n v="17.399999999999999"/>
    <n v="87"/>
    <s v="No"/>
    <x v="1"/>
    <x v="0"/>
    <s v="southwest"/>
    <n v="2585.27"/>
    <x v="3"/>
    <n v="0"/>
    <n v="0"/>
    <n v="1"/>
    <n v="0"/>
    <n v="0.73338216033803372"/>
    <n v="0"/>
    <n v="0"/>
    <n v="1"/>
  </r>
  <r>
    <n v="158"/>
    <n v="43"/>
    <s v="female"/>
    <n v="22.1"/>
    <n v="82"/>
    <s v="Yes"/>
    <x v="0"/>
    <x v="0"/>
    <s v="southeast"/>
    <n v="2585.85"/>
    <x v="0"/>
    <n v="0"/>
    <n v="1"/>
    <n v="0"/>
    <n v="0"/>
    <n v="0.49270141509172594"/>
    <n v="0"/>
    <n v="1"/>
    <n v="1"/>
  </r>
  <r>
    <n v="159"/>
    <n v="57"/>
    <s v="female"/>
    <n v="26.4"/>
    <n v="86"/>
    <s v="No"/>
    <x v="1"/>
    <x v="0"/>
    <s v="southwest"/>
    <n v="2597.7800000000002"/>
    <x v="4"/>
    <n v="0"/>
    <n v="0"/>
    <n v="1"/>
    <n v="0"/>
    <n v="0.19277361657286907"/>
    <n v="0"/>
    <n v="0"/>
    <n v="1"/>
  </r>
  <r>
    <n v="160"/>
    <n v="30"/>
    <s v="female"/>
    <n v="30.3"/>
    <n v="94"/>
    <s v="Yes"/>
    <x v="0"/>
    <x v="0"/>
    <s v="southwest"/>
    <n v="2632.99"/>
    <x v="1"/>
    <n v="0"/>
    <n v="0"/>
    <n v="1"/>
    <n v="0"/>
    <n v="0.15774805609800302"/>
    <n v="0"/>
    <n v="1"/>
    <n v="1"/>
  </r>
  <r>
    <n v="161"/>
    <n v="42"/>
    <s v="male"/>
    <n v="28.3"/>
    <n v="86"/>
    <s v="Yes"/>
    <x v="1"/>
    <x v="0"/>
    <s v="northwest"/>
    <n v="2639.04"/>
    <x v="4"/>
    <n v="0"/>
    <n v="0"/>
    <n v="0"/>
    <n v="1"/>
    <n v="0.4005015795438549"/>
    <n v="0"/>
    <n v="1"/>
    <n v="0"/>
  </r>
  <r>
    <n v="162"/>
    <n v="21"/>
    <s v="male"/>
    <n v="31.4"/>
    <n v="91"/>
    <s v="No"/>
    <x v="1"/>
    <x v="0"/>
    <s v="northwest"/>
    <n v="2643.27"/>
    <x v="1"/>
    <n v="0"/>
    <n v="0"/>
    <n v="0"/>
    <n v="1"/>
    <n v="0.62972285076669288"/>
    <n v="0"/>
    <n v="0"/>
    <n v="0"/>
  </r>
  <r>
    <n v="163"/>
    <n v="47"/>
    <s v="male"/>
    <n v="17.7"/>
    <n v="92"/>
    <s v="Yes"/>
    <x v="0"/>
    <x v="0"/>
    <s v="northwest"/>
    <n v="2680.95"/>
    <x v="3"/>
    <n v="0"/>
    <n v="0"/>
    <n v="0"/>
    <n v="1"/>
    <n v="0.3163583833559237"/>
    <n v="0"/>
    <n v="1"/>
    <n v="0"/>
  </r>
  <r>
    <n v="164"/>
    <n v="28"/>
    <s v="male"/>
    <n v="38.1"/>
    <n v="81"/>
    <s v="Yes"/>
    <x v="0"/>
    <x v="0"/>
    <s v="southeast"/>
    <n v="2689.5"/>
    <x v="2"/>
    <n v="0"/>
    <n v="1"/>
    <n v="0"/>
    <n v="0"/>
    <n v="0.5700438469658734"/>
    <n v="0"/>
    <n v="1"/>
    <n v="0"/>
  </r>
  <r>
    <n v="165"/>
    <n v="52"/>
    <s v="female"/>
    <n v="28.1"/>
    <n v="90"/>
    <s v="Yes"/>
    <x v="0"/>
    <x v="0"/>
    <s v="northwest"/>
    <n v="2690.11"/>
    <x v="4"/>
    <n v="0"/>
    <n v="0"/>
    <n v="0"/>
    <n v="1"/>
    <n v="0.89893102919334766"/>
    <n v="0"/>
    <n v="1"/>
    <n v="1"/>
  </r>
  <r>
    <n v="166"/>
    <n v="30"/>
    <s v="male"/>
    <n v="31.1"/>
    <n v="91"/>
    <s v="No"/>
    <x v="0"/>
    <x v="0"/>
    <s v="northwest"/>
    <n v="2699.57"/>
    <x v="1"/>
    <n v="0"/>
    <n v="0"/>
    <n v="0"/>
    <n v="1"/>
    <n v="0.50670452172263636"/>
    <n v="0"/>
    <n v="0"/>
    <n v="0"/>
  </r>
  <r>
    <n v="167"/>
    <n v="51"/>
    <s v="female"/>
    <n v="24.5"/>
    <n v="80"/>
    <s v="Yes"/>
    <x v="1"/>
    <x v="0"/>
    <s v="northwest"/>
    <n v="2709.11"/>
    <x v="0"/>
    <n v="0"/>
    <n v="0"/>
    <n v="0"/>
    <n v="1"/>
    <n v="0.69071836082079674"/>
    <n v="0"/>
    <n v="1"/>
    <n v="1"/>
  </r>
  <r>
    <n v="168"/>
    <n v="58"/>
    <s v="female"/>
    <n v="24.6"/>
    <n v="87"/>
    <s v="Yes"/>
    <x v="1"/>
    <x v="0"/>
    <s v="northwest"/>
    <n v="2709.24"/>
    <x v="0"/>
    <n v="0"/>
    <n v="0"/>
    <n v="0"/>
    <n v="1"/>
    <n v="0.2029516616673378"/>
    <n v="0"/>
    <n v="1"/>
    <n v="1"/>
  </r>
  <r>
    <n v="169"/>
    <n v="26"/>
    <s v="female"/>
    <n v="25.7"/>
    <n v="88"/>
    <s v="No"/>
    <x v="1"/>
    <x v="0"/>
    <s v="northwest"/>
    <n v="2710.83"/>
    <x v="4"/>
    <n v="0"/>
    <n v="0"/>
    <n v="0"/>
    <n v="1"/>
    <n v="9.2977834547347982E-2"/>
    <n v="0"/>
    <n v="0"/>
    <n v="1"/>
  </r>
  <r>
    <n v="170"/>
    <n v="41"/>
    <s v="female"/>
    <n v="31.8"/>
    <n v="88"/>
    <s v="Yes"/>
    <x v="1"/>
    <x v="0"/>
    <s v="northwest"/>
    <n v="2719.28"/>
    <x v="1"/>
    <n v="0"/>
    <n v="0"/>
    <n v="0"/>
    <n v="1"/>
    <n v="6.8971080247054339E-2"/>
    <n v="0"/>
    <n v="1"/>
    <n v="1"/>
  </r>
  <r>
    <n v="171"/>
    <n v="46"/>
    <s v="male"/>
    <n v="26.2"/>
    <n v="84"/>
    <s v="No"/>
    <x v="0"/>
    <x v="0"/>
    <s v="southeast"/>
    <n v="2721.32"/>
    <x v="4"/>
    <n v="0"/>
    <n v="1"/>
    <n v="0"/>
    <n v="0"/>
    <n v="0.88360570998994015"/>
    <n v="0"/>
    <n v="0"/>
    <n v="0"/>
  </r>
  <r>
    <n v="172"/>
    <n v="23"/>
    <s v="male"/>
    <n v="30.6"/>
    <n v="96"/>
    <s v="No"/>
    <x v="0"/>
    <x v="0"/>
    <s v="southeast"/>
    <n v="2727.4"/>
    <x v="1"/>
    <n v="0"/>
    <n v="1"/>
    <n v="0"/>
    <n v="0"/>
    <n v="0.2617770335002424"/>
    <n v="0"/>
    <n v="0"/>
    <n v="0"/>
  </r>
  <r>
    <n v="173"/>
    <n v="34"/>
    <s v="female"/>
    <n v="39.6"/>
    <n v="91"/>
    <s v="Yes"/>
    <x v="1"/>
    <x v="0"/>
    <s v="northwest"/>
    <n v="2730.11"/>
    <x v="2"/>
    <n v="0"/>
    <n v="0"/>
    <n v="0"/>
    <n v="1"/>
    <n v="0.24228186579258293"/>
    <n v="0"/>
    <n v="1"/>
    <n v="1"/>
  </r>
  <r>
    <n v="174"/>
    <n v="29"/>
    <s v="female"/>
    <n v="23.2"/>
    <n v="80"/>
    <s v="No"/>
    <x v="0"/>
    <x v="0"/>
    <s v="southeast"/>
    <n v="2731.91"/>
    <x v="0"/>
    <n v="0"/>
    <n v="1"/>
    <n v="0"/>
    <n v="0"/>
    <n v="0.27592997279615228"/>
    <n v="0"/>
    <n v="0"/>
    <n v="1"/>
  </r>
  <r>
    <n v="175"/>
    <n v="58"/>
    <s v="female"/>
    <n v="30.4"/>
    <n v="85"/>
    <s v="Yes"/>
    <x v="0"/>
    <x v="0"/>
    <s v="southeast"/>
    <n v="2741.95"/>
    <x v="1"/>
    <n v="0"/>
    <n v="1"/>
    <n v="0"/>
    <n v="0"/>
    <n v="0.59673688545900638"/>
    <n v="0"/>
    <n v="1"/>
    <n v="1"/>
  </r>
  <r>
    <n v="176"/>
    <n v="59"/>
    <s v="female"/>
    <n v="39.799999999999997"/>
    <n v="81"/>
    <s v="Yes"/>
    <x v="0"/>
    <x v="0"/>
    <s v="northeast"/>
    <n v="2755.02"/>
    <x v="2"/>
    <n v="0"/>
    <n v="0"/>
    <n v="0"/>
    <n v="0"/>
    <n v="0.24027142442851401"/>
    <n v="0"/>
    <n v="1"/>
    <n v="1"/>
  </r>
  <r>
    <n v="177"/>
    <n v="30"/>
    <s v="male"/>
    <n v="17.399999999999999"/>
    <n v="89"/>
    <s v="No"/>
    <x v="1"/>
    <x v="0"/>
    <s v="northwest"/>
    <n v="2775.19"/>
    <x v="3"/>
    <n v="0"/>
    <n v="0"/>
    <n v="0"/>
    <n v="1"/>
    <n v="0.98604302335177363"/>
    <n v="0"/>
    <n v="0"/>
    <n v="0"/>
  </r>
  <r>
    <n v="178"/>
    <n v="49"/>
    <s v="male"/>
    <n v="27.4"/>
    <n v="91"/>
    <s v="No"/>
    <x v="1"/>
    <x v="0"/>
    <s v="northwest"/>
    <n v="2789.06"/>
    <x v="4"/>
    <n v="0"/>
    <n v="0"/>
    <n v="0"/>
    <n v="1"/>
    <n v="0.46241494401556882"/>
    <n v="0"/>
    <n v="0"/>
    <n v="0"/>
  </r>
  <r>
    <n v="179"/>
    <n v="60"/>
    <s v="female"/>
    <n v="32.1"/>
    <n v="98"/>
    <s v="No"/>
    <x v="2"/>
    <x v="0"/>
    <s v="southeast"/>
    <n v="2801.26"/>
    <x v="1"/>
    <n v="0"/>
    <n v="1"/>
    <n v="0"/>
    <n v="0"/>
    <n v="0.63518483337060361"/>
    <n v="0"/>
    <n v="0"/>
    <n v="1"/>
  </r>
  <r>
    <n v="180"/>
    <n v="49"/>
    <s v="male"/>
    <n v="20.6"/>
    <n v="92"/>
    <s v="No"/>
    <x v="2"/>
    <x v="0"/>
    <s v="northwest"/>
    <n v="2803.7"/>
    <x v="0"/>
    <n v="0"/>
    <n v="0"/>
    <n v="0"/>
    <n v="1"/>
    <n v="9.3874232775269073E-2"/>
    <n v="0"/>
    <n v="0"/>
    <n v="0"/>
  </r>
  <r>
    <n v="181"/>
    <n v="45"/>
    <s v="female"/>
    <n v="24.2"/>
    <n v="88"/>
    <s v="No"/>
    <x v="0"/>
    <x v="0"/>
    <s v="northwest"/>
    <n v="2842.76"/>
    <x v="0"/>
    <n v="0"/>
    <n v="0"/>
    <n v="0"/>
    <n v="1"/>
    <n v="0.59531486373986697"/>
    <n v="0"/>
    <n v="0"/>
    <n v="1"/>
  </r>
  <r>
    <n v="182"/>
    <n v="54"/>
    <s v="female"/>
    <n v="29.9"/>
    <n v="90"/>
    <s v="No"/>
    <x v="0"/>
    <x v="0"/>
    <s v="northwest"/>
    <n v="2850.68"/>
    <x v="4"/>
    <n v="0"/>
    <n v="0"/>
    <n v="0"/>
    <n v="1"/>
    <n v="0.5144091843766011"/>
    <n v="0"/>
    <n v="0"/>
    <n v="1"/>
  </r>
  <r>
    <n v="183"/>
    <n v="27"/>
    <s v="female"/>
    <n v="33.299999999999997"/>
    <n v="92"/>
    <s v="Yes"/>
    <x v="0"/>
    <x v="0"/>
    <s v="northwest"/>
    <n v="2855.44"/>
    <x v="1"/>
    <n v="0"/>
    <n v="0"/>
    <n v="0"/>
    <n v="1"/>
    <n v="0.47875285226974762"/>
    <n v="0"/>
    <n v="1"/>
    <n v="1"/>
  </r>
  <r>
    <n v="184"/>
    <n v="37"/>
    <s v="male"/>
    <n v="27.2"/>
    <n v="87"/>
    <s v="Yes"/>
    <x v="0"/>
    <x v="0"/>
    <s v="southwest"/>
    <n v="2866.09"/>
    <x v="4"/>
    <n v="0"/>
    <n v="0"/>
    <n v="1"/>
    <n v="0"/>
    <n v="2.1653967290824472E-3"/>
    <n v="0"/>
    <n v="1"/>
    <n v="0"/>
  </r>
  <r>
    <n v="185"/>
    <n v="48"/>
    <s v="male"/>
    <n v="27.9"/>
    <n v="82"/>
    <s v="Yes"/>
    <x v="0"/>
    <x v="0"/>
    <s v="southeast"/>
    <n v="2867.12"/>
    <x v="4"/>
    <n v="0"/>
    <n v="1"/>
    <n v="0"/>
    <n v="0"/>
    <n v="0.29595098484054516"/>
    <n v="0"/>
    <n v="1"/>
    <n v="0"/>
  </r>
  <r>
    <n v="186"/>
    <n v="49"/>
    <s v="male"/>
    <n v="29.5"/>
    <n v="92"/>
    <s v="No"/>
    <x v="0"/>
    <x v="0"/>
    <s v="northeast"/>
    <n v="2897.32"/>
    <x v="4"/>
    <n v="0"/>
    <n v="0"/>
    <n v="0"/>
    <n v="0"/>
    <n v="0.69914110658238837"/>
    <n v="0"/>
    <n v="0"/>
    <n v="0"/>
  </r>
  <r>
    <n v="187"/>
    <n v="25"/>
    <s v="female"/>
    <n v="34.9"/>
    <n v="100"/>
    <s v="No"/>
    <x v="0"/>
    <x v="0"/>
    <s v="northeast"/>
    <n v="2899.49"/>
    <x v="1"/>
    <n v="0"/>
    <n v="0"/>
    <n v="0"/>
    <n v="0"/>
    <n v="0.390819447188546"/>
    <n v="0"/>
    <n v="0"/>
    <n v="1"/>
  </r>
  <r>
    <n v="188"/>
    <n v="20"/>
    <s v="male"/>
    <n v="29.2"/>
    <n v="95"/>
    <s v="No"/>
    <x v="1"/>
    <x v="0"/>
    <s v="southeast"/>
    <n v="2902.91"/>
    <x v="4"/>
    <n v="0"/>
    <n v="1"/>
    <n v="0"/>
    <n v="0"/>
    <n v="0.15927533919089687"/>
    <n v="0"/>
    <n v="0"/>
    <n v="0"/>
  </r>
  <r>
    <n v="189"/>
    <n v="35"/>
    <s v="male"/>
    <n v="30"/>
    <n v="86"/>
    <s v="No"/>
    <x v="1"/>
    <x v="0"/>
    <s v="southwest"/>
    <n v="2904.09"/>
    <x v="1"/>
    <n v="0"/>
    <n v="0"/>
    <n v="1"/>
    <n v="0"/>
    <n v="0.74172393829260252"/>
    <n v="0"/>
    <n v="0"/>
    <n v="0"/>
  </r>
  <r>
    <n v="190"/>
    <n v="37"/>
    <s v="female"/>
    <n v="23.4"/>
    <n v="96"/>
    <s v="No"/>
    <x v="2"/>
    <x v="0"/>
    <s v="southwest"/>
    <n v="2913.57"/>
    <x v="0"/>
    <n v="0"/>
    <n v="0"/>
    <n v="1"/>
    <n v="0"/>
    <n v="0.1066249958075639"/>
    <n v="0"/>
    <n v="0"/>
    <n v="1"/>
  </r>
  <r>
    <n v="191"/>
    <n v="28"/>
    <s v="male"/>
    <n v="46.5"/>
    <n v="94"/>
    <s v="No"/>
    <x v="1"/>
    <x v="0"/>
    <s v="southeast"/>
    <n v="2927.06"/>
    <x v="2"/>
    <n v="0"/>
    <n v="1"/>
    <n v="0"/>
    <n v="0"/>
    <n v="0.14521830258803192"/>
    <n v="0"/>
    <n v="0"/>
    <n v="0"/>
  </r>
  <r>
    <n v="192"/>
    <n v="28"/>
    <s v="female"/>
    <n v="24.1"/>
    <n v="80"/>
    <s v="No"/>
    <x v="0"/>
    <x v="0"/>
    <s v="southwest"/>
    <n v="2974.13"/>
    <x v="0"/>
    <n v="0"/>
    <n v="0"/>
    <n v="1"/>
    <n v="0"/>
    <n v="0.6560372055268695"/>
    <n v="0"/>
    <n v="0"/>
    <n v="1"/>
  </r>
  <r>
    <n v="193"/>
    <n v="55"/>
    <s v="female"/>
    <n v="34.5"/>
    <n v="87"/>
    <s v="Yes"/>
    <x v="0"/>
    <x v="0"/>
    <s v="northwest"/>
    <n v="3021.81"/>
    <x v="1"/>
    <n v="0"/>
    <n v="0"/>
    <n v="0"/>
    <n v="1"/>
    <n v="0.34680328816467521"/>
    <n v="0"/>
    <n v="1"/>
    <n v="1"/>
  </r>
  <r>
    <n v="194"/>
    <n v="54"/>
    <s v="female"/>
    <n v="25.3"/>
    <n v="100"/>
    <s v="No"/>
    <x v="0"/>
    <x v="0"/>
    <s v="northeast"/>
    <n v="3044.21"/>
    <x v="4"/>
    <n v="0"/>
    <n v="0"/>
    <n v="0"/>
    <n v="0"/>
    <n v="1.4418805632485765E-2"/>
    <n v="0"/>
    <n v="0"/>
    <n v="1"/>
  </r>
  <r>
    <n v="195"/>
    <n v="57"/>
    <s v="female"/>
    <n v="26.6"/>
    <n v="83"/>
    <s v="No"/>
    <x v="0"/>
    <x v="0"/>
    <s v="northeast"/>
    <n v="3046.06"/>
    <x v="4"/>
    <n v="0"/>
    <n v="0"/>
    <n v="0"/>
    <n v="0"/>
    <n v="0.81714661952574175"/>
    <n v="0"/>
    <n v="0"/>
    <n v="1"/>
  </r>
  <r>
    <n v="196"/>
    <n v="33"/>
    <s v="female"/>
    <n v="31.8"/>
    <n v="98"/>
    <s v="Yes"/>
    <x v="2"/>
    <x v="0"/>
    <s v="southeast"/>
    <n v="3056.39"/>
    <x v="1"/>
    <n v="0"/>
    <n v="1"/>
    <n v="0"/>
    <n v="0"/>
    <n v="0.48703715395381619"/>
    <n v="0"/>
    <n v="1"/>
    <n v="1"/>
  </r>
  <r>
    <n v="197"/>
    <n v="30"/>
    <s v="male"/>
    <n v="30.9"/>
    <n v="89"/>
    <s v="Yes"/>
    <x v="0"/>
    <x v="0"/>
    <s v="northwest"/>
    <n v="3062.51"/>
    <x v="1"/>
    <n v="0"/>
    <n v="0"/>
    <n v="0"/>
    <n v="1"/>
    <n v="0.33013776486653734"/>
    <n v="0"/>
    <n v="1"/>
    <n v="0"/>
  </r>
  <r>
    <n v="198"/>
    <n v="49"/>
    <s v="male"/>
    <n v="26"/>
    <n v="98"/>
    <s v="Yes"/>
    <x v="0"/>
    <x v="0"/>
    <s v="northeast"/>
    <n v="3070.81"/>
    <x v="4"/>
    <n v="0"/>
    <n v="0"/>
    <n v="0"/>
    <n v="0"/>
    <n v="0.36955253164278445"/>
    <n v="0"/>
    <n v="1"/>
    <n v="0"/>
  </r>
  <r>
    <n v="199"/>
    <n v="25"/>
    <s v="male"/>
    <n v="23"/>
    <n v="81"/>
    <s v="Yes"/>
    <x v="0"/>
    <x v="0"/>
    <s v="northeast"/>
    <n v="1704.57"/>
    <x v="0"/>
    <n v="0"/>
    <n v="0"/>
    <n v="0"/>
    <n v="0"/>
    <n v="0.83006041599244851"/>
    <n v="0"/>
    <n v="1"/>
    <n v="0"/>
  </r>
  <r>
    <n v="200"/>
    <n v="38"/>
    <s v="male"/>
    <n v="23.8"/>
    <n v="99"/>
    <s v="Yes"/>
    <x v="2"/>
    <x v="0"/>
    <s v="northwest"/>
    <n v="3077.1"/>
    <x v="0"/>
    <n v="0"/>
    <n v="0"/>
    <n v="0"/>
    <n v="1"/>
    <n v="0.96642425995260994"/>
    <n v="0"/>
    <n v="1"/>
    <n v="0"/>
  </r>
  <r>
    <n v="201"/>
    <n v="60"/>
    <s v="female"/>
    <n v="25.8"/>
    <n v="100"/>
    <s v="Yes"/>
    <x v="0"/>
    <x v="0"/>
    <s v="southwest"/>
    <n v="3161.45"/>
    <x v="4"/>
    <n v="0"/>
    <n v="0"/>
    <n v="1"/>
    <n v="0"/>
    <n v="0.60045498166543276"/>
    <n v="0"/>
    <n v="1"/>
    <n v="1"/>
  </r>
  <r>
    <n v="202"/>
    <n v="59"/>
    <s v="female"/>
    <n v="16.8"/>
    <n v="96"/>
    <s v="Yes"/>
    <x v="1"/>
    <x v="0"/>
    <s v="northeast"/>
    <n v="3167.46"/>
    <x v="3"/>
    <n v="0"/>
    <n v="0"/>
    <n v="0"/>
    <n v="0"/>
    <n v="0.28159003615623102"/>
    <n v="0"/>
    <n v="1"/>
    <n v="1"/>
  </r>
  <r>
    <n v="203"/>
    <n v="52"/>
    <s v="female"/>
    <n v="33.1"/>
    <n v="87"/>
    <s v="No"/>
    <x v="0"/>
    <x v="0"/>
    <s v="southeast"/>
    <n v="3171.61"/>
    <x v="1"/>
    <n v="0"/>
    <n v="1"/>
    <n v="0"/>
    <n v="0"/>
    <n v="0.44238605284754717"/>
    <n v="0"/>
    <n v="0"/>
    <n v="1"/>
  </r>
  <r>
    <n v="204"/>
    <n v="35"/>
    <s v="female"/>
    <n v="33.4"/>
    <n v="99"/>
    <s v="No"/>
    <x v="0"/>
    <x v="0"/>
    <s v="southwest"/>
    <n v="3172.02"/>
    <x v="1"/>
    <n v="0"/>
    <n v="0"/>
    <n v="1"/>
    <n v="0"/>
    <n v="0.31231580114868362"/>
    <n v="0"/>
    <n v="0"/>
    <n v="1"/>
  </r>
  <r>
    <n v="205"/>
    <n v="35"/>
    <s v="female"/>
    <n v="22.2"/>
    <n v="93"/>
    <s v="No"/>
    <x v="0"/>
    <x v="0"/>
    <s v="northwest"/>
    <n v="3176.29"/>
    <x v="0"/>
    <n v="0"/>
    <n v="0"/>
    <n v="0"/>
    <n v="1"/>
    <n v="0.94458102132988331"/>
    <n v="0"/>
    <n v="0"/>
    <n v="1"/>
  </r>
  <r>
    <n v="206"/>
    <n v="48"/>
    <s v="female"/>
    <n v="22.6"/>
    <n v="94"/>
    <s v="No"/>
    <x v="0"/>
    <x v="0"/>
    <s v="northwest"/>
    <n v="3176.82"/>
    <x v="0"/>
    <n v="0"/>
    <n v="0"/>
    <n v="0"/>
    <n v="1"/>
    <n v="9.4303214763219345E-2"/>
    <n v="0"/>
    <n v="0"/>
    <n v="1"/>
  </r>
  <r>
    <n v="207"/>
    <n v="27"/>
    <s v="female"/>
    <n v="21.9"/>
    <n v="80"/>
    <s v="No"/>
    <x v="2"/>
    <x v="0"/>
    <s v="southeast"/>
    <n v="3180.51"/>
    <x v="0"/>
    <n v="0"/>
    <n v="1"/>
    <n v="0"/>
    <n v="0"/>
    <n v="0.91676188376860002"/>
    <n v="0"/>
    <n v="0"/>
    <n v="1"/>
  </r>
  <r>
    <n v="208"/>
    <n v="48"/>
    <s v="female"/>
    <n v="40.200000000000003"/>
    <n v="82"/>
    <s v="No"/>
    <x v="0"/>
    <x v="0"/>
    <s v="northwest"/>
    <n v="3201.25"/>
    <x v="2"/>
    <n v="0"/>
    <n v="0"/>
    <n v="0"/>
    <n v="1"/>
    <n v="0.58261982981048588"/>
    <n v="0"/>
    <n v="0"/>
    <n v="1"/>
  </r>
  <r>
    <n v="209"/>
    <n v="45"/>
    <s v="female"/>
    <n v="23.5"/>
    <n v="96"/>
    <s v="No"/>
    <x v="0"/>
    <x v="0"/>
    <s v="northeast"/>
    <n v="3206.49"/>
    <x v="0"/>
    <n v="0"/>
    <n v="0"/>
    <n v="0"/>
    <n v="0"/>
    <n v="0.85634790479126643"/>
    <n v="0"/>
    <n v="0"/>
    <n v="1"/>
  </r>
  <r>
    <n v="210"/>
    <n v="33"/>
    <s v="female"/>
    <n v="20.8"/>
    <n v="87"/>
    <s v="Yes"/>
    <x v="1"/>
    <x v="0"/>
    <s v="southwest"/>
    <n v="3208.79"/>
    <x v="0"/>
    <n v="0"/>
    <n v="0"/>
    <n v="1"/>
    <n v="0"/>
    <n v="0.25195381911307047"/>
    <n v="0"/>
    <n v="1"/>
    <n v="1"/>
  </r>
  <r>
    <n v="211"/>
    <n v="59"/>
    <s v="female"/>
    <n v="28.6"/>
    <n v="82"/>
    <s v="No"/>
    <x v="0"/>
    <x v="0"/>
    <s v="northeast"/>
    <n v="3213.62"/>
    <x v="4"/>
    <n v="0"/>
    <n v="0"/>
    <n v="0"/>
    <n v="0"/>
    <n v="0.96367066805242174"/>
    <n v="0"/>
    <n v="0"/>
    <n v="1"/>
  </r>
  <r>
    <n v="212"/>
    <n v="36"/>
    <s v="female"/>
    <n v="34"/>
    <n v="88"/>
    <s v="Yes"/>
    <x v="1"/>
    <x v="0"/>
    <s v="southeast"/>
    <n v="3227.12"/>
    <x v="1"/>
    <n v="0"/>
    <n v="1"/>
    <n v="0"/>
    <n v="0"/>
    <n v="0.37844699623953371"/>
    <n v="0"/>
    <n v="1"/>
    <n v="1"/>
  </r>
  <r>
    <n v="213"/>
    <n v="46"/>
    <s v="female"/>
    <n v="42.1"/>
    <n v="89"/>
    <s v="No"/>
    <x v="1"/>
    <x v="0"/>
    <s v="southeast"/>
    <n v="3238.44"/>
    <x v="2"/>
    <n v="0"/>
    <n v="1"/>
    <n v="0"/>
    <n v="0"/>
    <n v="0.94271062879031109"/>
    <n v="0"/>
    <n v="0"/>
    <n v="1"/>
  </r>
  <r>
    <n v="214"/>
    <n v="35"/>
    <s v="male"/>
    <n v="20.399999999999999"/>
    <n v="88"/>
    <s v="No"/>
    <x v="0"/>
    <x v="0"/>
    <s v="southwest"/>
    <n v="3260.2"/>
    <x v="0"/>
    <n v="0"/>
    <n v="0"/>
    <n v="1"/>
    <n v="0"/>
    <n v="6.464416412470575E-2"/>
    <n v="0"/>
    <n v="0"/>
    <n v="0"/>
  </r>
  <r>
    <n v="215"/>
    <n v="43"/>
    <s v="male"/>
    <n v="35.4"/>
    <n v="86"/>
    <s v="Yes"/>
    <x v="0"/>
    <x v="0"/>
    <s v="northeast"/>
    <n v="3268.85"/>
    <x v="2"/>
    <n v="0"/>
    <n v="0"/>
    <n v="0"/>
    <n v="0"/>
    <n v="0.77791908132069443"/>
    <n v="0"/>
    <n v="1"/>
    <n v="0"/>
  </r>
  <r>
    <n v="216"/>
    <n v="28"/>
    <s v="male"/>
    <n v="37.1"/>
    <n v="90"/>
    <s v="Yes"/>
    <x v="1"/>
    <x v="0"/>
    <s v="southwest"/>
    <n v="3277.16"/>
    <x v="2"/>
    <n v="0"/>
    <n v="0"/>
    <n v="1"/>
    <n v="0"/>
    <n v="4.24252209731657E-3"/>
    <n v="0"/>
    <n v="1"/>
    <n v="0"/>
  </r>
  <r>
    <n v="217"/>
    <n v="26"/>
    <s v="male"/>
    <n v="25.7"/>
    <n v="91"/>
    <s v="No"/>
    <x v="2"/>
    <x v="0"/>
    <s v="northeast"/>
    <n v="3279.87"/>
    <x v="4"/>
    <n v="0"/>
    <n v="0"/>
    <n v="0"/>
    <n v="0"/>
    <n v="0.33164619165575171"/>
    <n v="0"/>
    <n v="0"/>
    <n v="0"/>
  </r>
  <r>
    <n v="218"/>
    <n v="23"/>
    <s v="male"/>
    <n v="33.9"/>
    <n v="81"/>
    <s v="No"/>
    <x v="1"/>
    <x v="0"/>
    <s v="northwest"/>
    <n v="3292.53"/>
    <x v="1"/>
    <n v="0"/>
    <n v="0"/>
    <n v="0"/>
    <n v="1"/>
    <n v="0.61171289047599142"/>
    <n v="0"/>
    <n v="0"/>
    <n v="0"/>
  </r>
  <r>
    <n v="219"/>
    <n v="48"/>
    <s v="male"/>
    <n v="25.8"/>
    <n v="82"/>
    <s v="Yes"/>
    <x v="1"/>
    <x v="0"/>
    <s v="northeast"/>
    <n v="3309.79"/>
    <x v="4"/>
    <n v="0"/>
    <n v="0"/>
    <n v="0"/>
    <n v="0"/>
    <n v="0.17808140950326379"/>
    <n v="0"/>
    <n v="1"/>
    <n v="0"/>
  </r>
  <r>
    <n v="220"/>
    <n v="49"/>
    <s v="female"/>
    <n v="25.9"/>
    <n v="97"/>
    <s v="No"/>
    <x v="0"/>
    <x v="0"/>
    <s v="southwest"/>
    <n v="3353.28"/>
    <x v="4"/>
    <n v="0"/>
    <n v="0"/>
    <n v="1"/>
    <n v="0"/>
    <n v="0.83863403027275107"/>
    <n v="0"/>
    <n v="0"/>
    <n v="1"/>
  </r>
  <r>
    <n v="221"/>
    <n v="41"/>
    <s v="female"/>
    <n v="21.5"/>
    <n v="92"/>
    <s v="No"/>
    <x v="0"/>
    <x v="0"/>
    <s v="northwest"/>
    <n v="3353.47"/>
    <x v="0"/>
    <n v="0"/>
    <n v="0"/>
    <n v="0"/>
    <n v="1"/>
    <n v="0.53959190667879775"/>
    <n v="0"/>
    <n v="0"/>
    <n v="1"/>
  </r>
  <r>
    <n v="222"/>
    <n v="28"/>
    <s v="female"/>
    <n v="35.5"/>
    <n v="95"/>
    <s v="Yes"/>
    <x v="0"/>
    <x v="0"/>
    <s v="southeast"/>
    <n v="3366.67"/>
    <x v="2"/>
    <n v="0"/>
    <n v="1"/>
    <n v="0"/>
    <n v="0"/>
    <n v="0.17725896667977681"/>
    <n v="0"/>
    <n v="1"/>
    <n v="1"/>
  </r>
  <r>
    <n v="223"/>
    <n v="53"/>
    <s v="female"/>
    <n v="19.8"/>
    <n v="93"/>
    <s v="Yes"/>
    <x v="1"/>
    <x v="0"/>
    <s v="southwest"/>
    <n v="3378.91"/>
    <x v="3"/>
    <n v="0"/>
    <n v="0"/>
    <n v="1"/>
    <n v="0"/>
    <n v="0.9997864988212708"/>
    <n v="0"/>
    <n v="1"/>
    <n v="1"/>
  </r>
  <r>
    <n v="224"/>
    <n v="28"/>
    <s v="female"/>
    <n v="28.8"/>
    <n v="99"/>
    <s v="Yes"/>
    <x v="0"/>
    <x v="0"/>
    <s v="northeast"/>
    <n v="3385.4"/>
    <x v="4"/>
    <n v="0"/>
    <n v="0"/>
    <n v="0"/>
    <n v="0"/>
    <n v="0.19906794440011044"/>
    <n v="0"/>
    <n v="1"/>
    <n v="1"/>
  </r>
  <r>
    <n v="225"/>
    <n v="40"/>
    <s v="female"/>
    <n v="29.5"/>
    <n v="100"/>
    <s v="No"/>
    <x v="1"/>
    <x v="0"/>
    <s v="southeast"/>
    <n v="3392.37"/>
    <x v="4"/>
    <n v="0"/>
    <n v="1"/>
    <n v="0"/>
    <n v="0"/>
    <n v="0.19001386962887423"/>
    <n v="0"/>
    <n v="0"/>
    <n v="1"/>
  </r>
  <r>
    <n v="226"/>
    <n v="60"/>
    <s v="female"/>
    <n v="29.9"/>
    <n v="82"/>
    <s v="Yes"/>
    <x v="1"/>
    <x v="0"/>
    <s v="southeast"/>
    <n v="3392.98"/>
    <x v="4"/>
    <n v="0"/>
    <n v="1"/>
    <n v="0"/>
    <n v="0"/>
    <n v="0.24903318871557967"/>
    <n v="0"/>
    <n v="1"/>
    <n v="1"/>
  </r>
  <r>
    <n v="227"/>
    <n v="35"/>
    <s v="female"/>
    <n v="38.700000000000003"/>
    <n v="85"/>
    <s v="No"/>
    <x v="2"/>
    <x v="0"/>
    <s v="southeast"/>
    <n v="3393.36"/>
    <x v="2"/>
    <n v="0"/>
    <n v="1"/>
    <n v="0"/>
    <n v="0"/>
    <n v="0.24881866215841253"/>
    <n v="0"/>
    <n v="0"/>
    <n v="1"/>
  </r>
  <r>
    <n v="228"/>
    <n v="34"/>
    <s v="female"/>
    <n v="42.4"/>
    <n v="92"/>
    <s v="No"/>
    <x v="1"/>
    <x v="0"/>
    <s v="southwest"/>
    <n v="3410.32"/>
    <x v="2"/>
    <n v="0"/>
    <n v="0"/>
    <n v="1"/>
    <n v="0"/>
    <n v="0.11618475856317512"/>
    <n v="0"/>
    <n v="0"/>
    <n v="1"/>
  </r>
  <r>
    <n v="229"/>
    <n v="40"/>
    <s v="male"/>
    <n v="34.799999999999997"/>
    <n v="81"/>
    <s v="No"/>
    <x v="3"/>
    <x v="0"/>
    <s v="southwest"/>
    <n v="3443.06"/>
    <x v="1"/>
    <n v="0"/>
    <n v="0"/>
    <n v="1"/>
    <n v="0"/>
    <n v="0.80234922628082028"/>
    <n v="0"/>
    <n v="0"/>
    <n v="0"/>
  </r>
  <r>
    <n v="230"/>
    <n v="42"/>
    <s v="male"/>
    <n v="38.9"/>
    <n v="94"/>
    <s v="No"/>
    <x v="1"/>
    <x v="0"/>
    <s v="southeast"/>
    <n v="3471.41"/>
    <x v="2"/>
    <n v="0"/>
    <n v="1"/>
    <n v="0"/>
    <n v="0"/>
    <n v="2.6428223088663216E-2"/>
    <n v="0"/>
    <n v="0"/>
    <n v="0"/>
  </r>
  <r>
    <n v="231"/>
    <n v="22"/>
    <s v="male"/>
    <n v="30.4"/>
    <n v="95"/>
    <s v="Yes"/>
    <x v="3"/>
    <x v="0"/>
    <s v="southeast"/>
    <n v="3481.87"/>
    <x v="1"/>
    <n v="0"/>
    <n v="1"/>
    <n v="0"/>
    <n v="0"/>
    <n v="5.5329836077178118E-2"/>
    <n v="0"/>
    <n v="1"/>
    <n v="0"/>
  </r>
  <r>
    <n v="232"/>
    <n v="35"/>
    <s v="male"/>
    <n v="23.7"/>
    <n v="88"/>
    <s v="No"/>
    <x v="2"/>
    <x v="0"/>
    <s v="southwest"/>
    <n v="3484.33"/>
    <x v="0"/>
    <n v="0"/>
    <n v="0"/>
    <n v="1"/>
    <n v="0"/>
    <n v="0.45073515783653284"/>
    <n v="0"/>
    <n v="0"/>
    <n v="0"/>
  </r>
  <r>
    <n v="233"/>
    <n v="49"/>
    <s v="male"/>
    <n v="32.5"/>
    <n v="93"/>
    <s v="Yes"/>
    <x v="1"/>
    <x v="0"/>
    <s v="southeast"/>
    <n v="3490.55"/>
    <x v="1"/>
    <n v="0"/>
    <n v="1"/>
    <n v="0"/>
    <n v="0"/>
    <n v="0.10424339526421778"/>
    <n v="0"/>
    <n v="1"/>
    <n v="0"/>
  </r>
  <r>
    <n v="234"/>
    <n v="30"/>
    <s v="female"/>
    <n v="39.299999999999997"/>
    <n v="92"/>
    <s v="No"/>
    <x v="2"/>
    <x v="0"/>
    <s v="southeast"/>
    <n v="3500.61"/>
    <x v="2"/>
    <n v="0"/>
    <n v="1"/>
    <n v="0"/>
    <n v="0"/>
    <n v="0.20222047154978295"/>
    <n v="0"/>
    <n v="0"/>
    <n v="1"/>
  </r>
  <r>
    <n v="235"/>
    <n v="21"/>
    <s v="male"/>
    <n v="28.5"/>
    <n v="98"/>
    <s v="Yes"/>
    <x v="2"/>
    <x v="0"/>
    <s v="northwest"/>
    <n v="3537.7"/>
    <x v="4"/>
    <n v="0"/>
    <n v="0"/>
    <n v="0"/>
    <n v="1"/>
    <n v="0.28053263683359719"/>
    <n v="0"/>
    <n v="1"/>
    <n v="0"/>
  </r>
  <r>
    <n v="236"/>
    <n v="58"/>
    <s v="female"/>
    <n v="27.7"/>
    <n v="82"/>
    <s v="No"/>
    <x v="0"/>
    <x v="0"/>
    <s v="southwest"/>
    <n v="3554.2"/>
    <x v="4"/>
    <n v="0"/>
    <n v="0"/>
    <n v="1"/>
    <n v="0"/>
    <n v="0.52269382128201802"/>
    <n v="0"/>
    <n v="0"/>
    <n v="1"/>
  </r>
  <r>
    <n v="237"/>
    <n v="59"/>
    <s v="female"/>
    <n v="34.799999999999997"/>
    <n v="85"/>
    <s v="Yes"/>
    <x v="0"/>
    <x v="0"/>
    <s v="northwest"/>
    <n v="3556.92"/>
    <x v="1"/>
    <n v="0"/>
    <n v="0"/>
    <n v="0"/>
    <n v="1"/>
    <n v="0.68978194796056747"/>
    <n v="0"/>
    <n v="1"/>
    <n v="1"/>
  </r>
  <r>
    <n v="238"/>
    <n v="48"/>
    <s v="female"/>
    <n v="25.2"/>
    <n v="82"/>
    <s v="No"/>
    <x v="0"/>
    <x v="0"/>
    <s v="southeast"/>
    <n v="3558.62"/>
    <x v="4"/>
    <n v="0"/>
    <n v="1"/>
    <n v="0"/>
    <n v="0"/>
    <n v="0.95047181320179297"/>
    <n v="0"/>
    <n v="0"/>
    <n v="1"/>
  </r>
  <r>
    <n v="239"/>
    <n v="32"/>
    <s v="female"/>
    <n v="23.2"/>
    <n v="89"/>
    <s v="Yes"/>
    <x v="1"/>
    <x v="0"/>
    <s v="southeast"/>
    <n v="3561.89"/>
    <x v="0"/>
    <n v="0"/>
    <n v="1"/>
    <n v="0"/>
    <n v="0"/>
    <n v="0.61067314931370997"/>
    <n v="0"/>
    <n v="1"/>
    <n v="1"/>
  </r>
  <r>
    <n v="240"/>
    <n v="31"/>
    <s v="female"/>
    <n v="34.799999999999997"/>
    <n v="88"/>
    <s v="No"/>
    <x v="1"/>
    <x v="0"/>
    <s v="southwest"/>
    <n v="3578"/>
    <x v="1"/>
    <n v="0"/>
    <n v="0"/>
    <n v="1"/>
    <n v="0"/>
    <n v="0.97400995457268835"/>
    <n v="0"/>
    <n v="0"/>
    <n v="1"/>
  </r>
  <r>
    <n v="241"/>
    <n v="47"/>
    <s v="female"/>
    <n v="33.6"/>
    <n v="84"/>
    <s v="Yes"/>
    <x v="2"/>
    <x v="0"/>
    <s v="northwest"/>
    <n v="3579.83"/>
    <x v="1"/>
    <n v="0"/>
    <n v="0"/>
    <n v="0"/>
    <n v="1"/>
    <n v="0.97024328993739617"/>
    <n v="0"/>
    <n v="1"/>
    <n v="1"/>
  </r>
  <r>
    <n v="242"/>
    <n v="23"/>
    <s v="male"/>
    <n v="32.700000000000003"/>
    <n v="82"/>
    <s v="Yes"/>
    <x v="3"/>
    <x v="0"/>
    <s v="southwest"/>
    <n v="3591.48"/>
    <x v="1"/>
    <n v="0"/>
    <n v="0"/>
    <n v="1"/>
    <n v="0"/>
    <n v="0.41258132331735597"/>
    <n v="0"/>
    <n v="1"/>
    <n v="0"/>
  </r>
  <r>
    <n v="243"/>
    <n v="36"/>
    <s v="female"/>
    <n v="22.5"/>
    <n v="91"/>
    <s v="Yes"/>
    <x v="1"/>
    <x v="0"/>
    <s v="northwest"/>
    <n v="3594.17"/>
    <x v="0"/>
    <n v="0"/>
    <n v="0"/>
    <n v="0"/>
    <n v="1"/>
    <n v="0.67568160532019972"/>
    <n v="0"/>
    <n v="1"/>
    <n v="1"/>
  </r>
  <r>
    <n v="244"/>
    <n v="48"/>
    <s v="male"/>
    <n v="37.1"/>
    <n v="97"/>
    <s v="No"/>
    <x v="3"/>
    <x v="0"/>
    <s v="southwest"/>
    <n v="3597.6"/>
    <x v="2"/>
    <n v="0"/>
    <n v="0"/>
    <n v="1"/>
    <n v="0"/>
    <n v="0.24212570451049931"/>
    <n v="0"/>
    <n v="0"/>
    <n v="0"/>
  </r>
  <r>
    <n v="245"/>
    <n v="18"/>
    <s v="male"/>
    <n v="25.5"/>
    <n v="99"/>
    <s v="Yes"/>
    <x v="0"/>
    <x v="0"/>
    <s v="northeast"/>
    <n v="3645.09"/>
    <x v="4"/>
    <n v="0"/>
    <n v="0"/>
    <n v="0"/>
    <n v="0"/>
    <n v="0.86836036148304729"/>
    <n v="0"/>
    <n v="1"/>
    <n v="0"/>
  </r>
  <r>
    <n v="246"/>
    <n v="23"/>
    <s v="male"/>
    <n v="31.4"/>
    <n v="88"/>
    <s v="No"/>
    <x v="1"/>
    <x v="0"/>
    <s v="southwest"/>
    <n v="3659.35"/>
    <x v="1"/>
    <n v="0"/>
    <n v="0"/>
    <n v="1"/>
    <n v="0"/>
    <n v="0.94656832651272205"/>
    <n v="0"/>
    <n v="0"/>
    <n v="0"/>
  </r>
  <r>
    <n v="247"/>
    <n v="20"/>
    <s v="male"/>
    <n v="45.9"/>
    <n v="97"/>
    <s v="No"/>
    <x v="2"/>
    <x v="0"/>
    <s v="southwest"/>
    <n v="3693.43"/>
    <x v="2"/>
    <n v="0"/>
    <n v="0"/>
    <n v="1"/>
    <n v="0"/>
    <n v="0.66323771898590445"/>
    <n v="0"/>
    <n v="0"/>
    <n v="0"/>
  </r>
  <r>
    <n v="248"/>
    <n v="31"/>
    <s v="male"/>
    <n v="30.3"/>
    <n v="92"/>
    <s v="No"/>
    <x v="0"/>
    <x v="0"/>
    <s v="southeast"/>
    <n v="3704.35"/>
    <x v="1"/>
    <n v="0"/>
    <n v="1"/>
    <n v="0"/>
    <n v="0"/>
    <n v="0.40330992842405866"/>
    <n v="0"/>
    <n v="0"/>
    <n v="0"/>
  </r>
  <r>
    <n v="249"/>
    <n v="35"/>
    <s v="female"/>
    <n v="17.3"/>
    <n v="82"/>
    <s v="Yes"/>
    <x v="0"/>
    <x v="0"/>
    <s v="northeast"/>
    <n v="3732.63"/>
    <x v="3"/>
    <n v="0"/>
    <n v="0"/>
    <n v="0"/>
    <n v="0"/>
    <n v="0.14286399078148815"/>
    <n v="0"/>
    <n v="1"/>
    <n v="1"/>
  </r>
  <r>
    <n v="250"/>
    <n v="49"/>
    <s v="female"/>
    <n v="26"/>
    <n v="88"/>
    <s v="No"/>
    <x v="0"/>
    <x v="0"/>
    <s v="northwest"/>
    <n v="3736.46"/>
    <x v="4"/>
    <n v="0"/>
    <n v="0"/>
    <n v="0"/>
    <n v="1"/>
    <n v="0.16328209653836712"/>
    <n v="0"/>
    <n v="0"/>
    <n v="1"/>
  </r>
  <r>
    <n v="251"/>
    <n v="45"/>
    <s v="female"/>
    <n v="25.7"/>
    <n v="80"/>
    <s v="No"/>
    <x v="0"/>
    <x v="0"/>
    <s v="southeast"/>
    <n v="3756.62"/>
    <x v="4"/>
    <n v="0"/>
    <n v="1"/>
    <n v="0"/>
    <n v="0"/>
    <n v="7.2101471671711659E-3"/>
    <n v="0"/>
    <n v="0"/>
    <n v="1"/>
  </r>
  <r>
    <n v="252"/>
    <n v="30"/>
    <s v="female"/>
    <n v="26.6"/>
    <n v="89"/>
    <s v="Yes"/>
    <x v="0"/>
    <x v="0"/>
    <s v="southeast"/>
    <n v="3757.84"/>
    <x v="4"/>
    <n v="0"/>
    <n v="1"/>
    <n v="0"/>
    <n v="0"/>
    <n v="0.92206669449546363"/>
    <n v="0"/>
    <n v="1"/>
    <n v="1"/>
  </r>
  <r>
    <n v="253"/>
    <n v="52"/>
    <s v="female"/>
    <n v="29.1"/>
    <n v="90"/>
    <s v="No"/>
    <x v="0"/>
    <x v="0"/>
    <s v="southwest"/>
    <n v="3761.29"/>
    <x v="4"/>
    <n v="0"/>
    <n v="0"/>
    <n v="1"/>
    <n v="0"/>
    <n v="8.7745935877493242E-2"/>
    <n v="0"/>
    <n v="0"/>
    <n v="1"/>
  </r>
  <r>
    <n v="254"/>
    <n v="44"/>
    <s v="female"/>
    <n v="37.6"/>
    <n v="84"/>
    <s v="No"/>
    <x v="1"/>
    <x v="0"/>
    <s v="southeast"/>
    <n v="3766.88"/>
    <x v="2"/>
    <n v="0"/>
    <n v="1"/>
    <n v="0"/>
    <n v="0"/>
    <n v="0.92114007911311324"/>
    <n v="0"/>
    <n v="0"/>
    <n v="1"/>
  </r>
  <r>
    <n v="255"/>
    <n v="31"/>
    <s v="male"/>
    <n v="23.8"/>
    <n v="83"/>
    <s v="No"/>
    <x v="2"/>
    <x v="0"/>
    <s v="southwest"/>
    <n v="3847.67"/>
    <x v="0"/>
    <n v="0"/>
    <n v="0"/>
    <n v="1"/>
    <n v="0"/>
    <n v="0.57231909973817074"/>
    <n v="0"/>
    <n v="0"/>
    <n v="0"/>
  </r>
  <r>
    <n v="256"/>
    <n v="25"/>
    <s v="male"/>
    <n v="30.9"/>
    <n v="86"/>
    <s v="Yes"/>
    <x v="0"/>
    <x v="0"/>
    <s v="northeast"/>
    <n v="3857.76"/>
    <x v="1"/>
    <n v="0"/>
    <n v="0"/>
    <n v="0"/>
    <n v="0"/>
    <n v="0.17958526138791742"/>
    <n v="0"/>
    <n v="1"/>
    <n v="0"/>
  </r>
  <r>
    <n v="257"/>
    <n v="34"/>
    <s v="male"/>
    <n v="20.2"/>
    <n v="80"/>
    <s v="No"/>
    <x v="3"/>
    <x v="0"/>
    <s v="northeast"/>
    <n v="3861.21"/>
    <x v="0"/>
    <n v="0"/>
    <n v="0"/>
    <n v="0"/>
    <n v="0"/>
    <n v="0.74493050527792881"/>
    <n v="0"/>
    <n v="0"/>
    <n v="0"/>
  </r>
  <r>
    <n v="258"/>
    <n v="33"/>
    <s v="male"/>
    <n v="28.9"/>
    <n v="87"/>
    <s v="No"/>
    <x v="0"/>
    <x v="0"/>
    <s v="northwest"/>
    <n v="3866.86"/>
    <x v="4"/>
    <n v="0"/>
    <n v="0"/>
    <n v="0"/>
    <n v="1"/>
    <n v="0.16873636957898608"/>
    <n v="0"/>
    <n v="0"/>
    <n v="0"/>
  </r>
  <r>
    <n v="259"/>
    <n v="32"/>
    <s v="male"/>
    <n v="39.5"/>
    <n v="88"/>
    <s v="Yes"/>
    <x v="1"/>
    <x v="0"/>
    <s v="southeast"/>
    <n v="3875.73"/>
    <x v="2"/>
    <n v="0"/>
    <n v="1"/>
    <n v="0"/>
    <n v="0"/>
    <n v="0.77108827870680963"/>
    <n v="0"/>
    <n v="1"/>
    <n v="0"/>
  </r>
  <r>
    <n v="260"/>
    <n v="18"/>
    <s v="male"/>
    <n v="30.9"/>
    <n v="92"/>
    <s v="No"/>
    <x v="2"/>
    <x v="0"/>
    <s v="northwest"/>
    <n v="3877.3"/>
    <x v="1"/>
    <n v="0"/>
    <n v="0"/>
    <n v="0"/>
    <n v="1"/>
    <n v="0.30353083846409623"/>
    <n v="0"/>
    <n v="0"/>
    <n v="0"/>
  </r>
  <r>
    <n v="261"/>
    <n v="28"/>
    <s v="male"/>
    <n v="26.8"/>
    <n v="92"/>
    <s v="No"/>
    <x v="3"/>
    <x v="0"/>
    <s v="southwest"/>
    <n v="3906.13"/>
    <x v="4"/>
    <n v="0"/>
    <n v="0"/>
    <n v="1"/>
    <n v="0"/>
    <n v="0.94327181838158014"/>
    <n v="0"/>
    <n v="0"/>
    <n v="0"/>
  </r>
  <r>
    <n v="262"/>
    <n v="42"/>
    <s v="female"/>
    <n v="34.6"/>
    <n v="80"/>
    <s v="No"/>
    <x v="2"/>
    <x v="0"/>
    <s v="northeast"/>
    <n v="3925.76"/>
    <x v="1"/>
    <n v="0"/>
    <n v="0"/>
    <n v="0"/>
    <n v="0"/>
    <n v="0.63474175114161524"/>
    <n v="0"/>
    <n v="0"/>
    <n v="1"/>
  </r>
  <r>
    <n v="263"/>
    <n v="36"/>
    <s v="male"/>
    <n v="34.200000000000003"/>
    <n v="96"/>
    <s v="Yes"/>
    <x v="0"/>
    <x v="0"/>
    <s v="southeast"/>
    <n v="3935.18"/>
    <x v="1"/>
    <n v="0"/>
    <n v="1"/>
    <n v="0"/>
    <n v="0"/>
    <n v="0.39335693578770503"/>
    <n v="0"/>
    <n v="1"/>
    <n v="0"/>
  </r>
  <r>
    <n v="264"/>
    <n v="46"/>
    <s v="female"/>
    <n v="31.2"/>
    <n v="88"/>
    <s v="Yes"/>
    <x v="0"/>
    <x v="0"/>
    <s v="northeast"/>
    <n v="3943.6"/>
    <x v="1"/>
    <n v="0"/>
    <n v="0"/>
    <n v="0"/>
    <n v="0"/>
    <n v="0.77940342137014484"/>
    <n v="0"/>
    <n v="1"/>
    <n v="1"/>
  </r>
  <r>
    <n v="265"/>
    <n v="46"/>
    <s v="female"/>
    <n v="29.6"/>
    <n v="86"/>
    <s v="Yes"/>
    <x v="1"/>
    <x v="0"/>
    <s v="southeast"/>
    <n v="3947.41"/>
    <x v="4"/>
    <n v="0"/>
    <n v="1"/>
    <n v="0"/>
    <n v="0"/>
    <n v="0.58078392460799733"/>
    <n v="0"/>
    <n v="1"/>
    <n v="1"/>
  </r>
  <r>
    <n v="266"/>
    <n v="38"/>
    <s v="female"/>
    <n v="31.3"/>
    <n v="86"/>
    <s v="Yes"/>
    <x v="1"/>
    <x v="0"/>
    <s v="northwest"/>
    <n v="3956.07"/>
    <x v="1"/>
    <n v="0"/>
    <n v="0"/>
    <n v="0"/>
    <n v="1"/>
    <n v="0.19953382948913223"/>
    <n v="0"/>
    <n v="1"/>
    <n v="1"/>
  </r>
  <r>
    <n v="267"/>
    <n v="53"/>
    <s v="female"/>
    <n v="28.9"/>
    <n v="93"/>
    <s v="No"/>
    <x v="0"/>
    <x v="0"/>
    <s v="southeast"/>
    <n v="3972.92"/>
    <x v="4"/>
    <n v="0"/>
    <n v="1"/>
    <n v="0"/>
    <n v="0"/>
    <n v="4.5426939734964256E-2"/>
    <n v="0"/>
    <n v="0"/>
    <n v="1"/>
  </r>
  <r>
    <n v="268"/>
    <n v="35"/>
    <s v="female"/>
    <n v="29.9"/>
    <n v="93"/>
    <s v="Yes"/>
    <x v="2"/>
    <x v="0"/>
    <s v="southeast"/>
    <n v="3981.98"/>
    <x v="4"/>
    <n v="0"/>
    <n v="1"/>
    <n v="0"/>
    <n v="0"/>
    <n v="0.76235337260710057"/>
    <n v="0"/>
    <n v="1"/>
    <n v="1"/>
  </r>
  <r>
    <n v="269"/>
    <n v="48"/>
    <s v="female"/>
    <n v="34.200000000000003"/>
    <n v="99"/>
    <s v="Yes"/>
    <x v="2"/>
    <x v="0"/>
    <s v="southwest"/>
    <n v="3987.93"/>
    <x v="1"/>
    <n v="0"/>
    <n v="0"/>
    <n v="1"/>
    <n v="0"/>
    <n v="0.71105067759483287"/>
    <n v="0"/>
    <n v="1"/>
    <n v="1"/>
  </r>
  <r>
    <n v="270"/>
    <n v="49"/>
    <s v="female"/>
    <n v="41.1"/>
    <n v="88"/>
    <s v="Yes"/>
    <x v="0"/>
    <x v="0"/>
    <s v="southwest"/>
    <n v="3989.84"/>
    <x v="2"/>
    <n v="0"/>
    <n v="0"/>
    <n v="1"/>
    <n v="0"/>
    <n v="0.8146012574282484"/>
    <n v="0"/>
    <n v="1"/>
    <n v="1"/>
  </r>
  <r>
    <n v="271"/>
    <n v="46"/>
    <s v="female"/>
    <n v="44.2"/>
    <n v="91"/>
    <s v="Yes"/>
    <x v="0"/>
    <x v="0"/>
    <s v="southeast"/>
    <n v="3994.18"/>
    <x v="2"/>
    <n v="0"/>
    <n v="1"/>
    <n v="0"/>
    <n v="0"/>
    <n v="0.99537272765714491"/>
    <n v="0"/>
    <n v="1"/>
    <n v="1"/>
  </r>
  <r>
    <n v="272"/>
    <n v="48"/>
    <s v="male"/>
    <n v="20"/>
    <n v="82"/>
    <s v="No"/>
    <x v="3"/>
    <x v="0"/>
    <s v="northeast"/>
    <n v="4005.42"/>
    <x v="0"/>
    <n v="0"/>
    <n v="0"/>
    <n v="0"/>
    <n v="0"/>
    <n v="0.98913404016571238"/>
    <n v="0"/>
    <n v="0"/>
    <n v="0"/>
  </r>
  <r>
    <n v="273"/>
    <n v="44"/>
    <s v="male"/>
    <n v="24.1"/>
    <n v="86"/>
    <s v="No"/>
    <x v="1"/>
    <x v="0"/>
    <s v="northwest"/>
    <n v="4032.24"/>
    <x v="0"/>
    <n v="0"/>
    <n v="0"/>
    <n v="0"/>
    <n v="1"/>
    <n v="0.80184701639166533"/>
    <n v="0"/>
    <n v="0"/>
    <n v="0"/>
  </r>
  <r>
    <n v="274"/>
    <n v="43"/>
    <s v="male"/>
    <n v="29"/>
    <n v="91"/>
    <s v="No"/>
    <x v="1"/>
    <x v="0"/>
    <s v="northeast"/>
    <n v="4040.56"/>
    <x v="4"/>
    <n v="0"/>
    <n v="0"/>
    <n v="0"/>
    <n v="0"/>
    <n v="0.44117816414346744"/>
    <n v="0"/>
    <n v="0"/>
    <n v="0"/>
  </r>
  <r>
    <n v="275"/>
    <n v="24"/>
    <s v="male"/>
    <n v="37.299999999999997"/>
    <n v="99"/>
    <s v="Yes"/>
    <x v="2"/>
    <x v="0"/>
    <s v="southeast"/>
    <n v="4058.12"/>
    <x v="2"/>
    <n v="0"/>
    <n v="1"/>
    <n v="0"/>
    <n v="0"/>
    <n v="0.81822610429284248"/>
    <n v="0"/>
    <n v="1"/>
    <n v="0"/>
  </r>
  <r>
    <n v="276"/>
    <n v="37"/>
    <s v="male"/>
    <n v="33.200000000000003"/>
    <n v="90"/>
    <s v="Yes"/>
    <x v="2"/>
    <x v="0"/>
    <s v="northwest"/>
    <n v="4058.71"/>
    <x v="1"/>
    <n v="0"/>
    <n v="0"/>
    <n v="0"/>
    <n v="1"/>
    <n v="0.62238766880941698"/>
    <n v="0"/>
    <n v="1"/>
    <n v="0"/>
  </r>
  <r>
    <n v="277"/>
    <n v="23"/>
    <s v="male"/>
    <n v="30"/>
    <n v="95"/>
    <s v="Yes"/>
    <x v="1"/>
    <x v="0"/>
    <s v="southeast"/>
    <n v="4074.45"/>
    <x v="1"/>
    <n v="0"/>
    <n v="1"/>
    <n v="0"/>
    <n v="0"/>
    <n v="0.98248696578397043"/>
    <n v="0"/>
    <n v="1"/>
    <n v="0"/>
  </r>
  <r>
    <n v="278"/>
    <n v="26"/>
    <s v="male"/>
    <n v="31.5"/>
    <n v="95"/>
    <s v="Yes"/>
    <x v="1"/>
    <x v="0"/>
    <s v="southwest"/>
    <n v="4076.5"/>
    <x v="1"/>
    <n v="0"/>
    <n v="0"/>
    <n v="1"/>
    <n v="0"/>
    <n v="0.19277772611386967"/>
    <n v="0"/>
    <n v="1"/>
    <n v="0"/>
  </r>
  <r>
    <n v="279"/>
    <n v="49"/>
    <s v="female"/>
    <n v="25.9"/>
    <n v="80"/>
    <s v="Yes"/>
    <x v="1"/>
    <x v="0"/>
    <s v="northwest"/>
    <n v="4133.6400000000003"/>
    <x v="4"/>
    <n v="0"/>
    <n v="0"/>
    <n v="0"/>
    <n v="1"/>
    <n v="0.24333557995404387"/>
    <n v="0"/>
    <n v="1"/>
    <n v="1"/>
  </r>
  <r>
    <n v="280"/>
    <n v="47"/>
    <s v="female"/>
    <n v="21.8"/>
    <n v="98"/>
    <s v="No"/>
    <x v="0"/>
    <x v="0"/>
    <s v="northwest"/>
    <n v="4134.08"/>
    <x v="0"/>
    <n v="0"/>
    <n v="0"/>
    <n v="0"/>
    <n v="1"/>
    <n v="0.18123541054567893"/>
    <n v="0"/>
    <n v="0"/>
    <n v="1"/>
  </r>
  <r>
    <n v="281"/>
    <n v="25"/>
    <s v="female"/>
    <n v="27.9"/>
    <n v="88"/>
    <s v="Yes"/>
    <x v="0"/>
    <x v="0"/>
    <s v="southeast"/>
    <n v="4137.5200000000004"/>
    <x v="4"/>
    <n v="0"/>
    <n v="1"/>
    <n v="0"/>
    <n v="0"/>
    <n v="0.9275093557842109"/>
    <n v="0"/>
    <n v="1"/>
    <n v="1"/>
  </r>
  <r>
    <n v="282"/>
    <n v="59"/>
    <s v="female"/>
    <n v="32.4"/>
    <n v="94"/>
    <s v="No"/>
    <x v="1"/>
    <x v="0"/>
    <s v="southwest"/>
    <n v="4149.74"/>
    <x v="1"/>
    <n v="0"/>
    <n v="0"/>
    <n v="1"/>
    <n v="0"/>
    <n v="0.91812039164926507"/>
    <n v="0"/>
    <n v="0"/>
    <n v="1"/>
  </r>
  <r>
    <n v="283"/>
    <n v="48"/>
    <s v="female"/>
    <n v="33.299999999999997"/>
    <n v="100"/>
    <s v="Yes"/>
    <x v="1"/>
    <x v="0"/>
    <s v="southeast"/>
    <n v="4151.03"/>
    <x v="1"/>
    <n v="0"/>
    <n v="1"/>
    <n v="0"/>
    <n v="0"/>
    <n v="0.59136894797953532"/>
    <n v="0"/>
    <n v="1"/>
    <n v="1"/>
  </r>
  <r>
    <n v="284"/>
    <n v="34"/>
    <s v="female"/>
    <n v="24.3"/>
    <n v="90"/>
    <s v="Yes"/>
    <x v="0"/>
    <x v="0"/>
    <s v="southeast"/>
    <n v="4185.1000000000004"/>
    <x v="0"/>
    <n v="0"/>
    <n v="1"/>
    <n v="0"/>
    <n v="0"/>
    <n v="7.0377541409070044E-2"/>
    <n v="0"/>
    <n v="1"/>
    <n v="1"/>
  </r>
  <r>
    <n v="285"/>
    <n v="25"/>
    <s v="female"/>
    <n v="26.8"/>
    <n v="98"/>
    <s v="No"/>
    <x v="2"/>
    <x v="0"/>
    <s v="northwest"/>
    <n v="4189.1099999999997"/>
    <x v="4"/>
    <n v="0"/>
    <n v="0"/>
    <n v="0"/>
    <n v="1"/>
    <n v="0.49151445917894454"/>
    <n v="0"/>
    <n v="0"/>
    <n v="1"/>
  </r>
  <r>
    <n v="286"/>
    <n v="27"/>
    <s v="female"/>
    <n v="30.1"/>
    <n v="81"/>
    <s v="No"/>
    <x v="3"/>
    <x v="0"/>
    <s v="southwest"/>
    <n v="4234.93"/>
    <x v="1"/>
    <n v="0"/>
    <n v="0"/>
    <n v="1"/>
    <n v="0"/>
    <n v="0.32912007432873969"/>
    <n v="0"/>
    <n v="0"/>
    <n v="1"/>
  </r>
  <r>
    <n v="287"/>
    <n v="30"/>
    <s v="male"/>
    <n v="27.6"/>
    <n v="90"/>
    <s v="No"/>
    <x v="1"/>
    <x v="0"/>
    <s v="southeast"/>
    <n v="4237.13"/>
    <x v="4"/>
    <n v="0"/>
    <n v="1"/>
    <n v="0"/>
    <n v="0"/>
    <n v="0.63444918544324347"/>
    <n v="0"/>
    <n v="0"/>
    <n v="0"/>
  </r>
  <r>
    <n v="288"/>
    <n v="35"/>
    <s v="male"/>
    <n v="25.9"/>
    <n v="84"/>
    <s v="Yes"/>
    <x v="1"/>
    <x v="0"/>
    <s v="northwest"/>
    <n v="4239.8900000000003"/>
    <x v="4"/>
    <n v="0"/>
    <n v="0"/>
    <n v="0"/>
    <n v="1"/>
    <n v="0.41985412154330837"/>
    <n v="0"/>
    <n v="1"/>
    <n v="0"/>
  </r>
  <r>
    <n v="289"/>
    <n v="37"/>
    <s v="male"/>
    <n v="28.6"/>
    <n v="93"/>
    <s v="Yes"/>
    <x v="1"/>
    <x v="0"/>
    <s v="northwest"/>
    <n v="4243.59"/>
    <x v="4"/>
    <n v="0"/>
    <n v="0"/>
    <n v="0"/>
    <n v="1"/>
    <n v="0.85410879509087589"/>
    <n v="0"/>
    <n v="1"/>
    <n v="0"/>
  </r>
  <r>
    <n v="290"/>
    <n v="35"/>
    <s v="male"/>
    <n v="30.3"/>
    <n v="80"/>
    <s v="No"/>
    <x v="3"/>
    <x v="0"/>
    <s v="southwest"/>
    <n v="4260.74"/>
    <x v="1"/>
    <n v="0"/>
    <n v="0"/>
    <n v="1"/>
    <n v="0"/>
    <n v="0.36006590174889475"/>
    <n v="0"/>
    <n v="0"/>
    <n v="0"/>
  </r>
  <r>
    <n v="291"/>
    <n v="49"/>
    <s v="male"/>
    <n v="44.2"/>
    <n v="80"/>
    <s v="No"/>
    <x v="2"/>
    <x v="0"/>
    <s v="southeast"/>
    <n v="4266.17"/>
    <x v="2"/>
    <n v="0"/>
    <n v="1"/>
    <n v="0"/>
    <n v="0"/>
    <n v="0.63452620770164103"/>
    <n v="0"/>
    <n v="0"/>
    <n v="0"/>
  </r>
  <r>
    <n v="292"/>
    <n v="25"/>
    <s v="female"/>
    <n v="21.3"/>
    <n v="95"/>
    <s v="Yes"/>
    <x v="3"/>
    <x v="0"/>
    <s v="northwest"/>
    <n v="4296.2700000000004"/>
    <x v="0"/>
    <n v="0"/>
    <n v="0"/>
    <n v="0"/>
    <n v="1"/>
    <n v="9.4432466132015502E-2"/>
    <n v="0"/>
    <n v="1"/>
    <n v="1"/>
  </r>
  <r>
    <n v="293"/>
    <n v="21"/>
    <s v="male"/>
    <n v="35.799999999999997"/>
    <n v="88"/>
    <s v="No"/>
    <x v="0"/>
    <x v="0"/>
    <s v="northwest"/>
    <n v="4320.41"/>
    <x v="2"/>
    <n v="0"/>
    <n v="0"/>
    <n v="0"/>
    <n v="1"/>
    <n v="0.21639617496186225"/>
    <n v="0"/>
    <n v="0"/>
    <n v="0"/>
  </r>
  <r>
    <n v="294"/>
    <n v="37"/>
    <s v="female"/>
    <n v="28.9"/>
    <n v="87"/>
    <s v="No"/>
    <x v="1"/>
    <x v="0"/>
    <s v="southeast"/>
    <n v="4337.74"/>
    <x v="4"/>
    <n v="0"/>
    <n v="1"/>
    <n v="0"/>
    <n v="0"/>
    <n v="0.85050568766244827"/>
    <n v="0"/>
    <n v="0"/>
    <n v="1"/>
  </r>
  <r>
    <n v="295"/>
    <n v="57"/>
    <s v="female"/>
    <n v="26.5"/>
    <n v="90"/>
    <s v="Yes"/>
    <x v="2"/>
    <x v="0"/>
    <s v="southeast"/>
    <n v="4340.4399999999996"/>
    <x v="4"/>
    <n v="0"/>
    <n v="1"/>
    <n v="0"/>
    <n v="0"/>
    <n v="0.21721701322360187"/>
    <n v="0"/>
    <n v="1"/>
    <n v="1"/>
  </r>
  <r>
    <n v="296"/>
    <n v="32"/>
    <s v="female"/>
    <n v="31.1"/>
    <n v="88"/>
    <s v="No"/>
    <x v="0"/>
    <x v="0"/>
    <s v="southeast"/>
    <n v="4347.0200000000004"/>
    <x v="1"/>
    <n v="0"/>
    <n v="1"/>
    <n v="0"/>
    <n v="0"/>
    <n v="0.22005183871252765"/>
    <n v="0"/>
    <n v="0"/>
    <n v="1"/>
  </r>
  <r>
    <n v="297"/>
    <n v="25"/>
    <s v="female"/>
    <n v="33"/>
    <n v="89"/>
    <s v="Yes"/>
    <x v="2"/>
    <x v="0"/>
    <s v="southeast"/>
    <n v="4349.46"/>
    <x v="1"/>
    <n v="0"/>
    <n v="1"/>
    <n v="0"/>
    <n v="0"/>
    <n v="6.1670940223647053E-3"/>
    <n v="0"/>
    <n v="1"/>
    <n v="1"/>
  </r>
  <r>
    <n v="298"/>
    <n v="40"/>
    <s v="female"/>
    <n v="29.3"/>
    <n v="87"/>
    <s v="Yes"/>
    <x v="1"/>
    <x v="0"/>
    <s v="southeast"/>
    <n v="4350.51"/>
    <x v="4"/>
    <n v="0"/>
    <n v="1"/>
    <n v="0"/>
    <n v="0"/>
    <n v="0.22031648073005772"/>
    <n v="0"/>
    <n v="1"/>
    <n v="1"/>
  </r>
  <r>
    <n v="299"/>
    <n v="30"/>
    <s v="female"/>
    <n v="29.7"/>
    <n v="93"/>
    <s v="No"/>
    <x v="0"/>
    <x v="0"/>
    <s v="northwest"/>
    <n v="4357.04"/>
    <x v="4"/>
    <n v="0"/>
    <n v="0"/>
    <n v="0"/>
    <n v="1"/>
    <n v="0.39534890039061854"/>
    <n v="0"/>
    <n v="0"/>
    <n v="1"/>
  </r>
  <r>
    <n v="300"/>
    <n v="31"/>
    <s v="female"/>
    <n v="24.3"/>
    <n v="90"/>
    <s v="Yes"/>
    <x v="3"/>
    <x v="0"/>
    <s v="southwest"/>
    <n v="4391.6499999999996"/>
    <x v="0"/>
    <n v="0"/>
    <n v="0"/>
    <n v="1"/>
    <n v="0"/>
    <n v="0.58617680468837396"/>
    <n v="0"/>
    <n v="1"/>
    <n v="1"/>
  </r>
  <r>
    <n v="301"/>
    <n v="37"/>
    <s v="male"/>
    <n v="29.7"/>
    <n v="81"/>
    <s v="No"/>
    <x v="0"/>
    <x v="0"/>
    <s v="southeast"/>
    <n v="4399.7299999999996"/>
    <x v="4"/>
    <n v="0"/>
    <n v="1"/>
    <n v="0"/>
    <n v="0"/>
    <n v="0.73509751257151978"/>
    <n v="0"/>
    <n v="0"/>
    <n v="0"/>
  </r>
  <r>
    <n v="302"/>
    <n v="26"/>
    <s v="male"/>
    <n v="31.5"/>
    <n v="88"/>
    <s v="Yes"/>
    <x v="0"/>
    <x v="0"/>
    <s v="southwest"/>
    <n v="4402.2299999999996"/>
    <x v="1"/>
    <n v="0"/>
    <n v="0"/>
    <n v="1"/>
    <n v="0"/>
    <n v="0.91164143730089531"/>
    <n v="0"/>
    <n v="1"/>
    <n v="0"/>
  </r>
  <r>
    <n v="303"/>
    <n v="41"/>
    <s v="female"/>
    <n v="27.7"/>
    <n v="92"/>
    <s v="Yes"/>
    <x v="0"/>
    <x v="0"/>
    <s v="southeast"/>
    <n v="4415.16"/>
    <x v="4"/>
    <n v="0"/>
    <n v="1"/>
    <n v="0"/>
    <n v="0"/>
    <n v="0.67173875675972694"/>
    <n v="0"/>
    <n v="1"/>
    <n v="1"/>
  </r>
  <r>
    <n v="304"/>
    <n v="46"/>
    <s v="male"/>
    <n v="22.5"/>
    <n v="88"/>
    <s v="Yes"/>
    <x v="2"/>
    <x v="0"/>
    <s v="southeast"/>
    <n v="4428.8900000000003"/>
    <x v="0"/>
    <n v="0"/>
    <n v="1"/>
    <n v="0"/>
    <n v="0"/>
    <n v="0.26567897057492373"/>
    <n v="0"/>
    <n v="1"/>
    <n v="0"/>
  </r>
  <r>
    <n v="305"/>
    <n v="32"/>
    <s v="male"/>
    <n v="31.7"/>
    <n v="83"/>
    <s v="Yes"/>
    <x v="2"/>
    <x v="0"/>
    <s v="northwest"/>
    <n v="4433.3900000000003"/>
    <x v="1"/>
    <n v="0"/>
    <n v="0"/>
    <n v="0"/>
    <n v="1"/>
    <n v="0.31971687612859923"/>
    <n v="0"/>
    <n v="1"/>
    <n v="0"/>
  </r>
  <r>
    <n v="306"/>
    <n v="34"/>
    <s v="male"/>
    <n v="32.1"/>
    <n v="83"/>
    <s v="Yes"/>
    <x v="2"/>
    <x v="0"/>
    <s v="northwest"/>
    <n v="4433.92"/>
    <x v="1"/>
    <n v="0"/>
    <n v="0"/>
    <n v="0"/>
    <n v="1"/>
    <n v="0.57070905595009336"/>
    <n v="0"/>
    <n v="1"/>
    <n v="0"/>
  </r>
  <r>
    <n v="307"/>
    <n v="44"/>
    <s v="male"/>
    <n v="27"/>
    <n v="100"/>
    <s v="Yes"/>
    <x v="2"/>
    <x v="0"/>
    <s v="southeast"/>
    <n v="4435.09"/>
    <x v="4"/>
    <n v="0"/>
    <n v="1"/>
    <n v="0"/>
    <n v="0"/>
    <n v="0.20239586079948613"/>
    <n v="0"/>
    <n v="1"/>
    <n v="0"/>
  </r>
  <r>
    <n v="308"/>
    <n v="46"/>
    <s v="male"/>
    <n v="29.3"/>
    <n v="80"/>
    <s v="Yes"/>
    <x v="2"/>
    <x v="0"/>
    <s v="southeast"/>
    <n v="4438.26"/>
    <x v="4"/>
    <n v="0"/>
    <n v="1"/>
    <n v="0"/>
    <n v="0"/>
    <n v="0.57161172965079188"/>
    <n v="0"/>
    <n v="1"/>
    <n v="0"/>
  </r>
  <r>
    <n v="309"/>
    <n v="41"/>
    <s v="male"/>
    <n v="26.9"/>
    <n v="90"/>
    <s v="No"/>
    <x v="1"/>
    <x v="0"/>
    <s v="southeast"/>
    <n v="4441.21"/>
    <x v="4"/>
    <n v="0"/>
    <n v="1"/>
    <n v="0"/>
    <n v="0"/>
    <n v="0.73307053993498827"/>
    <n v="0"/>
    <n v="0"/>
    <n v="0"/>
  </r>
  <r>
    <n v="310"/>
    <n v="32"/>
    <s v="male"/>
    <n v="33"/>
    <n v="94"/>
    <s v="Yes"/>
    <x v="3"/>
    <x v="0"/>
    <s v="southeast"/>
    <n v="4449.46"/>
    <x v="1"/>
    <n v="0"/>
    <n v="1"/>
    <n v="0"/>
    <n v="0"/>
    <n v="0.7655249523131038"/>
    <n v="0"/>
    <n v="1"/>
    <n v="0"/>
  </r>
  <r>
    <n v="311"/>
    <n v="43"/>
    <s v="male"/>
    <n v="27.8"/>
    <n v="81"/>
    <s v="No"/>
    <x v="1"/>
    <x v="0"/>
    <s v="northwest"/>
    <n v="4454.3999999999996"/>
    <x v="4"/>
    <n v="0"/>
    <n v="0"/>
    <n v="0"/>
    <n v="1"/>
    <n v="0.30624309657682758"/>
    <n v="0"/>
    <n v="0"/>
    <n v="0"/>
  </r>
  <r>
    <n v="312"/>
    <n v="37"/>
    <s v="male"/>
    <n v="33.799999999999997"/>
    <n v="90"/>
    <s v="No"/>
    <x v="1"/>
    <x v="0"/>
    <s v="northwest"/>
    <n v="4462.72"/>
    <x v="1"/>
    <n v="0"/>
    <n v="0"/>
    <n v="0"/>
    <n v="1"/>
    <n v="0.34461493449137992"/>
    <n v="0"/>
    <n v="0"/>
    <n v="0"/>
  </r>
  <r>
    <n v="313"/>
    <n v="21"/>
    <s v="male"/>
    <n v="38.4"/>
    <n v="87"/>
    <s v="Yes"/>
    <x v="2"/>
    <x v="0"/>
    <s v="southeast"/>
    <n v="4463.21"/>
    <x v="2"/>
    <n v="0"/>
    <n v="1"/>
    <n v="0"/>
    <n v="0"/>
    <n v="0.7521234703237879"/>
    <n v="0"/>
    <n v="1"/>
    <n v="0"/>
  </r>
  <r>
    <n v="314"/>
    <n v="45"/>
    <s v="female"/>
    <n v="35"/>
    <n v="91"/>
    <s v="Yes"/>
    <x v="3"/>
    <x v="0"/>
    <s v="northwest"/>
    <n v="4466.62"/>
    <x v="2"/>
    <n v="0"/>
    <n v="0"/>
    <n v="0"/>
    <n v="1"/>
    <n v="0.34740694877686384"/>
    <n v="0"/>
    <n v="1"/>
    <n v="1"/>
  </r>
  <r>
    <n v="315"/>
    <n v="36"/>
    <s v="male"/>
    <n v="21.4"/>
    <n v="89"/>
    <s v="No"/>
    <x v="0"/>
    <x v="0"/>
    <s v="southeast"/>
    <n v="4500.34"/>
    <x v="0"/>
    <n v="0"/>
    <n v="1"/>
    <n v="0"/>
    <n v="0"/>
    <n v="0.14686094420276841"/>
    <n v="0"/>
    <n v="0"/>
    <n v="0"/>
  </r>
  <r>
    <n v="316"/>
    <n v="44"/>
    <s v="male"/>
    <n v="33.700000000000003"/>
    <n v="96"/>
    <s v="No"/>
    <x v="4"/>
    <x v="0"/>
    <s v="southeast"/>
    <n v="4504.66"/>
    <x v="1"/>
    <n v="0"/>
    <n v="1"/>
    <n v="0"/>
    <n v="0"/>
    <n v="1.2629174748795213E-2"/>
    <n v="0"/>
    <n v="0"/>
    <n v="0"/>
  </r>
  <r>
    <n v="317"/>
    <n v="35"/>
    <s v="male"/>
    <n v="34.700000000000003"/>
    <n v="83"/>
    <s v="Yes"/>
    <x v="0"/>
    <x v="0"/>
    <s v="southeast"/>
    <n v="4518.83"/>
    <x v="1"/>
    <n v="0"/>
    <n v="1"/>
    <n v="0"/>
    <n v="0"/>
    <n v="0.31134271747985687"/>
    <n v="0"/>
    <n v="1"/>
    <n v="0"/>
  </r>
  <r>
    <n v="318"/>
    <n v="51"/>
    <s v="female"/>
    <n v="28.4"/>
    <n v="93"/>
    <s v="No"/>
    <x v="1"/>
    <x v="0"/>
    <s v="northwest"/>
    <n v="4527.18"/>
    <x v="4"/>
    <n v="0"/>
    <n v="0"/>
    <n v="0"/>
    <n v="1"/>
    <n v="0.45837233120448362"/>
    <n v="0"/>
    <n v="0"/>
    <n v="1"/>
  </r>
  <r>
    <n v="319"/>
    <n v="47"/>
    <s v="female"/>
    <n v="24.6"/>
    <n v="90"/>
    <s v="Yes"/>
    <x v="2"/>
    <x v="0"/>
    <s v="southwest"/>
    <n v="4529.4799999999996"/>
    <x v="0"/>
    <n v="0"/>
    <n v="0"/>
    <n v="1"/>
    <n v="0"/>
    <n v="0.8777761116132945"/>
    <n v="0"/>
    <n v="1"/>
    <n v="1"/>
  </r>
  <r>
    <n v="320"/>
    <n v="26"/>
    <s v="male"/>
    <n v="42.9"/>
    <n v="95"/>
    <s v="Yes"/>
    <x v="1"/>
    <x v="0"/>
    <s v="southwest"/>
    <n v="4536.26"/>
    <x v="2"/>
    <n v="0"/>
    <n v="0"/>
    <n v="1"/>
    <n v="0"/>
    <n v="0.21099773656010767"/>
    <n v="0"/>
    <n v="1"/>
    <n v="0"/>
  </r>
  <r>
    <n v="321"/>
    <n v="50"/>
    <s v="female"/>
    <n v="20.5"/>
    <n v="89"/>
    <s v="Yes"/>
    <x v="0"/>
    <x v="0"/>
    <s v="southeast"/>
    <n v="4544.2299999999996"/>
    <x v="0"/>
    <n v="0"/>
    <n v="1"/>
    <n v="0"/>
    <n v="0"/>
    <n v="0.89201652341423243"/>
    <n v="0"/>
    <n v="1"/>
    <n v="1"/>
  </r>
  <r>
    <n v="322"/>
    <n v="43"/>
    <s v="female"/>
    <n v="31.4"/>
    <n v="99"/>
    <s v="No"/>
    <x v="4"/>
    <x v="0"/>
    <s v="southeast"/>
    <n v="4561.1899999999996"/>
    <x v="1"/>
    <n v="0"/>
    <n v="1"/>
    <n v="0"/>
    <n v="0"/>
    <n v="3.3149116472621754E-2"/>
    <n v="0"/>
    <n v="0"/>
    <n v="1"/>
  </r>
  <r>
    <n v="323"/>
    <n v="55"/>
    <s v="female"/>
    <n v="29.6"/>
    <n v="93"/>
    <s v="Yes"/>
    <x v="1"/>
    <x v="0"/>
    <s v="southeast"/>
    <n v="4562.84"/>
    <x v="4"/>
    <n v="0"/>
    <n v="1"/>
    <n v="0"/>
    <n v="0"/>
    <n v="0.83621582314489806"/>
    <n v="0"/>
    <n v="1"/>
    <n v="1"/>
  </r>
  <r>
    <n v="324"/>
    <n v="26"/>
    <s v="female"/>
    <n v="29.4"/>
    <n v="96"/>
    <s v="Yes"/>
    <x v="2"/>
    <x v="0"/>
    <s v="southeast"/>
    <n v="4564.1899999999996"/>
    <x v="4"/>
    <n v="0"/>
    <n v="1"/>
    <n v="0"/>
    <n v="0"/>
    <n v="0.92953637685667856"/>
    <n v="0"/>
    <n v="1"/>
    <n v="1"/>
  </r>
  <r>
    <n v="325"/>
    <n v="60"/>
    <s v="female"/>
    <n v="26.7"/>
    <n v="94"/>
    <s v="No"/>
    <x v="0"/>
    <x v="0"/>
    <s v="northwest"/>
    <n v="4571.41"/>
    <x v="4"/>
    <n v="0"/>
    <n v="0"/>
    <n v="0"/>
    <n v="1"/>
    <n v="0.94096483272969667"/>
    <n v="0"/>
    <n v="0"/>
    <n v="1"/>
  </r>
  <r>
    <n v="326"/>
    <n v="31"/>
    <s v="female"/>
    <n v="30.2"/>
    <n v="83"/>
    <s v="No"/>
    <x v="3"/>
    <x v="0"/>
    <s v="northwest"/>
    <n v="4618.08"/>
    <x v="1"/>
    <n v="0"/>
    <n v="0"/>
    <n v="0"/>
    <n v="1"/>
    <n v="0.12066835867797177"/>
    <n v="0"/>
    <n v="0"/>
    <n v="1"/>
  </r>
  <r>
    <n v="327"/>
    <n v="18"/>
    <s v="male"/>
    <n v="30.8"/>
    <n v="97"/>
    <s v="Yes"/>
    <x v="0"/>
    <x v="0"/>
    <s v="southwest"/>
    <n v="4646.76"/>
    <x v="1"/>
    <n v="0"/>
    <n v="0"/>
    <n v="1"/>
    <n v="0"/>
    <n v="0.32602663748153105"/>
    <n v="0"/>
    <n v="1"/>
    <n v="0"/>
  </r>
  <r>
    <n v="328"/>
    <n v="47"/>
    <s v="male"/>
    <n v="27.3"/>
    <n v="85"/>
    <s v="Yes"/>
    <x v="3"/>
    <x v="0"/>
    <s v="southeast"/>
    <n v="4661.29"/>
    <x v="4"/>
    <n v="0"/>
    <n v="1"/>
    <n v="0"/>
    <n v="0"/>
    <n v="4.5734502832292856E-2"/>
    <n v="0"/>
    <n v="1"/>
    <n v="0"/>
  </r>
  <r>
    <n v="329"/>
    <n v="26"/>
    <s v="male"/>
    <n v="37.299999999999997"/>
    <n v="86"/>
    <s v="Yes"/>
    <x v="1"/>
    <x v="0"/>
    <s v="southeast"/>
    <n v="4667.6099999999997"/>
    <x v="2"/>
    <n v="0"/>
    <n v="1"/>
    <n v="0"/>
    <n v="0"/>
    <n v="0.83146530646880046"/>
    <n v="0"/>
    <n v="1"/>
    <n v="0"/>
  </r>
  <r>
    <n v="330"/>
    <n v="22"/>
    <s v="male"/>
    <n v="35.200000000000003"/>
    <n v="87"/>
    <s v="Yes"/>
    <x v="2"/>
    <x v="0"/>
    <s v="southwest"/>
    <n v="4670.6400000000003"/>
    <x v="2"/>
    <n v="0"/>
    <n v="0"/>
    <n v="1"/>
    <n v="0"/>
    <n v="0.60422401634651723"/>
    <n v="0"/>
    <n v="1"/>
    <n v="0"/>
  </r>
  <r>
    <n v="331"/>
    <n v="32"/>
    <s v="male"/>
    <n v="37.200000000000003"/>
    <n v="82"/>
    <s v="No"/>
    <x v="2"/>
    <x v="0"/>
    <s v="southeast"/>
    <n v="4673.3900000000003"/>
    <x v="2"/>
    <n v="0"/>
    <n v="1"/>
    <n v="0"/>
    <n v="0"/>
    <n v="0.21886962526571729"/>
    <n v="0"/>
    <n v="0"/>
    <n v="0"/>
  </r>
  <r>
    <n v="332"/>
    <n v="43"/>
    <s v="male"/>
    <n v="46.5"/>
    <n v="83"/>
    <s v="Yes"/>
    <x v="2"/>
    <x v="0"/>
    <s v="southeast"/>
    <n v="4686.3900000000003"/>
    <x v="2"/>
    <n v="0"/>
    <n v="1"/>
    <n v="0"/>
    <n v="0"/>
    <n v="0.91036683342004565"/>
    <n v="0"/>
    <n v="1"/>
    <n v="0"/>
  </r>
  <r>
    <n v="333"/>
    <n v="46"/>
    <s v="female"/>
    <n v="28.6"/>
    <n v="80"/>
    <s v="No"/>
    <x v="5"/>
    <x v="0"/>
    <s v="southwest"/>
    <n v="4687.8"/>
    <x v="4"/>
    <n v="0"/>
    <n v="0"/>
    <n v="1"/>
    <n v="0"/>
    <n v="0.78645076575985728"/>
    <n v="0"/>
    <n v="0"/>
    <n v="1"/>
  </r>
  <r>
    <n v="334"/>
    <n v="56"/>
    <s v="female"/>
    <n v="21.9"/>
    <n v="100"/>
    <s v="Yes"/>
    <x v="1"/>
    <x v="0"/>
    <s v="southeast"/>
    <n v="4718.2"/>
    <x v="0"/>
    <n v="0"/>
    <n v="1"/>
    <n v="0"/>
    <n v="0"/>
    <n v="0.63562225735106026"/>
    <n v="0"/>
    <n v="1"/>
    <n v="1"/>
  </r>
  <r>
    <n v="335"/>
    <n v="45"/>
    <s v="female"/>
    <n v="22.9"/>
    <n v="94"/>
    <s v="No"/>
    <x v="1"/>
    <x v="0"/>
    <s v="southeast"/>
    <n v="4719.5200000000004"/>
    <x v="0"/>
    <n v="0"/>
    <n v="1"/>
    <n v="0"/>
    <n v="0"/>
    <n v="0.65885048367130039"/>
    <n v="0"/>
    <n v="0"/>
    <n v="1"/>
  </r>
  <r>
    <n v="336"/>
    <n v="42"/>
    <s v="female"/>
    <n v="23.8"/>
    <n v="80"/>
    <s v="Yes"/>
    <x v="2"/>
    <x v="0"/>
    <s v="northwest"/>
    <n v="4719.74"/>
    <x v="0"/>
    <n v="0"/>
    <n v="0"/>
    <n v="0"/>
    <n v="1"/>
    <n v="0.22222549943637171"/>
    <n v="0"/>
    <n v="1"/>
    <n v="1"/>
  </r>
  <r>
    <n v="337"/>
    <n v="48"/>
    <s v="female"/>
    <n v="32.700000000000003"/>
    <n v="95"/>
    <s v="No"/>
    <x v="1"/>
    <x v="0"/>
    <s v="northwest"/>
    <n v="4738.2700000000004"/>
    <x v="1"/>
    <n v="0"/>
    <n v="0"/>
    <n v="0"/>
    <n v="1"/>
    <n v="0.57877716347481056"/>
    <n v="0"/>
    <n v="0"/>
    <n v="1"/>
  </r>
  <r>
    <n v="338"/>
    <n v="29"/>
    <s v="male"/>
    <n v="27.1"/>
    <n v="82"/>
    <s v="Yes"/>
    <x v="1"/>
    <x v="0"/>
    <s v="southwest"/>
    <n v="4746.34"/>
    <x v="4"/>
    <n v="0"/>
    <n v="0"/>
    <n v="1"/>
    <n v="0"/>
    <n v="0.64206995942520495"/>
    <n v="0"/>
    <n v="1"/>
    <n v="0"/>
  </r>
  <r>
    <n v="339"/>
    <n v="44"/>
    <s v="male"/>
    <n v="27.6"/>
    <n v="86"/>
    <s v="No"/>
    <x v="1"/>
    <x v="0"/>
    <s v="southeast"/>
    <n v="4747.05"/>
    <x v="4"/>
    <n v="0"/>
    <n v="1"/>
    <n v="0"/>
    <n v="0"/>
    <n v="6.5132387236047973E-2"/>
    <n v="0"/>
    <n v="0"/>
    <n v="0"/>
  </r>
  <r>
    <n v="340"/>
    <n v="19"/>
    <s v="male"/>
    <n v="30.5"/>
    <n v="92"/>
    <s v="Yes"/>
    <x v="1"/>
    <x v="0"/>
    <s v="southwest"/>
    <n v="4751.07"/>
    <x v="1"/>
    <n v="0"/>
    <n v="0"/>
    <n v="1"/>
    <n v="0"/>
    <n v="0.36907872605744441"/>
    <n v="0"/>
    <n v="1"/>
    <n v="0"/>
  </r>
  <r>
    <n v="341"/>
    <n v="50"/>
    <s v="female"/>
    <n v="43.1"/>
    <n v="98"/>
    <s v="No"/>
    <x v="2"/>
    <x v="0"/>
    <s v="southeast"/>
    <n v="4753.6400000000003"/>
    <x v="2"/>
    <n v="0"/>
    <n v="1"/>
    <n v="0"/>
    <n v="0"/>
    <n v="0.62805890739356585"/>
    <n v="0"/>
    <n v="0"/>
    <n v="1"/>
  </r>
  <r>
    <n v="342"/>
    <n v="46"/>
    <s v="male"/>
    <n v="38.6"/>
    <n v="83"/>
    <s v="Yes"/>
    <x v="1"/>
    <x v="0"/>
    <s v="southwest"/>
    <n v="4762.33"/>
    <x v="2"/>
    <n v="0"/>
    <n v="0"/>
    <n v="1"/>
    <n v="0"/>
    <n v="0.92101233140158734"/>
    <n v="0"/>
    <n v="1"/>
    <n v="0"/>
  </r>
  <r>
    <n v="343"/>
    <n v="33"/>
    <s v="female"/>
    <n v="18.5"/>
    <n v="94"/>
    <s v="Yes"/>
    <x v="1"/>
    <x v="0"/>
    <s v="southwest"/>
    <n v="4766.0200000000004"/>
    <x v="3"/>
    <n v="0"/>
    <n v="0"/>
    <n v="1"/>
    <n v="0"/>
    <n v="0.16238134589117015"/>
    <n v="0"/>
    <n v="1"/>
    <n v="1"/>
  </r>
  <r>
    <n v="344"/>
    <n v="56"/>
    <s v="female"/>
    <n v="28.3"/>
    <n v="100"/>
    <s v="Yes"/>
    <x v="1"/>
    <x v="0"/>
    <s v="southeast"/>
    <n v="4779.6000000000004"/>
    <x v="4"/>
    <n v="0"/>
    <n v="1"/>
    <n v="0"/>
    <n v="0"/>
    <n v="0.81073903394394886"/>
    <n v="0"/>
    <n v="1"/>
    <n v="1"/>
  </r>
  <r>
    <n v="345"/>
    <n v="38"/>
    <s v="female"/>
    <n v="39.799999999999997"/>
    <n v="85"/>
    <s v="Yes"/>
    <x v="1"/>
    <x v="0"/>
    <s v="southeast"/>
    <n v="4795.66"/>
    <x v="2"/>
    <n v="0"/>
    <n v="1"/>
    <n v="0"/>
    <n v="0"/>
    <n v="0.55452372505723202"/>
    <n v="0"/>
    <n v="1"/>
    <n v="1"/>
  </r>
  <r>
    <n v="346"/>
    <n v="33"/>
    <s v="male"/>
    <n v="18.899999999999999"/>
    <n v="87"/>
    <s v="Yes"/>
    <x v="3"/>
    <x v="0"/>
    <s v="southeast"/>
    <n v="4827.8999999999996"/>
    <x v="3"/>
    <n v="0"/>
    <n v="1"/>
    <n v="0"/>
    <n v="0"/>
    <n v="0.52055306767963161"/>
    <n v="0"/>
    <n v="1"/>
    <n v="0"/>
  </r>
  <r>
    <n v="347"/>
    <n v="55"/>
    <s v="female"/>
    <n v="37"/>
    <n v="83"/>
    <s v="Yes"/>
    <x v="5"/>
    <x v="0"/>
    <s v="southwest"/>
    <n v="4830.63"/>
    <x v="2"/>
    <n v="0"/>
    <n v="0"/>
    <n v="1"/>
    <n v="0"/>
    <n v="0.93293161468876751"/>
    <n v="0"/>
    <n v="1"/>
    <n v="1"/>
  </r>
  <r>
    <n v="348"/>
    <n v="43"/>
    <s v="male"/>
    <n v="31.6"/>
    <n v="89"/>
    <s v="No"/>
    <x v="3"/>
    <x v="0"/>
    <s v="southeast"/>
    <n v="4837.58"/>
    <x v="1"/>
    <n v="0"/>
    <n v="1"/>
    <n v="0"/>
    <n v="0"/>
    <n v="0.40578946021421758"/>
    <n v="0"/>
    <n v="0"/>
    <n v="0"/>
  </r>
  <r>
    <n v="349"/>
    <n v="46"/>
    <s v="male"/>
    <n v="32.6"/>
    <n v="82"/>
    <s v="Yes"/>
    <x v="3"/>
    <x v="0"/>
    <s v="southeast"/>
    <n v="4846.92"/>
    <x v="1"/>
    <n v="0"/>
    <n v="1"/>
    <n v="0"/>
    <n v="0"/>
    <n v="9.380762034730894E-2"/>
    <n v="0"/>
    <n v="1"/>
    <n v="0"/>
  </r>
  <r>
    <n v="350"/>
    <n v="47"/>
    <s v="male"/>
    <n v="26.7"/>
    <n v="93"/>
    <s v="No"/>
    <x v="4"/>
    <x v="0"/>
    <s v="northwest"/>
    <n v="4877.9799999999996"/>
    <x v="4"/>
    <n v="0"/>
    <n v="0"/>
    <n v="0"/>
    <n v="1"/>
    <n v="0.44136719690623827"/>
    <n v="0"/>
    <n v="0"/>
    <n v="0"/>
  </r>
  <r>
    <n v="351"/>
    <n v="60"/>
    <s v="female"/>
    <n v="26.2"/>
    <n v="99"/>
    <s v="No"/>
    <x v="0"/>
    <x v="0"/>
    <s v="southwest"/>
    <n v="4883.87"/>
    <x v="4"/>
    <n v="0"/>
    <n v="0"/>
    <n v="1"/>
    <n v="0"/>
    <n v="0.79893636150671288"/>
    <n v="0"/>
    <n v="0"/>
    <n v="1"/>
  </r>
  <r>
    <n v="352"/>
    <n v="31"/>
    <s v="female"/>
    <n v="29.9"/>
    <n v="85"/>
    <s v="No"/>
    <x v="0"/>
    <x v="0"/>
    <s v="southeast"/>
    <n v="4889.04"/>
    <x v="4"/>
    <n v="0"/>
    <n v="1"/>
    <n v="0"/>
    <n v="0"/>
    <n v="0.4486019009523563"/>
    <n v="0"/>
    <n v="0"/>
    <n v="1"/>
  </r>
  <r>
    <n v="353"/>
    <n v="28"/>
    <s v="male"/>
    <n v="35.799999999999997"/>
    <n v="97"/>
    <s v="No"/>
    <x v="2"/>
    <x v="0"/>
    <s v="southeast"/>
    <n v="4890"/>
    <x v="2"/>
    <n v="0"/>
    <n v="1"/>
    <n v="0"/>
    <n v="0"/>
    <n v="0.61064249936610271"/>
    <n v="0"/>
    <n v="0"/>
    <n v="0"/>
  </r>
  <r>
    <n v="354"/>
    <n v="39"/>
    <s v="male"/>
    <n v="25.3"/>
    <n v="91"/>
    <s v="No"/>
    <x v="1"/>
    <x v="0"/>
    <s v="northwest"/>
    <n v="4894.75"/>
    <x v="4"/>
    <n v="0"/>
    <n v="0"/>
    <n v="0"/>
    <n v="1"/>
    <n v="0.2041583013559366"/>
    <n v="0"/>
    <n v="0"/>
    <n v="0"/>
  </r>
  <r>
    <n v="355"/>
    <n v="48"/>
    <s v="female"/>
    <n v="20.2"/>
    <n v="97"/>
    <s v="No"/>
    <x v="2"/>
    <x v="0"/>
    <s v="northwest"/>
    <n v="4906.41"/>
    <x v="0"/>
    <n v="0"/>
    <n v="0"/>
    <n v="0"/>
    <n v="1"/>
    <n v="0.31192707833483291"/>
    <n v="0"/>
    <n v="0"/>
    <n v="1"/>
  </r>
  <r>
    <n v="356"/>
    <n v="38"/>
    <s v="male"/>
    <n v="30.1"/>
    <n v="87"/>
    <s v="No"/>
    <x v="5"/>
    <x v="0"/>
    <s v="southeast"/>
    <n v="4915.0600000000004"/>
    <x v="1"/>
    <n v="0"/>
    <n v="1"/>
    <n v="0"/>
    <n v="0"/>
    <n v="0.38652465405631387"/>
    <n v="0"/>
    <n v="0"/>
    <n v="0"/>
  </r>
  <r>
    <n v="357"/>
    <n v="40"/>
    <s v="female"/>
    <n v="32.1"/>
    <n v="95"/>
    <s v="Yes"/>
    <x v="2"/>
    <x v="0"/>
    <s v="northwest"/>
    <n v="4922.92"/>
    <x v="1"/>
    <n v="0"/>
    <n v="0"/>
    <n v="0"/>
    <n v="1"/>
    <n v="0.66562529596595921"/>
    <n v="0"/>
    <n v="1"/>
    <n v="1"/>
  </r>
  <r>
    <n v="358"/>
    <n v="31"/>
    <s v="female"/>
    <n v="23.6"/>
    <n v="95"/>
    <s v="No"/>
    <x v="2"/>
    <x v="0"/>
    <s v="southwest"/>
    <n v="4931.6499999999996"/>
    <x v="0"/>
    <n v="0"/>
    <n v="0"/>
    <n v="1"/>
    <n v="0"/>
    <n v="0.10241060055760098"/>
    <n v="0"/>
    <n v="0"/>
    <n v="1"/>
  </r>
  <r>
    <n v="359"/>
    <n v="25"/>
    <s v="female"/>
    <n v="25.8"/>
    <n v="97"/>
    <s v="Yes"/>
    <x v="2"/>
    <x v="0"/>
    <s v="southwest"/>
    <n v="4934.71"/>
    <x v="4"/>
    <n v="0"/>
    <n v="0"/>
    <n v="1"/>
    <n v="0"/>
    <n v="0.84664614932479099"/>
    <n v="0"/>
    <n v="1"/>
    <n v="1"/>
  </r>
  <r>
    <n v="360"/>
    <n v="46"/>
    <s v="female"/>
    <n v="36.6"/>
    <n v="84"/>
    <s v="Yes"/>
    <x v="2"/>
    <x v="0"/>
    <s v="southeast"/>
    <n v="4949.76"/>
    <x v="2"/>
    <n v="0"/>
    <n v="1"/>
    <n v="0"/>
    <n v="0"/>
    <n v="0.45664679233616801"/>
    <n v="0"/>
    <n v="1"/>
    <n v="1"/>
  </r>
  <r>
    <n v="361"/>
    <n v="29"/>
    <s v="female"/>
    <n v="23.6"/>
    <n v="87"/>
    <s v="Yes"/>
    <x v="0"/>
    <x v="0"/>
    <s v="southeast"/>
    <n v="4992.38"/>
    <x v="0"/>
    <n v="0"/>
    <n v="1"/>
    <n v="0"/>
    <n v="0"/>
    <n v="0.82895740317714572"/>
    <n v="0"/>
    <n v="1"/>
    <n v="1"/>
  </r>
  <r>
    <n v="362"/>
    <n v="27"/>
    <s v="female"/>
    <n v="26.7"/>
    <n v="99"/>
    <s v="No"/>
    <x v="1"/>
    <x v="0"/>
    <s v="southeast"/>
    <n v="5002.78"/>
    <x v="4"/>
    <n v="0"/>
    <n v="1"/>
    <n v="0"/>
    <n v="0"/>
    <n v="0.53093094201236735"/>
    <n v="0"/>
    <n v="0"/>
    <n v="1"/>
  </r>
  <r>
    <n v="363"/>
    <n v="40"/>
    <s v="female"/>
    <n v="27.5"/>
    <n v="98"/>
    <s v="Yes"/>
    <x v="1"/>
    <x v="0"/>
    <s v="southwest"/>
    <n v="5003.8500000000004"/>
    <x v="4"/>
    <n v="0"/>
    <n v="0"/>
    <n v="1"/>
    <n v="0"/>
    <n v="0.4762743948849526"/>
    <n v="0"/>
    <n v="1"/>
    <n v="1"/>
  </r>
  <r>
    <n v="364"/>
    <n v="25"/>
    <s v="female"/>
    <n v="33.700000000000003"/>
    <n v="95"/>
    <s v="No"/>
    <x v="1"/>
    <x v="0"/>
    <s v="southwest"/>
    <n v="5012.47"/>
    <x v="1"/>
    <n v="0"/>
    <n v="0"/>
    <n v="1"/>
    <n v="0"/>
    <n v="0.79282920650833788"/>
    <n v="0"/>
    <n v="0"/>
    <n v="1"/>
  </r>
  <r>
    <n v="365"/>
    <n v="35"/>
    <s v="male"/>
    <n v="29.6"/>
    <n v="94"/>
    <s v="Yes"/>
    <x v="0"/>
    <x v="0"/>
    <s v="northwest"/>
    <n v="5028.1499999999996"/>
    <x v="4"/>
    <n v="0"/>
    <n v="0"/>
    <n v="0"/>
    <n v="1"/>
    <n v="0.95024129372781496"/>
    <n v="0"/>
    <n v="1"/>
    <n v="0"/>
  </r>
  <r>
    <n v="366"/>
    <n v="35"/>
    <s v="male"/>
    <n v="27.6"/>
    <n v="100"/>
    <s v="No"/>
    <x v="2"/>
    <x v="0"/>
    <s v="southeast"/>
    <n v="5031.2700000000004"/>
    <x v="4"/>
    <n v="0"/>
    <n v="1"/>
    <n v="0"/>
    <n v="0"/>
    <n v="0.38434193133638739"/>
    <n v="0"/>
    <n v="0"/>
    <n v="0"/>
  </r>
  <r>
    <n v="367"/>
    <n v="24"/>
    <s v="male"/>
    <n v="23.9"/>
    <n v="84"/>
    <s v="No"/>
    <x v="5"/>
    <x v="0"/>
    <s v="southwest"/>
    <n v="5080.1000000000004"/>
    <x v="0"/>
    <n v="0"/>
    <n v="0"/>
    <n v="1"/>
    <n v="0"/>
    <n v="0.43800058161054278"/>
    <n v="0"/>
    <n v="0"/>
    <n v="0"/>
  </r>
  <r>
    <n v="368"/>
    <n v="19"/>
    <s v="male"/>
    <n v="17.899999999999999"/>
    <n v="90"/>
    <s v="No"/>
    <x v="1"/>
    <x v="0"/>
    <s v="northwest"/>
    <n v="5116.5"/>
    <x v="3"/>
    <n v="0"/>
    <n v="0"/>
    <n v="0"/>
    <n v="1"/>
    <n v="0.73024495363203823"/>
    <n v="0"/>
    <n v="0"/>
    <n v="0"/>
  </r>
  <r>
    <n v="369"/>
    <n v="39"/>
    <s v="male"/>
    <n v="42.1"/>
    <n v="100"/>
    <s v="No"/>
    <x v="2"/>
    <x v="0"/>
    <s v="southeast"/>
    <n v="5124.1899999999996"/>
    <x v="2"/>
    <n v="0"/>
    <n v="1"/>
    <n v="0"/>
    <n v="0"/>
    <n v="0.685969964739785"/>
    <n v="0"/>
    <n v="0"/>
    <n v="0"/>
  </r>
  <r>
    <n v="370"/>
    <n v="31"/>
    <s v="male"/>
    <n v="24.1"/>
    <n v="88"/>
    <s v="Yes"/>
    <x v="1"/>
    <x v="0"/>
    <s v="northwest"/>
    <n v="5125.22"/>
    <x v="0"/>
    <n v="0"/>
    <n v="0"/>
    <n v="0"/>
    <n v="1"/>
    <n v="8.8088385400261981E-2"/>
    <n v="0"/>
    <n v="1"/>
    <n v="0"/>
  </r>
  <r>
    <n v="371"/>
    <n v="55"/>
    <s v="female"/>
    <n v="38.799999999999997"/>
    <n v="86"/>
    <s v="No"/>
    <x v="3"/>
    <x v="0"/>
    <s v="southeast"/>
    <n v="5138.26"/>
    <x v="2"/>
    <n v="0"/>
    <n v="1"/>
    <n v="0"/>
    <n v="0"/>
    <n v="0.54911916937221683"/>
    <n v="0"/>
    <n v="0"/>
    <n v="1"/>
  </r>
  <r>
    <n v="372"/>
    <n v="33"/>
    <s v="female"/>
    <n v="31.5"/>
    <n v="86"/>
    <s v="No"/>
    <x v="1"/>
    <x v="0"/>
    <s v="southeast"/>
    <n v="5148.55"/>
    <x v="1"/>
    <n v="0"/>
    <n v="1"/>
    <n v="0"/>
    <n v="0"/>
    <n v="0.76458524337709488"/>
    <n v="0"/>
    <n v="0"/>
    <n v="1"/>
  </r>
  <r>
    <n v="373"/>
    <n v="34"/>
    <s v="female"/>
    <n v="29.8"/>
    <n v="100"/>
    <s v="Yes"/>
    <x v="2"/>
    <x v="0"/>
    <s v="southwest"/>
    <n v="5152.13"/>
    <x v="4"/>
    <n v="0"/>
    <n v="0"/>
    <n v="1"/>
    <n v="0"/>
    <n v="0.66851888594891451"/>
    <n v="0"/>
    <n v="1"/>
    <n v="1"/>
  </r>
  <r>
    <n v="374"/>
    <n v="32"/>
    <s v="male"/>
    <n v="22.5"/>
    <n v="93"/>
    <s v="No"/>
    <x v="3"/>
    <x v="0"/>
    <s v="southeast"/>
    <n v="5209.58"/>
    <x v="0"/>
    <n v="0"/>
    <n v="1"/>
    <n v="0"/>
    <n v="0"/>
    <n v="0.30501916668656937"/>
    <n v="0"/>
    <n v="0"/>
    <n v="0"/>
  </r>
  <r>
    <n v="375"/>
    <n v="38"/>
    <s v="female"/>
    <n v="26.1"/>
    <n v="81"/>
    <s v="Yes"/>
    <x v="0"/>
    <x v="0"/>
    <s v="southeast"/>
    <n v="5227.99"/>
    <x v="4"/>
    <n v="0"/>
    <n v="1"/>
    <n v="0"/>
    <n v="0"/>
    <n v="0.33216565532989184"/>
    <n v="0"/>
    <n v="1"/>
    <n v="1"/>
  </r>
  <r>
    <n v="376"/>
    <n v="46"/>
    <s v="female"/>
    <n v="31"/>
    <n v="84"/>
    <s v="No"/>
    <x v="1"/>
    <x v="0"/>
    <s v="southwest"/>
    <n v="5240.7700000000004"/>
    <x v="1"/>
    <n v="0"/>
    <n v="0"/>
    <n v="1"/>
    <n v="0"/>
    <n v="0.29056181126276182"/>
    <n v="0"/>
    <n v="0"/>
    <n v="1"/>
  </r>
  <r>
    <n v="377"/>
    <n v="57"/>
    <s v="female"/>
    <n v="34.200000000000003"/>
    <n v="93"/>
    <s v="Yes"/>
    <x v="1"/>
    <x v="0"/>
    <s v="southeast"/>
    <n v="5245.23"/>
    <x v="1"/>
    <n v="0"/>
    <n v="1"/>
    <n v="0"/>
    <n v="0"/>
    <n v="0.36144745838923853"/>
    <n v="0"/>
    <n v="1"/>
    <n v="1"/>
  </r>
  <r>
    <n v="378"/>
    <n v="57"/>
    <s v="female"/>
    <n v="34.799999999999997"/>
    <n v="96"/>
    <s v="No"/>
    <x v="1"/>
    <x v="0"/>
    <s v="southwest"/>
    <n v="5246.05"/>
    <x v="1"/>
    <n v="0"/>
    <n v="0"/>
    <n v="1"/>
    <n v="0"/>
    <n v="0.40371303470340536"/>
    <n v="0"/>
    <n v="0"/>
    <n v="1"/>
  </r>
  <r>
    <n v="379"/>
    <n v="23"/>
    <s v="male"/>
    <n v="30.8"/>
    <n v="89"/>
    <s v="Yes"/>
    <x v="3"/>
    <x v="0"/>
    <s v="southwest"/>
    <n v="5253.52"/>
    <x v="1"/>
    <n v="0"/>
    <n v="0"/>
    <n v="1"/>
    <n v="0"/>
    <n v="0.46053377919364558"/>
    <n v="0"/>
    <n v="1"/>
    <n v="0"/>
  </r>
  <r>
    <n v="380"/>
    <n v="20"/>
    <s v="male"/>
    <n v="24.6"/>
    <n v="92"/>
    <s v="No"/>
    <x v="2"/>
    <x v="0"/>
    <s v="northwest"/>
    <n v="5257.51"/>
    <x v="0"/>
    <n v="0"/>
    <n v="0"/>
    <n v="0"/>
    <n v="1"/>
    <n v="0.33549873657816021"/>
    <n v="0"/>
    <n v="0"/>
    <n v="0"/>
  </r>
  <r>
    <n v="381"/>
    <n v="19"/>
    <s v="male"/>
    <n v="27.5"/>
    <n v="83"/>
    <s v="No"/>
    <x v="2"/>
    <x v="0"/>
    <s v="northwest"/>
    <n v="5261.47"/>
    <x v="4"/>
    <n v="0"/>
    <n v="0"/>
    <n v="0"/>
    <n v="1"/>
    <n v="0.20326108573903034"/>
    <n v="0"/>
    <n v="0"/>
    <n v="0"/>
  </r>
  <r>
    <n v="382"/>
    <n v="44"/>
    <s v="female"/>
    <n v="25.8"/>
    <n v="90"/>
    <s v="No"/>
    <x v="0"/>
    <x v="0"/>
    <s v="northwest"/>
    <n v="5266.37"/>
    <x v="4"/>
    <n v="0"/>
    <n v="0"/>
    <n v="0"/>
    <n v="1"/>
    <n v="0.40625435592952608"/>
    <n v="0"/>
    <n v="0"/>
    <n v="1"/>
  </r>
  <r>
    <n v="383"/>
    <n v="52"/>
    <s v="female"/>
    <n v="26.9"/>
    <n v="96"/>
    <s v="No"/>
    <x v="0"/>
    <x v="0"/>
    <s v="northwest"/>
    <n v="5267.82"/>
    <x v="4"/>
    <n v="0"/>
    <n v="0"/>
    <n v="0"/>
    <n v="1"/>
    <n v="0.328866896502925"/>
    <n v="0"/>
    <n v="0"/>
    <n v="1"/>
  </r>
  <r>
    <n v="384"/>
    <n v="32"/>
    <s v="female"/>
    <n v="30"/>
    <n v="88"/>
    <s v="Yes"/>
    <x v="0"/>
    <x v="0"/>
    <s v="northwest"/>
    <n v="5272.18"/>
    <x v="1"/>
    <n v="0"/>
    <n v="0"/>
    <n v="0"/>
    <n v="1"/>
    <n v="0.43482571101866185"/>
    <n v="0"/>
    <n v="1"/>
    <n v="1"/>
  </r>
  <r>
    <n v="385"/>
    <n v="41"/>
    <s v="female"/>
    <n v="26.3"/>
    <n v="82"/>
    <s v="Yes"/>
    <x v="3"/>
    <x v="0"/>
    <s v="northwest"/>
    <n v="5312.17"/>
    <x v="4"/>
    <n v="0"/>
    <n v="0"/>
    <n v="0"/>
    <n v="1"/>
    <n v="0.64032161710023916"/>
    <n v="0"/>
    <n v="1"/>
    <n v="1"/>
  </r>
  <r>
    <n v="386"/>
    <n v="49"/>
    <s v="female"/>
    <n v="30.9"/>
    <n v="90"/>
    <s v="Yes"/>
    <x v="3"/>
    <x v="0"/>
    <s v="southwest"/>
    <n v="5325.65"/>
    <x v="1"/>
    <n v="0"/>
    <n v="0"/>
    <n v="1"/>
    <n v="0"/>
    <n v="0.28528952812556085"/>
    <n v="0"/>
    <n v="1"/>
    <n v="1"/>
  </r>
  <r>
    <n v="387"/>
    <n v="25"/>
    <s v="female"/>
    <n v="32.799999999999997"/>
    <n v="81"/>
    <s v="No"/>
    <x v="2"/>
    <x v="0"/>
    <s v="northwest"/>
    <n v="5327.4"/>
    <x v="1"/>
    <n v="0"/>
    <n v="0"/>
    <n v="0"/>
    <n v="1"/>
    <n v="0.47019009140637114"/>
    <n v="0"/>
    <n v="0"/>
    <n v="1"/>
  </r>
  <r>
    <n v="388"/>
    <n v="31"/>
    <s v="female"/>
    <n v="22.1"/>
    <n v="97"/>
    <s v="Yes"/>
    <x v="1"/>
    <x v="0"/>
    <s v="southeast"/>
    <n v="5354.07"/>
    <x v="0"/>
    <n v="0"/>
    <n v="1"/>
    <n v="0"/>
    <n v="0"/>
    <n v="0.48658238914476004"/>
    <n v="0"/>
    <n v="1"/>
    <n v="1"/>
  </r>
  <r>
    <n v="389"/>
    <n v="32"/>
    <s v="male"/>
    <n v="30.9"/>
    <n v="91"/>
    <s v="No"/>
    <x v="1"/>
    <x v="0"/>
    <s v="northwest"/>
    <n v="5373.36"/>
    <x v="1"/>
    <n v="0"/>
    <n v="0"/>
    <n v="0"/>
    <n v="1"/>
    <n v="0.22296065887194472"/>
    <n v="0"/>
    <n v="0"/>
    <n v="0"/>
  </r>
  <r>
    <n v="390"/>
    <n v="54"/>
    <s v="female"/>
    <n v="32.9"/>
    <n v="91"/>
    <s v="Yes"/>
    <x v="2"/>
    <x v="0"/>
    <s v="southwest"/>
    <n v="5375.04"/>
    <x v="1"/>
    <n v="0"/>
    <n v="0"/>
    <n v="1"/>
    <n v="0"/>
    <n v="0.47253183299719526"/>
    <n v="0"/>
    <n v="1"/>
    <n v="1"/>
  </r>
  <r>
    <n v="391"/>
    <n v="44"/>
    <s v="male"/>
    <n v="33.799999999999997"/>
    <n v="96"/>
    <s v="No"/>
    <x v="1"/>
    <x v="0"/>
    <s v="northwest"/>
    <n v="5377.46"/>
    <x v="1"/>
    <n v="0"/>
    <n v="0"/>
    <n v="0"/>
    <n v="1"/>
    <n v="0.64893373393965703"/>
    <n v="0"/>
    <n v="0"/>
    <n v="0"/>
  </r>
  <r>
    <n v="392"/>
    <n v="40"/>
    <s v="female"/>
    <n v="27.6"/>
    <n v="92"/>
    <s v="Yes"/>
    <x v="0"/>
    <x v="0"/>
    <s v="southwest"/>
    <n v="5383.54"/>
    <x v="4"/>
    <n v="0"/>
    <n v="0"/>
    <n v="1"/>
    <n v="0"/>
    <n v="0.18285842204129232"/>
    <n v="0"/>
    <n v="1"/>
    <n v="1"/>
  </r>
  <r>
    <n v="393"/>
    <n v="58"/>
    <s v="female"/>
    <n v="26.4"/>
    <n v="88"/>
    <s v="Yes"/>
    <x v="1"/>
    <x v="0"/>
    <s v="northwest"/>
    <n v="5385.34"/>
    <x v="4"/>
    <n v="0"/>
    <n v="0"/>
    <n v="0"/>
    <n v="1"/>
    <n v="0.70573092592036268"/>
    <n v="0"/>
    <n v="1"/>
    <n v="1"/>
  </r>
  <r>
    <n v="394"/>
    <n v="32"/>
    <s v="female"/>
    <n v="37.700000000000003"/>
    <n v="96"/>
    <s v="No"/>
    <x v="0"/>
    <x v="0"/>
    <s v="southeast"/>
    <n v="5397.62"/>
    <x v="2"/>
    <n v="0"/>
    <n v="1"/>
    <n v="0"/>
    <n v="0"/>
    <n v="0.12210334910951492"/>
    <n v="0"/>
    <n v="0"/>
    <n v="1"/>
  </r>
  <r>
    <n v="395"/>
    <n v="29"/>
    <s v="female"/>
    <n v="40.200000000000003"/>
    <n v="85"/>
    <s v="Yes"/>
    <x v="0"/>
    <x v="0"/>
    <s v="southeast"/>
    <n v="5400.98"/>
    <x v="2"/>
    <n v="0"/>
    <n v="1"/>
    <n v="0"/>
    <n v="0"/>
    <n v="0.15421929542071056"/>
    <n v="0"/>
    <n v="1"/>
    <n v="1"/>
  </r>
  <r>
    <n v="396"/>
    <n v="30"/>
    <s v="male"/>
    <n v="25.1"/>
    <n v="100"/>
    <s v="Yes"/>
    <x v="0"/>
    <x v="0"/>
    <s v="southeast"/>
    <n v="5415.66"/>
    <x v="4"/>
    <n v="0"/>
    <n v="1"/>
    <n v="0"/>
    <n v="0"/>
    <n v="0.90404319436533065"/>
    <n v="0"/>
    <n v="1"/>
    <n v="0"/>
  </r>
  <r>
    <n v="397"/>
    <n v="41"/>
    <s v="male"/>
    <n v="31.1"/>
    <n v="86"/>
    <s v="Yes"/>
    <x v="3"/>
    <x v="0"/>
    <s v="northwest"/>
    <n v="5425.02"/>
    <x v="1"/>
    <n v="0"/>
    <n v="0"/>
    <n v="0"/>
    <n v="1"/>
    <n v="0.27017089269747263"/>
    <n v="0"/>
    <n v="1"/>
    <n v="0"/>
  </r>
  <r>
    <n v="398"/>
    <n v="27"/>
    <s v="male"/>
    <n v="37.4"/>
    <n v="83"/>
    <s v="No"/>
    <x v="3"/>
    <x v="0"/>
    <s v="southeast"/>
    <n v="5428.73"/>
    <x v="2"/>
    <n v="0"/>
    <n v="1"/>
    <n v="0"/>
    <n v="0"/>
    <n v="0.65894168170609946"/>
    <n v="0"/>
    <n v="0"/>
    <n v="0"/>
  </r>
  <r>
    <n v="399"/>
    <n v="29"/>
    <s v="male"/>
    <n v="41.7"/>
    <n v="86"/>
    <s v="Yes"/>
    <x v="0"/>
    <x v="0"/>
    <s v="southeast"/>
    <n v="5438.75"/>
    <x v="2"/>
    <n v="0"/>
    <n v="1"/>
    <n v="0"/>
    <n v="0"/>
    <n v="0.93799359967518314"/>
    <n v="0"/>
    <n v="1"/>
    <n v="0"/>
  </r>
  <r>
    <n v="400"/>
    <n v="27"/>
    <s v="female"/>
    <n v="19.899999999999999"/>
    <n v="81"/>
    <s v="No"/>
    <x v="0"/>
    <x v="0"/>
    <s v="southeast"/>
    <n v="5458.05"/>
    <x v="3"/>
    <n v="0"/>
    <n v="1"/>
    <n v="0"/>
    <n v="0"/>
    <n v="0.20693166176044309"/>
    <n v="0"/>
    <n v="0"/>
    <n v="1"/>
  </r>
  <r>
    <n v="401"/>
    <n v="57"/>
    <s v="female"/>
    <n v="27.7"/>
    <n v="97"/>
    <s v="Yes"/>
    <x v="0"/>
    <x v="0"/>
    <s v="southeast"/>
    <n v="5469.01"/>
    <x v="4"/>
    <n v="0"/>
    <n v="1"/>
    <n v="0"/>
    <n v="0"/>
    <n v="0.90527709711017468"/>
    <n v="0"/>
    <n v="1"/>
    <n v="1"/>
  </r>
  <r>
    <n v="402"/>
    <n v="43"/>
    <s v="female"/>
    <n v="25.9"/>
    <n v="99"/>
    <s v="No"/>
    <x v="1"/>
    <x v="0"/>
    <s v="southwest"/>
    <n v="5472.45"/>
    <x v="4"/>
    <n v="0"/>
    <n v="0"/>
    <n v="1"/>
    <n v="0"/>
    <n v="0.6113937825891248"/>
    <n v="0"/>
    <n v="0"/>
    <n v="1"/>
  </r>
  <r>
    <n v="403"/>
    <n v="55"/>
    <s v="female"/>
    <n v="29.9"/>
    <n v="89"/>
    <s v="No"/>
    <x v="1"/>
    <x v="0"/>
    <s v="southeast"/>
    <n v="5478.04"/>
    <x v="4"/>
    <n v="0"/>
    <n v="1"/>
    <n v="0"/>
    <n v="0"/>
    <n v="0.57442563859432694"/>
    <n v="0"/>
    <n v="0"/>
    <n v="1"/>
  </r>
  <r>
    <n v="404"/>
    <n v="47"/>
    <s v="male"/>
    <n v="28.3"/>
    <n v="91"/>
    <s v="Yes"/>
    <x v="1"/>
    <x v="0"/>
    <s v="southeast"/>
    <n v="5484.47"/>
    <x v="4"/>
    <n v="0"/>
    <n v="1"/>
    <n v="0"/>
    <n v="0"/>
    <n v="0.96402894070114364"/>
    <n v="0"/>
    <n v="1"/>
    <n v="0"/>
  </r>
  <r>
    <n v="405"/>
    <n v="23"/>
    <s v="male"/>
    <n v="31"/>
    <n v="90"/>
    <s v="No"/>
    <x v="1"/>
    <x v="0"/>
    <s v="southwest"/>
    <n v="5488.26"/>
    <x v="1"/>
    <n v="0"/>
    <n v="0"/>
    <n v="1"/>
    <n v="0"/>
    <n v="1.69081768793371E-2"/>
    <n v="0"/>
    <n v="0"/>
    <n v="0"/>
  </r>
  <r>
    <n v="406"/>
    <n v="20"/>
    <s v="male"/>
    <n v="34.4"/>
    <n v="93"/>
    <s v="No"/>
    <x v="2"/>
    <x v="0"/>
    <s v="southeast"/>
    <n v="5584.31"/>
    <x v="1"/>
    <n v="0"/>
    <n v="1"/>
    <n v="0"/>
    <n v="0"/>
    <n v="0.98335695698542891"/>
    <n v="0"/>
    <n v="0"/>
    <n v="0"/>
  </r>
  <r>
    <n v="407"/>
    <n v="43"/>
    <s v="female"/>
    <n v="33.299999999999997"/>
    <n v="94"/>
    <s v="Yes"/>
    <x v="1"/>
    <x v="0"/>
    <s v="southeast"/>
    <n v="5594.85"/>
    <x v="1"/>
    <n v="0"/>
    <n v="1"/>
    <n v="0"/>
    <n v="0"/>
    <n v="0.38653019604457151"/>
    <n v="0"/>
    <n v="1"/>
    <n v="1"/>
  </r>
  <r>
    <n v="408"/>
    <n v="31"/>
    <s v="male"/>
    <n v="24.3"/>
    <n v="83"/>
    <s v="Yes"/>
    <x v="5"/>
    <x v="0"/>
    <s v="southwest"/>
    <n v="5615.37"/>
    <x v="0"/>
    <n v="0"/>
    <n v="0"/>
    <n v="1"/>
    <n v="0"/>
    <n v="0.87094706636674968"/>
    <n v="0"/>
    <n v="1"/>
    <n v="0"/>
  </r>
  <r>
    <n v="409"/>
    <n v="57"/>
    <s v="female"/>
    <n v="35.799999999999997"/>
    <n v="85"/>
    <s v="Yes"/>
    <x v="1"/>
    <x v="0"/>
    <s v="northwest"/>
    <n v="5630.46"/>
    <x v="2"/>
    <n v="0"/>
    <n v="0"/>
    <n v="0"/>
    <n v="1"/>
    <n v="0.23213002496768265"/>
    <n v="0"/>
    <n v="1"/>
    <n v="1"/>
  </r>
  <r>
    <n v="410"/>
    <n v="54"/>
    <s v="female"/>
    <n v="32.799999999999997"/>
    <n v="86"/>
    <s v="Yes"/>
    <x v="0"/>
    <x v="0"/>
    <s v="southwest"/>
    <n v="5649.72"/>
    <x v="1"/>
    <n v="0"/>
    <n v="0"/>
    <n v="1"/>
    <n v="0"/>
    <n v="2.1349953403279498E-2"/>
    <n v="0"/>
    <n v="1"/>
    <n v="1"/>
  </r>
  <r>
    <n v="411"/>
    <n v="25"/>
    <s v="female"/>
    <n v="41.8"/>
    <n v="95"/>
    <s v="Yes"/>
    <x v="0"/>
    <x v="0"/>
    <s v="southeast"/>
    <n v="5662.23"/>
    <x v="2"/>
    <n v="0"/>
    <n v="1"/>
    <n v="0"/>
    <n v="0"/>
    <n v="0.27773764879903762"/>
    <n v="0"/>
    <n v="1"/>
    <n v="1"/>
  </r>
  <r>
    <n v="412"/>
    <n v="26"/>
    <s v="female"/>
    <n v="20"/>
    <n v="94"/>
    <s v="Yes"/>
    <x v="3"/>
    <x v="0"/>
    <s v="northwest"/>
    <n v="5693.43"/>
    <x v="0"/>
    <n v="0"/>
    <n v="0"/>
    <n v="0"/>
    <n v="1"/>
    <n v="0.31785834701317217"/>
    <n v="0"/>
    <n v="1"/>
    <n v="1"/>
  </r>
  <r>
    <n v="413"/>
    <n v="38"/>
    <s v="male"/>
    <n v="33.6"/>
    <n v="100"/>
    <s v="Yes"/>
    <x v="0"/>
    <x v="0"/>
    <s v="southeast"/>
    <n v="5699.84"/>
    <x v="1"/>
    <n v="0"/>
    <n v="1"/>
    <n v="0"/>
    <n v="0"/>
    <n v="0.57154677937297071"/>
    <n v="0"/>
    <n v="1"/>
    <n v="0"/>
  </r>
  <r>
    <n v="414"/>
    <n v="43"/>
    <s v="female"/>
    <n v="25.6"/>
    <n v="82"/>
    <s v="No"/>
    <x v="4"/>
    <x v="0"/>
    <s v="southwest"/>
    <n v="5708.87"/>
    <x v="4"/>
    <n v="0"/>
    <n v="0"/>
    <n v="1"/>
    <n v="0"/>
    <n v="0.42689698679767585"/>
    <n v="0"/>
    <n v="0"/>
    <n v="1"/>
  </r>
  <r>
    <n v="415"/>
    <n v="20"/>
    <s v="male"/>
    <n v="40.299999999999997"/>
    <n v="81"/>
    <s v="Yes"/>
    <x v="0"/>
    <x v="0"/>
    <s v="southeast"/>
    <n v="5709.16"/>
    <x v="2"/>
    <n v="0"/>
    <n v="1"/>
    <n v="0"/>
    <n v="0"/>
    <n v="0.43960280479459068"/>
    <n v="0"/>
    <n v="1"/>
    <n v="0"/>
  </r>
  <r>
    <n v="416"/>
    <n v="22"/>
    <s v="male"/>
    <n v="34.799999999999997"/>
    <n v="89"/>
    <s v="No"/>
    <x v="2"/>
    <x v="0"/>
    <s v="northwest"/>
    <n v="5729.01"/>
    <x v="1"/>
    <n v="0"/>
    <n v="0"/>
    <n v="0"/>
    <n v="1"/>
    <n v="9.6189288766858394E-2"/>
    <n v="0"/>
    <n v="0"/>
    <n v="0"/>
  </r>
  <r>
    <n v="417"/>
    <n v="23"/>
    <s v="male"/>
    <n v="42.7"/>
    <n v="82"/>
    <s v="No"/>
    <x v="0"/>
    <x v="0"/>
    <s v="southeast"/>
    <n v="5757.41"/>
    <x v="2"/>
    <n v="0"/>
    <n v="1"/>
    <n v="0"/>
    <n v="0"/>
    <n v="0.49500821608968493"/>
    <n v="0"/>
    <n v="0"/>
    <n v="0"/>
  </r>
  <r>
    <n v="418"/>
    <n v="41"/>
    <s v="female"/>
    <n v="35.9"/>
    <n v="82"/>
    <s v="No"/>
    <x v="2"/>
    <x v="0"/>
    <s v="southeast"/>
    <n v="5836.52"/>
    <x v="2"/>
    <n v="0"/>
    <n v="1"/>
    <n v="0"/>
    <n v="0"/>
    <n v="0.13813917208605897"/>
    <n v="0"/>
    <n v="0"/>
    <n v="1"/>
  </r>
  <r>
    <n v="419"/>
    <n v="28"/>
    <s v="female"/>
    <n v="43.3"/>
    <n v="90"/>
    <s v="No"/>
    <x v="2"/>
    <x v="0"/>
    <s v="southeast"/>
    <n v="5846.92"/>
    <x v="2"/>
    <n v="0"/>
    <n v="1"/>
    <n v="0"/>
    <n v="0"/>
    <n v="0.7119280375985434"/>
    <n v="0"/>
    <n v="0"/>
    <n v="1"/>
  </r>
  <r>
    <n v="420"/>
    <n v="37"/>
    <s v="male"/>
    <n v="20"/>
    <n v="91"/>
    <s v="No"/>
    <x v="1"/>
    <x v="0"/>
    <s v="northwest"/>
    <n v="5855.9"/>
    <x v="0"/>
    <n v="0"/>
    <n v="0"/>
    <n v="0"/>
    <n v="1"/>
    <n v="0.61052208560893684"/>
    <n v="0"/>
    <n v="0"/>
    <n v="0"/>
  </r>
  <r>
    <n v="421"/>
    <n v="58"/>
    <s v="female"/>
    <n v="29.6"/>
    <n v="95"/>
    <s v="Yes"/>
    <x v="0"/>
    <x v="0"/>
    <s v="southwest"/>
    <n v="5910.94"/>
    <x v="4"/>
    <n v="0"/>
    <n v="0"/>
    <n v="1"/>
    <n v="0"/>
    <n v="0.74112250831772186"/>
    <n v="0"/>
    <n v="1"/>
    <n v="1"/>
  </r>
  <r>
    <n v="422"/>
    <n v="51"/>
    <s v="female"/>
    <n v="36.200000000000003"/>
    <n v="90"/>
    <s v="Yes"/>
    <x v="0"/>
    <x v="0"/>
    <s v="southeast"/>
    <n v="5920.1"/>
    <x v="2"/>
    <n v="0"/>
    <n v="1"/>
    <n v="0"/>
    <n v="0"/>
    <n v="0.82242060389062177"/>
    <n v="0"/>
    <n v="1"/>
    <n v="1"/>
  </r>
  <r>
    <n v="423"/>
    <n v="27"/>
    <s v="male"/>
    <n v="28.9"/>
    <n v="94"/>
    <s v="Yes"/>
    <x v="3"/>
    <x v="0"/>
    <s v="southwest"/>
    <n v="5926.85"/>
    <x v="4"/>
    <n v="0"/>
    <n v="0"/>
    <n v="1"/>
    <n v="0"/>
    <n v="1.5174240051458288E-2"/>
    <n v="0"/>
    <n v="1"/>
    <n v="0"/>
  </r>
  <r>
    <n v="424"/>
    <n v="46"/>
    <s v="male"/>
    <n v="34.299999999999997"/>
    <n v="89"/>
    <s v="Yes"/>
    <x v="3"/>
    <x v="0"/>
    <s v="southeast"/>
    <n v="5934.38"/>
    <x v="1"/>
    <n v="0"/>
    <n v="1"/>
    <n v="0"/>
    <n v="0"/>
    <n v="0.49223196892400023"/>
    <n v="0"/>
    <n v="1"/>
    <n v="0"/>
  </r>
  <r>
    <n v="425"/>
    <n v="25"/>
    <s v="male"/>
    <n v="24.9"/>
    <n v="94"/>
    <s v="No"/>
    <x v="0"/>
    <x v="0"/>
    <s v="southeast"/>
    <n v="5966.89"/>
    <x v="0"/>
    <n v="0"/>
    <n v="1"/>
    <n v="0"/>
    <n v="0"/>
    <n v="0.85052365609516334"/>
    <n v="0"/>
    <n v="0"/>
    <n v="0"/>
  </r>
  <r>
    <n v="426"/>
    <n v="46"/>
    <s v="male"/>
    <n v="26.9"/>
    <n v="90"/>
    <s v="No"/>
    <x v="0"/>
    <x v="0"/>
    <s v="southwest"/>
    <n v="5969.72"/>
    <x v="4"/>
    <n v="0"/>
    <n v="0"/>
    <n v="1"/>
    <n v="0"/>
    <n v="0.91831514673310233"/>
    <n v="0"/>
    <n v="0"/>
    <n v="0"/>
  </r>
  <r>
    <n v="427"/>
    <n v="40"/>
    <s v="female"/>
    <n v="38.9"/>
    <n v="100"/>
    <s v="Yes"/>
    <x v="3"/>
    <x v="0"/>
    <s v="southwest"/>
    <n v="5972.38"/>
    <x v="2"/>
    <n v="0"/>
    <n v="0"/>
    <n v="1"/>
    <n v="0"/>
    <n v="0.13819995567389565"/>
    <n v="0"/>
    <n v="1"/>
    <n v="1"/>
  </r>
  <r>
    <n v="428"/>
    <n v="35"/>
    <s v="female"/>
    <n v="28.9"/>
    <n v="97"/>
    <s v="Yes"/>
    <x v="1"/>
    <x v="0"/>
    <s v="southeast"/>
    <n v="5974.38"/>
    <x v="4"/>
    <n v="0"/>
    <n v="1"/>
    <n v="0"/>
    <n v="0"/>
    <n v="0.77667272983902091"/>
    <n v="0"/>
    <n v="1"/>
    <n v="1"/>
  </r>
  <r>
    <n v="429"/>
    <n v="34"/>
    <s v="female"/>
    <n v="30.7"/>
    <n v="90"/>
    <s v="No"/>
    <x v="1"/>
    <x v="0"/>
    <s v="southeast"/>
    <n v="5976.83"/>
    <x v="1"/>
    <n v="0"/>
    <n v="1"/>
    <n v="0"/>
    <n v="0"/>
    <n v="0.37014002525149392"/>
    <n v="0"/>
    <n v="0"/>
    <n v="1"/>
  </r>
  <r>
    <n v="430"/>
    <n v="38"/>
    <s v="male"/>
    <n v="34.1"/>
    <n v="90"/>
    <s v="No"/>
    <x v="0"/>
    <x v="0"/>
    <s v="southwest"/>
    <n v="5979.73"/>
    <x v="1"/>
    <n v="0"/>
    <n v="0"/>
    <n v="1"/>
    <n v="0"/>
    <n v="0.47196005777648364"/>
    <n v="0"/>
    <n v="0"/>
    <n v="0"/>
  </r>
  <r>
    <n v="431"/>
    <n v="33"/>
    <s v="female"/>
    <n v="37.299999999999997"/>
    <n v="95"/>
    <s v="Yes"/>
    <x v="2"/>
    <x v="0"/>
    <s v="northwest"/>
    <n v="5989.52"/>
    <x v="2"/>
    <n v="0"/>
    <n v="0"/>
    <n v="0"/>
    <n v="1"/>
    <n v="4.7565718229589327E-2"/>
    <n v="0"/>
    <n v="1"/>
    <n v="1"/>
  </r>
  <r>
    <n v="432"/>
    <n v="38"/>
    <s v="male"/>
    <n v="29.4"/>
    <n v="96"/>
    <s v="No"/>
    <x v="4"/>
    <x v="0"/>
    <s v="southwest"/>
    <n v="6059.17"/>
    <x v="4"/>
    <n v="0"/>
    <n v="0"/>
    <n v="1"/>
    <n v="0"/>
    <n v="0.27428084062006963"/>
    <n v="0"/>
    <n v="0"/>
    <n v="0"/>
  </r>
  <r>
    <n v="433"/>
    <n v="26"/>
    <s v="male"/>
    <n v="28"/>
    <n v="100"/>
    <s v="No"/>
    <x v="1"/>
    <x v="0"/>
    <s v="southeast"/>
    <n v="6067.13"/>
    <x v="4"/>
    <n v="0"/>
    <n v="1"/>
    <n v="0"/>
    <n v="0"/>
    <n v="0.4511619274426858"/>
    <n v="0"/>
    <n v="0"/>
    <n v="0"/>
  </r>
  <r>
    <n v="434"/>
    <n v="36"/>
    <s v="male"/>
    <n v="37.1"/>
    <n v="88"/>
    <s v="No"/>
    <x v="1"/>
    <x v="0"/>
    <s v="southeast"/>
    <n v="6079.67"/>
    <x v="2"/>
    <n v="0"/>
    <n v="1"/>
    <n v="0"/>
    <n v="0"/>
    <n v="0.24909488696284821"/>
    <n v="0"/>
    <n v="0"/>
    <n v="0"/>
  </r>
  <r>
    <n v="435"/>
    <n v="42"/>
    <s v="male"/>
    <n v="34.700000000000003"/>
    <n v="97"/>
    <s v="Yes"/>
    <x v="2"/>
    <x v="0"/>
    <s v="southwest"/>
    <n v="6082.41"/>
    <x v="1"/>
    <n v="0"/>
    <n v="0"/>
    <n v="1"/>
    <n v="0"/>
    <n v="0.66677591646073786"/>
    <n v="0"/>
    <n v="1"/>
    <n v="0"/>
  </r>
  <r>
    <n v="436"/>
    <n v="38"/>
    <s v="female"/>
    <n v="34.1"/>
    <n v="93"/>
    <s v="No"/>
    <x v="1"/>
    <x v="0"/>
    <s v="northwest"/>
    <n v="6112.35"/>
    <x v="1"/>
    <n v="0"/>
    <n v="0"/>
    <n v="0"/>
    <n v="1"/>
    <n v="0.81276215367249927"/>
    <n v="0"/>
    <n v="0"/>
    <n v="1"/>
  </r>
  <r>
    <n v="437"/>
    <n v="28"/>
    <s v="female"/>
    <n v="30.5"/>
    <n v="82"/>
    <s v="Yes"/>
    <x v="3"/>
    <x v="0"/>
    <s v="southeast"/>
    <n v="6113.23"/>
    <x v="1"/>
    <n v="0"/>
    <n v="1"/>
    <n v="0"/>
    <n v="0"/>
    <n v="7.8320890056571835E-2"/>
    <n v="0"/>
    <n v="1"/>
    <n v="1"/>
  </r>
  <r>
    <n v="438"/>
    <n v="29"/>
    <s v="male"/>
    <n v="21.9"/>
    <n v="91"/>
    <s v="Yes"/>
    <x v="1"/>
    <x v="0"/>
    <s v="northwest"/>
    <n v="6117.49"/>
    <x v="0"/>
    <n v="0"/>
    <n v="0"/>
    <n v="0"/>
    <n v="1"/>
    <n v="0.11439769267766953"/>
    <n v="0"/>
    <n v="1"/>
    <n v="0"/>
  </r>
  <r>
    <n v="439"/>
    <n v="46"/>
    <s v="male"/>
    <n v="26.2"/>
    <n v="84"/>
    <s v="Yes"/>
    <x v="1"/>
    <x v="0"/>
    <s v="northwest"/>
    <n v="6123.57"/>
    <x v="4"/>
    <n v="0"/>
    <n v="0"/>
    <n v="0"/>
    <n v="1"/>
    <n v="0.54274124572756444"/>
    <n v="0"/>
    <n v="1"/>
    <n v="0"/>
  </r>
  <r>
    <n v="440"/>
    <n v="55"/>
    <s v="female"/>
    <n v="33.200000000000003"/>
    <n v="89"/>
    <s v="Yes"/>
    <x v="3"/>
    <x v="0"/>
    <s v="northwest"/>
    <n v="6128.8"/>
    <x v="1"/>
    <n v="0"/>
    <n v="0"/>
    <n v="0"/>
    <n v="1"/>
    <n v="0.98030332748858073"/>
    <n v="0"/>
    <n v="1"/>
    <n v="1"/>
  </r>
  <r>
    <n v="441"/>
    <n v="42"/>
    <s v="female"/>
    <n v="29.3"/>
    <n v="84"/>
    <s v="No"/>
    <x v="3"/>
    <x v="0"/>
    <s v="southeast"/>
    <n v="6184.3"/>
    <x v="4"/>
    <n v="0"/>
    <n v="1"/>
    <n v="0"/>
    <n v="0"/>
    <n v="0.97263787686662539"/>
    <n v="0"/>
    <n v="0"/>
    <n v="1"/>
  </r>
  <r>
    <n v="442"/>
    <n v="39"/>
    <s v="female"/>
    <n v="31"/>
    <n v="97"/>
    <s v="No"/>
    <x v="0"/>
    <x v="0"/>
    <s v="southeast"/>
    <n v="6185.32"/>
    <x v="1"/>
    <n v="0"/>
    <n v="1"/>
    <n v="0"/>
    <n v="0"/>
    <n v="0.52121460567208378"/>
    <n v="0"/>
    <n v="0"/>
    <n v="1"/>
  </r>
  <r>
    <n v="443"/>
    <n v="32"/>
    <s v="female"/>
    <n v="31.6"/>
    <n v="91"/>
    <s v="Yes"/>
    <x v="0"/>
    <x v="0"/>
    <s v="southwest"/>
    <n v="6186.13"/>
    <x v="1"/>
    <n v="0"/>
    <n v="0"/>
    <n v="1"/>
    <n v="0"/>
    <n v="0.1093015630405697"/>
    <n v="0"/>
    <n v="1"/>
    <n v="1"/>
  </r>
  <r>
    <n v="444"/>
    <n v="32"/>
    <s v="female"/>
    <n v="38"/>
    <n v="92"/>
    <s v="No"/>
    <x v="3"/>
    <x v="0"/>
    <s v="southwest"/>
    <n v="6196.45"/>
    <x v="2"/>
    <n v="0"/>
    <n v="0"/>
    <n v="1"/>
    <n v="0"/>
    <n v="0.96001651901624585"/>
    <n v="0"/>
    <n v="0"/>
    <n v="1"/>
  </r>
  <r>
    <n v="445"/>
    <n v="27"/>
    <s v="male"/>
    <n v="24.3"/>
    <n v="82"/>
    <s v="No"/>
    <x v="2"/>
    <x v="0"/>
    <s v="northwest"/>
    <n v="6198.75"/>
    <x v="0"/>
    <n v="0"/>
    <n v="0"/>
    <n v="0"/>
    <n v="1"/>
    <n v="0.72599397205536464"/>
    <n v="0"/>
    <n v="0"/>
    <n v="0"/>
  </r>
  <r>
    <n v="446"/>
    <n v="33"/>
    <s v="male"/>
    <n v="28"/>
    <n v="93"/>
    <s v="No"/>
    <x v="2"/>
    <x v="0"/>
    <s v="northwest"/>
    <n v="6203.9"/>
    <x v="4"/>
    <n v="0"/>
    <n v="0"/>
    <n v="0"/>
    <n v="1"/>
    <n v="0.20697535842207537"/>
    <n v="0"/>
    <n v="0"/>
    <n v="0"/>
  </r>
  <r>
    <n v="447"/>
    <n v="25"/>
    <s v="female"/>
    <n v="32.5"/>
    <n v="100"/>
    <s v="No"/>
    <x v="1"/>
    <x v="0"/>
    <s v="southwest"/>
    <n v="6238.3"/>
    <x v="1"/>
    <n v="0"/>
    <n v="0"/>
    <n v="1"/>
    <n v="0"/>
    <n v="0.10914896085618742"/>
    <n v="0"/>
    <n v="0"/>
    <n v="1"/>
  </r>
  <r>
    <n v="448"/>
    <n v="45"/>
    <s v="male"/>
    <n v="23.2"/>
    <n v="92"/>
    <s v="No"/>
    <x v="0"/>
    <x v="0"/>
    <s v="southwest"/>
    <n v="6250.44"/>
    <x v="0"/>
    <n v="0"/>
    <n v="0"/>
    <n v="1"/>
    <n v="0"/>
    <n v="5.6537752639202687E-2"/>
    <n v="0"/>
    <n v="0"/>
    <n v="0"/>
  </r>
  <r>
    <n v="449"/>
    <n v="24"/>
    <s v="male"/>
    <n v="21.8"/>
    <n v="83"/>
    <s v="Yes"/>
    <x v="1"/>
    <x v="0"/>
    <s v="southeast"/>
    <n v="6272.48"/>
    <x v="0"/>
    <n v="0"/>
    <n v="1"/>
    <n v="0"/>
    <n v="0"/>
    <n v="0.28443668046403703"/>
    <n v="0"/>
    <n v="1"/>
    <n v="0"/>
  </r>
  <r>
    <n v="450"/>
    <n v="43"/>
    <s v="male"/>
    <n v="28.8"/>
    <n v="93"/>
    <s v="No"/>
    <x v="1"/>
    <x v="0"/>
    <s v="southwest"/>
    <n v="6282.24"/>
    <x v="4"/>
    <n v="0"/>
    <n v="0"/>
    <n v="1"/>
    <n v="0"/>
    <n v="0.44889032807178653"/>
    <n v="0"/>
    <n v="0"/>
    <n v="0"/>
  </r>
  <r>
    <n v="451"/>
    <n v="20"/>
    <s v="male"/>
    <n v="34.200000000000003"/>
    <n v="89"/>
    <s v="Yes"/>
    <x v="1"/>
    <x v="0"/>
    <s v="southeast"/>
    <n v="6289.75"/>
    <x v="1"/>
    <n v="0"/>
    <n v="1"/>
    <n v="0"/>
    <n v="0"/>
    <n v="8.3036358670259602E-2"/>
    <n v="0"/>
    <n v="1"/>
    <n v="0"/>
  </r>
  <r>
    <n v="452"/>
    <n v="48"/>
    <s v="female"/>
    <n v="29.5"/>
    <n v="95"/>
    <s v="No"/>
    <x v="2"/>
    <x v="0"/>
    <s v="southwest"/>
    <n v="6311.95"/>
    <x v="4"/>
    <n v="0"/>
    <n v="0"/>
    <n v="1"/>
    <n v="0"/>
    <n v="0.92523353570448807"/>
    <n v="0"/>
    <n v="0"/>
    <n v="1"/>
  </r>
  <r>
    <n v="453"/>
    <n v="56"/>
    <s v="female"/>
    <n v="30.8"/>
    <n v="92"/>
    <s v="Yes"/>
    <x v="2"/>
    <x v="0"/>
    <s v="southeast"/>
    <n v="6313.76"/>
    <x v="1"/>
    <n v="0"/>
    <n v="1"/>
    <n v="0"/>
    <n v="0"/>
    <n v="7.1514378718320448E-2"/>
    <n v="0"/>
    <n v="1"/>
    <n v="1"/>
  </r>
  <r>
    <n v="454"/>
    <n v="58"/>
    <s v="female"/>
    <n v="37.1"/>
    <n v="97"/>
    <s v="No"/>
    <x v="3"/>
    <x v="0"/>
    <s v="southeast"/>
    <n v="6334.34"/>
    <x v="2"/>
    <n v="0"/>
    <n v="1"/>
    <n v="0"/>
    <n v="0"/>
    <n v="0.50603602916804269"/>
    <n v="0"/>
    <n v="0"/>
    <n v="1"/>
  </r>
  <r>
    <n v="455"/>
    <n v="24"/>
    <s v="male"/>
    <n v="32.299999999999997"/>
    <n v="92"/>
    <s v="Yes"/>
    <x v="2"/>
    <x v="0"/>
    <s v="southeast"/>
    <n v="6338.08"/>
    <x v="1"/>
    <n v="0"/>
    <n v="1"/>
    <n v="0"/>
    <n v="0"/>
    <n v="0.32579835420920134"/>
    <n v="0"/>
    <n v="1"/>
    <n v="0"/>
  </r>
  <r>
    <n v="456"/>
    <n v="40"/>
    <s v="male"/>
    <n v="45.4"/>
    <n v="91"/>
    <s v="No"/>
    <x v="2"/>
    <x v="0"/>
    <s v="southeast"/>
    <n v="6356.27"/>
    <x v="2"/>
    <n v="0"/>
    <n v="1"/>
    <n v="0"/>
    <n v="0"/>
    <n v="0.27786509575024199"/>
    <n v="0"/>
    <n v="0"/>
    <n v="0"/>
  </r>
  <r>
    <n v="457"/>
    <n v="28"/>
    <s v="male"/>
    <n v="31.3"/>
    <n v="91"/>
    <s v="No"/>
    <x v="0"/>
    <x v="0"/>
    <s v="northwest"/>
    <n v="6358.78"/>
    <x v="1"/>
    <n v="0"/>
    <n v="0"/>
    <n v="0"/>
    <n v="1"/>
    <n v="0.4626795920716712"/>
    <n v="0"/>
    <n v="0"/>
    <n v="0"/>
  </r>
  <r>
    <n v="458"/>
    <n v="50"/>
    <s v="female"/>
    <n v="42.9"/>
    <n v="98"/>
    <s v="No"/>
    <x v="3"/>
    <x v="0"/>
    <s v="northwest"/>
    <n v="6360.99"/>
    <x v="2"/>
    <n v="0"/>
    <n v="0"/>
    <n v="0"/>
    <n v="1"/>
    <n v="0.53066896521349627"/>
    <n v="0"/>
    <n v="0"/>
    <n v="1"/>
  </r>
  <r>
    <n v="459"/>
    <n v="34"/>
    <s v="female"/>
    <n v="40.6"/>
    <n v="98"/>
    <s v="No"/>
    <x v="1"/>
    <x v="0"/>
    <s v="northwest"/>
    <n v="6373.56"/>
    <x v="2"/>
    <n v="0"/>
    <n v="0"/>
    <n v="0"/>
    <n v="1"/>
    <n v="0.8071114504515885"/>
    <n v="0"/>
    <n v="0"/>
    <n v="1"/>
  </r>
  <r>
    <n v="460"/>
    <n v="21"/>
    <s v="male"/>
    <n v="26.3"/>
    <n v="85"/>
    <s v="Yes"/>
    <x v="1"/>
    <x v="0"/>
    <s v="northwest"/>
    <n v="6389.38"/>
    <x v="4"/>
    <n v="0"/>
    <n v="0"/>
    <n v="0"/>
    <n v="1"/>
    <n v="0.74802069045987152"/>
    <n v="0"/>
    <n v="1"/>
    <n v="0"/>
  </r>
  <r>
    <n v="461"/>
    <n v="31"/>
    <s v="male"/>
    <n v="29.4"/>
    <n v="99"/>
    <s v="No"/>
    <x v="1"/>
    <x v="0"/>
    <s v="northwest"/>
    <n v="6393.6"/>
    <x v="4"/>
    <n v="0"/>
    <n v="0"/>
    <n v="0"/>
    <n v="1"/>
    <n v="0.38748269193738216"/>
    <n v="0"/>
    <n v="0"/>
    <n v="0"/>
  </r>
  <r>
    <n v="462"/>
    <n v="42"/>
    <s v="female"/>
    <n v="23.5"/>
    <n v="94"/>
    <s v="No"/>
    <x v="2"/>
    <x v="0"/>
    <s v="southeast"/>
    <n v="6402.29"/>
    <x v="0"/>
    <n v="0"/>
    <n v="1"/>
    <n v="0"/>
    <n v="0"/>
    <n v="0.40396672478853735"/>
    <n v="0"/>
    <n v="0"/>
    <n v="1"/>
  </r>
  <r>
    <n v="463"/>
    <n v="18"/>
    <s v="male"/>
    <n v="29.8"/>
    <n v="97"/>
    <s v="No"/>
    <x v="2"/>
    <x v="0"/>
    <s v="southeast"/>
    <n v="6406.41"/>
    <x v="4"/>
    <n v="0"/>
    <n v="1"/>
    <n v="0"/>
    <n v="0"/>
    <n v="0.64100566027040984"/>
    <n v="0"/>
    <n v="0"/>
    <n v="0"/>
  </r>
  <r>
    <n v="464"/>
    <n v="51"/>
    <s v="female"/>
    <n v="27.7"/>
    <n v="81"/>
    <s v="No"/>
    <x v="3"/>
    <x v="0"/>
    <s v="southwest"/>
    <n v="6414.18"/>
    <x v="4"/>
    <n v="0"/>
    <n v="0"/>
    <n v="1"/>
    <n v="0"/>
    <n v="0.34107501028659759"/>
    <n v="0"/>
    <n v="0"/>
    <n v="1"/>
  </r>
  <r>
    <n v="465"/>
    <n v="20"/>
    <s v="male"/>
    <n v="46.5"/>
    <n v="89"/>
    <s v="No"/>
    <x v="3"/>
    <x v="0"/>
    <s v="southeast"/>
    <n v="6435.62"/>
    <x v="2"/>
    <n v="0"/>
    <n v="1"/>
    <n v="0"/>
    <n v="0"/>
    <n v="0.31116141109369544"/>
    <n v="0"/>
    <n v="0"/>
    <n v="0"/>
  </r>
  <r>
    <n v="466"/>
    <n v="28"/>
    <s v="male"/>
    <n v="27.8"/>
    <n v="93"/>
    <s v="Yes"/>
    <x v="2"/>
    <x v="0"/>
    <s v="northwest"/>
    <n v="6455.86"/>
    <x v="4"/>
    <n v="0"/>
    <n v="0"/>
    <n v="0"/>
    <n v="1"/>
    <n v="0.32275373599914314"/>
    <n v="0"/>
    <n v="1"/>
    <n v="0"/>
  </r>
  <r>
    <n v="467"/>
    <n v="24"/>
    <s v="male"/>
    <n v="29.3"/>
    <n v="93"/>
    <s v="No"/>
    <x v="2"/>
    <x v="0"/>
    <s v="northwest"/>
    <n v="6457.84"/>
    <x v="4"/>
    <n v="0"/>
    <n v="0"/>
    <n v="0"/>
    <n v="1"/>
    <n v="0.81863376619388128"/>
    <n v="0"/>
    <n v="0"/>
    <n v="0"/>
  </r>
  <r>
    <n v="468"/>
    <n v="59"/>
    <s v="female"/>
    <n v="37.9"/>
    <n v="91"/>
    <s v="No"/>
    <x v="0"/>
    <x v="0"/>
    <s v="southwest"/>
    <n v="6474.01"/>
    <x v="2"/>
    <n v="0"/>
    <n v="0"/>
    <n v="1"/>
    <n v="0"/>
    <n v="0.14346504213610356"/>
    <n v="0"/>
    <n v="0"/>
    <n v="1"/>
  </r>
  <r>
    <n v="469"/>
    <n v="38"/>
    <s v="female"/>
    <n v="27.4"/>
    <n v="81"/>
    <s v="No"/>
    <x v="1"/>
    <x v="0"/>
    <s v="southwest"/>
    <n v="6496.89"/>
    <x v="4"/>
    <n v="0"/>
    <n v="0"/>
    <n v="1"/>
    <n v="0"/>
    <n v="0.12012421384861038"/>
    <n v="0"/>
    <n v="0"/>
    <n v="1"/>
  </r>
  <r>
    <n v="470"/>
    <n v="53"/>
    <s v="female"/>
    <n v="29.8"/>
    <n v="99"/>
    <s v="No"/>
    <x v="1"/>
    <x v="0"/>
    <s v="southeast"/>
    <n v="6500.24"/>
    <x v="4"/>
    <n v="0"/>
    <n v="1"/>
    <n v="0"/>
    <n v="0"/>
    <n v="5.7326483088550373E-2"/>
    <n v="0"/>
    <n v="0"/>
    <n v="1"/>
  </r>
  <r>
    <n v="471"/>
    <n v="42"/>
    <s v="male"/>
    <n v="28.6"/>
    <n v="85"/>
    <s v="Yes"/>
    <x v="3"/>
    <x v="0"/>
    <s v="northwest"/>
    <n v="6548.2"/>
    <x v="4"/>
    <n v="0"/>
    <n v="0"/>
    <n v="0"/>
    <n v="1"/>
    <n v="0.93494136632207203"/>
    <n v="0"/>
    <n v="1"/>
    <n v="0"/>
  </r>
  <r>
    <n v="472"/>
    <n v="29"/>
    <s v="female"/>
    <n v="36.299999999999997"/>
    <n v="83"/>
    <s v="No"/>
    <x v="3"/>
    <x v="0"/>
    <s v="southeast"/>
    <n v="6551.75"/>
    <x v="2"/>
    <n v="0"/>
    <n v="1"/>
    <n v="0"/>
    <n v="0"/>
    <n v="0.20455083068214497"/>
    <n v="0"/>
    <n v="0"/>
    <n v="1"/>
  </r>
  <r>
    <n v="473"/>
    <n v="31"/>
    <s v="female"/>
    <n v="27.3"/>
    <n v="86"/>
    <s v="Yes"/>
    <x v="1"/>
    <x v="0"/>
    <s v="southeast"/>
    <n v="6555.07"/>
    <x v="4"/>
    <n v="0"/>
    <n v="1"/>
    <n v="0"/>
    <n v="0"/>
    <n v="0.33495614885290725"/>
    <n v="0"/>
    <n v="1"/>
    <n v="1"/>
  </r>
  <r>
    <n v="474"/>
    <n v="48"/>
    <s v="female"/>
    <n v="33"/>
    <n v="99"/>
    <s v="No"/>
    <x v="0"/>
    <x v="0"/>
    <s v="northwest"/>
    <n v="6571.02"/>
    <x v="1"/>
    <n v="0"/>
    <n v="0"/>
    <n v="0"/>
    <n v="1"/>
    <n v="0.62675386438055292"/>
    <n v="0"/>
    <n v="0"/>
    <n v="1"/>
  </r>
  <r>
    <n v="475"/>
    <n v="55"/>
    <s v="female"/>
    <n v="34.799999999999997"/>
    <n v="80"/>
    <s v="Yes"/>
    <x v="2"/>
    <x v="0"/>
    <s v="southwest"/>
    <n v="6571.54"/>
    <x v="1"/>
    <n v="0"/>
    <n v="0"/>
    <n v="1"/>
    <n v="0"/>
    <n v="0.24997582071116453"/>
    <n v="0"/>
    <n v="1"/>
    <n v="1"/>
  </r>
  <r>
    <n v="476"/>
    <n v="46"/>
    <s v="male"/>
    <n v="25"/>
    <n v="91"/>
    <s v="No"/>
    <x v="2"/>
    <x v="0"/>
    <s v="southeast"/>
    <n v="6593.51"/>
    <x v="4"/>
    <n v="0"/>
    <n v="1"/>
    <n v="0"/>
    <n v="0"/>
    <n v="0.51491389366383988"/>
    <n v="0"/>
    <n v="0"/>
    <n v="0"/>
  </r>
  <r>
    <n v="477"/>
    <n v="45"/>
    <s v="male"/>
    <n v="34.1"/>
    <n v="96"/>
    <s v="No"/>
    <x v="1"/>
    <x v="0"/>
    <s v="southeast"/>
    <n v="6600.21"/>
    <x v="1"/>
    <n v="0"/>
    <n v="1"/>
    <n v="0"/>
    <n v="0"/>
    <n v="0.71945222897485506"/>
    <n v="0"/>
    <n v="0"/>
    <n v="0"/>
  </r>
  <r>
    <n v="478"/>
    <n v="31"/>
    <s v="male"/>
    <n v="29.9"/>
    <n v="99"/>
    <s v="Yes"/>
    <x v="2"/>
    <x v="0"/>
    <s v="southwest"/>
    <n v="6600.36"/>
    <x v="4"/>
    <n v="0"/>
    <n v="0"/>
    <n v="1"/>
    <n v="0"/>
    <n v="0.75289495590841915"/>
    <n v="0"/>
    <n v="1"/>
    <n v="0"/>
  </r>
  <r>
    <n v="479"/>
    <n v="38"/>
    <s v="male"/>
    <n v="41.2"/>
    <n v="81"/>
    <s v="Yes"/>
    <x v="1"/>
    <x v="0"/>
    <s v="southeast"/>
    <n v="6610.11"/>
    <x v="2"/>
    <n v="0"/>
    <n v="1"/>
    <n v="0"/>
    <n v="0"/>
    <n v="0.5307872056201669"/>
    <n v="0"/>
    <n v="1"/>
    <n v="0"/>
  </r>
  <r>
    <n v="480"/>
    <n v="35"/>
    <s v="male"/>
    <n v="16.8"/>
    <n v="98"/>
    <s v="No"/>
    <x v="2"/>
    <x v="0"/>
    <s v="southeast"/>
    <n v="6640.54"/>
    <x v="3"/>
    <n v="0"/>
    <n v="1"/>
    <n v="0"/>
    <n v="0"/>
    <n v="0.17816289141078967"/>
    <n v="0"/>
    <n v="0"/>
    <n v="0"/>
  </r>
  <r>
    <n v="481"/>
    <n v="48"/>
    <s v="male"/>
    <n v="21.1"/>
    <n v="82"/>
    <s v="No"/>
    <x v="3"/>
    <x v="0"/>
    <s v="southeast"/>
    <n v="6652.53"/>
    <x v="0"/>
    <n v="0"/>
    <n v="1"/>
    <n v="0"/>
    <n v="0"/>
    <n v="0.94977640654623896"/>
    <n v="0"/>
    <n v="0"/>
    <n v="0"/>
  </r>
  <r>
    <n v="482"/>
    <n v="20"/>
    <s v="male"/>
    <n v="33.4"/>
    <n v="89"/>
    <s v="Yes"/>
    <x v="5"/>
    <x v="0"/>
    <s v="southeast"/>
    <n v="6653.79"/>
    <x v="1"/>
    <n v="0"/>
    <n v="1"/>
    <n v="0"/>
    <n v="0"/>
    <n v="0.79773651261170064"/>
    <n v="0"/>
    <n v="1"/>
    <n v="0"/>
  </r>
  <r>
    <n v="483"/>
    <n v="29"/>
    <s v="male"/>
    <n v="28.4"/>
    <n v="87"/>
    <s v="No"/>
    <x v="1"/>
    <x v="0"/>
    <s v="northwest"/>
    <n v="6664.69"/>
    <x v="4"/>
    <n v="0"/>
    <n v="0"/>
    <n v="0"/>
    <n v="1"/>
    <n v="3.0497679054314553E-2"/>
    <n v="0"/>
    <n v="0"/>
    <n v="0"/>
  </r>
  <r>
    <n v="484"/>
    <n v="48"/>
    <s v="male"/>
    <n v="42.4"/>
    <n v="92"/>
    <s v="Yes"/>
    <x v="5"/>
    <x v="0"/>
    <s v="southwest"/>
    <n v="6666.24"/>
    <x v="2"/>
    <n v="0"/>
    <n v="0"/>
    <n v="1"/>
    <n v="0"/>
    <n v="0.89397907053487424"/>
    <n v="0"/>
    <n v="1"/>
    <n v="0"/>
  </r>
  <r>
    <n v="485"/>
    <n v="55"/>
    <s v="female"/>
    <n v="23.4"/>
    <n v="85"/>
    <s v="Yes"/>
    <x v="2"/>
    <x v="0"/>
    <s v="northwest"/>
    <n v="6686.43"/>
    <x v="0"/>
    <n v="0"/>
    <n v="0"/>
    <n v="0"/>
    <n v="1"/>
    <n v="0.34155336774940759"/>
    <n v="0"/>
    <n v="1"/>
    <n v="1"/>
  </r>
  <r>
    <n v="486"/>
    <n v="37"/>
    <s v="male"/>
    <n v="24.5"/>
    <n v="86"/>
    <s v="No"/>
    <x v="2"/>
    <x v="0"/>
    <s v="northwest"/>
    <n v="6710.19"/>
    <x v="0"/>
    <n v="0"/>
    <n v="0"/>
    <n v="0"/>
    <n v="1"/>
    <n v="0.74737940583068008"/>
    <n v="0"/>
    <n v="0"/>
    <n v="0"/>
  </r>
  <r>
    <n v="487"/>
    <n v="48"/>
    <s v="male"/>
    <n v="27.6"/>
    <n v="90"/>
    <s v="Yes"/>
    <x v="3"/>
    <x v="0"/>
    <s v="southeast"/>
    <n v="6746.74"/>
    <x v="4"/>
    <n v="0"/>
    <n v="1"/>
    <n v="0"/>
    <n v="0"/>
    <n v="0.72495403229730404"/>
    <n v="0"/>
    <n v="1"/>
    <n v="0"/>
  </r>
  <r>
    <n v="488"/>
    <n v="37"/>
    <s v="male"/>
    <n v="28.9"/>
    <n v="91"/>
    <s v="No"/>
    <x v="3"/>
    <x v="0"/>
    <s v="southeast"/>
    <n v="6748.59"/>
    <x v="4"/>
    <n v="0"/>
    <n v="1"/>
    <n v="0"/>
    <n v="0"/>
    <n v="0.19044322092017929"/>
    <n v="0"/>
    <n v="0"/>
    <n v="0"/>
  </r>
  <r>
    <n v="489"/>
    <n v="54"/>
    <s v="female"/>
    <n v="19"/>
    <n v="84"/>
    <s v="Yes"/>
    <x v="3"/>
    <x v="0"/>
    <s v="southeast"/>
    <n v="6753.04"/>
    <x v="3"/>
    <n v="0"/>
    <n v="1"/>
    <n v="0"/>
    <n v="0"/>
    <n v="0.36365870930526867"/>
    <n v="0"/>
    <n v="1"/>
    <n v="1"/>
  </r>
  <r>
    <n v="490"/>
    <n v="48"/>
    <s v="female"/>
    <n v="28.1"/>
    <n v="95"/>
    <s v="Yes"/>
    <x v="1"/>
    <x v="0"/>
    <s v="southeast"/>
    <n v="6770.19"/>
    <x v="4"/>
    <n v="0"/>
    <n v="1"/>
    <n v="0"/>
    <n v="0"/>
    <n v="0.52295258491137042"/>
    <n v="0"/>
    <n v="1"/>
    <n v="1"/>
  </r>
  <r>
    <n v="491"/>
    <n v="54"/>
    <s v="female"/>
    <n v="32.200000000000003"/>
    <n v="89"/>
    <s v="No"/>
    <x v="1"/>
    <x v="0"/>
    <s v="southwest"/>
    <n v="6775.96"/>
    <x v="1"/>
    <n v="0"/>
    <n v="0"/>
    <n v="1"/>
    <n v="0"/>
    <n v="0.80817497797053151"/>
    <n v="0"/>
    <n v="0"/>
    <n v="1"/>
  </r>
  <r>
    <n v="492"/>
    <n v="40"/>
    <s v="female"/>
    <n v="36.1"/>
    <n v="80"/>
    <s v="No"/>
    <x v="1"/>
    <x v="0"/>
    <s v="southeast"/>
    <n v="6781.35"/>
    <x v="2"/>
    <n v="0"/>
    <n v="1"/>
    <n v="0"/>
    <n v="0"/>
    <n v="0.3869130536244858"/>
    <n v="0"/>
    <n v="0"/>
    <n v="1"/>
  </r>
  <r>
    <n v="493"/>
    <n v="27"/>
    <s v="male"/>
    <n v="30.9"/>
    <n v="91"/>
    <s v="No"/>
    <x v="3"/>
    <x v="0"/>
    <s v="northwest"/>
    <n v="6796.86"/>
    <x v="1"/>
    <n v="0"/>
    <n v="0"/>
    <n v="0"/>
    <n v="1"/>
    <n v="0.60537824966019327"/>
    <n v="0"/>
    <n v="0"/>
    <n v="0"/>
  </r>
  <r>
    <n v="494"/>
    <n v="37"/>
    <s v="male"/>
    <n v="28.5"/>
    <n v="81"/>
    <s v="No"/>
    <x v="5"/>
    <x v="0"/>
    <s v="southeast"/>
    <n v="6799.46"/>
    <x v="4"/>
    <n v="0"/>
    <n v="1"/>
    <n v="0"/>
    <n v="0"/>
    <n v="0.24748272166063157"/>
    <n v="0"/>
    <n v="0"/>
    <n v="0"/>
  </r>
  <r>
    <n v="495"/>
    <n v="32"/>
    <s v="male"/>
    <n v="26"/>
    <n v="90"/>
    <s v="No"/>
    <x v="0"/>
    <x v="0"/>
    <s v="southeast"/>
    <n v="6837.37"/>
    <x v="4"/>
    <n v="0"/>
    <n v="1"/>
    <n v="0"/>
    <n v="0"/>
    <n v="3.6796588372383088E-2"/>
    <n v="0"/>
    <n v="0"/>
    <n v="0"/>
  </r>
  <r>
    <n v="496"/>
    <n v="46"/>
    <s v="male"/>
    <n v="30.1"/>
    <n v="85"/>
    <s v="Yes"/>
    <x v="1"/>
    <x v="0"/>
    <s v="southwest"/>
    <n v="6849.03"/>
    <x v="1"/>
    <n v="0"/>
    <n v="0"/>
    <n v="1"/>
    <n v="0"/>
    <n v="0.98133972447584994"/>
    <n v="0"/>
    <n v="1"/>
    <n v="0"/>
  </r>
  <r>
    <n v="497"/>
    <n v="29"/>
    <s v="male"/>
    <n v="23.9"/>
    <n v="84"/>
    <s v="Yes"/>
    <x v="1"/>
    <x v="0"/>
    <s v="southeast"/>
    <n v="6858.48"/>
    <x v="0"/>
    <n v="0"/>
    <n v="1"/>
    <n v="0"/>
    <n v="0"/>
    <n v="0.39869002709606383"/>
    <n v="0"/>
    <n v="1"/>
    <n v="0"/>
  </r>
  <r>
    <n v="498"/>
    <n v="45"/>
    <s v="male"/>
    <n v="32.200000000000003"/>
    <n v="100"/>
    <s v="Yes"/>
    <x v="2"/>
    <x v="0"/>
    <s v="southwest"/>
    <n v="6875.96"/>
    <x v="1"/>
    <n v="0"/>
    <n v="0"/>
    <n v="1"/>
    <n v="0"/>
    <n v="6.4236286906985796E-2"/>
    <n v="0"/>
    <n v="1"/>
    <n v="0"/>
  </r>
  <r>
    <n v="499"/>
    <n v="31"/>
    <s v="female"/>
    <n v="17.3"/>
    <n v="100"/>
    <s v="No"/>
    <x v="2"/>
    <x v="0"/>
    <s v="southeast"/>
    <n v="6877.98"/>
    <x v="3"/>
    <n v="0"/>
    <n v="1"/>
    <n v="0"/>
    <n v="0"/>
    <n v="0.67962678159737822"/>
    <n v="0"/>
    <n v="0"/>
    <n v="1"/>
  </r>
  <r>
    <n v="500"/>
    <n v="60"/>
    <s v="female"/>
    <n v="19.5"/>
    <n v="95"/>
    <s v="No"/>
    <x v="2"/>
    <x v="0"/>
    <s v="northwest"/>
    <n v="6933.24"/>
    <x v="3"/>
    <n v="0"/>
    <n v="0"/>
    <n v="0"/>
    <n v="1"/>
    <n v="0.69347762094044352"/>
    <n v="0"/>
    <n v="0"/>
    <n v="1"/>
  </r>
  <r>
    <n v="501"/>
    <n v="39"/>
    <s v="male"/>
    <n v="26.3"/>
    <n v="97"/>
    <s v="No"/>
    <x v="1"/>
    <x v="0"/>
    <s v="northwest"/>
    <n v="6940.91"/>
    <x v="4"/>
    <n v="0"/>
    <n v="0"/>
    <n v="0"/>
    <n v="1"/>
    <n v="0.44117181984677045"/>
    <n v="0"/>
    <n v="0"/>
    <n v="0"/>
  </r>
  <r>
    <n v="502"/>
    <n v="40"/>
    <s v="male"/>
    <n v="39.5"/>
    <n v="88"/>
    <s v="No"/>
    <x v="0"/>
    <x v="0"/>
    <s v="northwest"/>
    <n v="6948.7"/>
    <x v="2"/>
    <n v="0"/>
    <n v="0"/>
    <n v="0"/>
    <n v="1"/>
    <n v="0.33959514388721646"/>
    <n v="0"/>
    <n v="0"/>
    <n v="0"/>
  </r>
  <r>
    <n v="503"/>
    <n v="19"/>
    <s v="male"/>
    <n v="22.7"/>
    <n v="82"/>
    <s v="No"/>
    <x v="3"/>
    <x v="0"/>
    <s v="southeast"/>
    <n v="6985.51"/>
    <x v="0"/>
    <n v="0"/>
    <n v="1"/>
    <n v="0"/>
    <n v="0"/>
    <n v="0.11519802126368794"/>
    <n v="0"/>
    <n v="0"/>
    <n v="0"/>
  </r>
  <r>
    <n v="504"/>
    <n v="40"/>
    <s v="male"/>
    <n v="32.299999999999997"/>
    <n v="87"/>
    <s v="Yes"/>
    <x v="2"/>
    <x v="0"/>
    <s v="northwest"/>
    <n v="6986.7"/>
    <x v="1"/>
    <n v="0"/>
    <n v="0"/>
    <n v="0"/>
    <n v="1"/>
    <n v="0.68290451655571205"/>
    <n v="0"/>
    <n v="1"/>
    <n v="0"/>
  </r>
  <r>
    <n v="505"/>
    <n v="55"/>
    <s v="female"/>
    <n v="25.3"/>
    <n v="91"/>
    <s v="Yes"/>
    <x v="1"/>
    <x v="0"/>
    <s v="southwest"/>
    <n v="7045.5"/>
    <x v="4"/>
    <n v="0"/>
    <n v="0"/>
    <n v="1"/>
    <n v="0"/>
    <n v="0.99553098134686024"/>
    <n v="0"/>
    <n v="1"/>
    <n v="1"/>
  </r>
  <r>
    <n v="506"/>
    <n v="34"/>
    <s v="female"/>
    <n v="26.2"/>
    <n v="88"/>
    <s v="Yes"/>
    <x v="1"/>
    <x v="0"/>
    <s v="southeast"/>
    <n v="7046.72"/>
    <x v="4"/>
    <n v="0"/>
    <n v="1"/>
    <n v="0"/>
    <n v="0"/>
    <n v="0.70349055107478697"/>
    <n v="0"/>
    <n v="1"/>
    <n v="1"/>
  </r>
  <r>
    <n v="507"/>
    <n v="56"/>
    <s v="female"/>
    <n v="32.9"/>
    <n v="84"/>
    <s v="Yes"/>
    <x v="0"/>
    <x v="0"/>
    <s v="southeast"/>
    <n v="7050.02"/>
    <x v="1"/>
    <n v="0"/>
    <n v="1"/>
    <n v="0"/>
    <n v="0"/>
    <n v="0.76176901457968449"/>
    <n v="0"/>
    <n v="1"/>
    <n v="1"/>
  </r>
  <r>
    <n v="508"/>
    <n v="26"/>
    <s v="female"/>
    <n v="29"/>
    <n v="93"/>
    <s v="No"/>
    <x v="1"/>
    <x v="0"/>
    <s v="southwest"/>
    <n v="7050.64"/>
    <x v="4"/>
    <n v="0"/>
    <n v="0"/>
    <n v="1"/>
    <n v="0"/>
    <n v="0.98145927759097573"/>
    <n v="0"/>
    <n v="0"/>
    <n v="1"/>
  </r>
  <r>
    <n v="509"/>
    <n v="33"/>
    <s v="female"/>
    <n v="25.5"/>
    <n v="87"/>
    <s v="No"/>
    <x v="1"/>
    <x v="0"/>
    <s v="southeast"/>
    <n v="7077.19"/>
    <x v="4"/>
    <n v="0"/>
    <n v="1"/>
    <n v="0"/>
    <n v="0"/>
    <n v="0.45175413878373416"/>
    <n v="0"/>
    <n v="0"/>
    <n v="1"/>
  </r>
  <r>
    <n v="510"/>
    <n v="50"/>
    <s v="female"/>
    <n v="20"/>
    <n v="89"/>
    <s v="Yes"/>
    <x v="2"/>
    <x v="0"/>
    <s v="southeast"/>
    <n v="7133.9"/>
    <x v="0"/>
    <n v="0"/>
    <n v="1"/>
    <n v="0"/>
    <n v="0"/>
    <n v="0.49951026903169116"/>
    <n v="0"/>
    <n v="1"/>
    <n v="1"/>
  </r>
  <r>
    <n v="511"/>
    <n v="55"/>
    <s v="female"/>
    <n v="27.8"/>
    <n v="80"/>
    <s v="Yes"/>
    <x v="2"/>
    <x v="0"/>
    <s v="southeast"/>
    <n v="7144.86"/>
    <x v="4"/>
    <n v="0"/>
    <n v="1"/>
    <n v="0"/>
    <n v="0"/>
    <n v="0.90321515677309083"/>
    <n v="0"/>
    <n v="1"/>
    <n v="1"/>
  </r>
  <r>
    <n v="512"/>
    <n v="19"/>
    <s v="male"/>
    <n v="22.3"/>
    <n v="81"/>
    <s v="No"/>
    <x v="0"/>
    <x v="0"/>
    <s v="southwest"/>
    <n v="7147.11"/>
    <x v="0"/>
    <n v="0"/>
    <n v="0"/>
    <n v="1"/>
    <n v="0"/>
    <n v="0.15435781839716989"/>
    <n v="0"/>
    <n v="0"/>
    <n v="0"/>
  </r>
  <r>
    <n v="513"/>
    <n v="46"/>
    <s v="male"/>
    <n v="34.299999999999997"/>
    <n v="89"/>
    <s v="No"/>
    <x v="1"/>
    <x v="0"/>
    <s v="southeast"/>
    <n v="7147.47"/>
    <x v="1"/>
    <n v="0"/>
    <n v="1"/>
    <n v="0"/>
    <n v="0"/>
    <n v="0.7668539572574814"/>
    <n v="0"/>
    <n v="0"/>
    <n v="0"/>
  </r>
  <r>
    <n v="514"/>
    <n v="49"/>
    <s v="female"/>
    <n v="28"/>
    <n v="92"/>
    <s v="No"/>
    <x v="3"/>
    <x v="0"/>
    <s v="southwest"/>
    <n v="7151.09"/>
    <x v="4"/>
    <n v="0"/>
    <n v="0"/>
    <n v="1"/>
    <n v="0"/>
    <n v="0.65826965039503493"/>
    <n v="0"/>
    <n v="0"/>
    <n v="1"/>
  </r>
  <r>
    <n v="515"/>
    <n v="40"/>
    <s v="male"/>
    <n v="38.1"/>
    <n v="91"/>
    <s v="No"/>
    <x v="1"/>
    <x v="0"/>
    <s v="southeast"/>
    <n v="7152.67"/>
    <x v="2"/>
    <n v="0"/>
    <n v="1"/>
    <n v="0"/>
    <n v="0"/>
    <n v="0.55112786231939004"/>
    <n v="0"/>
    <n v="0"/>
    <n v="0"/>
  </r>
  <r>
    <n v="516"/>
    <n v="27"/>
    <s v="female"/>
    <n v="28.3"/>
    <n v="88"/>
    <s v="No"/>
    <x v="1"/>
    <x v="0"/>
    <s v="northwest"/>
    <n v="7153.55"/>
    <x v="4"/>
    <n v="0"/>
    <n v="0"/>
    <n v="0"/>
    <n v="1"/>
    <n v="0.41620412260715423"/>
    <n v="0"/>
    <n v="0"/>
    <n v="1"/>
  </r>
  <r>
    <n v="517"/>
    <n v="48"/>
    <s v="male"/>
    <n v="35.799999999999997"/>
    <n v="82"/>
    <s v="Yes"/>
    <x v="2"/>
    <x v="0"/>
    <s v="southwest"/>
    <n v="7160.09"/>
    <x v="2"/>
    <n v="0"/>
    <n v="0"/>
    <n v="1"/>
    <n v="0"/>
    <n v="0.72392498374103509"/>
    <n v="0"/>
    <n v="1"/>
    <n v="0"/>
  </r>
  <r>
    <n v="518"/>
    <n v="18"/>
    <s v="male"/>
    <n v="36"/>
    <n v="93"/>
    <s v="No"/>
    <x v="2"/>
    <x v="0"/>
    <s v="southeast"/>
    <n v="7160.33"/>
    <x v="2"/>
    <n v="0"/>
    <n v="1"/>
    <n v="0"/>
    <n v="0"/>
    <n v="0.18244944607020319"/>
    <n v="0"/>
    <n v="0"/>
    <n v="0"/>
  </r>
  <r>
    <n v="519"/>
    <n v="19"/>
    <s v="male"/>
    <n v="37.200000000000003"/>
    <n v="96"/>
    <s v="Yes"/>
    <x v="2"/>
    <x v="0"/>
    <s v="southeast"/>
    <n v="7162.01"/>
    <x v="2"/>
    <n v="0"/>
    <n v="1"/>
    <n v="0"/>
    <n v="0"/>
    <n v="2.2179350299485701E-2"/>
    <n v="0"/>
    <n v="1"/>
    <n v="0"/>
  </r>
  <r>
    <n v="520"/>
    <n v="24"/>
    <s v="male"/>
    <n v="22.7"/>
    <n v="88"/>
    <s v="Yes"/>
    <x v="2"/>
    <x v="0"/>
    <s v="southeast"/>
    <n v="7173.36"/>
    <x v="0"/>
    <n v="0"/>
    <n v="1"/>
    <n v="0"/>
    <n v="0"/>
    <n v="0.77406312051874615"/>
    <n v="0"/>
    <n v="1"/>
    <n v="0"/>
  </r>
  <r>
    <n v="521"/>
    <n v="21"/>
    <s v="male"/>
    <n v="35.299999999999997"/>
    <n v="96"/>
    <s v="No"/>
    <x v="3"/>
    <x v="0"/>
    <s v="southwest"/>
    <n v="7196.87"/>
    <x v="2"/>
    <n v="0"/>
    <n v="0"/>
    <n v="1"/>
    <n v="0"/>
    <n v="0.44061343531627517"/>
    <n v="0"/>
    <n v="0"/>
    <n v="0"/>
  </r>
  <r>
    <n v="522"/>
    <n v="54"/>
    <s v="female"/>
    <n v="26.3"/>
    <n v="89"/>
    <s v="No"/>
    <x v="2"/>
    <x v="0"/>
    <s v="northwest"/>
    <n v="7201.7"/>
    <x v="4"/>
    <n v="0"/>
    <n v="0"/>
    <n v="0"/>
    <n v="1"/>
    <n v="0.22610264150050519"/>
    <n v="0"/>
    <n v="0"/>
    <n v="1"/>
  </r>
  <r>
    <n v="523"/>
    <n v="34"/>
    <s v="female"/>
    <n v="31.9"/>
    <n v="94"/>
    <s v="No"/>
    <x v="2"/>
    <x v="0"/>
    <s v="northwest"/>
    <n v="7209.49"/>
    <x v="1"/>
    <n v="0"/>
    <n v="0"/>
    <n v="0"/>
    <n v="1"/>
    <n v="0.66362451344200768"/>
    <n v="0"/>
    <n v="0"/>
    <n v="1"/>
  </r>
  <r>
    <n v="524"/>
    <n v="43"/>
    <s v="male"/>
    <n v="21.4"/>
    <n v="88"/>
    <s v="No"/>
    <x v="0"/>
    <x v="0"/>
    <s v="northwest"/>
    <n v="7222.79"/>
    <x v="0"/>
    <n v="0"/>
    <n v="0"/>
    <n v="0"/>
    <n v="1"/>
    <n v="4.1294957663242426E-2"/>
    <n v="0"/>
    <n v="0"/>
    <n v="0"/>
  </r>
  <r>
    <n v="525"/>
    <n v="29"/>
    <s v="female"/>
    <n v="22.1"/>
    <n v="83"/>
    <s v="Yes"/>
    <x v="3"/>
    <x v="0"/>
    <s v="southeast"/>
    <n v="7228.22"/>
    <x v="0"/>
    <n v="0"/>
    <n v="1"/>
    <n v="0"/>
    <n v="0"/>
    <n v="0.92338893574195591"/>
    <n v="0"/>
    <n v="1"/>
    <n v="1"/>
  </r>
  <r>
    <n v="526"/>
    <n v="55"/>
    <s v="female"/>
    <n v="29"/>
    <n v="84"/>
    <s v="Yes"/>
    <x v="4"/>
    <x v="0"/>
    <s v="southeast"/>
    <n v="7243.81"/>
    <x v="4"/>
    <n v="0"/>
    <n v="1"/>
    <n v="0"/>
    <n v="0"/>
    <n v="0.90617458010841245"/>
    <n v="0"/>
    <n v="1"/>
    <n v="1"/>
  </r>
  <r>
    <n v="527"/>
    <n v="20"/>
    <s v="male"/>
    <n v="30.6"/>
    <n v="90"/>
    <s v="No"/>
    <x v="2"/>
    <x v="0"/>
    <s v="northwest"/>
    <n v="7256.72"/>
    <x v="1"/>
    <n v="0"/>
    <n v="0"/>
    <n v="0"/>
    <n v="1"/>
    <n v="0.97849826431895137"/>
    <n v="0"/>
    <n v="0"/>
    <n v="0"/>
  </r>
  <r>
    <n v="528"/>
    <n v="39"/>
    <s v="male"/>
    <n v="34.200000000000003"/>
    <n v="81"/>
    <s v="Yes"/>
    <x v="2"/>
    <x v="0"/>
    <s v="northwest"/>
    <n v="7261.74"/>
    <x v="1"/>
    <n v="0"/>
    <n v="0"/>
    <n v="0"/>
    <n v="1"/>
    <n v="0.58363286724333363"/>
    <n v="0"/>
    <n v="1"/>
    <n v="0"/>
  </r>
  <r>
    <n v="529"/>
    <n v="48"/>
    <s v="male"/>
    <n v="37.1"/>
    <n v="81"/>
    <s v="Yes"/>
    <x v="2"/>
    <x v="0"/>
    <s v="northwest"/>
    <n v="7265.7"/>
    <x v="2"/>
    <n v="0"/>
    <n v="0"/>
    <n v="0"/>
    <n v="1"/>
    <n v="0.38592253371442031"/>
    <n v="0"/>
    <n v="1"/>
    <n v="0"/>
  </r>
  <r>
    <n v="530"/>
    <n v="46"/>
    <s v="female"/>
    <n v="27.7"/>
    <n v="83"/>
    <s v="No"/>
    <x v="3"/>
    <x v="0"/>
    <s v="northwest"/>
    <n v="7281.51"/>
    <x v="4"/>
    <n v="0"/>
    <n v="0"/>
    <n v="0"/>
    <n v="1"/>
    <n v="0.9349617466510235"/>
    <n v="0"/>
    <n v="0"/>
    <n v="1"/>
  </r>
  <r>
    <n v="531"/>
    <n v="37"/>
    <s v="female"/>
    <n v="29.2"/>
    <n v="92"/>
    <s v="No"/>
    <x v="0"/>
    <x v="0"/>
    <s v="southeast"/>
    <n v="7323.73"/>
    <x v="4"/>
    <n v="0"/>
    <n v="1"/>
    <n v="0"/>
    <n v="0"/>
    <n v="0.62100321930181579"/>
    <n v="0"/>
    <n v="0"/>
    <n v="1"/>
  </r>
  <r>
    <n v="532"/>
    <n v="25"/>
    <s v="female"/>
    <n v="25.1"/>
    <n v="94"/>
    <s v="Yes"/>
    <x v="0"/>
    <x v="0"/>
    <s v="southeast"/>
    <n v="7325.05"/>
    <x v="4"/>
    <n v="0"/>
    <n v="1"/>
    <n v="0"/>
    <n v="0"/>
    <n v="3.0791905266557951E-2"/>
    <n v="0"/>
    <n v="1"/>
    <n v="1"/>
  </r>
  <r>
    <n v="533"/>
    <n v="56"/>
    <s v="female"/>
    <n v="29.9"/>
    <n v="81"/>
    <s v="Yes"/>
    <x v="1"/>
    <x v="0"/>
    <s v="southwest"/>
    <n v="7337.75"/>
    <x v="4"/>
    <n v="0"/>
    <n v="0"/>
    <n v="1"/>
    <n v="0"/>
    <n v="0.7888938898775949"/>
    <n v="0"/>
    <n v="1"/>
    <n v="1"/>
  </r>
  <r>
    <n v="534"/>
    <n v="32"/>
    <s v="female"/>
    <n v="33.1"/>
    <n v="94"/>
    <s v="Yes"/>
    <x v="0"/>
    <x v="0"/>
    <s v="southwest"/>
    <n v="7345.08"/>
    <x v="1"/>
    <n v="0"/>
    <n v="0"/>
    <n v="1"/>
    <n v="0"/>
    <n v="0.92728852940786755"/>
    <n v="0"/>
    <n v="1"/>
    <n v="1"/>
  </r>
  <r>
    <n v="535"/>
    <n v="60"/>
    <s v="female"/>
    <n v="35.6"/>
    <n v="80"/>
    <s v="No"/>
    <x v="1"/>
    <x v="0"/>
    <s v="southeast"/>
    <n v="7345.73"/>
    <x v="2"/>
    <n v="0"/>
    <n v="1"/>
    <n v="0"/>
    <n v="0"/>
    <n v="0.25550640828618509"/>
    <n v="0"/>
    <n v="0"/>
    <n v="1"/>
  </r>
  <r>
    <n v="536"/>
    <n v="37"/>
    <s v="female"/>
    <n v="35.299999999999997"/>
    <n v="100"/>
    <s v="No"/>
    <x v="0"/>
    <x v="0"/>
    <s v="southwest"/>
    <n v="7348.14"/>
    <x v="2"/>
    <n v="0"/>
    <n v="0"/>
    <n v="1"/>
    <n v="0"/>
    <n v="0.7085130717392325"/>
    <n v="0"/>
    <n v="0"/>
    <n v="1"/>
  </r>
  <r>
    <n v="537"/>
    <n v="55"/>
    <s v="female"/>
    <n v="31.6"/>
    <n v="91"/>
    <s v="No"/>
    <x v="1"/>
    <x v="0"/>
    <s v="southeast"/>
    <n v="7358.18"/>
    <x v="1"/>
    <n v="0"/>
    <n v="1"/>
    <n v="0"/>
    <n v="0"/>
    <n v="0.55674520250840531"/>
    <n v="0"/>
    <n v="0"/>
    <n v="1"/>
  </r>
  <r>
    <n v="538"/>
    <n v="26"/>
    <s v="female"/>
    <n v="37.1"/>
    <n v="88"/>
    <s v="No"/>
    <x v="2"/>
    <x v="0"/>
    <s v="southwest"/>
    <n v="7371.77"/>
    <x v="2"/>
    <n v="0"/>
    <n v="0"/>
    <n v="1"/>
    <n v="0"/>
    <n v="7.909760238094965E-2"/>
    <n v="0"/>
    <n v="0"/>
    <n v="1"/>
  </r>
  <r>
    <n v="539"/>
    <n v="49"/>
    <s v="female"/>
    <n v="34.1"/>
    <n v="82"/>
    <s v="No"/>
    <x v="3"/>
    <x v="0"/>
    <s v="southwest"/>
    <n v="7418.52"/>
    <x v="1"/>
    <n v="0"/>
    <n v="0"/>
    <n v="1"/>
    <n v="0"/>
    <n v="0.39480178348864592"/>
    <n v="0"/>
    <n v="0"/>
    <n v="1"/>
  </r>
  <r>
    <n v="540"/>
    <n v="51"/>
    <s v="female"/>
    <n v="26.4"/>
    <n v="97"/>
    <s v="No"/>
    <x v="0"/>
    <x v="0"/>
    <s v="northwest"/>
    <n v="7419.48"/>
    <x v="4"/>
    <n v="0"/>
    <n v="0"/>
    <n v="0"/>
    <n v="1"/>
    <n v="0.83818559342443399"/>
    <n v="0"/>
    <n v="0"/>
    <n v="1"/>
  </r>
  <r>
    <n v="541"/>
    <n v="55"/>
    <s v="female"/>
    <n v="27.6"/>
    <n v="89"/>
    <s v="No"/>
    <x v="0"/>
    <x v="0"/>
    <s v="northwest"/>
    <n v="7421.19"/>
    <x v="4"/>
    <n v="0"/>
    <n v="0"/>
    <n v="0"/>
    <n v="1"/>
    <n v="0.9222833805036087"/>
    <n v="0"/>
    <n v="0"/>
    <n v="1"/>
  </r>
  <r>
    <n v="542"/>
    <n v="46"/>
    <s v="male"/>
    <n v="30.2"/>
    <n v="80"/>
    <s v="No"/>
    <x v="1"/>
    <x v="0"/>
    <s v="southwest"/>
    <n v="7441.05"/>
    <x v="1"/>
    <n v="0"/>
    <n v="0"/>
    <n v="1"/>
    <n v="0"/>
    <n v="0.61524955197125941"/>
    <n v="0"/>
    <n v="0"/>
    <n v="0"/>
  </r>
  <r>
    <n v="543"/>
    <n v="19"/>
    <s v="male"/>
    <n v="32.6"/>
    <n v="94"/>
    <s v="Yes"/>
    <x v="2"/>
    <x v="0"/>
    <s v="southwest"/>
    <n v="7441.5"/>
    <x v="1"/>
    <n v="0"/>
    <n v="0"/>
    <n v="1"/>
    <n v="0"/>
    <n v="0.90782986793589415"/>
    <n v="0"/>
    <n v="1"/>
    <n v="0"/>
  </r>
  <r>
    <n v="544"/>
    <n v="31"/>
    <s v="female"/>
    <n v="36.200000000000003"/>
    <n v="96"/>
    <s v="No"/>
    <x v="1"/>
    <x v="0"/>
    <s v="northwest"/>
    <n v="7443.64"/>
    <x v="2"/>
    <n v="0"/>
    <n v="0"/>
    <n v="0"/>
    <n v="1"/>
    <n v="0.6538098985453118"/>
    <n v="0"/>
    <n v="0"/>
    <n v="1"/>
  </r>
  <r>
    <n v="545"/>
    <n v="26"/>
    <s v="male"/>
    <n v="33.700000000000003"/>
    <n v="92"/>
    <s v="No"/>
    <x v="1"/>
    <x v="0"/>
    <s v="southwest"/>
    <n v="7445.92"/>
    <x v="1"/>
    <n v="0"/>
    <n v="0"/>
    <n v="1"/>
    <n v="0"/>
    <n v="0.96835580709577118"/>
    <n v="0"/>
    <n v="0"/>
    <n v="0"/>
  </r>
  <r>
    <n v="546"/>
    <n v="28"/>
    <s v="male"/>
    <n v="39.799999999999997"/>
    <n v="88"/>
    <s v="No"/>
    <x v="0"/>
    <x v="0"/>
    <s v="southeast"/>
    <n v="7448.4"/>
    <x v="2"/>
    <n v="0"/>
    <n v="1"/>
    <n v="0"/>
    <n v="0"/>
    <n v="0.7233185446470578"/>
    <n v="0"/>
    <n v="0"/>
    <n v="0"/>
  </r>
  <r>
    <n v="547"/>
    <n v="31"/>
    <s v="male"/>
    <n v="29.6"/>
    <n v="85"/>
    <s v="No"/>
    <x v="4"/>
    <x v="0"/>
    <s v="southwest"/>
    <n v="7512.27"/>
    <x v="4"/>
    <n v="0"/>
    <n v="0"/>
    <n v="1"/>
    <n v="0"/>
    <n v="7.6526099770181655E-2"/>
    <n v="0"/>
    <n v="0"/>
    <n v="0"/>
  </r>
  <r>
    <n v="548"/>
    <n v="46"/>
    <s v="male"/>
    <n v="25.4"/>
    <n v="98"/>
    <s v="No"/>
    <x v="1"/>
    <x v="0"/>
    <s v="northwest"/>
    <n v="7518.03"/>
    <x v="4"/>
    <n v="0"/>
    <n v="0"/>
    <n v="0"/>
    <n v="1"/>
    <n v="9.3600859185008267E-2"/>
    <n v="0"/>
    <n v="0"/>
    <n v="0"/>
  </r>
  <r>
    <n v="549"/>
    <n v="33"/>
    <s v="male"/>
    <n v="19.899999999999999"/>
    <n v="95"/>
    <s v="No"/>
    <x v="0"/>
    <x v="0"/>
    <s v="northwest"/>
    <n v="7526.71"/>
    <x v="3"/>
    <n v="0"/>
    <n v="0"/>
    <n v="0"/>
    <n v="1"/>
    <n v="0.17727904618896029"/>
    <n v="0"/>
    <n v="0"/>
    <n v="0"/>
  </r>
  <r>
    <n v="550"/>
    <n v="31"/>
    <s v="female"/>
    <n v="30.2"/>
    <n v="95"/>
    <s v="No"/>
    <x v="3"/>
    <x v="0"/>
    <s v="northwest"/>
    <n v="7537.16"/>
    <x v="1"/>
    <n v="0"/>
    <n v="0"/>
    <n v="0"/>
    <n v="1"/>
    <n v="0.11977988026865416"/>
    <n v="0"/>
    <n v="0"/>
    <n v="1"/>
  </r>
  <r>
    <n v="551"/>
    <n v="28"/>
    <s v="female"/>
    <n v="25"/>
    <n v="97"/>
    <s v="No"/>
    <x v="1"/>
    <x v="0"/>
    <s v="southwest"/>
    <n v="7623.52"/>
    <x v="4"/>
    <n v="0"/>
    <n v="0"/>
    <n v="1"/>
    <n v="0"/>
    <n v="0.20754235495656348"/>
    <n v="0"/>
    <n v="0"/>
    <n v="1"/>
  </r>
  <r>
    <n v="552"/>
    <n v="37"/>
    <s v="female"/>
    <n v="25.8"/>
    <n v="87"/>
    <s v="No"/>
    <x v="1"/>
    <x v="0"/>
    <s v="southwest"/>
    <n v="7624.63"/>
    <x v="4"/>
    <n v="0"/>
    <n v="0"/>
    <n v="1"/>
    <n v="0"/>
    <n v="0.94907809358510919"/>
    <n v="0"/>
    <n v="0"/>
    <n v="1"/>
  </r>
  <r>
    <n v="553"/>
    <n v="34"/>
    <s v="female"/>
    <n v="27.5"/>
    <n v="96"/>
    <s v="Yes"/>
    <x v="1"/>
    <x v="0"/>
    <s v="southwest"/>
    <n v="7626.99"/>
    <x v="4"/>
    <n v="0"/>
    <n v="0"/>
    <n v="1"/>
    <n v="0"/>
    <n v="0.90388424316796789"/>
    <n v="0"/>
    <n v="1"/>
    <n v="1"/>
  </r>
  <r>
    <n v="554"/>
    <n v="56"/>
    <s v="female"/>
    <n v="32.299999999999997"/>
    <n v="99"/>
    <s v="Yes"/>
    <x v="1"/>
    <x v="0"/>
    <s v="southeast"/>
    <n v="7633.72"/>
    <x v="1"/>
    <n v="0"/>
    <n v="1"/>
    <n v="0"/>
    <n v="0"/>
    <n v="0.52011676779466265"/>
    <n v="0"/>
    <n v="1"/>
    <n v="1"/>
  </r>
  <r>
    <n v="555"/>
    <n v="34"/>
    <s v="female"/>
    <n v="33.200000000000003"/>
    <n v="83"/>
    <s v="No"/>
    <x v="1"/>
    <x v="0"/>
    <s v="southeast"/>
    <n v="7639.42"/>
    <x v="1"/>
    <n v="0"/>
    <n v="1"/>
    <n v="0"/>
    <n v="0"/>
    <n v="0.34874038733057777"/>
    <n v="0"/>
    <n v="0"/>
    <n v="1"/>
  </r>
  <r>
    <n v="556"/>
    <n v="55"/>
    <s v="female"/>
    <n v="29.5"/>
    <n v="81"/>
    <s v="No"/>
    <x v="2"/>
    <x v="0"/>
    <s v="southeast"/>
    <n v="7640.31"/>
    <x v="4"/>
    <n v="0"/>
    <n v="1"/>
    <n v="0"/>
    <n v="0"/>
    <n v="0.23221926997408315"/>
    <n v="0"/>
    <n v="0"/>
    <n v="1"/>
  </r>
  <r>
    <n v="557"/>
    <n v="52"/>
    <s v="female"/>
    <n v="41.3"/>
    <n v="95"/>
    <s v="No"/>
    <x v="1"/>
    <x v="0"/>
    <s v="southeast"/>
    <n v="7650.77"/>
    <x v="2"/>
    <n v="0"/>
    <n v="1"/>
    <n v="0"/>
    <n v="0"/>
    <n v="0.33690411755254868"/>
    <n v="0"/>
    <n v="0"/>
    <n v="1"/>
  </r>
  <r>
    <n v="558"/>
    <n v="45"/>
    <s v="female"/>
    <n v="33"/>
    <n v="87"/>
    <s v="No"/>
    <x v="3"/>
    <x v="0"/>
    <s v="southeast"/>
    <n v="7682.67"/>
    <x v="1"/>
    <n v="0"/>
    <n v="1"/>
    <n v="0"/>
    <n v="0"/>
    <n v="0.25731442785498726"/>
    <n v="0"/>
    <n v="0"/>
    <n v="1"/>
  </r>
  <r>
    <n v="559"/>
    <n v="46"/>
    <s v="male"/>
    <n v="27.4"/>
    <n v="88"/>
    <s v="No"/>
    <x v="2"/>
    <x v="0"/>
    <s v="southwest"/>
    <n v="7726.85"/>
    <x v="4"/>
    <n v="0"/>
    <n v="0"/>
    <n v="1"/>
    <n v="0"/>
    <n v="0.85574610471492984"/>
    <n v="0"/>
    <n v="0"/>
    <n v="0"/>
  </r>
  <r>
    <n v="560"/>
    <n v="54"/>
    <s v="female"/>
    <n v="34.6"/>
    <n v="83"/>
    <s v="No"/>
    <x v="1"/>
    <x v="0"/>
    <s v="northwest"/>
    <n v="7727.25"/>
    <x v="1"/>
    <n v="0"/>
    <n v="0"/>
    <n v="0"/>
    <n v="1"/>
    <n v="0.3888047625654204"/>
    <n v="0"/>
    <n v="0"/>
    <n v="1"/>
  </r>
  <r>
    <n v="561"/>
    <n v="50"/>
    <s v="male"/>
    <n v="26.1"/>
    <n v="96"/>
    <s v="Yes"/>
    <x v="2"/>
    <x v="0"/>
    <s v="southeast"/>
    <n v="7729.65"/>
    <x v="4"/>
    <n v="0"/>
    <n v="1"/>
    <n v="0"/>
    <n v="0"/>
    <n v="0.40376865320885202"/>
    <n v="0"/>
    <n v="1"/>
    <n v="0"/>
  </r>
  <r>
    <n v="562"/>
    <n v="48"/>
    <s v="male"/>
    <n v="30.7"/>
    <n v="84"/>
    <s v="No"/>
    <x v="2"/>
    <x v="0"/>
    <s v="southeast"/>
    <n v="7731.43"/>
    <x v="1"/>
    <n v="0"/>
    <n v="1"/>
    <n v="0"/>
    <n v="0"/>
    <n v="0.54957682292219945"/>
    <n v="0"/>
    <n v="0"/>
    <n v="0"/>
  </r>
  <r>
    <n v="563"/>
    <n v="26"/>
    <s v="female"/>
    <n v="35.799999999999997"/>
    <n v="100"/>
    <s v="Yes"/>
    <x v="0"/>
    <x v="0"/>
    <s v="northwest"/>
    <n v="7731.86"/>
    <x v="2"/>
    <n v="0"/>
    <n v="0"/>
    <n v="0"/>
    <n v="1"/>
    <n v="0.4667484295596761"/>
    <n v="0"/>
    <n v="1"/>
    <n v="1"/>
  </r>
  <r>
    <n v="564"/>
    <n v="36"/>
    <s v="male"/>
    <n v="37.1"/>
    <n v="90"/>
    <s v="No"/>
    <x v="2"/>
    <x v="0"/>
    <s v="southwest"/>
    <n v="7740.34"/>
    <x v="2"/>
    <n v="0"/>
    <n v="0"/>
    <n v="1"/>
    <n v="0"/>
    <n v="0.98810520784794331"/>
    <n v="0"/>
    <n v="0"/>
    <n v="0"/>
  </r>
  <r>
    <n v="565"/>
    <n v="18"/>
    <s v="male"/>
    <n v="26.6"/>
    <n v="95"/>
    <s v="No"/>
    <x v="1"/>
    <x v="0"/>
    <s v="southeast"/>
    <n v="7742.11"/>
    <x v="4"/>
    <n v="0"/>
    <n v="1"/>
    <n v="0"/>
    <n v="0"/>
    <n v="0.26392853726927812"/>
    <n v="0"/>
    <n v="0"/>
    <n v="0"/>
  </r>
  <r>
    <n v="566"/>
    <n v="56"/>
    <s v="female"/>
    <n v="33.1"/>
    <n v="91"/>
    <s v="No"/>
    <x v="2"/>
    <x v="0"/>
    <s v="northwest"/>
    <n v="7749.16"/>
    <x v="1"/>
    <n v="0"/>
    <n v="0"/>
    <n v="0"/>
    <n v="1"/>
    <n v="0.48244526880140148"/>
    <n v="0"/>
    <n v="0"/>
    <n v="1"/>
  </r>
  <r>
    <n v="567"/>
    <n v="29"/>
    <s v="male"/>
    <n v="29.7"/>
    <n v="100"/>
    <s v="Yes"/>
    <x v="0"/>
    <x v="0"/>
    <s v="southeast"/>
    <n v="7789.64"/>
    <x v="4"/>
    <n v="0"/>
    <n v="1"/>
    <n v="0"/>
    <n v="0"/>
    <n v="0.10878151547567116"/>
    <n v="0"/>
    <n v="1"/>
    <n v="0"/>
  </r>
  <r>
    <n v="568"/>
    <n v="50"/>
    <s v="male"/>
    <n v="40.200000000000003"/>
    <n v="91"/>
    <s v="Yes"/>
    <x v="0"/>
    <x v="0"/>
    <s v="southeast"/>
    <n v="7804.16"/>
    <x v="2"/>
    <n v="0"/>
    <n v="1"/>
    <n v="0"/>
    <n v="0"/>
    <n v="0.5377851312903339"/>
    <n v="0"/>
    <n v="1"/>
    <n v="0"/>
  </r>
  <r>
    <n v="569"/>
    <n v="58"/>
    <s v="female"/>
    <n v="38.299999999999997"/>
    <n v="87"/>
    <s v="Yes"/>
    <x v="0"/>
    <x v="0"/>
    <s v="northeast"/>
    <n v="7935.29"/>
    <x v="2"/>
    <n v="0"/>
    <n v="0"/>
    <n v="0"/>
    <n v="0"/>
    <n v="7.8233956006534933E-2"/>
    <n v="0"/>
    <n v="1"/>
    <n v="1"/>
  </r>
  <r>
    <n v="570"/>
    <n v="49"/>
    <s v="female"/>
    <n v="32.6"/>
    <n v="97"/>
    <s v="No"/>
    <x v="3"/>
    <x v="0"/>
    <s v="southwest"/>
    <n v="7954.52"/>
    <x v="1"/>
    <n v="0"/>
    <n v="0"/>
    <n v="1"/>
    <n v="0"/>
    <n v="0.82162293017781163"/>
    <n v="0"/>
    <n v="0"/>
    <n v="1"/>
  </r>
  <r>
    <n v="571"/>
    <n v="51"/>
    <s v="female"/>
    <n v="22.8"/>
    <n v="86"/>
    <s v="Yes"/>
    <x v="3"/>
    <x v="0"/>
    <s v="northeast"/>
    <n v="7985.82"/>
    <x v="0"/>
    <n v="0"/>
    <n v="0"/>
    <n v="0"/>
    <n v="0"/>
    <n v="0.42231114977886985"/>
    <n v="0"/>
    <n v="1"/>
    <n v="1"/>
  </r>
  <r>
    <n v="572"/>
    <n v="60"/>
    <s v="female"/>
    <n v="23.3"/>
    <n v="87"/>
    <s v="Yes"/>
    <x v="3"/>
    <x v="0"/>
    <s v="northeast"/>
    <n v="7986.48"/>
    <x v="0"/>
    <n v="0"/>
    <n v="0"/>
    <n v="0"/>
    <n v="0"/>
    <n v="0.50641616998697236"/>
    <n v="0"/>
    <n v="1"/>
    <n v="1"/>
  </r>
  <r>
    <n v="573"/>
    <n v="54"/>
    <s v="female"/>
    <n v="25"/>
    <n v="81"/>
    <s v="Yes"/>
    <x v="2"/>
    <x v="0"/>
    <s v="northwest"/>
    <n v="8017.06"/>
    <x v="4"/>
    <n v="0"/>
    <n v="0"/>
    <n v="0"/>
    <n v="1"/>
    <n v="0.56894383308711904"/>
    <n v="0"/>
    <n v="1"/>
    <n v="1"/>
  </r>
  <r>
    <n v="574"/>
    <n v="42"/>
    <s v="female"/>
    <n v="37"/>
    <n v="80"/>
    <s v="No"/>
    <x v="1"/>
    <x v="0"/>
    <s v="northwest"/>
    <n v="8023.14"/>
    <x v="2"/>
    <n v="0"/>
    <n v="0"/>
    <n v="0"/>
    <n v="1"/>
    <n v="0.76955053593122247"/>
    <n v="0"/>
    <n v="0"/>
    <n v="1"/>
  </r>
  <r>
    <n v="575"/>
    <n v="53"/>
    <s v="female"/>
    <n v="27.7"/>
    <n v="88"/>
    <s v="Yes"/>
    <x v="0"/>
    <x v="0"/>
    <s v="northwest"/>
    <n v="8026.67"/>
    <x v="4"/>
    <n v="0"/>
    <n v="0"/>
    <n v="0"/>
    <n v="1"/>
    <n v="0.63123975497974028"/>
    <n v="0"/>
    <n v="1"/>
    <n v="1"/>
  </r>
  <r>
    <n v="576"/>
    <n v="42"/>
    <s v="male"/>
    <n v="28.7"/>
    <n v="88"/>
    <s v="No"/>
    <x v="2"/>
    <x v="0"/>
    <s v="southwest"/>
    <n v="8027.97"/>
    <x v="4"/>
    <n v="0"/>
    <n v="0"/>
    <n v="1"/>
    <n v="0"/>
    <n v="5.9458200824989316E-2"/>
    <n v="0"/>
    <n v="0"/>
    <n v="0"/>
  </r>
  <r>
    <n v="577"/>
    <n v="44"/>
    <s v="female"/>
    <n v="28.7"/>
    <n v="88"/>
    <s v="No"/>
    <x v="3"/>
    <x v="0"/>
    <s v="northwest"/>
    <n v="8059.68"/>
    <x v="4"/>
    <n v="0"/>
    <n v="0"/>
    <n v="0"/>
    <n v="1"/>
    <n v="0.33932227653689184"/>
    <n v="0"/>
    <n v="0"/>
    <n v="1"/>
  </r>
  <r>
    <n v="578"/>
    <n v="25"/>
    <s v="male"/>
    <n v="32.299999999999997"/>
    <n v="98"/>
    <s v="No"/>
    <x v="1"/>
    <x v="0"/>
    <s v="southwest"/>
    <n v="8062.76"/>
    <x v="1"/>
    <n v="0"/>
    <n v="0"/>
    <n v="1"/>
    <n v="0"/>
    <n v="0.5597065363487076"/>
    <n v="0"/>
    <n v="0"/>
    <n v="0"/>
  </r>
  <r>
    <n v="579"/>
    <n v="22"/>
    <s v="male"/>
    <n v="36.200000000000003"/>
    <n v="100"/>
    <s v="Yes"/>
    <x v="1"/>
    <x v="0"/>
    <s v="southwest"/>
    <n v="8068.19"/>
    <x v="2"/>
    <n v="0"/>
    <n v="0"/>
    <n v="1"/>
    <n v="0"/>
    <n v="0.36421205017985836"/>
    <n v="0"/>
    <n v="1"/>
    <n v="0"/>
  </r>
  <r>
    <n v="580"/>
    <n v="25"/>
    <s v="male"/>
    <n v="47.5"/>
    <n v="84"/>
    <s v="Yes"/>
    <x v="1"/>
    <x v="0"/>
    <s v="southeast"/>
    <n v="8083.92"/>
    <x v="2"/>
    <n v="0"/>
    <n v="1"/>
    <n v="0"/>
    <n v="0"/>
    <n v="0.87550682806085256"/>
    <n v="0"/>
    <n v="1"/>
    <n v="0"/>
  </r>
  <r>
    <n v="581"/>
    <n v="18"/>
    <s v="male"/>
    <n v="32"/>
    <n v="81"/>
    <s v="Yes"/>
    <x v="2"/>
    <x v="0"/>
    <s v="northwest"/>
    <n v="8116.27"/>
    <x v="1"/>
    <n v="0"/>
    <n v="0"/>
    <n v="0"/>
    <n v="1"/>
    <n v="0.44371410279416545"/>
    <n v="0"/>
    <n v="1"/>
    <n v="0"/>
  </r>
  <r>
    <n v="582"/>
    <n v="40"/>
    <s v="male"/>
    <n v="30.3"/>
    <n v="83"/>
    <s v="Yes"/>
    <x v="0"/>
    <x v="0"/>
    <s v="southwest"/>
    <n v="8116.68"/>
    <x v="1"/>
    <n v="0"/>
    <n v="0"/>
    <n v="1"/>
    <n v="0"/>
    <n v="0.89702367165996744"/>
    <n v="0"/>
    <n v="1"/>
    <n v="0"/>
  </r>
  <r>
    <n v="583"/>
    <n v="27"/>
    <s v="male"/>
    <n v="35.9"/>
    <n v="90"/>
    <s v="No"/>
    <x v="0"/>
    <x v="0"/>
    <s v="southeast"/>
    <n v="8124.41"/>
    <x v="2"/>
    <n v="0"/>
    <n v="1"/>
    <n v="0"/>
    <n v="0"/>
    <n v="0.39522568659934265"/>
    <n v="0"/>
    <n v="0"/>
    <n v="0"/>
  </r>
  <r>
    <n v="584"/>
    <n v="44"/>
    <s v="male"/>
    <n v="36.9"/>
    <n v="94"/>
    <s v="No"/>
    <x v="0"/>
    <x v="0"/>
    <s v="southeast"/>
    <n v="8125.78"/>
    <x v="2"/>
    <n v="0"/>
    <n v="1"/>
    <n v="0"/>
    <n v="0"/>
    <n v="0.84705905272168125"/>
    <n v="0"/>
    <n v="0"/>
    <n v="0"/>
  </r>
  <r>
    <n v="585"/>
    <n v="29"/>
    <s v="male"/>
    <n v="30.9"/>
    <n v="89"/>
    <s v="Yes"/>
    <x v="4"/>
    <x v="0"/>
    <s v="northwest"/>
    <n v="8162.72"/>
    <x v="1"/>
    <n v="0"/>
    <n v="0"/>
    <n v="0"/>
    <n v="1"/>
    <n v="0.33155251833741506"/>
    <n v="0"/>
    <n v="1"/>
    <n v="0"/>
  </r>
  <r>
    <n v="586"/>
    <n v="29"/>
    <s v="female"/>
    <n v="24"/>
    <n v="92"/>
    <s v="No"/>
    <x v="2"/>
    <x v="0"/>
    <s v="southeast"/>
    <n v="8211.1"/>
    <x v="0"/>
    <n v="0"/>
    <n v="1"/>
    <n v="0"/>
    <n v="0"/>
    <n v="0.4127000168451016"/>
    <n v="0"/>
    <n v="0"/>
    <n v="1"/>
  </r>
  <r>
    <n v="587"/>
    <n v="26"/>
    <s v="female"/>
    <n v="29.8"/>
    <n v="84"/>
    <s v="No"/>
    <x v="2"/>
    <x v="0"/>
    <s v="southeast"/>
    <n v="8219.2000000000007"/>
    <x v="4"/>
    <n v="0"/>
    <n v="1"/>
    <n v="0"/>
    <n v="0"/>
    <n v="8.2943722981550283E-2"/>
    <n v="0"/>
    <n v="0"/>
    <n v="1"/>
  </r>
  <r>
    <n v="588"/>
    <n v="54"/>
    <s v="female"/>
    <n v="27.7"/>
    <n v="100"/>
    <s v="No"/>
    <x v="1"/>
    <x v="0"/>
    <s v="southeast"/>
    <n v="8232.64"/>
    <x v="4"/>
    <n v="0"/>
    <n v="1"/>
    <n v="0"/>
    <n v="0"/>
    <n v="0.22703937639628868"/>
    <n v="0"/>
    <n v="0"/>
    <n v="1"/>
  </r>
  <r>
    <n v="589"/>
    <n v="33"/>
    <s v="female"/>
    <n v="28.1"/>
    <n v="92"/>
    <s v="No"/>
    <x v="1"/>
    <x v="0"/>
    <s v="southeast"/>
    <n v="8233.1"/>
    <x v="4"/>
    <n v="0"/>
    <n v="1"/>
    <n v="0"/>
    <n v="0"/>
    <n v="0.75897332469825407"/>
    <n v="0"/>
    <n v="0"/>
    <n v="1"/>
  </r>
  <r>
    <n v="590"/>
    <n v="37"/>
    <s v="female"/>
    <n v="33.4"/>
    <n v="100"/>
    <s v="No"/>
    <x v="1"/>
    <x v="0"/>
    <s v="southeast"/>
    <n v="8240.59"/>
    <x v="1"/>
    <n v="0"/>
    <n v="1"/>
    <n v="0"/>
    <n v="0"/>
    <n v="0.3723024842263073"/>
    <n v="0"/>
    <n v="0"/>
    <n v="1"/>
  </r>
  <r>
    <n v="591"/>
    <n v="38"/>
    <s v="female"/>
    <n v="23.4"/>
    <n v="96"/>
    <s v="Yes"/>
    <x v="3"/>
    <x v="0"/>
    <s v="northeast"/>
    <n v="8252.2800000000007"/>
    <x v="0"/>
    <n v="0"/>
    <n v="0"/>
    <n v="0"/>
    <n v="0"/>
    <n v="0.14017203726905181"/>
    <n v="0"/>
    <n v="1"/>
    <n v="1"/>
  </r>
  <r>
    <n v="592"/>
    <n v="31"/>
    <s v="female"/>
    <n v="22.8"/>
    <n v="82"/>
    <s v="Yes"/>
    <x v="0"/>
    <x v="0"/>
    <s v="southwest"/>
    <n v="8269.0400000000009"/>
    <x v="0"/>
    <n v="0"/>
    <n v="0"/>
    <n v="1"/>
    <n v="0"/>
    <n v="0.45773229311140307"/>
    <n v="0"/>
    <n v="1"/>
    <n v="1"/>
  </r>
  <r>
    <n v="593"/>
    <n v="41"/>
    <s v="female"/>
    <n v="28.9"/>
    <n v="80"/>
    <s v="Yes"/>
    <x v="0"/>
    <x v="0"/>
    <s v="southwest"/>
    <n v="8277.52"/>
    <x v="4"/>
    <n v="0"/>
    <n v="0"/>
    <n v="1"/>
    <n v="0"/>
    <n v="0.92683455554124428"/>
    <n v="0"/>
    <n v="1"/>
    <n v="1"/>
  </r>
  <r>
    <n v="594"/>
    <n v="41"/>
    <s v="female"/>
    <n v="31.1"/>
    <n v="93"/>
    <s v="No"/>
    <x v="0"/>
    <x v="0"/>
    <s v="southeast"/>
    <n v="8280.6200000000008"/>
    <x v="1"/>
    <n v="0"/>
    <n v="1"/>
    <n v="0"/>
    <n v="0"/>
    <n v="0.95485399429069628"/>
    <n v="0"/>
    <n v="0"/>
    <n v="1"/>
  </r>
  <r>
    <n v="595"/>
    <n v="33"/>
    <s v="female"/>
    <n v="33.299999999999997"/>
    <n v="93"/>
    <s v="Yes"/>
    <x v="0"/>
    <x v="0"/>
    <s v="southeast"/>
    <n v="8283.68"/>
    <x v="1"/>
    <n v="0"/>
    <n v="1"/>
    <n v="0"/>
    <n v="0"/>
    <n v="4.5932397742736275E-2"/>
    <n v="0"/>
    <n v="1"/>
    <n v="1"/>
  </r>
  <r>
    <n v="596"/>
    <n v="27"/>
    <s v="male"/>
    <n v="22.1"/>
    <n v="81"/>
    <s v="No"/>
    <x v="2"/>
    <x v="0"/>
    <s v="northeast"/>
    <n v="8302.5400000000009"/>
    <x v="0"/>
    <n v="0"/>
    <n v="0"/>
    <n v="0"/>
    <n v="0"/>
    <n v="0.34651771884892102"/>
    <n v="0"/>
    <n v="0"/>
    <n v="0"/>
  </r>
  <r>
    <n v="597"/>
    <n v="38"/>
    <s v="female"/>
    <n v="30.7"/>
    <n v="92"/>
    <s v="Yes"/>
    <x v="2"/>
    <x v="0"/>
    <s v="northwest"/>
    <n v="8310.84"/>
    <x v="1"/>
    <n v="0"/>
    <n v="0"/>
    <n v="0"/>
    <n v="1"/>
    <n v="0.69625005920235128"/>
    <n v="0"/>
    <n v="1"/>
    <n v="1"/>
  </r>
  <r>
    <n v="598"/>
    <n v="20"/>
    <s v="male"/>
    <n v="33.299999999999997"/>
    <n v="93"/>
    <s v="Yes"/>
    <x v="1"/>
    <x v="0"/>
    <s v="northeast"/>
    <n v="8334.4599999999991"/>
    <x v="1"/>
    <n v="0"/>
    <n v="0"/>
    <n v="0"/>
    <n v="0"/>
    <n v="0.78957751072989424"/>
    <n v="0"/>
    <n v="1"/>
    <n v="0"/>
  </r>
  <r>
    <n v="599"/>
    <n v="40"/>
    <s v="male"/>
    <n v="33.4"/>
    <n v="94"/>
    <s v="No"/>
    <x v="1"/>
    <x v="0"/>
    <s v="northeast"/>
    <n v="8334.59"/>
    <x v="1"/>
    <n v="0"/>
    <n v="0"/>
    <n v="0"/>
    <n v="0"/>
    <n v="1.0911074073535088E-2"/>
    <n v="0"/>
    <n v="0"/>
    <n v="0"/>
  </r>
  <r>
    <n v="600"/>
    <n v="34"/>
    <s v="male"/>
    <n v="39.4"/>
    <n v="94"/>
    <s v="Yes"/>
    <x v="1"/>
    <x v="0"/>
    <s v="northeast"/>
    <n v="8342.91"/>
    <x v="2"/>
    <n v="0"/>
    <n v="0"/>
    <n v="0"/>
    <n v="0"/>
    <n v="0.77422443837874266"/>
    <n v="0"/>
    <n v="1"/>
    <n v="0"/>
  </r>
  <r>
    <n v="601"/>
    <n v="48"/>
    <s v="male"/>
    <n v="38.200000000000003"/>
    <n v="81"/>
    <s v="Yes"/>
    <x v="2"/>
    <x v="0"/>
    <s v="southeast"/>
    <n v="8347.16"/>
    <x v="2"/>
    <n v="0"/>
    <n v="1"/>
    <n v="0"/>
    <n v="0"/>
    <n v="0.14310717298499942"/>
    <n v="0"/>
    <n v="1"/>
    <n v="0"/>
  </r>
  <r>
    <n v="602"/>
    <n v="44"/>
    <s v="male"/>
    <n v="30.1"/>
    <n v="86"/>
    <s v="No"/>
    <x v="3"/>
    <x v="0"/>
    <s v="northwest"/>
    <n v="8410.0499999999993"/>
    <x v="1"/>
    <n v="0"/>
    <n v="0"/>
    <n v="0"/>
    <n v="1"/>
    <n v="7.1260735617203141E-2"/>
    <n v="0"/>
    <n v="0"/>
    <n v="0"/>
  </r>
  <r>
    <n v="603"/>
    <n v="30"/>
    <s v="male"/>
    <n v="30.5"/>
    <n v="87"/>
    <s v="Yes"/>
    <x v="2"/>
    <x v="0"/>
    <s v="northwest"/>
    <n v="8413.4599999999991"/>
    <x v="1"/>
    <n v="0"/>
    <n v="0"/>
    <n v="0"/>
    <n v="1"/>
    <n v="0.48053186078887522"/>
    <n v="0"/>
    <n v="1"/>
    <n v="0"/>
  </r>
  <r>
    <n v="604"/>
    <n v="39"/>
    <s v="male"/>
    <n v="19.600000000000001"/>
    <n v="91"/>
    <s v="Yes"/>
    <x v="1"/>
    <x v="0"/>
    <s v="northwest"/>
    <n v="8428.07"/>
    <x v="3"/>
    <n v="0"/>
    <n v="0"/>
    <n v="0"/>
    <n v="1"/>
    <n v="0.8975380599763344"/>
    <n v="0"/>
    <n v="1"/>
    <n v="0"/>
  </r>
  <r>
    <n v="605"/>
    <n v="34"/>
    <s v="male"/>
    <n v="25.3"/>
    <n v="100"/>
    <s v="No"/>
    <x v="0"/>
    <x v="0"/>
    <s v="southeast"/>
    <n v="8442.67"/>
    <x v="4"/>
    <n v="0"/>
    <n v="1"/>
    <n v="0"/>
    <n v="0"/>
    <n v="5.0214013282908865E-2"/>
    <n v="0"/>
    <n v="0"/>
    <n v="0"/>
  </r>
  <r>
    <n v="606"/>
    <n v="45"/>
    <s v="male"/>
    <n v="26.6"/>
    <n v="99"/>
    <s v="No"/>
    <x v="0"/>
    <x v="0"/>
    <s v="southwest"/>
    <n v="8444.4699999999993"/>
    <x v="4"/>
    <n v="0"/>
    <n v="0"/>
    <n v="1"/>
    <n v="0"/>
    <n v="0.66054915023676719"/>
    <n v="0"/>
    <n v="0"/>
    <n v="0"/>
  </r>
  <r>
    <n v="607"/>
    <n v="46"/>
    <s v="male"/>
    <n v="36.200000000000003"/>
    <n v="85"/>
    <s v="No"/>
    <x v="0"/>
    <x v="0"/>
    <s v="southwest"/>
    <n v="8457.82"/>
    <x v="2"/>
    <n v="0"/>
    <n v="0"/>
    <n v="1"/>
    <n v="0"/>
    <n v="0.12818614430948871"/>
    <n v="0"/>
    <n v="0"/>
    <n v="0"/>
  </r>
  <r>
    <n v="608"/>
    <n v="50"/>
    <s v="female"/>
    <n v="27.8"/>
    <n v="80"/>
    <s v="No"/>
    <x v="2"/>
    <x v="0"/>
    <s v="southeast"/>
    <n v="8515.76"/>
    <x v="4"/>
    <n v="0"/>
    <n v="1"/>
    <n v="0"/>
    <n v="0"/>
    <n v="0.43299659821455772"/>
    <n v="0"/>
    <n v="0"/>
    <n v="1"/>
  </r>
  <r>
    <n v="609"/>
    <n v="59"/>
    <s v="female"/>
    <n v="28.6"/>
    <n v="80"/>
    <s v="Yes"/>
    <x v="2"/>
    <x v="0"/>
    <s v="southeast"/>
    <n v="8516.83"/>
    <x v="4"/>
    <n v="0"/>
    <n v="1"/>
    <n v="0"/>
    <n v="0"/>
    <n v="0.38286602178461027"/>
    <n v="0"/>
    <n v="1"/>
    <n v="1"/>
  </r>
  <r>
    <n v="610"/>
    <n v="44"/>
    <s v="female"/>
    <n v="30.9"/>
    <n v="80"/>
    <s v="Yes"/>
    <x v="2"/>
    <x v="0"/>
    <s v="southwest"/>
    <n v="8520.0300000000007"/>
    <x v="1"/>
    <n v="0"/>
    <n v="0"/>
    <n v="1"/>
    <n v="0"/>
    <n v="4.9067316157160978E-2"/>
    <n v="0"/>
    <n v="1"/>
    <n v="1"/>
  </r>
  <r>
    <n v="611"/>
    <n v="27"/>
    <s v="female"/>
    <n v="34.4"/>
    <n v="85"/>
    <s v="No"/>
    <x v="3"/>
    <x v="0"/>
    <s v="southwest"/>
    <n v="8522"/>
    <x v="1"/>
    <n v="0"/>
    <n v="0"/>
    <n v="1"/>
    <n v="0"/>
    <n v="0.23410701831756464"/>
    <n v="0"/>
    <n v="0"/>
    <n v="1"/>
  </r>
  <r>
    <n v="612"/>
    <n v="29"/>
    <s v="female"/>
    <n v="36.299999999999997"/>
    <n v="91"/>
    <s v="Yes"/>
    <x v="2"/>
    <x v="0"/>
    <s v="southeast"/>
    <n v="8527.5300000000007"/>
    <x v="2"/>
    <n v="0"/>
    <n v="1"/>
    <n v="0"/>
    <n v="0"/>
    <n v="0.53130294066580375"/>
    <n v="0"/>
    <n v="1"/>
    <n v="1"/>
  </r>
  <r>
    <n v="613"/>
    <n v="28"/>
    <s v="female"/>
    <n v="24.3"/>
    <n v="93"/>
    <s v="Yes"/>
    <x v="0"/>
    <x v="0"/>
    <s v="northeast"/>
    <n v="8534.67"/>
    <x v="0"/>
    <n v="0"/>
    <n v="0"/>
    <n v="0"/>
    <n v="0"/>
    <n v="0.46618079380097144"/>
    <n v="0"/>
    <n v="1"/>
    <n v="1"/>
  </r>
  <r>
    <n v="614"/>
    <n v="36"/>
    <s v="female"/>
    <n v="33.200000000000003"/>
    <n v="98"/>
    <s v="No"/>
    <x v="3"/>
    <x v="0"/>
    <s v="northeast"/>
    <n v="8538.2900000000009"/>
    <x v="1"/>
    <n v="0"/>
    <n v="0"/>
    <n v="0"/>
    <n v="0"/>
    <n v="0.9149026718972133"/>
    <n v="0"/>
    <n v="0"/>
    <n v="1"/>
  </r>
  <r>
    <n v="615"/>
    <n v="26"/>
    <s v="female"/>
    <n v="23.6"/>
    <n v="92"/>
    <s v="Yes"/>
    <x v="1"/>
    <x v="0"/>
    <s v="southwest"/>
    <n v="8539.67"/>
    <x v="0"/>
    <n v="0"/>
    <n v="0"/>
    <n v="1"/>
    <n v="0"/>
    <n v="9.7481890761236256E-3"/>
    <n v="0"/>
    <n v="1"/>
    <n v="1"/>
  </r>
  <r>
    <n v="616"/>
    <n v="54"/>
    <s v="female"/>
    <n v="29.4"/>
    <n v="96"/>
    <s v="Yes"/>
    <x v="1"/>
    <x v="0"/>
    <s v="southeast"/>
    <n v="8547.69"/>
    <x v="4"/>
    <n v="0"/>
    <n v="1"/>
    <n v="0"/>
    <n v="0"/>
    <n v="0.6775727261768334"/>
    <n v="0"/>
    <n v="1"/>
    <n v="1"/>
  </r>
  <r>
    <n v="617"/>
    <n v="36"/>
    <s v="female"/>
    <n v="32"/>
    <n v="81"/>
    <s v="No"/>
    <x v="1"/>
    <x v="0"/>
    <s v="southwest"/>
    <n v="8551.35"/>
    <x v="1"/>
    <n v="0"/>
    <n v="0"/>
    <n v="1"/>
    <n v="0"/>
    <n v="0.58291244298768108"/>
    <n v="0"/>
    <n v="0"/>
    <n v="1"/>
  </r>
  <r>
    <n v="618"/>
    <n v="60"/>
    <s v="female"/>
    <n v="36"/>
    <n v="90"/>
    <s v="No"/>
    <x v="1"/>
    <x v="0"/>
    <s v="southwest"/>
    <n v="8556.91"/>
    <x v="2"/>
    <n v="0"/>
    <n v="0"/>
    <n v="1"/>
    <n v="0"/>
    <n v="0.36014743129060656"/>
    <n v="0"/>
    <n v="0"/>
    <n v="1"/>
  </r>
  <r>
    <n v="619"/>
    <n v="36"/>
    <s v="female"/>
    <n v="45.3"/>
    <n v="96"/>
    <s v="Yes"/>
    <x v="1"/>
    <x v="0"/>
    <s v="southeast"/>
    <n v="8569.86"/>
    <x v="2"/>
    <n v="0"/>
    <n v="1"/>
    <n v="0"/>
    <n v="0"/>
    <n v="0.45093606625833527"/>
    <n v="0"/>
    <n v="1"/>
    <n v="1"/>
  </r>
  <r>
    <n v="620"/>
    <n v="46"/>
    <s v="female"/>
    <n v="23.9"/>
    <n v="96"/>
    <s v="No"/>
    <x v="5"/>
    <x v="0"/>
    <s v="southeast"/>
    <n v="8582.2999999999993"/>
    <x v="0"/>
    <n v="0"/>
    <n v="1"/>
    <n v="0"/>
    <n v="0"/>
    <n v="3.2663433188898638E-3"/>
    <n v="0"/>
    <n v="0"/>
    <n v="1"/>
  </r>
  <r>
    <n v="621"/>
    <n v="43"/>
    <s v="female"/>
    <n v="34.299999999999997"/>
    <n v="96"/>
    <s v="No"/>
    <x v="5"/>
    <x v="0"/>
    <s v="southeast"/>
    <n v="8596.83"/>
    <x v="1"/>
    <n v="0"/>
    <n v="1"/>
    <n v="0"/>
    <n v="0"/>
    <n v="0.37832933572546779"/>
    <n v="0"/>
    <n v="0"/>
    <n v="1"/>
  </r>
  <r>
    <n v="622"/>
    <n v="39"/>
    <s v="female"/>
    <n v="27.2"/>
    <n v="95"/>
    <s v="Yes"/>
    <x v="0"/>
    <x v="0"/>
    <s v="southeast"/>
    <n v="8601.33"/>
    <x v="4"/>
    <n v="0"/>
    <n v="1"/>
    <n v="0"/>
    <n v="0"/>
    <n v="0.23875479028379987"/>
    <n v="0"/>
    <n v="1"/>
    <n v="1"/>
  </r>
  <r>
    <n v="623"/>
    <n v="36"/>
    <s v="male"/>
    <n v="23.6"/>
    <n v="86"/>
    <s v="No"/>
    <x v="2"/>
    <x v="0"/>
    <s v="northeast"/>
    <n v="8603.82"/>
    <x v="0"/>
    <n v="0"/>
    <n v="0"/>
    <n v="0"/>
    <n v="0"/>
    <n v="0.28194304924452906"/>
    <n v="0"/>
    <n v="0"/>
    <n v="0"/>
  </r>
  <r>
    <n v="624"/>
    <n v="28"/>
    <s v="male"/>
    <n v="24"/>
    <n v="94"/>
    <s v="Yes"/>
    <x v="2"/>
    <x v="0"/>
    <s v="northeast"/>
    <n v="8604.48"/>
    <x v="0"/>
    <n v="0"/>
    <n v="0"/>
    <n v="0"/>
    <n v="0"/>
    <n v="0.5072994251474009"/>
    <n v="0"/>
    <n v="1"/>
    <n v="0"/>
  </r>
  <r>
    <n v="625"/>
    <n v="42"/>
    <s v="male"/>
    <n v="20.399999999999999"/>
    <n v="97"/>
    <s v="No"/>
    <x v="3"/>
    <x v="0"/>
    <s v="southeast"/>
    <n v="8605.36"/>
    <x v="0"/>
    <n v="0"/>
    <n v="1"/>
    <n v="0"/>
    <n v="0"/>
    <n v="0.42267832449339471"/>
    <n v="0"/>
    <n v="0"/>
    <n v="0"/>
  </r>
  <r>
    <n v="626"/>
    <n v="26"/>
    <s v="male"/>
    <n v="27.4"/>
    <n v="92"/>
    <s v="No"/>
    <x v="3"/>
    <x v="0"/>
    <s v="northeast"/>
    <n v="8606.2199999999993"/>
    <x v="4"/>
    <n v="0"/>
    <n v="0"/>
    <n v="0"/>
    <n v="0"/>
    <n v="0.34799482288025041"/>
    <n v="0"/>
    <n v="0"/>
    <n v="0"/>
  </r>
  <r>
    <n v="627"/>
    <n v="23"/>
    <s v="male"/>
    <n v="27.5"/>
    <n v="97"/>
    <s v="No"/>
    <x v="3"/>
    <x v="0"/>
    <s v="southwest"/>
    <n v="8615.2999999999993"/>
    <x v="4"/>
    <n v="0"/>
    <n v="0"/>
    <n v="1"/>
    <n v="0"/>
    <n v="0.95884019239343254"/>
    <n v="0"/>
    <n v="0"/>
    <n v="0"/>
  </r>
  <r>
    <n v="628"/>
    <n v="43"/>
    <s v="male"/>
    <n v="19.2"/>
    <n v="99"/>
    <s v="Yes"/>
    <x v="1"/>
    <x v="0"/>
    <s v="northeast"/>
    <n v="8627.5400000000009"/>
    <x v="3"/>
    <n v="0"/>
    <n v="0"/>
    <n v="0"/>
    <n v="0"/>
    <n v="8.2772035655211962E-3"/>
    <n v="0"/>
    <n v="1"/>
    <n v="0"/>
  </r>
  <r>
    <n v="629"/>
    <n v="56"/>
    <s v="female"/>
    <n v="36.6"/>
    <n v="100"/>
    <s v="No"/>
    <x v="0"/>
    <x v="0"/>
    <s v="northwest"/>
    <n v="8671.19"/>
    <x v="2"/>
    <n v="0"/>
    <n v="0"/>
    <n v="0"/>
    <n v="1"/>
    <n v="0.48757817308341678"/>
    <n v="0"/>
    <n v="0"/>
    <n v="1"/>
  </r>
  <r>
    <n v="630"/>
    <n v="30"/>
    <s v="male"/>
    <n v="22.5"/>
    <n v="97"/>
    <s v="Yes"/>
    <x v="0"/>
    <x v="0"/>
    <s v="northeast"/>
    <n v="8688.86"/>
    <x v="0"/>
    <n v="0"/>
    <n v="0"/>
    <n v="0"/>
    <n v="0"/>
    <n v="0.38104264198268378"/>
    <n v="0"/>
    <n v="1"/>
    <n v="0"/>
  </r>
  <r>
    <n v="631"/>
    <n v="26"/>
    <s v="male"/>
    <n v="28.7"/>
    <n v="93"/>
    <s v="No"/>
    <x v="1"/>
    <x v="0"/>
    <s v="southwest"/>
    <n v="8703.4599999999991"/>
    <x v="4"/>
    <n v="0"/>
    <n v="0"/>
    <n v="1"/>
    <n v="0"/>
    <n v="0.45968416262965994"/>
    <n v="0"/>
    <n v="0"/>
    <n v="0"/>
  </r>
  <r>
    <n v="632"/>
    <n v="21"/>
    <s v="male"/>
    <n v="40.4"/>
    <n v="98"/>
    <s v="No"/>
    <x v="2"/>
    <x v="0"/>
    <s v="northwest"/>
    <n v="8733.23"/>
    <x v="2"/>
    <n v="0"/>
    <n v="0"/>
    <n v="0"/>
    <n v="1"/>
    <n v="0.24733370035961244"/>
    <n v="0"/>
    <n v="0"/>
    <n v="0"/>
  </r>
  <r>
    <n v="633"/>
    <n v="18"/>
    <s v="male"/>
    <n v="32.299999999999997"/>
    <n v="98"/>
    <s v="Yes"/>
    <x v="1"/>
    <x v="0"/>
    <s v="northwest"/>
    <n v="8765.25"/>
    <x v="1"/>
    <n v="0"/>
    <n v="0"/>
    <n v="0"/>
    <n v="1"/>
    <n v="0.77994957274391286"/>
    <n v="0"/>
    <n v="1"/>
    <n v="0"/>
  </r>
  <r>
    <n v="634"/>
    <n v="29"/>
    <s v="male"/>
    <n v="25.4"/>
    <n v="87"/>
    <s v="Yes"/>
    <x v="0"/>
    <x v="0"/>
    <s v="southwest"/>
    <n v="8782.4699999999993"/>
    <x v="4"/>
    <n v="0"/>
    <n v="0"/>
    <n v="1"/>
    <n v="0"/>
    <n v="0.92997129747313412"/>
    <n v="0"/>
    <n v="1"/>
    <n v="0"/>
  </r>
  <r>
    <n v="635"/>
    <n v="29"/>
    <s v="male"/>
    <n v="37"/>
    <n v="84"/>
    <s v="Yes"/>
    <x v="0"/>
    <x v="0"/>
    <s v="southwest"/>
    <n v="8798.59"/>
    <x v="2"/>
    <n v="0"/>
    <n v="0"/>
    <n v="1"/>
    <n v="0"/>
    <n v="0.65643706139598945"/>
    <n v="0"/>
    <n v="1"/>
    <n v="0"/>
  </r>
  <r>
    <n v="636"/>
    <n v="43"/>
    <s v="female"/>
    <n v="28.9"/>
    <n v="95"/>
    <s v="No"/>
    <x v="2"/>
    <x v="0"/>
    <s v="southwest"/>
    <n v="8823.2800000000007"/>
    <x v="4"/>
    <n v="0"/>
    <n v="0"/>
    <n v="1"/>
    <n v="0"/>
    <n v="0.89833572041823129"/>
    <n v="0"/>
    <n v="0"/>
    <n v="1"/>
  </r>
  <r>
    <n v="637"/>
    <n v="33"/>
    <s v="female"/>
    <n v="33.700000000000003"/>
    <n v="81"/>
    <s v="Yes"/>
    <x v="1"/>
    <x v="0"/>
    <s v="northeast"/>
    <n v="8823.99"/>
    <x v="1"/>
    <n v="0"/>
    <n v="0"/>
    <n v="0"/>
    <n v="0"/>
    <n v="0.67541109209441574"/>
    <n v="0"/>
    <n v="1"/>
    <n v="1"/>
  </r>
  <r>
    <n v="638"/>
    <n v="46"/>
    <s v="female"/>
    <n v="30.2"/>
    <n v="99"/>
    <s v="Yes"/>
    <x v="2"/>
    <x v="0"/>
    <s v="southwest"/>
    <n v="8825.09"/>
    <x v="1"/>
    <n v="0"/>
    <n v="0"/>
    <n v="1"/>
    <n v="0"/>
    <n v="0.18406172389725439"/>
    <n v="0"/>
    <n v="1"/>
    <n v="1"/>
  </r>
  <r>
    <n v="639"/>
    <n v="31"/>
    <s v="male"/>
    <n v="26.4"/>
    <n v="100"/>
    <s v="Yes"/>
    <x v="0"/>
    <x v="0"/>
    <s v="northwest"/>
    <n v="8827.2099999999991"/>
    <x v="4"/>
    <n v="0"/>
    <n v="0"/>
    <n v="0"/>
    <n v="1"/>
    <n v="2.7181771742407879E-2"/>
    <n v="0"/>
    <n v="1"/>
    <n v="0"/>
  </r>
  <r>
    <n v="640"/>
    <n v="22"/>
    <s v="male"/>
    <n v="32.200000000000003"/>
    <n v="95"/>
    <s v="Yes"/>
    <x v="0"/>
    <x v="0"/>
    <s v="northwest"/>
    <n v="8835.26"/>
    <x v="1"/>
    <n v="0"/>
    <n v="0"/>
    <n v="0"/>
    <n v="1"/>
    <n v="0.64356346150812438"/>
    <n v="0"/>
    <n v="1"/>
    <n v="0"/>
  </r>
  <r>
    <n v="641"/>
    <n v="34"/>
    <s v="female"/>
    <n v="32.200000000000003"/>
    <n v="96"/>
    <s v="Yes"/>
    <x v="1"/>
    <x v="0"/>
    <s v="southeast"/>
    <n v="8871.15"/>
    <x v="1"/>
    <n v="0"/>
    <n v="1"/>
    <n v="0"/>
    <n v="0"/>
    <n v="0.45398029789004379"/>
    <n v="0"/>
    <n v="1"/>
    <n v="1"/>
  </r>
  <r>
    <n v="642"/>
    <n v="35"/>
    <s v="male"/>
    <n v="21.9"/>
    <n v="99"/>
    <s v="No"/>
    <x v="3"/>
    <x v="0"/>
    <s v="northeast"/>
    <n v="8891.14"/>
    <x v="0"/>
    <n v="0"/>
    <n v="0"/>
    <n v="0"/>
    <n v="0"/>
    <n v="0.618280606688971"/>
    <n v="0"/>
    <n v="0"/>
    <n v="0"/>
  </r>
  <r>
    <n v="643"/>
    <n v="54"/>
    <s v="female"/>
    <n v="29.5"/>
    <n v="99"/>
    <s v="No"/>
    <x v="1"/>
    <x v="0"/>
    <s v="northwest"/>
    <n v="8930.93"/>
    <x v="4"/>
    <n v="0"/>
    <n v="0"/>
    <n v="0"/>
    <n v="1"/>
    <n v="0.70819470097400417"/>
    <n v="0"/>
    <n v="0"/>
    <n v="1"/>
  </r>
  <r>
    <n v="644"/>
    <n v="43"/>
    <s v="female"/>
    <n v="25.6"/>
    <n v="100"/>
    <s v="Yes"/>
    <x v="0"/>
    <x v="0"/>
    <s v="southwest"/>
    <n v="8932.08"/>
    <x v="4"/>
    <n v="0"/>
    <n v="0"/>
    <n v="1"/>
    <n v="0"/>
    <n v="0.60527463196061659"/>
    <n v="0"/>
    <n v="1"/>
    <n v="1"/>
  </r>
  <r>
    <n v="645"/>
    <n v="43"/>
    <s v="male"/>
    <n v="43.9"/>
    <n v="89"/>
    <s v="Yes"/>
    <x v="3"/>
    <x v="0"/>
    <s v="southeast"/>
    <n v="8944.1200000000008"/>
    <x v="2"/>
    <n v="0"/>
    <n v="1"/>
    <n v="0"/>
    <n v="0"/>
    <n v="0.46293394788031328"/>
    <n v="0"/>
    <n v="1"/>
    <n v="0"/>
  </r>
  <r>
    <n v="646"/>
    <n v="38"/>
    <s v="male"/>
    <n v="31.4"/>
    <n v="98"/>
    <s v="Yes"/>
    <x v="1"/>
    <x v="0"/>
    <s v="northeast"/>
    <n v="8964.06"/>
    <x v="1"/>
    <n v="0"/>
    <n v="0"/>
    <n v="0"/>
    <n v="0"/>
    <n v="0.2760674702098832"/>
    <n v="0"/>
    <n v="1"/>
    <n v="0"/>
  </r>
  <r>
    <n v="647"/>
    <n v="45"/>
    <s v="female"/>
    <n v="24.2"/>
    <n v="98"/>
    <s v="No"/>
    <x v="5"/>
    <x v="0"/>
    <s v="northwest"/>
    <n v="8965.7999999999993"/>
    <x v="0"/>
    <n v="0"/>
    <n v="0"/>
    <n v="0"/>
    <n v="1"/>
    <n v="0.6390149958128869"/>
    <n v="0"/>
    <n v="0"/>
    <n v="1"/>
  </r>
  <r>
    <n v="648"/>
    <n v="23"/>
    <s v="male"/>
    <n v="30.2"/>
    <n v="95"/>
    <s v="No"/>
    <x v="2"/>
    <x v="0"/>
    <s v="southwest"/>
    <n v="8968.33"/>
    <x v="1"/>
    <n v="0"/>
    <n v="0"/>
    <n v="1"/>
    <n v="0"/>
    <n v="0.70071338724993071"/>
    <n v="0"/>
    <n v="0"/>
    <n v="0"/>
  </r>
  <r>
    <n v="649"/>
    <n v="32"/>
    <s v="male"/>
    <n v="37.299999999999997"/>
    <n v="85"/>
    <s v="No"/>
    <x v="2"/>
    <x v="0"/>
    <s v="southeast"/>
    <n v="8978.19"/>
    <x v="2"/>
    <n v="0"/>
    <n v="1"/>
    <n v="0"/>
    <n v="0"/>
    <n v="0.89525416545145431"/>
    <n v="0"/>
    <n v="0"/>
    <n v="0"/>
  </r>
  <r>
    <n v="650"/>
    <n v="37"/>
    <s v="female"/>
    <n v="29.9"/>
    <n v="85"/>
    <s v="No"/>
    <x v="0"/>
    <x v="0"/>
    <s v="northwest"/>
    <n v="8988.16"/>
    <x v="4"/>
    <n v="0"/>
    <n v="0"/>
    <n v="0"/>
    <n v="1"/>
    <n v="5.8329128937483654E-2"/>
    <n v="0"/>
    <n v="0"/>
    <n v="1"/>
  </r>
  <r>
    <n v="651"/>
    <n v="50"/>
    <s v="male"/>
    <n v="37.1"/>
    <n v="96"/>
    <s v="No"/>
    <x v="1"/>
    <x v="0"/>
    <s v="southeast"/>
    <n v="9048.0300000000007"/>
    <x v="2"/>
    <n v="0"/>
    <n v="1"/>
    <n v="0"/>
    <n v="0"/>
    <n v="0.39774049593591831"/>
    <n v="0"/>
    <n v="0"/>
    <n v="0"/>
  </r>
  <r>
    <n v="652"/>
    <n v="22"/>
    <s v="male"/>
    <n v="44.8"/>
    <n v="92"/>
    <s v="Yes"/>
    <x v="1"/>
    <x v="0"/>
    <s v="southeast"/>
    <n v="9058.73"/>
    <x v="2"/>
    <n v="0"/>
    <n v="1"/>
    <n v="0"/>
    <n v="0"/>
    <n v="0.16023368377461356"/>
    <n v="0"/>
    <n v="1"/>
    <n v="0"/>
  </r>
  <r>
    <n v="653"/>
    <n v="55"/>
    <s v="female"/>
    <n v="25.2"/>
    <n v="81"/>
    <s v="Yes"/>
    <x v="2"/>
    <x v="0"/>
    <s v="northeast"/>
    <n v="9095.07"/>
    <x v="4"/>
    <n v="0"/>
    <n v="0"/>
    <n v="0"/>
    <n v="0"/>
    <n v="0.88209811408012906"/>
    <n v="0"/>
    <n v="1"/>
    <n v="1"/>
  </r>
  <r>
    <n v="654"/>
    <n v="48"/>
    <s v="female"/>
    <n v="25.7"/>
    <n v="93"/>
    <s v="No"/>
    <x v="3"/>
    <x v="0"/>
    <s v="southwest"/>
    <n v="9101.7999999999993"/>
    <x v="4"/>
    <n v="0"/>
    <n v="0"/>
    <n v="1"/>
    <n v="0"/>
    <n v="0.59410304901528144"/>
    <n v="0"/>
    <n v="0"/>
    <n v="1"/>
  </r>
  <r>
    <n v="655"/>
    <n v="43"/>
    <s v="male"/>
    <n v="34.1"/>
    <n v="89"/>
    <s v="Yes"/>
    <x v="0"/>
    <x v="0"/>
    <s v="southeast"/>
    <n v="9140.9500000000007"/>
    <x v="1"/>
    <n v="0"/>
    <n v="1"/>
    <n v="0"/>
    <n v="0"/>
    <n v="0.78489081627799429"/>
    <n v="0"/>
    <n v="1"/>
    <n v="0"/>
  </r>
  <r>
    <n v="656"/>
    <n v="34"/>
    <s v="male"/>
    <n v="36.700000000000003"/>
    <n v="92"/>
    <s v="No"/>
    <x v="0"/>
    <x v="0"/>
    <s v="southwest"/>
    <n v="9144.57"/>
    <x v="2"/>
    <n v="0"/>
    <n v="0"/>
    <n v="1"/>
    <n v="0"/>
    <n v="0.31505026712788842"/>
    <n v="0"/>
    <n v="0"/>
    <n v="0"/>
  </r>
  <r>
    <n v="657"/>
    <n v="46"/>
    <s v="male"/>
    <n v="31.6"/>
    <n v="91"/>
    <s v="No"/>
    <x v="0"/>
    <x v="0"/>
    <s v="northwest"/>
    <n v="9174.14"/>
    <x v="1"/>
    <n v="0"/>
    <n v="0"/>
    <n v="0"/>
    <n v="1"/>
    <n v="0.34806360968648165"/>
    <n v="0"/>
    <n v="0"/>
    <n v="0"/>
  </r>
  <r>
    <n v="658"/>
    <n v="56"/>
    <s v="female"/>
    <n v="21.3"/>
    <n v="100"/>
    <s v="No"/>
    <x v="1"/>
    <x v="0"/>
    <s v="southwest"/>
    <n v="9182.17"/>
    <x v="0"/>
    <n v="0"/>
    <n v="0"/>
    <n v="1"/>
    <n v="0"/>
    <n v="0.39658033875187282"/>
    <n v="0"/>
    <n v="0"/>
    <n v="1"/>
  </r>
  <r>
    <n v="659"/>
    <n v="34"/>
    <s v="female"/>
    <n v="20"/>
    <n v="91"/>
    <s v="Yes"/>
    <x v="2"/>
    <x v="0"/>
    <s v="northwest"/>
    <n v="9193.84"/>
    <x v="0"/>
    <n v="0"/>
    <n v="0"/>
    <n v="0"/>
    <n v="1"/>
    <n v="0.92451792180075298"/>
    <n v="0"/>
    <n v="1"/>
    <n v="1"/>
  </r>
  <r>
    <n v="660"/>
    <n v="19"/>
    <s v="male"/>
    <n v="29.6"/>
    <n v="94"/>
    <s v="No"/>
    <x v="5"/>
    <x v="0"/>
    <s v="northeast"/>
    <n v="9222.4"/>
    <x v="4"/>
    <n v="0"/>
    <n v="0"/>
    <n v="0"/>
    <n v="0"/>
    <n v="0.68939835866104948"/>
    <n v="0"/>
    <n v="0"/>
    <n v="0"/>
  </r>
  <r>
    <n v="661"/>
    <n v="50"/>
    <s v="male"/>
    <n v="25.5"/>
    <n v="86"/>
    <s v="Yes"/>
    <x v="2"/>
    <x v="0"/>
    <s v="northeast"/>
    <n v="9225.26"/>
    <x v="4"/>
    <n v="0"/>
    <n v="0"/>
    <n v="0"/>
    <n v="0"/>
    <n v="7.5157098895204166E-2"/>
    <n v="0"/>
    <n v="1"/>
    <n v="0"/>
  </r>
  <r>
    <n v="662"/>
    <n v="43"/>
    <s v="female"/>
    <n v="28.9"/>
    <n v="84"/>
    <s v="Yes"/>
    <x v="1"/>
    <x v="0"/>
    <s v="northwest"/>
    <n v="9249.5"/>
    <x v="4"/>
    <n v="0"/>
    <n v="0"/>
    <n v="0"/>
    <n v="1"/>
    <n v="0.13247047623806396"/>
    <n v="0"/>
    <n v="1"/>
    <n v="1"/>
  </r>
  <r>
    <n v="663"/>
    <n v="57"/>
    <s v="female"/>
    <n v="20.6"/>
    <n v="98"/>
    <s v="No"/>
    <x v="0"/>
    <x v="0"/>
    <s v="southwest"/>
    <n v="9264.7999999999993"/>
    <x v="0"/>
    <n v="0"/>
    <n v="0"/>
    <n v="1"/>
    <n v="0"/>
    <n v="0.9482124078348344"/>
    <n v="0"/>
    <n v="0"/>
    <n v="1"/>
  </r>
  <r>
    <n v="664"/>
    <n v="23"/>
    <s v="male"/>
    <n v="25.8"/>
    <n v="88"/>
    <s v="Yes"/>
    <x v="1"/>
    <x v="0"/>
    <s v="northeast"/>
    <n v="9282.48"/>
    <x v="4"/>
    <n v="0"/>
    <n v="0"/>
    <n v="0"/>
    <n v="0"/>
    <n v="0.30255982010414262"/>
    <n v="0"/>
    <n v="1"/>
    <n v="0"/>
  </r>
  <r>
    <n v="665"/>
    <n v="43"/>
    <s v="female"/>
    <n v="34.1"/>
    <n v="81"/>
    <s v="No"/>
    <x v="0"/>
    <x v="0"/>
    <s v="southeast"/>
    <n v="9283.56"/>
    <x v="1"/>
    <n v="0"/>
    <n v="1"/>
    <n v="0"/>
    <n v="0"/>
    <n v="0.54211741068031327"/>
    <n v="0"/>
    <n v="0"/>
    <n v="1"/>
  </r>
  <r>
    <n v="666"/>
    <n v="44"/>
    <s v="male"/>
    <n v="29.8"/>
    <n v="82"/>
    <s v="Yes"/>
    <x v="1"/>
    <x v="0"/>
    <s v="northeast"/>
    <n v="9288.0300000000007"/>
    <x v="4"/>
    <n v="0"/>
    <n v="0"/>
    <n v="0"/>
    <n v="0"/>
    <n v="0.42176002573464333"/>
    <n v="0"/>
    <n v="1"/>
    <n v="0"/>
  </r>
  <r>
    <n v="667"/>
    <n v="23"/>
    <s v="male"/>
    <n v="31.4"/>
    <n v="94"/>
    <s v="Yes"/>
    <x v="1"/>
    <x v="0"/>
    <s v="northeast"/>
    <n v="9290.14"/>
    <x v="1"/>
    <n v="0"/>
    <n v="0"/>
    <n v="0"/>
    <n v="0"/>
    <n v="8.0700042251689585E-2"/>
    <n v="0"/>
    <n v="1"/>
    <n v="0"/>
  </r>
  <r>
    <n v="668"/>
    <n v="33"/>
    <s v="male"/>
    <n v="25.7"/>
    <n v="80"/>
    <s v="No"/>
    <x v="3"/>
    <x v="0"/>
    <s v="northwest"/>
    <n v="9301.89"/>
    <x v="4"/>
    <n v="0"/>
    <n v="0"/>
    <n v="0"/>
    <n v="1"/>
    <n v="0.12292974907134246"/>
    <n v="0"/>
    <n v="0"/>
    <n v="0"/>
  </r>
  <r>
    <n v="669"/>
    <n v="39"/>
    <s v="male"/>
    <n v="37.5"/>
    <n v="90"/>
    <s v="Yes"/>
    <x v="2"/>
    <x v="0"/>
    <s v="southeast"/>
    <n v="9304.7000000000007"/>
    <x v="2"/>
    <n v="0"/>
    <n v="1"/>
    <n v="0"/>
    <n v="0"/>
    <n v="0.34570918809360496"/>
    <n v="0"/>
    <n v="1"/>
    <n v="0"/>
  </r>
  <r>
    <n v="670"/>
    <n v="45"/>
    <s v="male"/>
    <n v="22.4"/>
    <n v="83"/>
    <s v="Yes"/>
    <x v="0"/>
    <x v="0"/>
    <s v="northeast"/>
    <n v="9361.33"/>
    <x v="0"/>
    <n v="0"/>
    <n v="0"/>
    <n v="0"/>
    <n v="0"/>
    <n v="0.64240441930678471"/>
    <n v="0"/>
    <n v="1"/>
    <n v="0"/>
  </r>
  <r>
    <n v="671"/>
    <n v="37"/>
    <s v="male"/>
    <n v="30"/>
    <n v="95"/>
    <s v="No"/>
    <x v="1"/>
    <x v="0"/>
    <s v="southeast"/>
    <n v="9377.9"/>
    <x v="1"/>
    <n v="0"/>
    <n v="1"/>
    <n v="0"/>
    <n v="0"/>
    <n v="0.85793486782177919"/>
    <n v="0"/>
    <n v="0"/>
    <n v="0"/>
  </r>
  <r>
    <n v="672"/>
    <n v="34"/>
    <s v="male"/>
    <n v="36"/>
    <n v="100"/>
    <s v="Yes"/>
    <x v="1"/>
    <x v="0"/>
    <s v="southeast"/>
    <n v="9386.16"/>
    <x v="2"/>
    <n v="0"/>
    <n v="1"/>
    <n v="0"/>
    <n v="0"/>
    <n v="0.70284782727132888"/>
    <n v="0"/>
    <n v="1"/>
    <n v="0"/>
  </r>
  <r>
    <n v="673"/>
    <n v="20"/>
    <s v="male"/>
    <n v="39.700000000000003"/>
    <n v="90"/>
    <s v="No"/>
    <x v="1"/>
    <x v="0"/>
    <s v="southwest"/>
    <n v="9391.35"/>
    <x v="2"/>
    <n v="0"/>
    <n v="0"/>
    <n v="1"/>
    <n v="0"/>
    <n v="0.11372389596201649"/>
    <n v="0"/>
    <n v="0"/>
    <n v="0"/>
  </r>
  <r>
    <n v="674"/>
    <n v="31"/>
    <s v="female"/>
    <n v="32.299999999999997"/>
    <n v="82"/>
    <s v="Yes"/>
    <x v="2"/>
    <x v="0"/>
    <s v="northeast"/>
    <n v="9411.01"/>
    <x v="1"/>
    <n v="0"/>
    <n v="0"/>
    <n v="0"/>
    <n v="0"/>
    <n v="0.93894876240639602"/>
    <n v="0"/>
    <n v="1"/>
    <n v="1"/>
  </r>
  <r>
    <n v="675"/>
    <n v="58"/>
    <s v="female"/>
    <n v="30.8"/>
    <n v="93"/>
    <s v="No"/>
    <x v="3"/>
    <x v="0"/>
    <s v="southwest"/>
    <n v="9414.92"/>
    <x v="1"/>
    <n v="0"/>
    <n v="0"/>
    <n v="1"/>
    <n v="0"/>
    <n v="0.82965324948588337"/>
    <n v="0"/>
    <n v="0"/>
    <n v="1"/>
  </r>
  <r>
    <n v="676"/>
    <n v="49"/>
    <s v="female"/>
    <n v="48.1"/>
    <n v="81"/>
    <s v="Yes"/>
    <x v="2"/>
    <x v="0"/>
    <s v="northeast"/>
    <n v="9432.93"/>
    <x v="2"/>
    <n v="0"/>
    <n v="0"/>
    <n v="0"/>
    <n v="0"/>
    <n v="0.48144491731397132"/>
    <n v="0"/>
    <n v="1"/>
    <n v="1"/>
  </r>
  <r>
    <n v="677"/>
    <n v="40"/>
    <s v="female"/>
    <n v="27.3"/>
    <n v="100"/>
    <s v="No"/>
    <x v="1"/>
    <x v="0"/>
    <s v="northeast"/>
    <n v="9447.25"/>
    <x v="4"/>
    <n v="0"/>
    <n v="0"/>
    <n v="0"/>
    <n v="0"/>
    <n v="0.75160538843720748"/>
    <n v="0"/>
    <n v="0"/>
    <n v="1"/>
  </r>
  <r>
    <n v="678"/>
    <n v="41"/>
    <s v="female"/>
    <n v="27.4"/>
    <n v="86"/>
    <s v="No"/>
    <x v="1"/>
    <x v="0"/>
    <s v="northeast"/>
    <n v="9447.3799999999992"/>
    <x v="4"/>
    <n v="0"/>
    <n v="0"/>
    <n v="0"/>
    <n v="0"/>
    <n v="0.18109389278278598"/>
    <n v="0"/>
    <n v="0"/>
    <n v="1"/>
  </r>
  <r>
    <n v="679"/>
    <n v="39"/>
    <s v="male"/>
    <n v="29.5"/>
    <n v="98"/>
    <s v="No"/>
    <x v="0"/>
    <x v="0"/>
    <s v="southeast"/>
    <n v="9487.64"/>
    <x v="4"/>
    <n v="0"/>
    <n v="1"/>
    <n v="0"/>
    <n v="0"/>
    <n v="0.67780371899797731"/>
    <n v="0"/>
    <n v="0"/>
    <n v="0"/>
  </r>
  <r>
    <n v="680"/>
    <n v="37"/>
    <s v="male"/>
    <n v="24.8"/>
    <n v="85"/>
    <s v="No"/>
    <x v="3"/>
    <x v="0"/>
    <s v="northeast"/>
    <n v="9500.57"/>
    <x v="0"/>
    <n v="0"/>
    <n v="0"/>
    <n v="0"/>
    <n v="0"/>
    <n v="0.16400853084015465"/>
    <n v="0"/>
    <n v="0"/>
    <n v="0"/>
  </r>
  <r>
    <n v="681"/>
    <n v="43"/>
    <s v="male"/>
    <n v="41.5"/>
    <n v="82"/>
    <s v="No"/>
    <x v="0"/>
    <x v="0"/>
    <s v="southeast"/>
    <n v="9504.31"/>
    <x v="2"/>
    <n v="0"/>
    <n v="1"/>
    <n v="0"/>
    <n v="0"/>
    <n v="0.28796114049733157"/>
    <n v="0"/>
    <n v="0"/>
    <n v="0"/>
  </r>
  <r>
    <n v="682"/>
    <n v="27"/>
    <s v="female"/>
    <n v="44.7"/>
    <n v="98"/>
    <s v="No"/>
    <x v="0"/>
    <x v="0"/>
    <s v="northeast"/>
    <n v="9541.7000000000007"/>
    <x v="2"/>
    <n v="0"/>
    <n v="0"/>
    <n v="0"/>
    <n v="0"/>
    <n v="0.49907748737217228"/>
    <n v="0"/>
    <n v="0"/>
    <n v="1"/>
  </r>
  <r>
    <n v="683"/>
    <n v="27"/>
    <s v="female"/>
    <n v="46.1"/>
    <n v="106"/>
    <s v="No"/>
    <x v="1"/>
    <x v="0"/>
    <s v="southeast"/>
    <n v="9549.57"/>
    <x v="2"/>
    <n v="0"/>
    <n v="1"/>
    <n v="0"/>
    <n v="0"/>
    <n v="0.86046443184109178"/>
    <n v="0"/>
    <n v="0"/>
    <n v="1"/>
  </r>
  <r>
    <n v="684"/>
    <n v="34"/>
    <s v="male"/>
    <n v="34.299999999999997"/>
    <n v="105"/>
    <s v="No"/>
    <x v="3"/>
    <x v="0"/>
    <s v="southwest"/>
    <n v="9563.0300000000007"/>
    <x v="1"/>
    <n v="0"/>
    <n v="0"/>
    <n v="1"/>
    <n v="0"/>
    <n v="0.44507287311179966"/>
    <n v="0"/>
    <n v="0"/>
    <n v="0"/>
  </r>
  <r>
    <n v="685"/>
    <n v="56"/>
    <s v="female"/>
    <n v="22.6"/>
    <n v="97"/>
    <s v="No"/>
    <x v="1"/>
    <x v="0"/>
    <s v="northwest"/>
    <n v="9566.99"/>
    <x v="0"/>
    <n v="0"/>
    <n v="0"/>
    <n v="0"/>
    <n v="1"/>
    <n v="0.35137717723944484"/>
    <n v="0"/>
    <n v="0"/>
    <n v="1"/>
  </r>
  <r>
    <n v="686"/>
    <n v="57"/>
    <s v="female"/>
    <n v="34.799999999999997"/>
    <n v="87"/>
    <s v="No"/>
    <x v="1"/>
    <x v="0"/>
    <s v="northwest"/>
    <n v="9583.89"/>
    <x v="1"/>
    <n v="0"/>
    <n v="0"/>
    <n v="0"/>
    <n v="1"/>
    <n v="0.77824239042012322"/>
    <n v="0"/>
    <n v="0"/>
    <n v="1"/>
  </r>
  <r>
    <n v="687"/>
    <n v="40"/>
    <s v="male"/>
    <n v="27.5"/>
    <n v="81"/>
    <s v="Yes"/>
    <x v="1"/>
    <x v="0"/>
    <s v="northeast"/>
    <n v="9617.66"/>
    <x v="4"/>
    <n v="0"/>
    <n v="0"/>
    <n v="0"/>
    <n v="0"/>
    <n v="0.33785954385444783"/>
    <n v="0"/>
    <n v="1"/>
    <n v="0"/>
  </r>
  <r>
    <n v="688"/>
    <n v="50"/>
    <s v="male"/>
    <n v="29.8"/>
    <n v="86"/>
    <s v="Yes"/>
    <x v="3"/>
    <x v="0"/>
    <s v="northwest"/>
    <n v="9620.33"/>
    <x v="4"/>
    <n v="0"/>
    <n v="0"/>
    <n v="0"/>
    <n v="1"/>
    <n v="0.74187613824325238"/>
    <n v="0"/>
    <n v="1"/>
    <n v="0"/>
  </r>
  <r>
    <n v="689"/>
    <n v="60"/>
    <s v="female"/>
    <n v="31.2"/>
    <n v="88"/>
    <s v="Yes"/>
    <x v="0"/>
    <x v="0"/>
    <s v="southwest"/>
    <n v="9625.92"/>
    <x v="1"/>
    <n v="0"/>
    <n v="0"/>
    <n v="1"/>
    <n v="0"/>
    <n v="0.74962431743759272"/>
    <n v="0"/>
    <n v="1"/>
    <n v="1"/>
  </r>
  <r>
    <n v="690"/>
    <n v="48"/>
    <s v="male"/>
    <n v="32.299999999999997"/>
    <n v="88"/>
    <s v="Yes"/>
    <x v="2"/>
    <x v="0"/>
    <s v="southwest"/>
    <n v="9630.4"/>
    <x v="1"/>
    <n v="0"/>
    <n v="0"/>
    <n v="1"/>
    <n v="0"/>
    <n v="0.11947120339822981"/>
    <n v="0"/>
    <n v="1"/>
    <n v="0"/>
  </r>
  <r>
    <n v="691"/>
    <n v="26"/>
    <s v="female"/>
    <n v="37.4"/>
    <n v="103"/>
    <s v="Yes"/>
    <x v="0"/>
    <x v="0"/>
    <s v="southwest"/>
    <n v="9634.5400000000009"/>
    <x v="2"/>
    <n v="0"/>
    <n v="0"/>
    <n v="1"/>
    <n v="0"/>
    <n v="0.69206442874217078"/>
    <n v="0"/>
    <n v="1"/>
    <n v="1"/>
  </r>
  <r>
    <n v="692"/>
    <n v="42"/>
    <s v="female"/>
    <n v="18.100000000000001"/>
    <n v="84"/>
    <s v="Yes"/>
    <x v="0"/>
    <x v="0"/>
    <s v="northwest"/>
    <n v="9644.25"/>
    <x v="3"/>
    <n v="0"/>
    <n v="0"/>
    <n v="0"/>
    <n v="1"/>
    <n v="0.40824312508459548"/>
    <n v="0"/>
    <n v="1"/>
    <n v="1"/>
  </r>
  <r>
    <n v="693"/>
    <n v="44"/>
    <s v="female"/>
    <n v="40"/>
    <n v="96"/>
    <s v="No"/>
    <x v="3"/>
    <x v="0"/>
    <s v="northeast"/>
    <n v="9704.67"/>
    <x v="2"/>
    <n v="0"/>
    <n v="0"/>
    <n v="0"/>
    <n v="0"/>
    <n v="0.83772999656683622"/>
    <n v="0"/>
    <n v="0"/>
    <n v="1"/>
  </r>
  <r>
    <n v="694"/>
    <n v="59"/>
    <s v="female"/>
    <n v="26.6"/>
    <n v="83"/>
    <s v="No"/>
    <x v="2"/>
    <x v="0"/>
    <s v="northeast"/>
    <n v="9715.84"/>
    <x v="4"/>
    <n v="0"/>
    <n v="0"/>
    <n v="0"/>
    <n v="0"/>
    <n v="0.87100904648106336"/>
    <n v="0"/>
    <n v="0"/>
    <n v="1"/>
  </r>
  <r>
    <n v="695"/>
    <n v="32"/>
    <s v="male"/>
    <n v="33.299999999999997"/>
    <n v="102"/>
    <s v="Yes"/>
    <x v="0"/>
    <x v="0"/>
    <s v="northeast"/>
    <n v="9722.77"/>
    <x v="1"/>
    <n v="0"/>
    <n v="0"/>
    <n v="0"/>
    <n v="0"/>
    <n v="0.43660924039553428"/>
    <n v="0"/>
    <n v="1"/>
    <n v="0"/>
  </r>
  <r>
    <n v="696"/>
    <n v="26"/>
    <s v="male"/>
    <n v="30.2"/>
    <n v="99"/>
    <s v="No"/>
    <x v="1"/>
    <x v="0"/>
    <s v="southwest"/>
    <n v="9724.5300000000007"/>
    <x v="1"/>
    <n v="0"/>
    <n v="0"/>
    <n v="1"/>
    <n v="0"/>
    <n v="0.19975312756734398"/>
    <n v="0"/>
    <n v="0"/>
    <n v="0"/>
  </r>
  <r>
    <n v="697"/>
    <n v="49"/>
    <s v="male"/>
    <n v="47.7"/>
    <n v="88"/>
    <s v="No"/>
    <x v="1"/>
    <x v="0"/>
    <s v="southeast"/>
    <n v="9748.91"/>
    <x v="2"/>
    <n v="0"/>
    <n v="1"/>
    <n v="0"/>
    <n v="0"/>
    <n v="0.48497200577371424"/>
    <n v="0"/>
    <n v="0"/>
    <n v="0"/>
  </r>
  <r>
    <n v="698"/>
    <n v="53"/>
    <s v="female"/>
    <n v="30.8"/>
    <n v="105"/>
    <s v="No"/>
    <x v="1"/>
    <x v="0"/>
    <s v="northeast"/>
    <n v="9778.35"/>
    <x v="1"/>
    <n v="0"/>
    <n v="0"/>
    <n v="0"/>
    <n v="0"/>
    <n v="0.65025957542812629"/>
    <n v="0"/>
    <n v="0"/>
    <n v="1"/>
  </r>
  <r>
    <n v="699"/>
    <n v="25"/>
    <s v="male"/>
    <n v="24.3"/>
    <n v="89"/>
    <s v="No"/>
    <x v="5"/>
    <x v="0"/>
    <s v="southeast"/>
    <n v="9788.8700000000008"/>
    <x v="0"/>
    <n v="0"/>
    <n v="1"/>
    <n v="0"/>
    <n v="0"/>
    <n v="1.3696809634826668E-2"/>
    <n v="0"/>
    <n v="0"/>
    <n v="0"/>
  </r>
  <r>
    <n v="700"/>
    <n v="41"/>
    <s v="female"/>
    <n v="42.7"/>
    <n v="105"/>
    <s v="No"/>
    <x v="2"/>
    <x v="0"/>
    <s v="southeast"/>
    <n v="9800.89"/>
    <x v="2"/>
    <n v="0"/>
    <n v="1"/>
    <n v="0"/>
    <n v="0"/>
    <n v="0.86509092682598598"/>
    <n v="0"/>
    <n v="0"/>
    <n v="1"/>
  </r>
  <r>
    <n v="701"/>
    <n v="46"/>
    <s v="male"/>
    <n v="31.6"/>
    <n v="106"/>
    <s v="No"/>
    <x v="0"/>
    <x v="0"/>
    <s v="southwest"/>
    <n v="9850.43"/>
    <x v="1"/>
    <n v="0"/>
    <n v="0"/>
    <n v="1"/>
    <n v="0"/>
    <n v="0.865841431675208"/>
    <n v="0"/>
    <n v="0"/>
    <n v="0"/>
  </r>
  <r>
    <n v="702"/>
    <n v="36"/>
    <s v="female"/>
    <n v="21.6"/>
    <n v="109"/>
    <s v="Yes"/>
    <x v="1"/>
    <x v="0"/>
    <s v="southeast"/>
    <n v="9855.1299999999992"/>
    <x v="0"/>
    <n v="0"/>
    <n v="1"/>
    <n v="0"/>
    <n v="0"/>
    <n v="0.96548604237628277"/>
    <n v="0"/>
    <n v="1"/>
    <n v="1"/>
  </r>
  <r>
    <n v="703"/>
    <n v="26"/>
    <s v="female"/>
    <n v="25.8"/>
    <n v="110"/>
    <s v="No"/>
    <x v="1"/>
    <x v="0"/>
    <s v="southwest"/>
    <n v="9861.0300000000007"/>
    <x v="4"/>
    <n v="0"/>
    <n v="0"/>
    <n v="1"/>
    <n v="0"/>
    <n v="0.48241942673428639"/>
    <n v="0"/>
    <n v="0"/>
    <n v="1"/>
  </r>
  <r>
    <n v="704"/>
    <n v="19"/>
    <s v="male"/>
    <n v="24.3"/>
    <n v="89"/>
    <s v="Yes"/>
    <x v="0"/>
    <x v="0"/>
    <s v="northwest"/>
    <n v="9863.4699999999993"/>
    <x v="0"/>
    <n v="0"/>
    <n v="0"/>
    <n v="0"/>
    <n v="1"/>
    <n v="0.44234644127671041"/>
    <n v="0"/>
    <n v="1"/>
    <n v="0"/>
  </r>
  <r>
    <n v="705"/>
    <n v="34"/>
    <s v="female"/>
    <n v="33.9"/>
    <n v="84"/>
    <s v="No"/>
    <x v="0"/>
    <x v="0"/>
    <s v="northeast"/>
    <n v="9866.2999999999993"/>
    <x v="1"/>
    <n v="0"/>
    <n v="0"/>
    <n v="0"/>
    <n v="0"/>
    <n v="0.58070359650294301"/>
    <n v="0"/>
    <n v="0"/>
    <n v="1"/>
  </r>
  <r>
    <n v="706"/>
    <n v="39"/>
    <s v="male"/>
    <n v="28.9"/>
    <n v="82"/>
    <s v="Yes"/>
    <x v="0"/>
    <x v="0"/>
    <s v="northwest"/>
    <n v="9869.81"/>
    <x v="4"/>
    <n v="0"/>
    <n v="0"/>
    <n v="0"/>
    <n v="1"/>
    <n v="0.45681323089141279"/>
    <n v="0"/>
    <n v="1"/>
    <n v="0"/>
  </r>
  <r>
    <n v="707"/>
    <n v="28"/>
    <s v="female"/>
    <n v="34.200000000000003"/>
    <n v="86"/>
    <s v="No"/>
    <x v="1"/>
    <x v="0"/>
    <s v="southwest"/>
    <n v="9872.7000000000007"/>
    <x v="1"/>
    <n v="0"/>
    <n v="0"/>
    <n v="1"/>
    <n v="0"/>
    <n v="0.71753132056989744"/>
    <n v="0"/>
    <n v="0"/>
    <n v="1"/>
  </r>
  <r>
    <n v="708"/>
    <n v="27"/>
    <s v="female"/>
    <n v="40.700000000000003"/>
    <n v="100"/>
    <s v="No"/>
    <x v="0"/>
    <x v="0"/>
    <s v="northeast"/>
    <n v="9875.68"/>
    <x v="2"/>
    <n v="0"/>
    <n v="0"/>
    <n v="0"/>
    <n v="0"/>
    <n v="0.3150077402409831"/>
    <n v="0"/>
    <n v="0"/>
    <n v="1"/>
  </r>
  <r>
    <n v="709"/>
    <n v="30"/>
    <s v="female"/>
    <n v="37.700000000000003"/>
    <n v="80"/>
    <s v="No"/>
    <x v="1"/>
    <x v="0"/>
    <s v="southeast"/>
    <n v="9877.61"/>
    <x v="2"/>
    <n v="0"/>
    <n v="1"/>
    <n v="0"/>
    <n v="0"/>
    <n v="0.35903863405017178"/>
    <n v="0"/>
    <n v="0"/>
    <n v="1"/>
  </r>
  <r>
    <n v="710"/>
    <n v="27"/>
    <s v="female"/>
    <n v="39.5"/>
    <n v="90"/>
    <s v="No"/>
    <x v="1"/>
    <x v="0"/>
    <s v="southwest"/>
    <n v="9880.07"/>
    <x v="2"/>
    <n v="0"/>
    <n v="0"/>
    <n v="1"/>
    <n v="0"/>
    <n v="8.2997690482469522E-2"/>
    <n v="0"/>
    <n v="0"/>
    <n v="1"/>
  </r>
  <r>
    <n v="711"/>
    <n v="49"/>
    <s v="female"/>
    <n v="30.1"/>
    <n v="100"/>
    <s v="Yes"/>
    <x v="1"/>
    <x v="0"/>
    <s v="northwest"/>
    <n v="9910.36"/>
    <x v="1"/>
    <n v="0"/>
    <n v="0"/>
    <n v="0"/>
    <n v="1"/>
    <n v="0.69091994227608722"/>
    <n v="0"/>
    <n v="1"/>
    <n v="1"/>
  </r>
  <r>
    <n v="712"/>
    <n v="24"/>
    <s v="male"/>
    <n v="27.7"/>
    <n v="109"/>
    <s v="Yes"/>
    <x v="1"/>
    <x v="0"/>
    <s v="northeast"/>
    <n v="9957.7199999999993"/>
    <x v="4"/>
    <n v="0"/>
    <n v="0"/>
    <n v="0"/>
    <n v="0"/>
    <n v="0.1928638803395758"/>
    <n v="0"/>
    <n v="1"/>
    <n v="0"/>
  </r>
  <r>
    <n v="713"/>
    <n v="24"/>
    <s v="male"/>
    <n v="32.299999999999997"/>
    <n v="105"/>
    <s v="No"/>
    <x v="1"/>
    <x v="0"/>
    <s v="northeast"/>
    <n v="9964.06"/>
    <x v="1"/>
    <n v="0"/>
    <n v="0"/>
    <n v="0"/>
    <n v="0"/>
    <n v="0.68370544020820434"/>
    <n v="0"/>
    <n v="0"/>
    <n v="0"/>
  </r>
  <r>
    <n v="714"/>
    <n v="45"/>
    <s v="female"/>
    <n v="18.3"/>
    <n v="105"/>
    <s v="No"/>
    <x v="0"/>
    <x v="0"/>
    <s v="northwest"/>
    <n v="9991.0400000000009"/>
    <x v="3"/>
    <n v="0"/>
    <n v="0"/>
    <n v="0"/>
    <n v="1"/>
    <n v="0.54317724838549875"/>
    <n v="0"/>
    <n v="0"/>
    <n v="1"/>
  </r>
  <r>
    <n v="715"/>
    <n v="42"/>
    <s v="female"/>
    <n v="32.299999999999997"/>
    <n v="101"/>
    <s v="Yes"/>
    <x v="2"/>
    <x v="0"/>
    <s v="northeast"/>
    <n v="10043.25"/>
    <x v="1"/>
    <n v="0"/>
    <n v="0"/>
    <n v="0"/>
    <n v="0"/>
    <n v="0.53647620604391011"/>
    <n v="0"/>
    <n v="1"/>
    <n v="1"/>
  </r>
  <r>
    <n v="716"/>
    <n v="42"/>
    <s v="male"/>
    <n v="21.4"/>
    <n v="104"/>
    <s v="No"/>
    <x v="1"/>
    <x v="0"/>
    <s v="southwest"/>
    <n v="10065.41"/>
    <x v="0"/>
    <n v="0"/>
    <n v="0"/>
    <n v="1"/>
    <n v="0"/>
    <n v="0.64566874639045202"/>
    <n v="0"/>
    <n v="0"/>
    <n v="0"/>
  </r>
  <r>
    <n v="717"/>
    <n v="40"/>
    <s v="male"/>
    <n v="30.5"/>
    <n v="91"/>
    <s v="No"/>
    <x v="0"/>
    <x v="0"/>
    <s v="northeast"/>
    <n v="10072.06"/>
    <x v="1"/>
    <n v="0"/>
    <n v="0"/>
    <n v="0"/>
    <n v="0"/>
    <n v="0.2887211434907434"/>
    <n v="0"/>
    <n v="0"/>
    <n v="0"/>
  </r>
  <r>
    <n v="718"/>
    <n v="27"/>
    <s v="male"/>
    <n v="36.1"/>
    <n v="104"/>
    <s v="Yes"/>
    <x v="1"/>
    <x v="0"/>
    <s v="southwest"/>
    <n v="10085.85"/>
    <x v="2"/>
    <n v="0"/>
    <n v="0"/>
    <n v="1"/>
    <n v="0"/>
    <n v="0.62677323049168687"/>
    <n v="0"/>
    <n v="1"/>
    <n v="0"/>
  </r>
  <r>
    <n v="719"/>
    <n v="34"/>
    <s v="male"/>
    <n v="25.8"/>
    <n v="100"/>
    <s v="Yes"/>
    <x v="5"/>
    <x v="0"/>
    <s v="southwest"/>
    <n v="10096.969999999999"/>
    <x v="4"/>
    <n v="0"/>
    <n v="0"/>
    <n v="1"/>
    <n v="0"/>
    <n v="0.89186260411444129"/>
    <n v="0"/>
    <n v="1"/>
    <n v="0"/>
  </r>
  <r>
    <n v="720"/>
    <n v="27"/>
    <s v="female"/>
    <n v="27.1"/>
    <n v="103"/>
    <s v="No"/>
    <x v="1"/>
    <x v="0"/>
    <s v="northeast"/>
    <n v="10106.129999999999"/>
    <x v="4"/>
    <n v="0"/>
    <n v="0"/>
    <n v="0"/>
    <n v="0"/>
    <n v="1.2306170761926749E-2"/>
    <n v="0"/>
    <n v="0"/>
    <n v="1"/>
  </r>
  <r>
    <n v="721"/>
    <n v="52"/>
    <s v="female"/>
    <n v="23.5"/>
    <n v="93"/>
    <s v="No"/>
    <x v="2"/>
    <x v="0"/>
    <s v="southeast"/>
    <n v="10107.219999999999"/>
    <x v="0"/>
    <n v="0"/>
    <n v="1"/>
    <n v="0"/>
    <n v="0"/>
    <n v="0.7501341013440449"/>
    <n v="0"/>
    <n v="0"/>
    <n v="1"/>
  </r>
  <r>
    <n v="722"/>
    <n v="44"/>
    <s v="female"/>
    <n v="33.9"/>
    <n v="100"/>
    <s v="Yes"/>
    <x v="3"/>
    <x v="0"/>
    <s v="northwest"/>
    <n v="10115.01"/>
    <x v="1"/>
    <n v="0"/>
    <n v="0"/>
    <n v="0"/>
    <n v="1"/>
    <n v="0.11011024020410565"/>
    <n v="0"/>
    <n v="1"/>
    <n v="1"/>
  </r>
  <r>
    <n v="723"/>
    <n v="36"/>
    <s v="female"/>
    <n v="31.6"/>
    <n v="99"/>
    <s v="No"/>
    <x v="2"/>
    <x v="0"/>
    <s v="southwest"/>
    <n v="10118.42"/>
    <x v="1"/>
    <n v="0"/>
    <n v="0"/>
    <n v="1"/>
    <n v="0"/>
    <n v="0.41777836976460681"/>
    <n v="0"/>
    <n v="0"/>
    <n v="1"/>
  </r>
  <r>
    <n v="724"/>
    <n v="18"/>
    <s v="male"/>
    <n v="30.8"/>
    <n v="94"/>
    <s v="No"/>
    <x v="3"/>
    <x v="0"/>
    <s v="northeast"/>
    <n v="10141.14"/>
    <x v="1"/>
    <n v="0"/>
    <n v="0"/>
    <n v="0"/>
    <n v="0"/>
    <n v="0.72731566936265069"/>
    <n v="0"/>
    <n v="0"/>
    <n v="0"/>
  </r>
  <r>
    <n v="725"/>
    <n v="29"/>
    <s v="female"/>
    <n v="23.2"/>
    <n v="109"/>
    <s v="No"/>
    <x v="2"/>
    <x v="0"/>
    <s v="northwest"/>
    <n v="10156.780000000001"/>
    <x v="0"/>
    <n v="0"/>
    <n v="0"/>
    <n v="0"/>
    <n v="1"/>
    <n v="0.49913194681437467"/>
    <n v="0"/>
    <n v="0"/>
    <n v="1"/>
  </r>
  <r>
    <n v="726"/>
    <n v="36"/>
    <s v="female"/>
    <n v="23.2"/>
    <n v="104"/>
    <s v="Yes"/>
    <x v="0"/>
    <x v="0"/>
    <s v="northeast"/>
    <n v="10197.77"/>
    <x v="0"/>
    <n v="0"/>
    <n v="0"/>
    <n v="0"/>
    <n v="0"/>
    <n v="0.94388798045703848"/>
    <n v="0"/>
    <n v="1"/>
    <n v="1"/>
  </r>
  <r>
    <n v="727"/>
    <n v="30"/>
    <s v="male"/>
    <n v="29.9"/>
    <n v="90"/>
    <s v="No"/>
    <x v="0"/>
    <x v="0"/>
    <s v="southwest"/>
    <n v="10214.64"/>
    <x v="4"/>
    <n v="0"/>
    <n v="0"/>
    <n v="1"/>
    <n v="0"/>
    <n v="0.29323070166135745"/>
    <n v="0"/>
    <n v="0"/>
    <n v="0"/>
  </r>
  <r>
    <n v="728"/>
    <n v="32"/>
    <s v="male"/>
    <n v="38.299999999999997"/>
    <n v="92"/>
    <s v="Yes"/>
    <x v="0"/>
    <x v="0"/>
    <s v="southeast"/>
    <n v="10226.280000000001"/>
    <x v="2"/>
    <n v="0"/>
    <n v="1"/>
    <n v="0"/>
    <n v="0"/>
    <n v="0.71957204955242271"/>
    <n v="0"/>
    <n v="1"/>
    <n v="0"/>
  </r>
  <r>
    <n v="729"/>
    <n v="45"/>
    <s v="male"/>
    <n v="30.2"/>
    <n v="89"/>
    <s v="No"/>
    <x v="0"/>
    <x v="0"/>
    <s v="northwest"/>
    <n v="10231.5"/>
    <x v="1"/>
    <n v="0"/>
    <n v="0"/>
    <n v="0"/>
    <n v="1"/>
    <n v="0.51866572755307339"/>
    <n v="0"/>
    <n v="0"/>
    <n v="0"/>
  </r>
  <r>
    <n v="730"/>
    <n v="31"/>
    <s v="male"/>
    <n v="28.7"/>
    <n v="107"/>
    <s v="Yes"/>
    <x v="3"/>
    <x v="0"/>
    <s v="northwest"/>
    <n v="10264.44"/>
    <x v="4"/>
    <n v="0"/>
    <n v="0"/>
    <n v="0"/>
    <n v="1"/>
    <n v="0.78092869964257672"/>
    <n v="0"/>
    <n v="1"/>
    <n v="0"/>
  </r>
  <r>
    <n v="731"/>
    <n v="19"/>
    <s v="male"/>
    <n v="32.299999999999997"/>
    <n v="93"/>
    <s v="Yes"/>
    <x v="3"/>
    <x v="0"/>
    <s v="northwest"/>
    <n v="10269.459999999999"/>
    <x v="1"/>
    <n v="0"/>
    <n v="0"/>
    <n v="0"/>
    <n v="1"/>
    <n v="0.19473976838906903"/>
    <n v="0"/>
    <n v="1"/>
    <n v="0"/>
  </r>
  <r>
    <n v="732"/>
    <n v="29"/>
    <s v="male"/>
    <n v="38.6"/>
    <n v="82"/>
    <s v="Yes"/>
    <x v="2"/>
    <x v="0"/>
    <s v="southwest"/>
    <n v="10325.209999999999"/>
    <x v="2"/>
    <n v="0"/>
    <n v="0"/>
    <n v="1"/>
    <n v="0"/>
    <n v="0.4340310564076858"/>
    <n v="0"/>
    <n v="1"/>
    <n v="0"/>
  </r>
  <r>
    <n v="733"/>
    <n v="53"/>
    <s v="female"/>
    <n v="31.2"/>
    <n v="86"/>
    <s v="Yes"/>
    <x v="0"/>
    <x v="0"/>
    <s v="southeast"/>
    <n v="10338.93"/>
    <x v="1"/>
    <n v="0"/>
    <n v="1"/>
    <n v="0"/>
    <n v="0"/>
    <n v="0.91486798990350171"/>
    <n v="0"/>
    <n v="1"/>
    <n v="1"/>
  </r>
  <r>
    <n v="734"/>
    <n v="29"/>
    <s v="female"/>
    <n v="26.6"/>
    <n v="105"/>
    <s v="Yes"/>
    <x v="0"/>
    <x v="0"/>
    <s v="northwest"/>
    <n v="10355.64"/>
    <x v="4"/>
    <n v="0"/>
    <n v="0"/>
    <n v="0"/>
    <n v="1"/>
    <n v="0.8968308816702194"/>
    <n v="0"/>
    <n v="1"/>
    <n v="1"/>
  </r>
  <r>
    <n v="735"/>
    <n v="25"/>
    <s v="female"/>
    <n v="33.299999999999997"/>
    <n v="80"/>
    <s v="Yes"/>
    <x v="2"/>
    <x v="0"/>
    <s v="northeast"/>
    <n v="10370.91"/>
    <x v="1"/>
    <n v="0"/>
    <n v="0"/>
    <n v="0"/>
    <n v="0"/>
    <n v="0.59875334057463847"/>
    <n v="0"/>
    <n v="1"/>
    <n v="1"/>
  </r>
  <r>
    <n v="736"/>
    <n v="51"/>
    <s v="female"/>
    <n v="36.6"/>
    <n v="104"/>
    <s v="No"/>
    <x v="3"/>
    <x v="0"/>
    <s v="southeast"/>
    <n v="10381.48"/>
    <x v="2"/>
    <n v="0"/>
    <n v="1"/>
    <n v="0"/>
    <n v="0"/>
    <n v="0.97338445483188019"/>
    <n v="0"/>
    <n v="0"/>
    <n v="1"/>
  </r>
  <r>
    <n v="737"/>
    <n v="23"/>
    <s v="male"/>
    <n v="28.2"/>
    <n v="95"/>
    <s v="No"/>
    <x v="4"/>
    <x v="0"/>
    <s v="northeast"/>
    <n v="10407.09"/>
    <x v="4"/>
    <n v="0"/>
    <n v="0"/>
    <n v="0"/>
    <n v="0"/>
    <n v="0.52380882999252965"/>
    <n v="0"/>
    <n v="0"/>
    <n v="0"/>
  </r>
  <r>
    <n v="738"/>
    <n v="30"/>
    <s v="male"/>
    <n v="24"/>
    <n v="86"/>
    <s v="No"/>
    <x v="0"/>
    <x v="0"/>
    <s v="northeast"/>
    <n v="10422.92"/>
    <x v="0"/>
    <n v="0"/>
    <n v="0"/>
    <n v="0"/>
    <n v="0"/>
    <n v="0.2375561451013154"/>
    <n v="0"/>
    <n v="0"/>
    <n v="0"/>
  </r>
  <r>
    <n v="739"/>
    <n v="27"/>
    <s v="male"/>
    <n v="32.799999999999997"/>
    <n v="86"/>
    <s v="No"/>
    <x v="0"/>
    <x v="0"/>
    <s v="northeast"/>
    <n v="10435.07"/>
    <x v="1"/>
    <n v="0"/>
    <n v="0"/>
    <n v="0"/>
    <n v="0"/>
    <n v="0.17339352910690053"/>
    <n v="0"/>
    <n v="0"/>
    <n v="0"/>
  </r>
  <r>
    <n v="740"/>
    <n v="37"/>
    <s v="male"/>
    <n v="29.2"/>
    <n v="109"/>
    <s v="No"/>
    <x v="1"/>
    <x v="0"/>
    <s v="southwest"/>
    <n v="10436.1"/>
    <x v="4"/>
    <n v="0"/>
    <n v="0"/>
    <n v="1"/>
    <n v="0"/>
    <n v="0.66833754167717752"/>
    <n v="0"/>
    <n v="0"/>
    <n v="0"/>
  </r>
  <r>
    <n v="741"/>
    <n v="27"/>
    <s v="male"/>
    <n v="39.6"/>
    <n v="101"/>
    <s v="Yes"/>
    <x v="1"/>
    <x v="0"/>
    <s v="southwest"/>
    <n v="10450.549999999999"/>
    <x v="2"/>
    <n v="0"/>
    <n v="0"/>
    <n v="1"/>
    <n v="0"/>
    <n v="0.35323868365273792"/>
    <n v="0"/>
    <n v="1"/>
    <n v="0"/>
  </r>
  <r>
    <n v="742"/>
    <n v="19"/>
    <s v="male"/>
    <n v="31.2"/>
    <n v="98"/>
    <s v="No"/>
    <x v="1"/>
    <x v="0"/>
    <s v="northwest"/>
    <n v="10461.98"/>
    <x v="1"/>
    <n v="0"/>
    <n v="0"/>
    <n v="0"/>
    <n v="1"/>
    <n v="0.44132524779019733"/>
    <n v="0"/>
    <n v="0"/>
    <n v="0"/>
  </r>
  <r>
    <n v="743"/>
    <n v="35"/>
    <s v="female"/>
    <n v="26.2"/>
    <n v="109"/>
    <s v="Yes"/>
    <x v="2"/>
    <x v="0"/>
    <s v="northwest"/>
    <n v="10493.95"/>
    <x v="4"/>
    <n v="0"/>
    <n v="0"/>
    <n v="0"/>
    <n v="1"/>
    <n v="0.22505687572905664"/>
    <n v="0"/>
    <n v="1"/>
    <n v="1"/>
  </r>
  <r>
    <n v="744"/>
    <n v="42"/>
    <s v="male"/>
    <n v="33.299999999999997"/>
    <n v="101"/>
    <s v="Yes"/>
    <x v="3"/>
    <x v="0"/>
    <s v="southeast"/>
    <n v="10560.49"/>
    <x v="1"/>
    <n v="0"/>
    <n v="1"/>
    <n v="0"/>
    <n v="0"/>
    <n v="0.14206094334203656"/>
    <n v="0"/>
    <n v="1"/>
    <n v="0"/>
  </r>
  <r>
    <n v="745"/>
    <n v="56"/>
    <s v="female"/>
    <n v="33.299999999999997"/>
    <n v="81"/>
    <s v="Yes"/>
    <x v="0"/>
    <x v="0"/>
    <s v="northeast"/>
    <n v="10564.88"/>
    <x v="1"/>
    <n v="0"/>
    <n v="0"/>
    <n v="0"/>
    <n v="0"/>
    <n v="0.51295089594626264"/>
    <n v="0"/>
    <n v="1"/>
    <n v="1"/>
  </r>
  <r>
    <n v="746"/>
    <n v="40"/>
    <s v="male"/>
    <n v="22.1"/>
    <n v="83"/>
    <s v="Yes"/>
    <x v="0"/>
    <x v="0"/>
    <s v="southwest"/>
    <n v="10577.09"/>
    <x v="0"/>
    <n v="0"/>
    <n v="0"/>
    <n v="1"/>
    <n v="0"/>
    <n v="0.82730958714325809"/>
    <n v="0"/>
    <n v="1"/>
    <n v="0"/>
  </r>
  <r>
    <n v="747"/>
    <n v="55"/>
    <s v="female"/>
    <n v="39.6"/>
    <n v="91"/>
    <s v="No"/>
    <x v="1"/>
    <x v="0"/>
    <s v="southeast"/>
    <n v="10579.71"/>
    <x v="2"/>
    <n v="0"/>
    <n v="1"/>
    <n v="0"/>
    <n v="0"/>
    <n v="3.0128125380075033E-2"/>
    <n v="0"/>
    <n v="0"/>
    <n v="1"/>
  </r>
  <r>
    <n v="748"/>
    <n v="34"/>
    <s v="male"/>
    <n v="34.4"/>
    <n v="106"/>
    <s v="No"/>
    <x v="0"/>
    <x v="0"/>
    <s v="southeast"/>
    <n v="10594.23"/>
    <x v="1"/>
    <n v="0"/>
    <n v="1"/>
    <n v="0"/>
    <n v="0"/>
    <n v="0.10586038796340635"/>
    <n v="0"/>
    <n v="0"/>
    <n v="0"/>
  </r>
  <r>
    <n v="749"/>
    <n v="25"/>
    <s v="male"/>
    <n v="27.6"/>
    <n v="110"/>
    <s v="Yes"/>
    <x v="0"/>
    <x v="0"/>
    <s v="northwest"/>
    <n v="10594.5"/>
    <x v="4"/>
    <n v="0"/>
    <n v="0"/>
    <n v="0"/>
    <n v="1"/>
    <n v="5.6156448295787476E-2"/>
    <n v="0"/>
    <n v="1"/>
    <n v="0"/>
  </r>
  <r>
    <n v="750"/>
    <n v="40"/>
    <s v="male"/>
    <n v="31"/>
    <n v="100"/>
    <s v="No"/>
    <x v="3"/>
    <x v="0"/>
    <s v="northwest"/>
    <n v="10600.55"/>
    <x v="1"/>
    <n v="0"/>
    <n v="0"/>
    <n v="0"/>
    <n v="1"/>
    <n v="0.78790637879287062"/>
    <n v="0"/>
    <n v="0"/>
    <n v="0"/>
  </r>
  <r>
    <n v="751"/>
    <n v="29"/>
    <s v="male"/>
    <n v="39.6"/>
    <n v="92"/>
    <s v="No"/>
    <x v="0"/>
    <x v="0"/>
    <s v="southwest"/>
    <n v="10601.41"/>
    <x v="2"/>
    <n v="0"/>
    <n v="0"/>
    <n v="1"/>
    <n v="0"/>
    <n v="0.6025881454608486"/>
    <n v="0"/>
    <n v="0"/>
    <n v="0"/>
  </r>
  <r>
    <n v="752"/>
    <n v="49"/>
    <s v="male"/>
    <n v="32.799999999999997"/>
    <n v="89"/>
    <s v="No"/>
    <x v="0"/>
    <x v="0"/>
    <s v="northwest"/>
    <n v="10601.63"/>
    <x v="1"/>
    <n v="0"/>
    <n v="0"/>
    <n v="0"/>
    <n v="1"/>
    <n v="0.4033827961195251"/>
    <n v="0"/>
    <n v="0"/>
    <n v="0"/>
  </r>
  <r>
    <n v="753"/>
    <n v="40"/>
    <s v="male"/>
    <n v="40.299999999999997"/>
    <n v="96"/>
    <s v="No"/>
    <x v="0"/>
    <x v="0"/>
    <s v="southwest"/>
    <n v="10602.39"/>
    <x v="2"/>
    <n v="0"/>
    <n v="0"/>
    <n v="1"/>
    <n v="0"/>
    <n v="0.77951808016284563"/>
    <n v="0"/>
    <n v="0"/>
    <n v="0"/>
  </r>
  <r>
    <n v="754"/>
    <n v="38"/>
    <s v="female"/>
    <n v="28.2"/>
    <n v="86"/>
    <s v="No"/>
    <x v="3"/>
    <x v="0"/>
    <s v="southeast"/>
    <n v="10702.64"/>
    <x v="4"/>
    <n v="0"/>
    <n v="1"/>
    <n v="0"/>
    <n v="0"/>
    <n v="0.4680161282893639"/>
    <n v="0"/>
    <n v="0"/>
    <n v="1"/>
  </r>
  <r>
    <n v="755"/>
    <n v="59"/>
    <s v="female"/>
    <n v="30.5"/>
    <n v="82"/>
    <s v="No"/>
    <x v="0"/>
    <x v="0"/>
    <s v="southwest"/>
    <n v="10704.47"/>
    <x v="1"/>
    <n v="0"/>
    <n v="0"/>
    <n v="1"/>
    <n v="0"/>
    <n v="0.6169077043314003"/>
    <n v="0"/>
    <n v="0"/>
    <n v="1"/>
  </r>
  <r>
    <n v="756"/>
    <n v="47"/>
    <s v="female"/>
    <n v="37.1"/>
    <n v="101"/>
    <s v="Yes"/>
    <x v="0"/>
    <x v="0"/>
    <s v="southwest"/>
    <n v="10713.64"/>
    <x v="2"/>
    <n v="0"/>
    <n v="0"/>
    <n v="1"/>
    <n v="0"/>
    <n v="0.8317530563108948"/>
    <n v="0"/>
    <n v="1"/>
    <n v="1"/>
  </r>
  <r>
    <n v="757"/>
    <n v="26"/>
    <s v="male"/>
    <n v="35.6"/>
    <n v="106"/>
    <s v="Yes"/>
    <x v="4"/>
    <x v="0"/>
    <s v="northeast"/>
    <n v="10736.87"/>
    <x v="2"/>
    <n v="0"/>
    <n v="0"/>
    <n v="0"/>
    <n v="0"/>
    <n v="0.47904487323914757"/>
    <n v="0"/>
    <n v="1"/>
    <n v="0"/>
  </r>
  <r>
    <n v="758"/>
    <n v="30"/>
    <s v="male"/>
    <n v="21.5"/>
    <n v="87"/>
    <s v="No"/>
    <x v="1"/>
    <x v="0"/>
    <s v="southwest"/>
    <n v="10791.96"/>
    <x v="0"/>
    <n v="0"/>
    <n v="0"/>
    <n v="1"/>
    <n v="0"/>
    <n v="9.218091115385052E-2"/>
    <n v="0"/>
    <n v="0"/>
    <n v="0"/>
  </r>
  <r>
    <n v="759"/>
    <n v="57"/>
    <s v="female"/>
    <n v="33.4"/>
    <n v="84"/>
    <s v="Yes"/>
    <x v="0"/>
    <x v="0"/>
    <s v="southwest"/>
    <n v="10795.94"/>
    <x v="1"/>
    <n v="0"/>
    <n v="0"/>
    <n v="1"/>
    <n v="0"/>
    <n v="0.77686514121809558"/>
    <n v="0"/>
    <n v="1"/>
    <n v="1"/>
  </r>
  <r>
    <n v="760"/>
    <n v="34"/>
    <s v="male"/>
    <n v="29"/>
    <n v="110"/>
    <s v="Yes"/>
    <x v="0"/>
    <x v="0"/>
    <s v="northeast"/>
    <n v="10796.35"/>
    <x v="4"/>
    <n v="0"/>
    <n v="0"/>
    <n v="0"/>
    <n v="0"/>
    <n v="0.16256965064692208"/>
    <n v="0"/>
    <n v="1"/>
    <n v="0"/>
  </r>
  <r>
    <n v="761"/>
    <n v="43"/>
    <s v="female"/>
    <n v="30.8"/>
    <n v="106"/>
    <s v="Yes"/>
    <x v="1"/>
    <x v="0"/>
    <s v="northeast"/>
    <n v="10797.34"/>
    <x v="1"/>
    <n v="0"/>
    <n v="0"/>
    <n v="0"/>
    <n v="0"/>
    <n v="0.5736317037447457"/>
    <n v="0"/>
    <n v="1"/>
    <n v="1"/>
  </r>
  <r>
    <n v="762"/>
    <n v="42"/>
    <s v="female"/>
    <n v="33.299999999999997"/>
    <n v="103"/>
    <s v="Yes"/>
    <x v="2"/>
    <x v="0"/>
    <s v="southwest"/>
    <n v="10806.84"/>
    <x v="1"/>
    <n v="0"/>
    <n v="0"/>
    <n v="1"/>
    <n v="0"/>
    <n v="0.5021095095501934"/>
    <n v="0"/>
    <n v="1"/>
    <n v="1"/>
  </r>
  <r>
    <n v="763"/>
    <n v="28"/>
    <s v="male"/>
    <n v="32.700000000000003"/>
    <n v="103"/>
    <s v="No"/>
    <x v="1"/>
    <x v="0"/>
    <s v="southeast"/>
    <n v="10807.49"/>
    <x v="1"/>
    <n v="0"/>
    <n v="1"/>
    <n v="0"/>
    <n v="0"/>
    <n v="3.8676449222802001E-2"/>
    <n v="0"/>
    <n v="0"/>
    <n v="0"/>
  </r>
  <r>
    <n v="764"/>
    <n v="38"/>
    <s v="male"/>
    <n v="33.6"/>
    <n v="80"/>
    <s v="Yes"/>
    <x v="1"/>
    <x v="0"/>
    <s v="northwest"/>
    <n v="10825.25"/>
    <x v="1"/>
    <n v="0"/>
    <n v="0"/>
    <n v="0"/>
    <n v="1"/>
    <n v="0.18451524016383125"/>
    <n v="0"/>
    <n v="1"/>
    <n v="0"/>
  </r>
  <r>
    <n v="765"/>
    <n v="31"/>
    <s v="female"/>
    <n v="36.700000000000003"/>
    <n v="103"/>
    <s v="No"/>
    <x v="2"/>
    <x v="0"/>
    <s v="northwest"/>
    <n v="10848.13"/>
    <x v="2"/>
    <n v="0"/>
    <n v="0"/>
    <n v="0"/>
    <n v="1"/>
    <n v="0.38892978454430505"/>
    <n v="0"/>
    <n v="0"/>
    <n v="1"/>
  </r>
  <r>
    <n v="766"/>
    <n v="26"/>
    <s v="female"/>
    <n v="32.700000000000003"/>
    <n v="90"/>
    <s v="Yes"/>
    <x v="0"/>
    <x v="0"/>
    <s v="northeast"/>
    <n v="10923.93"/>
    <x v="1"/>
    <n v="0"/>
    <n v="0"/>
    <n v="0"/>
    <n v="0"/>
    <n v="0.2235817581108791"/>
    <n v="0"/>
    <n v="1"/>
    <n v="1"/>
  </r>
  <r>
    <n v="767"/>
    <n v="51"/>
    <s v="female"/>
    <n v="31.9"/>
    <n v="102"/>
    <s v="Yes"/>
    <x v="1"/>
    <x v="0"/>
    <s v="southeast"/>
    <n v="10928.85"/>
    <x v="1"/>
    <n v="0"/>
    <n v="1"/>
    <n v="0"/>
    <n v="0"/>
    <n v="0.15939871765362457"/>
    <n v="0"/>
    <n v="1"/>
    <n v="1"/>
  </r>
  <r>
    <n v="768"/>
    <n v="39"/>
    <s v="female"/>
    <n v="24.8"/>
    <n v="89"/>
    <s v="Yes"/>
    <x v="1"/>
    <x v="0"/>
    <s v="northwest"/>
    <n v="10942.13"/>
    <x v="0"/>
    <n v="0"/>
    <n v="0"/>
    <n v="0"/>
    <n v="1"/>
    <n v="0.66532889195106071"/>
    <n v="0"/>
    <n v="1"/>
    <n v="1"/>
  </r>
  <r>
    <n v="769"/>
    <n v="37"/>
    <s v="male"/>
    <n v="23.7"/>
    <n v="91"/>
    <s v="Yes"/>
    <x v="0"/>
    <x v="0"/>
    <s v="southwest"/>
    <n v="10959.33"/>
    <x v="0"/>
    <n v="0"/>
    <n v="0"/>
    <n v="1"/>
    <n v="0"/>
    <n v="0.77162778627902784"/>
    <n v="0"/>
    <n v="1"/>
    <n v="0"/>
  </r>
  <r>
    <n v="770"/>
    <n v="48"/>
    <s v="female"/>
    <n v="37.4"/>
    <n v="80"/>
    <s v="Yes"/>
    <x v="1"/>
    <x v="0"/>
    <s v="northwest"/>
    <n v="10959.69"/>
    <x v="2"/>
    <n v="0"/>
    <n v="0"/>
    <n v="0"/>
    <n v="1"/>
    <n v="0.16527705513865543"/>
    <n v="0"/>
    <n v="1"/>
    <n v="1"/>
  </r>
  <r>
    <n v="771"/>
    <n v="39"/>
    <s v="male"/>
    <n v="28.1"/>
    <n v="106"/>
    <s v="Yes"/>
    <x v="0"/>
    <x v="0"/>
    <s v="southwest"/>
    <n v="10965.45"/>
    <x v="4"/>
    <n v="0"/>
    <n v="0"/>
    <n v="1"/>
    <n v="0"/>
    <n v="0.71491832624643648"/>
    <n v="0"/>
    <n v="1"/>
    <n v="0"/>
  </r>
  <r>
    <n v="772"/>
    <n v="30"/>
    <s v="male"/>
    <n v="33.700000000000003"/>
    <n v="103"/>
    <s v="Yes"/>
    <x v="0"/>
    <x v="0"/>
    <s v="northwest"/>
    <n v="10976.25"/>
    <x v="1"/>
    <n v="0"/>
    <n v="0"/>
    <n v="0"/>
    <n v="1"/>
    <n v="0.70910736086803383"/>
    <n v="0"/>
    <n v="1"/>
    <n v="0"/>
  </r>
  <r>
    <n v="773"/>
    <n v="60"/>
    <s v="female"/>
    <n v="41.5"/>
    <n v="85"/>
    <s v="No"/>
    <x v="4"/>
    <x v="0"/>
    <s v="southeast"/>
    <n v="10977.21"/>
    <x v="2"/>
    <n v="0"/>
    <n v="1"/>
    <n v="0"/>
    <n v="0"/>
    <n v="0.59070551040079677"/>
    <n v="0"/>
    <n v="0"/>
    <n v="1"/>
  </r>
  <r>
    <n v="774"/>
    <n v="24"/>
    <s v="male"/>
    <n v="40.4"/>
    <n v="89"/>
    <s v="Yes"/>
    <x v="0"/>
    <x v="0"/>
    <s v="southeast"/>
    <n v="10982.5"/>
    <x v="2"/>
    <n v="0"/>
    <n v="1"/>
    <n v="0"/>
    <n v="0"/>
    <n v="0.35567051256712401"/>
    <n v="0"/>
    <n v="1"/>
    <n v="0"/>
  </r>
  <r>
    <n v="775"/>
    <n v="45"/>
    <s v="male"/>
    <n v="21"/>
    <n v="85"/>
    <s v="Yes"/>
    <x v="2"/>
    <x v="0"/>
    <s v="southeast"/>
    <n v="11013.71"/>
    <x v="0"/>
    <n v="0"/>
    <n v="1"/>
    <n v="0"/>
    <n v="0"/>
    <n v="8.4904579674454861E-2"/>
    <n v="0"/>
    <n v="1"/>
    <n v="0"/>
  </r>
  <r>
    <n v="776"/>
    <n v="50"/>
    <s v="female"/>
    <n v="27.9"/>
    <n v="83"/>
    <s v="Yes"/>
    <x v="4"/>
    <x v="0"/>
    <s v="northwest"/>
    <n v="11015.17"/>
    <x v="4"/>
    <n v="0"/>
    <n v="0"/>
    <n v="0"/>
    <n v="1"/>
    <n v="0.75587862434747921"/>
    <n v="0"/>
    <n v="1"/>
    <n v="1"/>
  </r>
  <r>
    <n v="777"/>
    <n v="49"/>
    <s v="female"/>
    <n v="41.2"/>
    <n v="92"/>
    <s v="Yes"/>
    <x v="4"/>
    <x v="0"/>
    <s v="northwest"/>
    <n v="11033.66"/>
    <x v="2"/>
    <n v="0"/>
    <n v="0"/>
    <n v="0"/>
    <n v="1"/>
    <n v="0.83408127486997408"/>
    <n v="0"/>
    <n v="1"/>
    <n v="1"/>
  </r>
  <r>
    <n v="778"/>
    <n v="53"/>
    <s v="female"/>
    <n v="25.3"/>
    <n v="104"/>
    <s v="Yes"/>
    <x v="0"/>
    <x v="0"/>
    <s v="southwest"/>
    <n v="11070.54"/>
    <x v="4"/>
    <n v="0"/>
    <n v="0"/>
    <n v="1"/>
    <n v="0"/>
    <n v="0.794734858179443"/>
    <n v="0"/>
    <n v="1"/>
    <n v="1"/>
  </r>
  <r>
    <n v="779"/>
    <n v="57"/>
    <s v="female"/>
    <n v="27.2"/>
    <n v="90"/>
    <s v="Yes"/>
    <x v="0"/>
    <x v="0"/>
    <s v="southwest"/>
    <n v="11073.18"/>
    <x v="4"/>
    <n v="0"/>
    <n v="0"/>
    <n v="1"/>
    <n v="0"/>
    <n v="0.63422890349480432"/>
    <n v="0"/>
    <n v="1"/>
    <n v="1"/>
  </r>
  <r>
    <n v="780"/>
    <n v="38"/>
    <s v="female"/>
    <n v="27"/>
    <n v="84"/>
    <s v="No"/>
    <x v="0"/>
    <x v="0"/>
    <s v="northwest"/>
    <n v="11082.58"/>
    <x v="4"/>
    <n v="0"/>
    <n v="0"/>
    <n v="0"/>
    <n v="1"/>
    <n v="0.90059604757932332"/>
    <n v="0"/>
    <n v="0"/>
    <n v="1"/>
  </r>
  <r>
    <n v="781"/>
    <n v="36"/>
    <s v="female"/>
    <n v="28.1"/>
    <n v="106"/>
    <s v="Yes"/>
    <x v="3"/>
    <x v="0"/>
    <s v="northwest"/>
    <n v="11085.59"/>
    <x v="4"/>
    <n v="0"/>
    <n v="0"/>
    <n v="0"/>
    <n v="1"/>
    <n v="0.36576950097696492"/>
    <n v="0"/>
    <n v="1"/>
    <n v="1"/>
  </r>
  <r>
    <n v="782"/>
    <n v="60"/>
    <s v="female"/>
    <n v="39.799999999999997"/>
    <n v="93"/>
    <s v="Yes"/>
    <x v="0"/>
    <x v="0"/>
    <s v="southeast"/>
    <n v="11090.72"/>
    <x v="2"/>
    <n v="0"/>
    <n v="1"/>
    <n v="0"/>
    <n v="0"/>
    <n v="0.66675200997274553"/>
    <n v="0"/>
    <n v="1"/>
    <n v="1"/>
  </r>
  <r>
    <n v="783"/>
    <n v="48"/>
    <s v="female"/>
    <n v="41.9"/>
    <n v="99"/>
    <s v="Yes"/>
    <x v="0"/>
    <x v="0"/>
    <s v="southeast"/>
    <n v="11093.62"/>
    <x v="2"/>
    <n v="0"/>
    <n v="1"/>
    <n v="0"/>
    <n v="0"/>
    <n v="5.7405693639549726E-2"/>
    <n v="0"/>
    <n v="1"/>
    <n v="1"/>
  </r>
  <r>
    <n v="784"/>
    <n v="46"/>
    <s v="female"/>
    <n v="26.7"/>
    <n v="102"/>
    <s v="Yes"/>
    <x v="2"/>
    <x v="0"/>
    <s v="southwest"/>
    <n v="11150.78"/>
    <x v="4"/>
    <n v="0"/>
    <n v="0"/>
    <n v="1"/>
    <n v="0"/>
    <n v="0.71803403320471126"/>
    <n v="0"/>
    <n v="1"/>
    <n v="1"/>
  </r>
  <r>
    <n v="785"/>
    <n v="47"/>
    <s v="female"/>
    <n v="35.9"/>
    <n v="104"/>
    <s v="No"/>
    <x v="2"/>
    <x v="0"/>
    <s v="southwest"/>
    <n v="11163.57"/>
    <x v="2"/>
    <n v="0"/>
    <n v="0"/>
    <n v="1"/>
    <n v="0"/>
    <n v="0.86391825003572709"/>
    <n v="0"/>
    <n v="0"/>
    <n v="1"/>
  </r>
  <r>
    <n v="786"/>
    <n v="25"/>
    <s v="male"/>
    <n v="25.9"/>
    <n v="82"/>
    <s v="No"/>
    <x v="0"/>
    <x v="0"/>
    <s v="northeast"/>
    <n v="11165.42"/>
    <x v="4"/>
    <n v="0"/>
    <n v="0"/>
    <n v="0"/>
    <n v="0"/>
    <n v="0.96202719788506785"/>
    <n v="0"/>
    <n v="0"/>
    <n v="0"/>
  </r>
  <r>
    <n v="787"/>
    <n v="26"/>
    <s v="female"/>
    <n v="31.7"/>
    <n v="106"/>
    <s v="Yes"/>
    <x v="2"/>
    <x v="0"/>
    <s v="northwest"/>
    <n v="11187.66"/>
    <x v="1"/>
    <n v="0"/>
    <n v="0"/>
    <n v="0"/>
    <n v="1"/>
    <n v="0.97989015967300075"/>
    <n v="0"/>
    <n v="1"/>
    <n v="1"/>
  </r>
  <r>
    <n v="788"/>
    <n v="47"/>
    <s v="male"/>
    <n v="26.4"/>
    <n v="84"/>
    <s v="No"/>
    <x v="2"/>
    <x v="0"/>
    <s v="northeast"/>
    <n v="11244.38"/>
    <x v="4"/>
    <n v="0"/>
    <n v="0"/>
    <n v="0"/>
    <n v="0"/>
    <n v="0.7702888398824308"/>
    <n v="0"/>
    <n v="0"/>
    <n v="0"/>
  </r>
  <r>
    <n v="789"/>
    <n v="31"/>
    <s v="male"/>
    <n v="28.6"/>
    <n v="86"/>
    <s v="No"/>
    <x v="3"/>
    <x v="0"/>
    <s v="southwest"/>
    <n v="11253.42"/>
    <x v="4"/>
    <n v="0"/>
    <n v="0"/>
    <n v="1"/>
    <n v="0"/>
    <n v="0.22494927796945663"/>
    <n v="0"/>
    <n v="0"/>
    <n v="0"/>
  </r>
  <r>
    <n v="790"/>
    <n v="49"/>
    <s v="male"/>
    <n v="36.6"/>
    <n v="84"/>
    <s v="No"/>
    <x v="3"/>
    <x v="0"/>
    <s v="southwest"/>
    <n v="11264.54"/>
    <x v="2"/>
    <n v="0"/>
    <n v="0"/>
    <n v="1"/>
    <n v="0"/>
    <n v="0.61971213471767506"/>
    <n v="0"/>
    <n v="0"/>
    <n v="0"/>
  </r>
  <r>
    <n v="791"/>
    <n v="43"/>
    <s v="male"/>
    <n v="28.3"/>
    <n v="91"/>
    <s v="No"/>
    <x v="1"/>
    <x v="0"/>
    <s v="northeast"/>
    <n v="11272.33"/>
    <x v="4"/>
    <n v="0"/>
    <n v="0"/>
    <n v="0"/>
    <n v="0"/>
    <n v="0.13609166425939778"/>
    <n v="0"/>
    <n v="0"/>
    <n v="0"/>
  </r>
  <r>
    <n v="792"/>
    <n v="51"/>
    <s v="female"/>
    <n v="29.8"/>
    <n v="101"/>
    <s v="Yes"/>
    <x v="0"/>
    <x v="0"/>
    <s v="northeast"/>
    <n v="11286.54"/>
    <x v="4"/>
    <n v="0"/>
    <n v="0"/>
    <n v="0"/>
    <n v="0"/>
    <n v="7.703750237030893E-2"/>
    <n v="0"/>
    <n v="1"/>
    <n v="1"/>
  </r>
  <r>
    <n v="793"/>
    <n v="47"/>
    <s v="male"/>
    <n v="32.799999999999997"/>
    <n v="83"/>
    <s v="No"/>
    <x v="3"/>
    <x v="0"/>
    <s v="northwest"/>
    <n v="11289.11"/>
    <x v="1"/>
    <n v="0"/>
    <n v="0"/>
    <n v="0"/>
    <n v="1"/>
    <n v="0.51962255192057283"/>
    <n v="0"/>
    <n v="0"/>
    <n v="0"/>
  </r>
  <r>
    <n v="794"/>
    <n v="37"/>
    <s v="female"/>
    <n v="33.700000000000003"/>
    <n v="91"/>
    <s v="Yes"/>
    <x v="4"/>
    <x v="0"/>
    <s v="southwest"/>
    <n v="11299.34"/>
    <x v="1"/>
    <n v="0"/>
    <n v="0"/>
    <n v="1"/>
    <n v="0"/>
    <n v="0.81988693077844488"/>
    <n v="0"/>
    <n v="1"/>
    <n v="1"/>
  </r>
  <r>
    <n v="795"/>
    <n v="48"/>
    <s v="female"/>
    <n v="27.6"/>
    <n v="94"/>
    <s v="No"/>
    <x v="1"/>
    <x v="0"/>
    <s v="northwest"/>
    <n v="11305.93"/>
    <x v="4"/>
    <n v="0"/>
    <n v="0"/>
    <n v="0"/>
    <n v="1"/>
    <n v="0.22759044499690118"/>
    <n v="0"/>
    <n v="0"/>
    <n v="1"/>
  </r>
  <r>
    <n v="796"/>
    <n v="47"/>
    <s v="male"/>
    <n v="42.5"/>
    <n v="96"/>
    <s v="No"/>
    <x v="1"/>
    <x v="0"/>
    <s v="southeast"/>
    <n v="11326.71"/>
    <x v="2"/>
    <n v="0"/>
    <n v="1"/>
    <n v="0"/>
    <n v="0"/>
    <n v="0.88272544009839093"/>
    <n v="0"/>
    <n v="0"/>
    <n v="0"/>
  </r>
  <r>
    <n v="797"/>
    <n v="38"/>
    <s v="male"/>
    <n v="23.3"/>
    <n v="98"/>
    <s v="No"/>
    <x v="0"/>
    <x v="0"/>
    <s v="southwest"/>
    <n v="11345.52"/>
    <x v="0"/>
    <n v="0"/>
    <n v="0"/>
    <n v="1"/>
    <n v="0"/>
    <n v="0.91263165590332795"/>
    <n v="0"/>
    <n v="0"/>
    <n v="0"/>
  </r>
  <r>
    <n v="798"/>
    <n v="33"/>
    <s v="male"/>
    <n v="31.5"/>
    <n v="108"/>
    <s v="No"/>
    <x v="0"/>
    <x v="0"/>
    <s v="northwest"/>
    <n v="11353.23"/>
    <x v="1"/>
    <n v="0"/>
    <n v="0"/>
    <n v="0"/>
    <n v="1"/>
    <n v="0.32820899331689846"/>
    <n v="0"/>
    <n v="0"/>
    <n v="0"/>
  </r>
  <r>
    <n v="799"/>
    <n v="47"/>
    <s v="male"/>
    <n v="34"/>
    <n v="105"/>
    <s v="No"/>
    <x v="0"/>
    <x v="0"/>
    <s v="northwest"/>
    <n v="11356.66"/>
    <x v="1"/>
    <n v="0"/>
    <n v="0"/>
    <n v="0"/>
    <n v="1"/>
    <n v="0.57303670082248193"/>
    <n v="0"/>
    <n v="0"/>
    <n v="0"/>
  </r>
  <r>
    <n v="800"/>
    <n v="30"/>
    <s v="male"/>
    <n v="35.700000000000003"/>
    <n v="91"/>
    <s v="No"/>
    <x v="0"/>
    <x v="0"/>
    <s v="southwest"/>
    <n v="11362.76"/>
    <x v="2"/>
    <n v="0"/>
    <n v="0"/>
    <n v="1"/>
    <n v="0"/>
    <n v="0.97650034434700905"/>
    <n v="0"/>
    <n v="0"/>
    <n v="0"/>
  </r>
  <r>
    <n v="801"/>
    <n v="32"/>
    <s v="male"/>
    <n v="36.1"/>
    <n v="80"/>
    <s v="No"/>
    <x v="0"/>
    <x v="0"/>
    <s v="southeast"/>
    <n v="11363.28"/>
    <x v="2"/>
    <n v="0"/>
    <n v="1"/>
    <n v="0"/>
    <n v="0"/>
    <n v="0.2024860397245416"/>
    <n v="0"/>
    <n v="0"/>
    <n v="0"/>
  </r>
  <r>
    <n v="802"/>
    <n v="43"/>
    <s v="male"/>
    <n v="38"/>
    <n v="109"/>
    <s v="Yes"/>
    <x v="0"/>
    <x v="0"/>
    <s v="southwest"/>
    <n v="11365.95"/>
    <x v="2"/>
    <n v="0"/>
    <n v="0"/>
    <n v="1"/>
    <n v="0"/>
    <n v="0.95395810591399699"/>
    <n v="0"/>
    <n v="1"/>
    <n v="0"/>
  </r>
  <r>
    <n v="803"/>
    <n v="42"/>
    <s v="male"/>
    <n v="49.1"/>
    <n v="109"/>
    <s v="Yes"/>
    <x v="0"/>
    <x v="0"/>
    <s v="southeast"/>
    <n v="11381.33"/>
    <x v="2"/>
    <n v="0"/>
    <n v="1"/>
    <n v="0"/>
    <n v="0"/>
    <n v="9.6578464906307504E-2"/>
    <n v="0"/>
    <n v="1"/>
    <n v="0"/>
  </r>
  <r>
    <n v="804"/>
    <n v="20"/>
    <s v="male"/>
    <n v="35.200000000000003"/>
    <n v="92"/>
    <s v="No"/>
    <x v="1"/>
    <x v="0"/>
    <s v="northeast"/>
    <n v="11394.07"/>
    <x v="2"/>
    <n v="0"/>
    <n v="0"/>
    <n v="0"/>
    <n v="0"/>
    <n v="0.21572255815341612"/>
    <n v="0"/>
    <n v="0"/>
    <n v="0"/>
  </r>
  <r>
    <n v="805"/>
    <n v="36"/>
    <s v="female"/>
    <n v="38.4"/>
    <n v="98"/>
    <s v="Yes"/>
    <x v="2"/>
    <x v="0"/>
    <s v="northeast"/>
    <n v="11396.9"/>
    <x v="2"/>
    <n v="0"/>
    <n v="0"/>
    <n v="0"/>
    <n v="0"/>
    <n v="0.49761163394417285"/>
    <n v="0"/>
    <n v="1"/>
    <n v="1"/>
  </r>
  <r>
    <n v="806"/>
    <n v="37"/>
    <s v="female"/>
    <n v="44.7"/>
    <n v="81"/>
    <s v="No"/>
    <x v="3"/>
    <x v="0"/>
    <s v="southwest"/>
    <n v="11411.69"/>
    <x v="2"/>
    <n v="0"/>
    <n v="0"/>
    <n v="1"/>
    <n v="0"/>
    <n v="0.62871994153180433"/>
    <n v="0"/>
    <n v="0"/>
    <n v="1"/>
  </r>
  <r>
    <n v="807"/>
    <n v="59"/>
    <s v="female"/>
    <n v="36.4"/>
    <n v="91"/>
    <s v="No"/>
    <x v="3"/>
    <x v="0"/>
    <s v="northwest"/>
    <n v="11436.74"/>
    <x v="2"/>
    <n v="0"/>
    <n v="0"/>
    <n v="0"/>
    <n v="1"/>
    <n v="0.3310421898115351"/>
    <n v="0"/>
    <n v="0"/>
    <n v="1"/>
  </r>
  <r>
    <n v="808"/>
    <n v="51"/>
    <s v="female"/>
    <n v="25.7"/>
    <n v="83"/>
    <s v="Yes"/>
    <x v="0"/>
    <x v="0"/>
    <s v="northwest"/>
    <n v="11454.02"/>
    <x v="4"/>
    <n v="0"/>
    <n v="0"/>
    <n v="0"/>
    <n v="1"/>
    <n v="0.18058985283186679"/>
    <n v="0"/>
    <n v="1"/>
    <n v="1"/>
  </r>
  <r>
    <n v="809"/>
    <n v="44"/>
    <s v="female"/>
    <n v="28.7"/>
    <n v="95"/>
    <s v="No"/>
    <x v="0"/>
    <x v="0"/>
    <s v="southwest"/>
    <n v="11455.28"/>
    <x v="4"/>
    <n v="0"/>
    <n v="0"/>
    <n v="1"/>
    <n v="0"/>
    <n v="0.53088270103969792"/>
    <n v="0"/>
    <n v="0"/>
    <n v="1"/>
  </r>
  <r>
    <n v="810"/>
    <n v="40"/>
    <s v="female"/>
    <n v="33.9"/>
    <n v="93"/>
    <s v="Yes"/>
    <x v="0"/>
    <x v="0"/>
    <s v="southeast"/>
    <n v="11482.63"/>
    <x v="1"/>
    <n v="0"/>
    <n v="1"/>
    <n v="0"/>
    <n v="0"/>
    <n v="0.53774028880080649"/>
    <n v="0"/>
    <n v="1"/>
    <n v="1"/>
  </r>
  <r>
    <n v="811"/>
    <n v="33"/>
    <s v="male"/>
    <n v="32.200000000000003"/>
    <n v="85"/>
    <s v="No"/>
    <x v="3"/>
    <x v="0"/>
    <s v="northeast"/>
    <n v="11488.32"/>
    <x v="1"/>
    <n v="0"/>
    <n v="0"/>
    <n v="0"/>
    <n v="0"/>
    <n v="0.54650377271916628"/>
    <n v="0"/>
    <n v="0"/>
    <n v="0"/>
  </r>
  <r>
    <n v="812"/>
    <n v="59"/>
    <s v="female"/>
    <n v="32.299999999999997"/>
    <n v="97"/>
    <s v="Yes"/>
    <x v="1"/>
    <x v="0"/>
    <s v="northeast"/>
    <n v="11512.41"/>
    <x v="1"/>
    <n v="0"/>
    <n v="0"/>
    <n v="0"/>
    <n v="0"/>
    <n v="0.2397500590002507"/>
    <n v="0"/>
    <n v="1"/>
    <n v="1"/>
  </r>
  <r>
    <n v="813"/>
    <n v="45"/>
    <s v="male"/>
    <n v="24.4"/>
    <n v="103"/>
    <s v="Yes"/>
    <x v="4"/>
    <x v="0"/>
    <s v="northwest"/>
    <n v="11520.1"/>
    <x v="0"/>
    <n v="0"/>
    <n v="0"/>
    <n v="0"/>
    <n v="1"/>
    <n v="0.33341748070936883"/>
    <n v="0"/>
    <n v="1"/>
    <n v="0"/>
  </r>
  <r>
    <n v="814"/>
    <n v="35"/>
    <s v="male"/>
    <n v="18.3"/>
    <n v="95"/>
    <s v="No"/>
    <x v="0"/>
    <x v="0"/>
    <s v="northeast"/>
    <n v="11534.87"/>
    <x v="3"/>
    <n v="0"/>
    <n v="0"/>
    <n v="0"/>
    <n v="0"/>
    <n v="0.7251150111807334"/>
    <n v="0"/>
    <n v="0"/>
    <n v="0"/>
  </r>
  <r>
    <n v="815"/>
    <n v="57"/>
    <s v="female"/>
    <n v="46.7"/>
    <n v="101"/>
    <s v="Yes"/>
    <x v="2"/>
    <x v="0"/>
    <s v="southwest"/>
    <n v="11538.42"/>
    <x v="2"/>
    <n v="0"/>
    <n v="0"/>
    <n v="1"/>
    <n v="0"/>
    <n v="0.26283983379003661"/>
    <n v="0"/>
    <n v="1"/>
    <n v="1"/>
  </r>
  <r>
    <n v="816"/>
    <n v="29"/>
    <s v="female"/>
    <n v="31.9"/>
    <n v="90"/>
    <s v="Yes"/>
    <x v="5"/>
    <x v="0"/>
    <s v="southwest"/>
    <n v="11552.9"/>
    <x v="1"/>
    <n v="0"/>
    <n v="0"/>
    <n v="1"/>
    <n v="0"/>
    <n v="0.89212046651995469"/>
    <n v="0"/>
    <n v="1"/>
    <n v="1"/>
  </r>
  <r>
    <n v="817"/>
    <n v="26"/>
    <s v="male"/>
    <n v="27.9"/>
    <n v="97"/>
    <s v="Yes"/>
    <x v="1"/>
    <x v="0"/>
    <s v="southeast"/>
    <n v="11554.22"/>
    <x v="4"/>
    <n v="0"/>
    <n v="1"/>
    <n v="0"/>
    <n v="0"/>
    <n v="0.94914151336853136"/>
    <n v="0"/>
    <n v="1"/>
    <n v="0"/>
  </r>
  <r>
    <n v="818"/>
    <n v="35"/>
    <s v="male"/>
    <n v="40.9"/>
    <n v="80"/>
    <s v="Yes"/>
    <x v="0"/>
    <x v="0"/>
    <s v="northeast"/>
    <n v="11566.3"/>
    <x v="2"/>
    <n v="0"/>
    <n v="0"/>
    <n v="0"/>
    <n v="0"/>
    <n v="0.9963228490295124"/>
    <n v="0"/>
    <n v="1"/>
    <n v="0"/>
  </r>
  <r>
    <n v="819"/>
    <n v="18"/>
    <s v="male"/>
    <n v="43.7"/>
    <n v="101"/>
    <s v="No"/>
    <x v="1"/>
    <x v="0"/>
    <s v="southwest"/>
    <n v="11576.13"/>
    <x v="2"/>
    <n v="0"/>
    <n v="0"/>
    <n v="1"/>
    <n v="0"/>
    <n v="0.18657789017243809"/>
    <n v="0"/>
    <n v="0"/>
    <n v="0"/>
  </r>
  <r>
    <n v="820"/>
    <n v="42"/>
    <s v="female"/>
    <n v="28.3"/>
    <n v="85"/>
    <s v="No"/>
    <x v="0"/>
    <x v="0"/>
    <s v="northeast"/>
    <n v="11657.72"/>
    <x v="4"/>
    <n v="0"/>
    <n v="0"/>
    <n v="0"/>
    <n v="0"/>
    <n v="0.13210929458499399"/>
    <n v="0"/>
    <n v="0"/>
    <n v="1"/>
  </r>
  <r>
    <n v="821"/>
    <n v="43"/>
    <s v="female"/>
    <n v="28.6"/>
    <n v="110"/>
    <s v="No"/>
    <x v="0"/>
    <x v="0"/>
    <s v="northeast"/>
    <n v="11658.12"/>
    <x v="4"/>
    <n v="0"/>
    <n v="0"/>
    <n v="0"/>
    <n v="0"/>
    <n v="0.14628717128333468"/>
    <n v="0"/>
    <n v="0"/>
    <n v="1"/>
  </r>
  <r>
    <n v="822"/>
    <n v="40"/>
    <s v="female"/>
    <n v="28.8"/>
    <n v="83"/>
    <s v="No"/>
    <x v="0"/>
    <x v="0"/>
    <s v="northeast"/>
    <n v="11658.38"/>
    <x v="4"/>
    <n v="0"/>
    <n v="0"/>
    <n v="0"/>
    <n v="0"/>
    <n v="0.49551162209454103"/>
    <n v="0"/>
    <n v="0"/>
    <n v="1"/>
  </r>
  <r>
    <n v="823"/>
    <n v="31"/>
    <s v="female"/>
    <n v="35.799999999999997"/>
    <n v="109"/>
    <s v="No"/>
    <x v="1"/>
    <x v="0"/>
    <s v="southwest"/>
    <n v="11674.13"/>
    <x v="2"/>
    <n v="0"/>
    <n v="0"/>
    <n v="1"/>
    <n v="0"/>
    <n v="0.5628844491494881"/>
    <n v="0"/>
    <n v="0"/>
    <n v="1"/>
  </r>
  <r>
    <n v="824"/>
    <n v="50"/>
    <s v="female"/>
    <n v="23.8"/>
    <n v="100"/>
    <s v="No"/>
    <x v="2"/>
    <x v="0"/>
    <s v="northeast"/>
    <n v="11729.68"/>
    <x v="0"/>
    <n v="0"/>
    <n v="0"/>
    <n v="0"/>
    <n v="0"/>
    <n v="0.83956335314093178"/>
    <n v="0"/>
    <n v="0"/>
    <n v="1"/>
  </r>
  <r>
    <n v="825"/>
    <n v="29"/>
    <s v="male"/>
    <n v="28.6"/>
    <n v="85"/>
    <s v="Yes"/>
    <x v="0"/>
    <x v="0"/>
    <s v="northwest"/>
    <n v="11735.88"/>
    <x v="4"/>
    <n v="0"/>
    <n v="0"/>
    <n v="0"/>
    <n v="1"/>
    <n v="0.57444973324013915"/>
    <n v="0"/>
    <n v="1"/>
    <n v="0"/>
  </r>
  <r>
    <n v="826"/>
    <n v="37"/>
    <s v="male"/>
    <n v="27"/>
    <n v="83"/>
    <s v="Yes"/>
    <x v="2"/>
    <x v="0"/>
    <s v="southwest"/>
    <n v="11737.85"/>
    <x v="4"/>
    <n v="0"/>
    <n v="0"/>
    <n v="1"/>
    <n v="0"/>
    <n v="0.91207600084373963"/>
    <n v="0"/>
    <n v="1"/>
    <n v="0"/>
  </r>
  <r>
    <n v="827"/>
    <n v="54"/>
    <s v="female"/>
    <n v="28.1"/>
    <n v="83"/>
    <s v="No"/>
    <x v="3"/>
    <x v="0"/>
    <s v="southwest"/>
    <n v="11741.73"/>
    <x v="4"/>
    <n v="0"/>
    <n v="0"/>
    <n v="1"/>
    <n v="0"/>
    <n v="4.421839569185082E-2"/>
    <n v="0"/>
    <n v="0"/>
    <n v="1"/>
  </r>
  <r>
    <n v="828"/>
    <n v="34"/>
    <s v="male"/>
    <n v="26.4"/>
    <n v="105"/>
    <s v="Yes"/>
    <x v="0"/>
    <x v="0"/>
    <s v="southeast"/>
    <n v="11743.3"/>
    <x v="4"/>
    <n v="0"/>
    <n v="1"/>
    <n v="0"/>
    <n v="0"/>
    <n v="0.92809352767902875"/>
    <n v="0"/>
    <n v="1"/>
    <n v="0"/>
  </r>
  <r>
    <n v="829"/>
    <n v="29"/>
    <s v="male"/>
    <n v="34.4"/>
    <n v="108"/>
    <s v="No"/>
    <x v="0"/>
    <x v="0"/>
    <s v="northwest"/>
    <n v="11743.93"/>
    <x v="1"/>
    <n v="0"/>
    <n v="0"/>
    <n v="0"/>
    <n v="1"/>
    <n v="0.26638851871434288"/>
    <n v="0"/>
    <n v="0"/>
    <n v="0"/>
  </r>
  <r>
    <n v="830"/>
    <n v="25"/>
    <s v="male"/>
    <n v="32.1"/>
    <n v="97"/>
    <s v="Yes"/>
    <x v="1"/>
    <x v="0"/>
    <s v="northeast"/>
    <n v="11763"/>
    <x v="1"/>
    <n v="0"/>
    <n v="0"/>
    <n v="0"/>
    <n v="0"/>
    <n v="0.77529545144822154"/>
    <n v="0"/>
    <n v="1"/>
    <n v="0"/>
  </r>
  <r>
    <n v="831"/>
    <n v="50"/>
    <s v="female"/>
    <n v="23.2"/>
    <n v="89"/>
    <s v="No"/>
    <x v="0"/>
    <x v="0"/>
    <s v="northwest"/>
    <n v="11830.61"/>
    <x v="0"/>
    <n v="0"/>
    <n v="0"/>
    <n v="0"/>
    <n v="1"/>
    <n v="0.77303622085016255"/>
    <n v="0"/>
    <n v="0"/>
    <n v="1"/>
  </r>
  <r>
    <n v="832"/>
    <n v="37"/>
    <s v="female"/>
    <n v="22.8"/>
    <n v="97"/>
    <s v="Yes"/>
    <x v="0"/>
    <x v="0"/>
    <s v="southeast"/>
    <n v="11833.78"/>
    <x v="0"/>
    <n v="0"/>
    <n v="1"/>
    <n v="0"/>
    <n v="0"/>
    <n v="0.94885096139156611"/>
    <n v="0"/>
    <n v="1"/>
    <n v="1"/>
  </r>
  <r>
    <n v="833"/>
    <n v="43"/>
    <s v="female"/>
    <n v="25.2"/>
    <n v="91"/>
    <s v="Yes"/>
    <x v="0"/>
    <x v="0"/>
    <s v="southwest"/>
    <n v="11837.16"/>
    <x v="4"/>
    <n v="0"/>
    <n v="0"/>
    <n v="1"/>
    <n v="0"/>
    <n v="0.20807210882960347"/>
    <n v="0"/>
    <n v="1"/>
    <n v="1"/>
  </r>
  <r>
    <n v="834"/>
    <n v="25"/>
    <s v="female"/>
    <n v="30.5"/>
    <n v="110"/>
    <s v="No"/>
    <x v="0"/>
    <x v="0"/>
    <s v="northwest"/>
    <n v="11840.78"/>
    <x v="1"/>
    <n v="0"/>
    <n v="0"/>
    <n v="0"/>
    <n v="1"/>
    <n v="0.21079696279415605"/>
    <n v="0"/>
    <n v="0"/>
    <n v="1"/>
  </r>
  <r>
    <n v="835"/>
    <n v="45"/>
    <s v="female"/>
    <n v="29"/>
    <n v="87"/>
    <s v="No"/>
    <x v="0"/>
    <x v="0"/>
    <s v="southwest"/>
    <n v="11842.44"/>
    <x v="4"/>
    <n v="0"/>
    <n v="0"/>
    <n v="1"/>
    <n v="0"/>
    <n v="0.7727896237712234"/>
    <n v="0"/>
    <n v="0"/>
    <n v="1"/>
  </r>
  <r>
    <n v="836"/>
    <n v="33"/>
    <s v="female"/>
    <n v="31.8"/>
    <n v="95"/>
    <s v="No"/>
    <x v="0"/>
    <x v="0"/>
    <s v="northwest"/>
    <n v="11842.62"/>
    <x v="1"/>
    <n v="0"/>
    <n v="0"/>
    <n v="0"/>
    <n v="1"/>
    <n v="0.26231032396717391"/>
    <n v="0"/>
    <n v="0"/>
    <n v="1"/>
  </r>
  <r>
    <n v="837"/>
    <n v="26"/>
    <s v="female"/>
    <n v="33.1"/>
    <n v="110"/>
    <s v="No"/>
    <x v="0"/>
    <x v="0"/>
    <s v="southwest"/>
    <n v="11848.14"/>
    <x v="1"/>
    <n v="0"/>
    <n v="0"/>
    <n v="1"/>
    <n v="0"/>
    <n v="0.44491105691042165"/>
    <n v="0"/>
    <n v="0"/>
    <n v="1"/>
  </r>
  <r>
    <n v="838"/>
    <n v="50"/>
    <s v="female"/>
    <n v="39.1"/>
    <n v="100"/>
    <s v="No"/>
    <x v="0"/>
    <x v="0"/>
    <s v="southeast"/>
    <n v="11856.41"/>
    <x v="2"/>
    <n v="0"/>
    <n v="1"/>
    <n v="0"/>
    <n v="0"/>
    <n v="0.2700266392382088"/>
    <n v="0"/>
    <n v="0"/>
    <n v="1"/>
  </r>
  <r>
    <n v="839"/>
    <n v="52"/>
    <s v="female"/>
    <n v="32.4"/>
    <n v="83"/>
    <s v="No"/>
    <x v="1"/>
    <x v="0"/>
    <s v="northeast"/>
    <n v="11879.1"/>
    <x v="1"/>
    <n v="0"/>
    <n v="0"/>
    <n v="0"/>
    <n v="0"/>
    <n v="0.88439249136102382"/>
    <n v="0"/>
    <n v="0"/>
    <n v="1"/>
  </r>
  <r>
    <n v="840"/>
    <n v="39"/>
    <s v="female"/>
    <n v="29.7"/>
    <n v="103"/>
    <s v="No"/>
    <x v="2"/>
    <x v="0"/>
    <s v="southwest"/>
    <n v="11881.36"/>
    <x v="4"/>
    <n v="0"/>
    <n v="0"/>
    <n v="1"/>
    <n v="0"/>
    <n v="0.27557332865669548"/>
    <n v="0"/>
    <n v="0"/>
    <n v="1"/>
  </r>
  <r>
    <n v="841"/>
    <n v="38"/>
    <s v="female"/>
    <n v="30.1"/>
    <n v="92"/>
    <s v="Yes"/>
    <x v="2"/>
    <x v="0"/>
    <s v="southeast"/>
    <n v="11881.97"/>
    <x v="1"/>
    <n v="0"/>
    <n v="1"/>
    <n v="0"/>
    <n v="0"/>
    <n v="0.3881577502987722"/>
    <n v="0"/>
    <n v="1"/>
    <n v="1"/>
  </r>
  <r>
    <n v="842"/>
    <n v="23"/>
    <s v="male"/>
    <n v="21.8"/>
    <n v="92"/>
    <s v="No"/>
    <x v="2"/>
    <x v="0"/>
    <s v="southeast"/>
    <n v="11884.05"/>
    <x v="0"/>
    <n v="0"/>
    <n v="1"/>
    <n v="0"/>
    <n v="0"/>
    <n v="0.67149050501760665"/>
    <n v="0"/>
    <n v="0"/>
    <n v="0"/>
  </r>
  <r>
    <n v="843"/>
    <n v="41"/>
    <s v="male"/>
    <n v="25.2"/>
    <n v="101"/>
    <s v="No"/>
    <x v="0"/>
    <x v="0"/>
    <s v="northeast"/>
    <n v="11931.13"/>
    <x v="4"/>
    <n v="0"/>
    <n v="0"/>
    <n v="0"/>
    <n v="0"/>
    <n v="0.36712993877098166"/>
    <n v="0"/>
    <n v="0"/>
    <n v="0"/>
  </r>
  <r>
    <n v="844"/>
    <n v="44"/>
    <s v="male"/>
    <n v="30.3"/>
    <n v="102"/>
    <s v="Yes"/>
    <x v="0"/>
    <x v="0"/>
    <s v="northeast"/>
    <n v="11938.26"/>
    <x v="1"/>
    <n v="0"/>
    <n v="0"/>
    <n v="0"/>
    <n v="0"/>
    <n v="2.9130316921158861E-2"/>
    <n v="0"/>
    <n v="1"/>
    <n v="0"/>
  </r>
  <r>
    <n v="845"/>
    <n v="36"/>
    <s v="male"/>
    <n v="34.9"/>
    <n v="88"/>
    <s v="Yes"/>
    <x v="0"/>
    <x v="0"/>
    <s v="northeast"/>
    <n v="11944.59"/>
    <x v="1"/>
    <n v="0"/>
    <n v="0"/>
    <n v="0"/>
    <n v="0"/>
    <n v="0.3730136636609277"/>
    <n v="0"/>
    <n v="1"/>
    <n v="0"/>
  </r>
  <r>
    <n v="846"/>
    <n v="48"/>
    <s v="male"/>
    <n v="33.6"/>
    <n v="97"/>
    <s v="No"/>
    <x v="1"/>
    <x v="0"/>
    <s v="northwest"/>
    <n v="11945.13"/>
    <x v="1"/>
    <n v="0"/>
    <n v="0"/>
    <n v="0"/>
    <n v="1"/>
    <n v="3.5615093317259983E-2"/>
    <n v="0"/>
    <n v="0"/>
    <n v="0"/>
  </r>
  <r>
    <n v="847"/>
    <n v="45"/>
    <s v="male"/>
    <n v="32"/>
    <n v="83"/>
    <s v="No"/>
    <x v="1"/>
    <x v="0"/>
    <s v="southeast"/>
    <n v="11946.63"/>
    <x v="1"/>
    <n v="0"/>
    <n v="1"/>
    <n v="0"/>
    <n v="0"/>
    <n v="0.51623565520566395"/>
    <n v="0"/>
    <n v="0"/>
    <n v="0"/>
  </r>
  <r>
    <n v="848"/>
    <n v="24"/>
    <s v="male"/>
    <n v="33.9"/>
    <n v="81"/>
    <s v="Yes"/>
    <x v="3"/>
    <x v="0"/>
    <s v="southeast"/>
    <n v="11987.17"/>
    <x v="1"/>
    <n v="0"/>
    <n v="1"/>
    <n v="0"/>
    <n v="0"/>
    <n v="0.23467734328852707"/>
    <n v="0"/>
    <n v="1"/>
    <n v="0"/>
  </r>
  <r>
    <n v="849"/>
    <n v="42"/>
    <s v="female"/>
    <n v="22.2"/>
    <n v="99"/>
    <s v="Yes"/>
    <x v="0"/>
    <x v="0"/>
    <s v="northeast"/>
    <n v="12029.29"/>
    <x v="0"/>
    <n v="0"/>
    <n v="0"/>
    <n v="0"/>
    <n v="0"/>
    <n v="0.15631290630435757"/>
    <n v="0"/>
    <n v="1"/>
    <n v="1"/>
  </r>
  <r>
    <n v="850"/>
    <n v="47"/>
    <s v="female"/>
    <n v="20.100000000000001"/>
    <n v="99"/>
    <s v="No"/>
    <x v="1"/>
    <x v="0"/>
    <s v="southwest"/>
    <n v="12032.33"/>
    <x v="0"/>
    <n v="0"/>
    <n v="0"/>
    <n v="1"/>
    <n v="0"/>
    <n v="0.56981931243964423"/>
    <n v="0"/>
    <n v="0"/>
    <n v="1"/>
  </r>
  <r>
    <n v="851"/>
    <n v="31"/>
    <s v="female"/>
    <n v="26.6"/>
    <n v="90"/>
    <s v="Yes"/>
    <x v="1"/>
    <x v="0"/>
    <s v="northwest"/>
    <n v="12044.34"/>
    <x v="4"/>
    <n v="0"/>
    <n v="0"/>
    <n v="0"/>
    <n v="1"/>
    <n v="0.66655743491704089"/>
    <n v="0"/>
    <n v="1"/>
    <n v="1"/>
  </r>
  <r>
    <n v="852"/>
    <n v="42"/>
    <s v="female"/>
    <n v="23"/>
    <n v="80"/>
    <s v="Yes"/>
    <x v="3"/>
    <x v="0"/>
    <s v="southwest"/>
    <n v="12094.48"/>
    <x v="0"/>
    <n v="0"/>
    <n v="0"/>
    <n v="1"/>
    <n v="0"/>
    <n v="0.1758370926414411"/>
    <n v="0"/>
    <n v="1"/>
    <n v="1"/>
  </r>
  <r>
    <n v="853"/>
    <n v="30"/>
    <s v="female"/>
    <n v="28.9"/>
    <n v="94"/>
    <s v="No"/>
    <x v="2"/>
    <x v="0"/>
    <s v="northeast"/>
    <n v="12096.65"/>
    <x v="4"/>
    <n v="0"/>
    <n v="0"/>
    <n v="0"/>
    <n v="0"/>
    <n v="0.6208808958386387"/>
    <n v="0"/>
    <n v="0"/>
    <n v="1"/>
  </r>
  <r>
    <n v="854"/>
    <n v="27"/>
    <s v="female"/>
    <n v="30.8"/>
    <n v="97"/>
    <s v="Yes"/>
    <x v="3"/>
    <x v="0"/>
    <s v="southwest"/>
    <n v="12105.32"/>
    <x v="1"/>
    <n v="0"/>
    <n v="0"/>
    <n v="1"/>
    <n v="0"/>
    <n v="0.76064745322936422"/>
    <n v="0"/>
    <n v="1"/>
    <n v="1"/>
  </r>
  <r>
    <n v="855"/>
    <n v="50"/>
    <s v="male"/>
    <n v="25.5"/>
    <n v="87"/>
    <s v="No"/>
    <x v="0"/>
    <x v="0"/>
    <s v="northwest"/>
    <n v="12124.99"/>
    <x v="4"/>
    <n v="0"/>
    <n v="0"/>
    <n v="0"/>
    <n v="1"/>
    <n v="0.85484743707684219"/>
    <n v="0"/>
    <n v="0"/>
    <n v="0"/>
  </r>
  <r>
    <n v="856"/>
    <n v="23"/>
    <s v="male"/>
    <n v="28.8"/>
    <n v="86"/>
    <s v="No"/>
    <x v="0"/>
    <x v="0"/>
    <s v="northwest"/>
    <n v="12129.61"/>
    <x v="4"/>
    <n v="0"/>
    <n v="0"/>
    <n v="0"/>
    <n v="1"/>
    <n v="0.11407035821626643"/>
    <n v="0"/>
    <n v="0"/>
    <n v="0"/>
  </r>
  <r>
    <n v="857"/>
    <n v="35"/>
    <s v="male"/>
    <n v="25.7"/>
    <n v="90"/>
    <s v="Yes"/>
    <x v="0"/>
    <x v="0"/>
    <s v="southeast"/>
    <n v="12142.58"/>
    <x v="4"/>
    <n v="0"/>
    <n v="1"/>
    <n v="0"/>
    <n v="0"/>
    <n v="0.81184949935381856"/>
    <n v="0"/>
    <n v="1"/>
    <n v="0"/>
  </r>
  <r>
    <n v="858"/>
    <n v="23"/>
    <s v="male"/>
    <n v="28.9"/>
    <n v="83"/>
    <s v="Yes"/>
    <x v="0"/>
    <x v="0"/>
    <s v="southwest"/>
    <n v="12146.97"/>
    <x v="4"/>
    <n v="0"/>
    <n v="0"/>
    <n v="1"/>
    <n v="0"/>
    <n v="0.38622751220598472"/>
    <n v="0"/>
    <n v="1"/>
    <n v="0"/>
  </r>
  <r>
    <n v="859"/>
    <n v="34"/>
    <s v="female"/>
    <n v="27.2"/>
    <n v="96"/>
    <s v="No"/>
    <x v="0"/>
    <x v="0"/>
    <s v="northwest"/>
    <n v="12222.9"/>
    <x v="4"/>
    <n v="0"/>
    <n v="0"/>
    <n v="0"/>
    <n v="1"/>
    <n v="0.21457985102107824"/>
    <n v="0"/>
    <n v="0"/>
    <n v="1"/>
  </r>
  <r>
    <n v="860"/>
    <n v="33"/>
    <s v="female"/>
    <n v="28.2"/>
    <n v="96"/>
    <s v="Yes"/>
    <x v="0"/>
    <x v="0"/>
    <s v="northwest"/>
    <n v="12224.35"/>
    <x v="4"/>
    <n v="0"/>
    <n v="0"/>
    <n v="0"/>
    <n v="1"/>
    <n v="0.63242664423716777"/>
    <n v="0"/>
    <n v="1"/>
    <n v="1"/>
  </r>
  <r>
    <n v="861"/>
    <n v="37"/>
    <s v="female"/>
    <n v="33.4"/>
    <n v="84"/>
    <s v="Yes"/>
    <x v="0"/>
    <x v="0"/>
    <s v="northwest"/>
    <n v="12231.61"/>
    <x v="1"/>
    <n v="0"/>
    <n v="0"/>
    <n v="0"/>
    <n v="1"/>
    <n v="0.23851134087283621"/>
    <n v="0"/>
    <n v="1"/>
    <n v="1"/>
  </r>
  <r>
    <n v="862"/>
    <n v="44"/>
    <s v="female"/>
    <n v="27.5"/>
    <n v="86"/>
    <s v="Yes"/>
    <x v="0"/>
    <x v="0"/>
    <s v="southwest"/>
    <n v="12233.83"/>
    <x v="4"/>
    <n v="0"/>
    <n v="0"/>
    <n v="1"/>
    <n v="0"/>
    <n v="0.68592280372071901"/>
    <n v="0"/>
    <n v="1"/>
    <n v="1"/>
  </r>
  <r>
    <n v="863"/>
    <n v="26"/>
    <s v="female"/>
    <n v="36.5"/>
    <n v="80"/>
    <s v="Yes"/>
    <x v="0"/>
    <x v="0"/>
    <s v="northwest"/>
    <n v="12235.84"/>
    <x v="2"/>
    <n v="0"/>
    <n v="0"/>
    <n v="0"/>
    <n v="1"/>
    <n v="0.65672582269177926"/>
    <n v="0"/>
    <n v="1"/>
    <n v="1"/>
  </r>
  <r>
    <n v="864"/>
    <n v="27"/>
    <s v="female"/>
    <n v="35.200000000000003"/>
    <n v="83"/>
    <s v="Yes"/>
    <x v="0"/>
    <x v="0"/>
    <s v="southeast"/>
    <n v="12244.53"/>
    <x v="2"/>
    <n v="0"/>
    <n v="1"/>
    <n v="0"/>
    <n v="0"/>
    <n v="0.56601709960830304"/>
    <n v="0"/>
    <n v="1"/>
    <n v="1"/>
  </r>
  <r>
    <n v="865"/>
    <n v="60"/>
    <s v="female"/>
    <n v="37.5"/>
    <n v="97"/>
    <s v="Yes"/>
    <x v="2"/>
    <x v="0"/>
    <s v="southeast"/>
    <n v="12265.51"/>
    <x v="2"/>
    <n v="0"/>
    <n v="1"/>
    <n v="0"/>
    <n v="0"/>
    <n v="0.48267147559319312"/>
    <n v="0"/>
    <n v="1"/>
    <n v="1"/>
  </r>
  <r>
    <n v="866"/>
    <n v="50"/>
    <s v="female"/>
    <n v="32.799999999999997"/>
    <n v="86"/>
    <s v="No"/>
    <x v="2"/>
    <x v="0"/>
    <s v="northwest"/>
    <n v="12268.63"/>
    <x v="1"/>
    <n v="0"/>
    <n v="0"/>
    <n v="0"/>
    <n v="1"/>
    <n v="0.78786584708017149"/>
    <n v="0"/>
    <n v="0"/>
    <n v="1"/>
  </r>
  <r>
    <n v="867"/>
    <n v="59"/>
    <s v="female"/>
    <n v="33.5"/>
    <n v="97"/>
    <s v="No"/>
    <x v="2"/>
    <x v="0"/>
    <s v="northwest"/>
    <n v="12269.69"/>
    <x v="1"/>
    <n v="0"/>
    <n v="0"/>
    <n v="0"/>
    <n v="1"/>
    <n v="0.62647776818268586"/>
    <n v="0"/>
    <n v="0"/>
    <n v="1"/>
  </r>
  <r>
    <n v="868"/>
    <n v="46"/>
    <s v="male"/>
    <n v="24.7"/>
    <n v="84"/>
    <s v="No"/>
    <x v="0"/>
    <x v="0"/>
    <s v="northeast"/>
    <n v="12323.94"/>
    <x v="0"/>
    <n v="0"/>
    <n v="0"/>
    <n v="0"/>
    <n v="0"/>
    <n v="3.265508440635756E-2"/>
    <n v="0"/>
    <n v="0"/>
    <n v="0"/>
  </r>
  <r>
    <n v="869"/>
    <n v="44"/>
    <s v="male"/>
    <n v="27.5"/>
    <n v="104"/>
    <s v="Yes"/>
    <x v="1"/>
    <x v="0"/>
    <s v="southwest"/>
    <n v="12333.83"/>
    <x v="4"/>
    <n v="0"/>
    <n v="0"/>
    <n v="1"/>
    <n v="0"/>
    <n v="0.60774070942799052"/>
    <n v="0"/>
    <n v="1"/>
    <n v="0"/>
  </r>
  <r>
    <n v="870"/>
    <n v="40"/>
    <s v="male"/>
    <n v="37.1"/>
    <n v="84"/>
    <s v="Yes"/>
    <x v="1"/>
    <x v="0"/>
    <s v="southwest"/>
    <n v="12347.17"/>
    <x v="2"/>
    <n v="0"/>
    <n v="0"/>
    <n v="1"/>
    <n v="0"/>
    <n v="0.76945603752192837"/>
    <n v="0"/>
    <n v="1"/>
    <n v="0"/>
  </r>
  <r>
    <n v="871"/>
    <n v="33"/>
    <s v="male"/>
    <n v="36.1"/>
    <n v="80"/>
    <s v="Yes"/>
    <x v="3"/>
    <x v="0"/>
    <s v="southwest"/>
    <n v="12363.55"/>
    <x v="2"/>
    <n v="0"/>
    <n v="0"/>
    <n v="1"/>
    <n v="0"/>
    <n v="0.94902349723455848"/>
    <n v="0"/>
    <n v="1"/>
    <n v="0"/>
  </r>
  <r>
    <n v="872"/>
    <n v="43"/>
    <s v="male"/>
    <n v="35.200000000000003"/>
    <n v="107"/>
    <s v="Yes"/>
    <x v="0"/>
    <x v="0"/>
    <s v="northeast"/>
    <n v="12404.88"/>
    <x v="2"/>
    <n v="0"/>
    <n v="0"/>
    <n v="0"/>
    <n v="0"/>
    <n v="1.0232969757868471E-2"/>
    <n v="0"/>
    <n v="1"/>
    <n v="0"/>
  </r>
  <r>
    <n v="873"/>
    <n v="36"/>
    <s v="female"/>
    <n v="33"/>
    <n v="82"/>
    <s v="Yes"/>
    <x v="0"/>
    <x v="0"/>
    <s v="northeast"/>
    <n v="12430.95"/>
    <x v="1"/>
    <n v="0"/>
    <n v="0"/>
    <n v="0"/>
    <n v="0"/>
    <n v="4.8256743821399328E-2"/>
    <n v="0"/>
    <n v="1"/>
    <n v="1"/>
  </r>
  <r>
    <n v="874"/>
    <n v="39"/>
    <s v="female"/>
    <n v="21.5"/>
    <n v="86"/>
    <s v="No"/>
    <x v="3"/>
    <x v="0"/>
    <s v="northwest"/>
    <n v="12475.35"/>
    <x v="0"/>
    <n v="0"/>
    <n v="0"/>
    <n v="0"/>
    <n v="1"/>
    <n v="0.29132089246621695"/>
    <n v="0"/>
    <n v="0"/>
    <n v="1"/>
  </r>
  <r>
    <n v="875"/>
    <n v="25"/>
    <s v="female"/>
    <n v="24.6"/>
    <n v="80"/>
    <s v="Yes"/>
    <x v="3"/>
    <x v="0"/>
    <s v="northwest"/>
    <n v="12479.71"/>
    <x v="0"/>
    <n v="0"/>
    <n v="0"/>
    <n v="0"/>
    <n v="1"/>
    <n v="0.6097265872908969"/>
    <n v="0"/>
    <n v="1"/>
    <n v="1"/>
  </r>
  <r>
    <n v="876"/>
    <n v="28"/>
    <s v="female"/>
    <n v="40.799999999999997"/>
    <n v="87"/>
    <s v="Yes"/>
    <x v="3"/>
    <x v="0"/>
    <s v="southeast"/>
    <n v="12485.8"/>
    <x v="2"/>
    <n v="0"/>
    <n v="1"/>
    <n v="0"/>
    <n v="0"/>
    <n v="0.33684331514223842"/>
    <n v="0"/>
    <n v="1"/>
    <n v="1"/>
  </r>
  <r>
    <n v="877"/>
    <n v="33"/>
    <s v="female"/>
    <n v="35.799999999999997"/>
    <n v="109"/>
    <s v="No"/>
    <x v="3"/>
    <x v="0"/>
    <s v="northwest"/>
    <n v="12495.29"/>
    <x v="2"/>
    <n v="0"/>
    <n v="0"/>
    <n v="0"/>
    <n v="1"/>
    <n v="0.65014616581629514"/>
    <n v="0"/>
    <n v="0"/>
    <n v="1"/>
  </r>
  <r>
    <n v="878"/>
    <n v="27"/>
    <s v="male"/>
    <n v="24.3"/>
    <n v="102"/>
    <s v="Yes"/>
    <x v="0"/>
    <x v="0"/>
    <s v="northwest"/>
    <n v="12523.6"/>
    <x v="0"/>
    <n v="0"/>
    <n v="0"/>
    <n v="0"/>
    <n v="1"/>
    <n v="0.66684184324557194"/>
    <n v="0"/>
    <n v="1"/>
    <n v="0"/>
  </r>
  <r>
    <n v="879"/>
    <n v="35"/>
    <s v="male"/>
    <n v="31.6"/>
    <n v="89"/>
    <s v="Yes"/>
    <x v="0"/>
    <x v="0"/>
    <s v="southeast"/>
    <n v="12557.61"/>
    <x v="1"/>
    <n v="0"/>
    <n v="1"/>
    <n v="0"/>
    <n v="0"/>
    <n v="0.54609929177655858"/>
    <n v="0"/>
    <n v="1"/>
    <n v="0"/>
  </r>
  <r>
    <n v="880"/>
    <n v="36"/>
    <s v="male"/>
    <n v="43.4"/>
    <n v="96"/>
    <s v="No"/>
    <x v="0"/>
    <x v="0"/>
    <s v="southwest"/>
    <n v="12574.05"/>
    <x v="2"/>
    <n v="0"/>
    <n v="0"/>
    <n v="1"/>
    <n v="0"/>
    <n v="0.28734938088017681"/>
    <n v="0"/>
    <n v="0"/>
    <n v="0"/>
  </r>
  <r>
    <n v="881"/>
    <n v="28"/>
    <s v="female"/>
    <n v="46.8"/>
    <n v="106"/>
    <s v="No"/>
    <x v="5"/>
    <x v="0"/>
    <s v="southeast"/>
    <n v="12592.53"/>
    <x v="2"/>
    <n v="0"/>
    <n v="1"/>
    <n v="0"/>
    <n v="0"/>
    <n v="0.15651143077941521"/>
    <n v="0"/>
    <n v="0"/>
    <n v="1"/>
  </r>
  <r>
    <n v="882"/>
    <n v="36"/>
    <s v="male"/>
    <n v="26.8"/>
    <n v="88"/>
    <s v="Yes"/>
    <x v="1"/>
    <x v="0"/>
    <s v="northwest"/>
    <n v="12609.89"/>
    <x v="4"/>
    <n v="0"/>
    <n v="0"/>
    <n v="0"/>
    <n v="1"/>
    <n v="0.87185986149627259"/>
    <n v="0"/>
    <n v="1"/>
    <n v="0"/>
  </r>
  <r>
    <n v="883"/>
    <n v="55"/>
    <s v="female"/>
    <n v="31.4"/>
    <n v="85"/>
    <s v="No"/>
    <x v="0"/>
    <x v="0"/>
    <s v="northwest"/>
    <n v="12622.18"/>
    <x v="1"/>
    <n v="0"/>
    <n v="0"/>
    <n v="0"/>
    <n v="1"/>
    <n v="0.83628384746608198"/>
    <n v="0"/>
    <n v="0"/>
    <n v="1"/>
  </r>
  <r>
    <n v="884"/>
    <n v="57"/>
    <s v="female"/>
    <n v="25.7"/>
    <n v="94"/>
    <s v="No"/>
    <x v="2"/>
    <x v="0"/>
    <s v="southeast"/>
    <n v="12629.17"/>
    <x v="4"/>
    <n v="0"/>
    <n v="1"/>
    <n v="0"/>
    <n v="0"/>
    <n v="0.63032729257335052"/>
    <n v="0"/>
    <n v="0"/>
    <n v="1"/>
  </r>
  <r>
    <n v="885"/>
    <n v="57"/>
    <s v="female"/>
    <n v="24.5"/>
    <n v="88"/>
    <s v="Yes"/>
    <x v="0"/>
    <x v="0"/>
    <s v="southeast"/>
    <n v="12629.9"/>
    <x v="0"/>
    <n v="0"/>
    <n v="1"/>
    <n v="0"/>
    <n v="0"/>
    <n v="0.69829783954106583"/>
    <n v="0"/>
    <n v="1"/>
    <n v="1"/>
  </r>
  <r>
    <n v="886"/>
    <n v="28"/>
    <s v="female"/>
    <n v="30.5"/>
    <n v="96"/>
    <s v="No"/>
    <x v="0"/>
    <x v="0"/>
    <s v="southwest"/>
    <n v="12638.2"/>
    <x v="1"/>
    <n v="0"/>
    <n v="0"/>
    <n v="1"/>
    <n v="0"/>
    <n v="0.87423523748437371"/>
    <n v="0"/>
    <n v="0"/>
    <n v="1"/>
  </r>
  <r>
    <n v="887"/>
    <n v="31"/>
    <s v="female"/>
    <n v="33.799999999999997"/>
    <n v="86"/>
    <s v="Yes"/>
    <x v="2"/>
    <x v="0"/>
    <s v="northwest"/>
    <n v="12643.38"/>
    <x v="1"/>
    <n v="0"/>
    <n v="0"/>
    <n v="0"/>
    <n v="1"/>
    <n v="0.93124348590146011"/>
    <n v="0"/>
    <n v="1"/>
    <n v="1"/>
  </r>
  <r>
    <n v="888"/>
    <n v="59"/>
    <s v="female"/>
    <n v="35.1"/>
    <n v="84"/>
    <s v="Yes"/>
    <x v="0"/>
    <x v="0"/>
    <s v="southwest"/>
    <n v="12644.59"/>
    <x v="2"/>
    <n v="0"/>
    <n v="0"/>
    <n v="1"/>
    <n v="0"/>
    <n v="0.27101614075765446"/>
    <n v="0"/>
    <n v="1"/>
    <n v="1"/>
  </r>
  <r>
    <n v="889"/>
    <n v="28"/>
    <s v="female"/>
    <n v="38"/>
    <n v="110"/>
    <s v="Yes"/>
    <x v="2"/>
    <x v="0"/>
    <s v="southwest"/>
    <n v="12646.21"/>
    <x v="2"/>
    <n v="0"/>
    <n v="0"/>
    <n v="1"/>
    <n v="0"/>
    <n v="0.63190453947062175"/>
    <n v="0"/>
    <n v="1"/>
    <n v="1"/>
  </r>
  <r>
    <n v="890"/>
    <n v="54"/>
    <s v="female"/>
    <n v="38.1"/>
    <n v="82"/>
    <s v="No"/>
    <x v="0"/>
    <x v="0"/>
    <s v="southeast"/>
    <n v="12648.7"/>
    <x v="2"/>
    <n v="0"/>
    <n v="1"/>
    <n v="0"/>
    <n v="0"/>
    <n v="0.43325474317634294"/>
    <n v="0"/>
    <n v="0"/>
    <n v="1"/>
  </r>
  <r>
    <n v="891"/>
    <n v="18"/>
    <s v="male"/>
    <n v="29.6"/>
    <n v="81"/>
    <s v="Yes"/>
    <x v="0"/>
    <x v="0"/>
    <s v="northeast"/>
    <n v="12731"/>
    <x v="4"/>
    <n v="0"/>
    <n v="0"/>
    <n v="0"/>
    <n v="0"/>
    <n v="7.4156013018717548E-2"/>
    <n v="0"/>
    <n v="1"/>
    <n v="0"/>
  </r>
  <r>
    <n v="892"/>
    <n v="34"/>
    <s v="male"/>
    <n v="37"/>
    <n v="92"/>
    <s v="Yes"/>
    <x v="0"/>
    <x v="0"/>
    <s v="northeast"/>
    <n v="12741.17"/>
    <x v="2"/>
    <n v="0"/>
    <n v="0"/>
    <n v="0"/>
    <n v="0"/>
    <n v="0.4584223857987898"/>
    <n v="0"/>
    <n v="1"/>
    <n v="0"/>
  </r>
  <r>
    <n v="893"/>
    <n v="31"/>
    <s v="female"/>
    <n v="36.5"/>
    <n v="99"/>
    <s v="No"/>
    <x v="0"/>
    <x v="0"/>
    <s v="northeast"/>
    <n v="12797.21"/>
    <x v="2"/>
    <n v="0"/>
    <n v="0"/>
    <n v="0"/>
    <n v="0"/>
    <n v="0.11025067952414702"/>
    <n v="0"/>
    <n v="0"/>
    <n v="1"/>
  </r>
  <r>
    <n v="894"/>
    <n v="39"/>
    <s v="female"/>
    <n v="26.5"/>
    <n v="94"/>
    <s v="No"/>
    <x v="0"/>
    <x v="0"/>
    <s v="northeast"/>
    <n v="12815.44"/>
    <x v="4"/>
    <n v="0"/>
    <n v="0"/>
    <n v="0"/>
    <n v="0"/>
    <n v="0.23496111797336894"/>
    <n v="0"/>
    <n v="0"/>
    <n v="1"/>
  </r>
  <r>
    <n v="895"/>
    <n v="38"/>
    <s v="male"/>
    <n v="17.3"/>
    <n v="82"/>
    <s v="Yes"/>
    <x v="2"/>
    <x v="1"/>
    <s v="northeast"/>
    <n v="12829.46"/>
    <x v="3"/>
    <n v="17.3"/>
    <n v="0"/>
    <n v="0"/>
    <n v="0"/>
    <n v="0.26194316172946575"/>
    <n v="1"/>
    <n v="1"/>
    <n v="0"/>
  </r>
  <r>
    <n v="896"/>
    <n v="49"/>
    <s v="male"/>
    <n v="39.1"/>
    <n v="102"/>
    <s v="Yes"/>
    <x v="0"/>
    <x v="0"/>
    <s v="northeast"/>
    <n v="12890.06"/>
    <x v="2"/>
    <n v="0"/>
    <n v="0"/>
    <n v="0"/>
    <n v="0"/>
    <n v="0.9652060384941652"/>
    <n v="0"/>
    <n v="1"/>
    <n v="0"/>
  </r>
  <r>
    <n v="897"/>
    <n v="36"/>
    <s v="male"/>
    <n v="25.5"/>
    <n v="85"/>
    <s v="No"/>
    <x v="1"/>
    <x v="0"/>
    <s v="northeast"/>
    <n v="12913.99"/>
    <x v="4"/>
    <n v="0"/>
    <n v="0"/>
    <n v="0"/>
    <n v="0"/>
    <n v="0.12033280185023032"/>
    <n v="0"/>
    <n v="0"/>
    <n v="0"/>
  </r>
  <r>
    <n v="898"/>
    <n v="40"/>
    <s v="male"/>
    <n v="29.7"/>
    <n v="87"/>
    <s v="Yes"/>
    <x v="2"/>
    <x v="0"/>
    <s v="southeast"/>
    <n v="12925.89"/>
    <x v="4"/>
    <n v="0"/>
    <n v="1"/>
    <n v="0"/>
    <n v="0"/>
    <n v="0.30560670509688426"/>
    <n v="0"/>
    <n v="1"/>
    <n v="0"/>
  </r>
  <r>
    <n v="899"/>
    <n v="45"/>
    <s v="male"/>
    <n v="31.8"/>
    <n v="95"/>
    <s v="Yes"/>
    <x v="2"/>
    <x v="0"/>
    <s v="southeast"/>
    <n v="12928.79"/>
    <x v="1"/>
    <n v="0"/>
    <n v="1"/>
    <n v="0"/>
    <n v="0"/>
    <n v="9.3695484114280858E-2"/>
    <n v="0"/>
    <n v="1"/>
    <n v="0"/>
  </r>
  <r>
    <n v="900"/>
    <n v="33"/>
    <s v="male"/>
    <n v="33.700000000000003"/>
    <n v="98"/>
    <s v="No"/>
    <x v="4"/>
    <x v="0"/>
    <s v="southeast"/>
    <n v="12949.16"/>
    <x v="1"/>
    <n v="0"/>
    <n v="1"/>
    <n v="0"/>
    <n v="0"/>
    <n v="0.96532309120645965"/>
    <n v="0"/>
    <n v="0"/>
    <n v="0"/>
  </r>
  <r>
    <n v="901"/>
    <n v="40"/>
    <s v="male"/>
    <n v="38.4"/>
    <n v="82"/>
    <s v="No"/>
    <x v="0"/>
    <x v="0"/>
    <s v="northwest"/>
    <n v="12950.07"/>
    <x v="2"/>
    <n v="0"/>
    <n v="0"/>
    <n v="0"/>
    <n v="1"/>
    <n v="0.18407794930701193"/>
    <n v="0"/>
    <n v="0"/>
    <n v="0"/>
  </r>
  <r>
    <n v="902"/>
    <n v="19"/>
    <s v="male"/>
    <n v="21.4"/>
    <n v="85"/>
    <s v="Yes"/>
    <x v="0"/>
    <x v="0"/>
    <s v="southwest"/>
    <n v="12957.12"/>
    <x v="0"/>
    <n v="0"/>
    <n v="0"/>
    <n v="1"/>
    <n v="0"/>
    <n v="0.49534090030937328"/>
    <n v="0"/>
    <n v="1"/>
    <n v="0"/>
  </r>
  <r>
    <n v="903"/>
    <n v="43"/>
    <s v="male"/>
    <n v="37.4"/>
    <n v="81"/>
    <s v="No"/>
    <x v="0"/>
    <x v="0"/>
    <s v="southwest"/>
    <n v="12979.36"/>
    <x v="2"/>
    <n v="0"/>
    <n v="0"/>
    <n v="1"/>
    <n v="0"/>
    <n v="0.46847108415550343"/>
    <n v="0"/>
    <n v="0"/>
    <n v="0"/>
  </r>
  <r>
    <n v="904"/>
    <n v="35"/>
    <s v="male"/>
    <n v="38.799999999999997"/>
    <n v="95"/>
    <s v="Yes"/>
    <x v="0"/>
    <x v="0"/>
    <s v="southeast"/>
    <n v="12981.35"/>
    <x v="2"/>
    <n v="0"/>
    <n v="1"/>
    <n v="0"/>
    <n v="0"/>
    <n v="0.23165090449093106"/>
    <n v="0"/>
    <n v="1"/>
    <n v="0"/>
  </r>
  <r>
    <n v="905"/>
    <n v="25"/>
    <s v="male"/>
    <n v="39.9"/>
    <n v="88"/>
    <s v="No"/>
    <x v="0"/>
    <x v="0"/>
    <s v="southeast"/>
    <n v="12982.87"/>
    <x v="2"/>
    <n v="0"/>
    <n v="1"/>
    <n v="0"/>
    <n v="0"/>
    <n v="0.21426170283265245"/>
    <n v="0"/>
    <n v="0"/>
    <n v="0"/>
  </r>
  <r>
    <n v="906"/>
    <n v="58"/>
    <s v="female"/>
    <n v="24"/>
    <n v="109"/>
    <s v="No"/>
    <x v="0"/>
    <x v="0"/>
    <s v="northwest"/>
    <n v="13012.21"/>
    <x v="0"/>
    <n v="0"/>
    <n v="0"/>
    <n v="0"/>
    <n v="1"/>
    <n v="0.71812666600129194"/>
    <n v="0"/>
    <n v="0"/>
    <n v="1"/>
  </r>
  <r>
    <n v="907"/>
    <n v="46"/>
    <s v="female"/>
    <n v="32.4"/>
    <n v="108"/>
    <s v="No"/>
    <x v="1"/>
    <x v="0"/>
    <s v="northeast"/>
    <n v="13019.16"/>
    <x v="1"/>
    <n v="0"/>
    <n v="0"/>
    <n v="0"/>
    <n v="0"/>
    <n v="0.25431175642969572"/>
    <n v="0"/>
    <n v="0"/>
    <n v="1"/>
  </r>
  <r>
    <n v="908"/>
    <n v="35"/>
    <s v="female"/>
    <n v="28.2"/>
    <n v="105"/>
    <s v="Yes"/>
    <x v="0"/>
    <x v="0"/>
    <s v="southwest"/>
    <n v="13041.92"/>
    <x v="4"/>
    <n v="0"/>
    <n v="0"/>
    <n v="1"/>
    <n v="0"/>
    <n v="0.15002031553500716"/>
    <n v="0"/>
    <n v="1"/>
    <n v="1"/>
  </r>
  <r>
    <n v="909"/>
    <n v="31"/>
    <s v="female"/>
    <n v="25.4"/>
    <n v="100"/>
    <s v="Yes"/>
    <x v="3"/>
    <x v="0"/>
    <s v="northeast"/>
    <n v="13047.33"/>
    <x v="4"/>
    <n v="0"/>
    <n v="0"/>
    <n v="0"/>
    <n v="0"/>
    <n v="0.19307596616066991"/>
    <n v="0"/>
    <n v="1"/>
    <n v="1"/>
  </r>
  <r>
    <n v="910"/>
    <n v="25"/>
    <s v="female"/>
    <n v="44"/>
    <n v="88"/>
    <s v="Yes"/>
    <x v="0"/>
    <x v="0"/>
    <s v="southwest"/>
    <n v="13063.88"/>
    <x v="2"/>
    <n v="0"/>
    <n v="0"/>
    <n v="1"/>
    <n v="0"/>
    <n v="0.77644822047779316"/>
    <n v="0"/>
    <n v="1"/>
    <n v="1"/>
  </r>
  <r>
    <n v="911"/>
    <n v="23"/>
    <s v="male"/>
    <n v="24.3"/>
    <n v="90"/>
    <s v="No"/>
    <x v="1"/>
    <x v="0"/>
    <s v="northwest"/>
    <n v="13112.6"/>
    <x v="0"/>
    <n v="0"/>
    <n v="0"/>
    <n v="0"/>
    <n v="1"/>
    <n v="0.86519399677415587"/>
    <n v="0"/>
    <n v="0"/>
    <n v="0"/>
  </r>
  <r>
    <n v="912"/>
    <n v="55"/>
    <s v="female"/>
    <n v="28"/>
    <n v="105"/>
    <s v="Yes"/>
    <x v="0"/>
    <x v="0"/>
    <s v="southwest"/>
    <n v="13126.68"/>
    <x v="4"/>
    <n v="0"/>
    <n v="0"/>
    <n v="1"/>
    <n v="0"/>
    <n v="0.51517100846209429"/>
    <n v="0"/>
    <n v="1"/>
    <n v="1"/>
  </r>
  <r>
    <n v="913"/>
    <n v="20"/>
    <s v="male"/>
    <n v="23.7"/>
    <n v="89"/>
    <s v="Yes"/>
    <x v="0"/>
    <x v="0"/>
    <s v="northeast"/>
    <n v="13129.6"/>
    <x v="0"/>
    <n v="0"/>
    <n v="0"/>
    <n v="0"/>
    <n v="0"/>
    <n v="0.63677933638497053"/>
    <n v="0"/>
    <n v="1"/>
    <n v="0"/>
  </r>
  <r>
    <n v="914"/>
    <n v="22"/>
    <s v="male"/>
    <n v="33.5"/>
    <n v="101"/>
    <s v="Yes"/>
    <x v="0"/>
    <x v="0"/>
    <s v="northeast"/>
    <n v="13143.34"/>
    <x v="1"/>
    <n v="0"/>
    <n v="0"/>
    <n v="0"/>
    <n v="0"/>
    <n v="6.5971617632115342E-2"/>
    <n v="0"/>
    <n v="1"/>
    <n v="0"/>
  </r>
  <r>
    <n v="915"/>
    <n v="19"/>
    <s v="male"/>
    <n v="33.9"/>
    <n v="80"/>
    <s v="Yes"/>
    <x v="0"/>
    <x v="0"/>
    <s v="northeast"/>
    <n v="13143.86"/>
    <x v="1"/>
    <n v="0"/>
    <n v="0"/>
    <n v="0"/>
    <n v="0"/>
    <n v="0.23843113837358887"/>
    <n v="0"/>
    <n v="1"/>
    <n v="0"/>
  </r>
  <r>
    <n v="916"/>
    <n v="49"/>
    <s v="female"/>
    <n v="18.3"/>
    <n v="82"/>
    <s v="Yes"/>
    <x v="0"/>
    <x v="0"/>
    <s v="northeast"/>
    <n v="13204.29"/>
    <x v="3"/>
    <n v="0"/>
    <n v="0"/>
    <n v="0"/>
    <n v="0"/>
    <n v="0.21924321541172587"/>
    <n v="0"/>
    <n v="1"/>
    <n v="1"/>
  </r>
  <r>
    <n v="917"/>
    <n v="43"/>
    <s v="female"/>
    <n v="27.6"/>
    <n v="105"/>
    <s v="Yes"/>
    <x v="0"/>
    <x v="0"/>
    <s v="northeast"/>
    <n v="13217.09"/>
    <x v="4"/>
    <n v="0"/>
    <n v="0"/>
    <n v="0"/>
    <n v="0"/>
    <n v="0.23510850089754531"/>
    <n v="0"/>
    <n v="1"/>
    <n v="1"/>
  </r>
  <r>
    <n v="918"/>
    <n v="43"/>
    <s v="female"/>
    <n v="34.299999999999997"/>
    <n v="91"/>
    <s v="Yes"/>
    <x v="2"/>
    <x v="0"/>
    <s v="northeast"/>
    <n v="13224.06"/>
    <x v="1"/>
    <n v="0"/>
    <n v="0"/>
    <n v="0"/>
    <n v="0"/>
    <n v="0.53690233532140907"/>
    <n v="0"/>
    <n v="1"/>
    <n v="1"/>
  </r>
  <r>
    <n v="919"/>
    <n v="56"/>
    <s v="female"/>
    <n v="28.7"/>
    <n v="95"/>
    <s v="No"/>
    <x v="1"/>
    <x v="0"/>
    <s v="southwest"/>
    <n v="13224.69"/>
    <x v="4"/>
    <n v="0"/>
    <n v="0"/>
    <n v="1"/>
    <n v="0"/>
    <n v="0.79010891190149601"/>
    <n v="0"/>
    <n v="0"/>
    <n v="1"/>
  </r>
  <r>
    <n v="920"/>
    <n v="48"/>
    <s v="female"/>
    <n v="36"/>
    <n v="83"/>
    <s v="No"/>
    <x v="0"/>
    <x v="0"/>
    <s v="northeast"/>
    <n v="13228.85"/>
    <x v="2"/>
    <n v="0"/>
    <n v="0"/>
    <n v="0"/>
    <n v="0"/>
    <n v="0.20169692900239011"/>
    <n v="0"/>
    <n v="0"/>
    <n v="1"/>
  </r>
  <r>
    <n v="921"/>
    <n v="38"/>
    <s v="male"/>
    <n v="30"/>
    <n v="110"/>
    <s v="Yes"/>
    <x v="0"/>
    <x v="0"/>
    <s v="northwest"/>
    <n v="13352.1"/>
    <x v="1"/>
    <n v="0"/>
    <n v="0"/>
    <n v="0"/>
    <n v="1"/>
    <n v="0.88106296974787812"/>
    <n v="0"/>
    <n v="1"/>
    <n v="0"/>
  </r>
  <r>
    <n v="922"/>
    <n v="27"/>
    <s v="male"/>
    <n v="30.8"/>
    <n v="98"/>
    <s v="No"/>
    <x v="0"/>
    <x v="0"/>
    <s v="southwest"/>
    <n v="13390.56"/>
    <x v="1"/>
    <n v="0"/>
    <n v="0"/>
    <n v="1"/>
    <n v="0"/>
    <n v="0.33757382996327667"/>
    <n v="0"/>
    <n v="0"/>
    <n v="0"/>
  </r>
  <r>
    <n v="923"/>
    <n v="28"/>
    <s v="male"/>
    <n v="33.1"/>
    <n v="84"/>
    <s v="No"/>
    <x v="0"/>
    <x v="0"/>
    <s v="southwest"/>
    <n v="13393.76"/>
    <x v="1"/>
    <n v="0"/>
    <n v="0"/>
    <n v="1"/>
    <n v="0"/>
    <n v="0.27281154941150765"/>
    <n v="0"/>
    <n v="0"/>
    <n v="0"/>
  </r>
  <r>
    <n v="924"/>
    <n v="45"/>
    <s v="male"/>
    <n v="41.5"/>
    <n v="103"/>
    <s v="Yes"/>
    <x v="0"/>
    <x v="0"/>
    <s v="southeast"/>
    <n v="13405.39"/>
    <x v="2"/>
    <n v="0"/>
    <n v="1"/>
    <n v="0"/>
    <n v="0"/>
    <n v="0.74609605079900654"/>
    <n v="0"/>
    <n v="1"/>
    <n v="0"/>
  </r>
  <r>
    <n v="925"/>
    <n v="45"/>
    <s v="female"/>
    <n v="21.1"/>
    <n v="94"/>
    <s v="No"/>
    <x v="0"/>
    <x v="0"/>
    <s v="northwest"/>
    <n v="13415.04"/>
    <x v="0"/>
    <n v="0"/>
    <n v="0"/>
    <n v="0"/>
    <n v="1"/>
    <n v="0.21434523709053288"/>
    <n v="0"/>
    <n v="0"/>
    <n v="1"/>
  </r>
  <r>
    <n v="926"/>
    <n v="42"/>
    <s v="female"/>
    <n v="31.2"/>
    <n v="92"/>
    <s v="Yes"/>
    <x v="0"/>
    <x v="0"/>
    <s v="northwest"/>
    <n v="13429.04"/>
    <x v="1"/>
    <n v="0"/>
    <n v="0"/>
    <n v="0"/>
    <n v="1"/>
    <n v="0.46722964356807606"/>
    <n v="0"/>
    <n v="1"/>
    <n v="1"/>
  </r>
  <r>
    <n v="927"/>
    <n v="51"/>
    <s v="female"/>
    <n v="32.299999999999997"/>
    <n v="83"/>
    <s v="Yes"/>
    <x v="3"/>
    <x v="0"/>
    <s v="northeast"/>
    <n v="13430.27"/>
    <x v="1"/>
    <n v="0"/>
    <n v="0"/>
    <n v="0"/>
    <n v="0"/>
    <n v="4.267069599429052E-2"/>
    <n v="0"/>
    <n v="1"/>
    <n v="1"/>
  </r>
  <r>
    <n v="928"/>
    <n v="31"/>
    <s v="female"/>
    <n v="25"/>
    <n v="93"/>
    <s v="Yes"/>
    <x v="0"/>
    <x v="0"/>
    <s v="southwest"/>
    <n v="13451.12"/>
    <x v="4"/>
    <n v="0"/>
    <n v="0"/>
    <n v="1"/>
    <n v="0"/>
    <n v="0.55735996650546471"/>
    <n v="0"/>
    <n v="1"/>
    <n v="1"/>
  </r>
  <r>
    <n v="929"/>
    <n v="53"/>
    <s v="female"/>
    <n v="29.9"/>
    <n v="87"/>
    <s v="No"/>
    <x v="0"/>
    <x v="0"/>
    <s v="southeast"/>
    <n v="13457.96"/>
    <x v="4"/>
    <n v="0"/>
    <n v="1"/>
    <n v="0"/>
    <n v="0"/>
    <n v="0.37506707162587316"/>
    <n v="0"/>
    <n v="0"/>
    <n v="1"/>
  </r>
  <r>
    <n v="930"/>
    <n v="26"/>
    <s v="female"/>
    <n v="33.200000000000003"/>
    <n v="106"/>
    <s v="No"/>
    <x v="0"/>
    <x v="0"/>
    <s v="southwest"/>
    <n v="13462.52"/>
    <x v="1"/>
    <n v="0"/>
    <n v="0"/>
    <n v="1"/>
    <n v="0"/>
    <n v="0.81237987847671445"/>
    <n v="0"/>
    <n v="0"/>
    <n v="1"/>
  </r>
  <r>
    <n v="931"/>
    <n v="32"/>
    <s v="female"/>
    <n v="39.200000000000003"/>
    <n v="96"/>
    <s v="Yes"/>
    <x v="0"/>
    <x v="0"/>
    <s v="southeast"/>
    <n v="13470.8"/>
    <x v="2"/>
    <n v="0"/>
    <n v="1"/>
    <n v="0"/>
    <n v="0"/>
    <n v="0.97131968098410204"/>
    <n v="0"/>
    <n v="1"/>
    <n v="1"/>
  </r>
  <r>
    <n v="932"/>
    <n v="40"/>
    <s v="female"/>
    <n v="39.200000000000003"/>
    <n v="84"/>
    <s v="No"/>
    <x v="0"/>
    <x v="0"/>
    <s v="southwest"/>
    <n v="13470.86"/>
    <x v="2"/>
    <n v="0"/>
    <n v="0"/>
    <n v="1"/>
    <n v="0"/>
    <n v="0.31516937046112858"/>
    <n v="0"/>
    <n v="0"/>
    <n v="1"/>
  </r>
  <r>
    <n v="933"/>
    <n v="47"/>
    <s v="male"/>
    <n v="32.1"/>
    <n v="91"/>
    <s v="No"/>
    <x v="0"/>
    <x v="0"/>
    <s v="northeast"/>
    <n v="13555"/>
    <x v="1"/>
    <n v="0"/>
    <n v="0"/>
    <n v="0"/>
    <n v="0"/>
    <n v="0.43655620600087919"/>
    <n v="0"/>
    <n v="0"/>
    <n v="0"/>
  </r>
  <r>
    <n v="934"/>
    <n v="28"/>
    <s v="female"/>
    <n v="31.8"/>
    <n v="110"/>
    <s v="Yes"/>
    <x v="2"/>
    <x v="0"/>
    <s v="northeast"/>
    <n v="13607.37"/>
    <x v="1"/>
    <n v="0"/>
    <n v="0"/>
    <n v="0"/>
    <n v="0"/>
    <n v="0.15893845700649212"/>
    <n v="0"/>
    <n v="1"/>
    <n v="1"/>
  </r>
  <r>
    <n v="935"/>
    <n v="41"/>
    <s v="female"/>
    <n v="22"/>
    <n v="89"/>
    <s v="No"/>
    <x v="0"/>
    <x v="0"/>
    <s v="northeast"/>
    <n v="13616.36"/>
    <x v="0"/>
    <n v="0"/>
    <n v="0"/>
    <n v="0"/>
    <n v="0"/>
    <n v="0.70221798288120807"/>
    <n v="0"/>
    <n v="0"/>
    <n v="1"/>
  </r>
  <r>
    <n v="936"/>
    <n v="59"/>
    <s v="female"/>
    <n v="35.9"/>
    <n v="89"/>
    <s v="No"/>
    <x v="0"/>
    <x v="0"/>
    <s v="northeast"/>
    <n v="13635.64"/>
    <x v="2"/>
    <n v="0"/>
    <n v="0"/>
    <n v="0"/>
    <n v="0"/>
    <n v="0.50868910611027074"/>
    <n v="0"/>
    <n v="0"/>
    <n v="1"/>
  </r>
  <r>
    <n v="937"/>
    <n v="55"/>
    <s v="female"/>
    <n v="21.8"/>
    <n v="93"/>
    <s v="No"/>
    <x v="1"/>
    <x v="0"/>
    <s v="northeast"/>
    <n v="13725.47"/>
    <x v="0"/>
    <n v="0"/>
    <n v="0"/>
    <n v="0"/>
    <n v="0"/>
    <n v="0.54505613814344023"/>
    <n v="0"/>
    <n v="0"/>
    <n v="1"/>
  </r>
  <r>
    <n v="938"/>
    <n v="33"/>
    <s v="male"/>
    <n v="21.6"/>
    <n v="106"/>
    <s v="Yes"/>
    <x v="0"/>
    <x v="1"/>
    <s v="northeast"/>
    <n v="13747.87"/>
    <x v="0"/>
    <n v="21.6"/>
    <n v="0"/>
    <n v="0"/>
    <n v="0"/>
    <n v="0.80577768373692138"/>
    <n v="1"/>
    <n v="1"/>
    <n v="0"/>
  </r>
  <r>
    <n v="939"/>
    <n v="30"/>
    <s v="male"/>
    <n v="28.3"/>
    <n v="85"/>
    <s v="No"/>
    <x v="0"/>
    <x v="0"/>
    <s v="northwest"/>
    <n v="13770.1"/>
    <x v="4"/>
    <n v="0"/>
    <n v="0"/>
    <n v="0"/>
    <n v="1"/>
    <n v="7.7440907976642159E-2"/>
    <n v="0"/>
    <n v="0"/>
    <n v="0"/>
  </r>
  <r>
    <n v="940"/>
    <n v="24"/>
    <s v="male"/>
    <n v="34.5"/>
    <n v="95"/>
    <s v="No"/>
    <x v="0"/>
    <x v="0"/>
    <s v="southwest"/>
    <n v="13822.8"/>
    <x v="1"/>
    <n v="0"/>
    <n v="0"/>
    <n v="1"/>
    <n v="0"/>
    <n v="0.53734820507180048"/>
    <n v="0"/>
    <n v="0"/>
    <n v="0"/>
  </r>
  <r>
    <n v="941"/>
    <n v="43"/>
    <s v="male"/>
    <n v="40.5"/>
    <n v="99"/>
    <s v="Yes"/>
    <x v="0"/>
    <x v="0"/>
    <s v="southeast"/>
    <n v="13831.12"/>
    <x v="2"/>
    <n v="0"/>
    <n v="1"/>
    <n v="0"/>
    <n v="0"/>
    <n v="0.33361037022715134"/>
    <n v="0"/>
    <n v="1"/>
    <n v="0"/>
  </r>
  <r>
    <n v="942"/>
    <n v="52"/>
    <s v="female"/>
    <n v="21.7"/>
    <n v="81"/>
    <s v="Yes"/>
    <x v="0"/>
    <x v="1"/>
    <s v="southwest"/>
    <n v="13844.51"/>
    <x v="0"/>
    <n v="21.7"/>
    <n v="0"/>
    <n v="1"/>
    <n v="0"/>
    <n v="0.37052939129644424"/>
    <n v="1"/>
    <n v="1"/>
    <n v="1"/>
  </r>
  <r>
    <n v="943"/>
    <n v="34"/>
    <s v="female"/>
    <n v="32.700000000000003"/>
    <n v="110"/>
    <s v="Yes"/>
    <x v="0"/>
    <x v="0"/>
    <s v="northwest"/>
    <n v="13844.8"/>
    <x v="1"/>
    <n v="0"/>
    <n v="0"/>
    <n v="0"/>
    <n v="1"/>
    <n v="0.85519311140104637"/>
    <n v="0"/>
    <n v="1"/>
    <n v="1"/>
  </r>
  <r>
    <n v="944"/>
    <n v="35"/>
    <s v="female"/>
    <n v="31.8"/>
    <n v="95"/>
    <s v="No"/>
    <x v="0"/>
    <x v="0"/>
    <s v="southwest"/>
    <n v="13880.95"/>
    <x v="1"/>
    <n v="0"/>
    <n v="0"/>
    <n v="1"/>
    <n v="0"/>
    <n v="0.5168127002072419"/>
    <n v="0"/>
    <n v="0"/>
    <n v="1"/>
  </r>
  <r>
    <n v="945"/>
    <n v="57"/>
    <s v="female"/>
    <n v="36.299999999999997"/>
    <n v="98"/>
    <s v="Yes"/>
    <x v="0"/>
    <x v="0"/>
    <s v="southeast"/>
    <n v="13887.2"/>
    <x v="2"/>
    <n v="0"/>
    <n v="1"/>
    <n v="0"/>
    <n v="0"/>
    <n v="0.86529589158780673"/>
    <n v="0"/>
    <n v="1"/>
    <n v="1"/>
  </r>
  <r>
    <n v="946"/>
    <n v="57"/>
    <s v="female"/>
    <n v="36.9"/>
    <n v="88"/>
    <s v="Yes"/>
    <x v="0"/>
    <x v="0"/>
    <s v="southeast"/>
    <n v="13887.97"/>
    <x v="2"/>
    <n v="0"/>
    <n v="1"/>
    <n v="0"/>
    <n v="0"/>
    <n v="0.67523805168433026"/>
    <n v="0"/>
    <n v="1"/>
    <n v="1"/>
  </r>
  <r>
    <n v="947"/>
    <n v="20"/>
    <s v="male"/>
    <n v="33.1"/>
    <n v="99"/>
    <s v="No"/>
    <x v="3"/>
    <x v="0"/>
    <s v="southeast"/>
    <n v="13919.82"/>
    <x v="1"/>
    <n v="0"/>
    <n v="1"/>
    <n v="0"/>
    <n v="0"/>
    <n v="0.37795639960279548"/>
    <n v="0"/>
    <n v="0"/>
    <n v="0"/>
  </r>
  <r>
    <n v="948"/>
    <n v="33"/>
    <s v="male"/>
    <n v="27.6"/>
    <n v="109"/>
    <s v="No"/>
    <x v="1"/>
    <x v="0"/>
    <s v="northwest"/>
    <n v="13937.67"/>
    <x v="4"/>
    <n v="0"/>
    <n v="0"/>
    <n v="0"/>
    <n v="1"/>
    <n v="0.81285203661017447"/>
    <n v="0"/>
    <n v="0"/>
    <n v="0"/>
  </r>
  <r>
    <n v="949"/>
    <n v="31"/>
    <s v="male"/>
    <n v="31.4"/>
    <n v="82"/>
    <s v="No"/>
    <x v="0"/>
    <x v="0"/>
    <s v="northeast"/>
    <n v="13974.46"/>
    <x v="1"/>
    <n v="0"/>
    <n v="0"/>
    <n v="0"/>
    <n v="0"/>
    <n v="0.35173578195728805"/>
    <n v="0"/>
    <n v="0"/>
    <n v="0"/>
  </r>
  <r>
    <n v="950"/>
    <n v="43"/>
    <s v="male"/>
    <n v="36.799999999999997"/>
    <n v="85"/>
    <s v="No"/>
    <x v="0"/>
    <x v="0"/>
    <s v="northeast"/>
    <n v="13981.85"/>
    <x v="2"/>
    <n v="0"/>
    <n v="0"/>
    <n v="0"/>
    <n v="0"/>
    <n v="3.9566532683810496E-2"/>
    <n v="0"/>
    <n v="0"/>
    <n v="0"/>
  </r>
  <r>
    <n v="951"/>
    <n v="32"/>
    <s v="female"/>
    <n v="27.7"/>
    <n v="86"/>
    <s v="Yes"/>
    <x v="3"/>
    <x v="0"/>
    <s v="southeast"/>
    <n v="14001.13"/>
    <x v="4"/>
    <n v="0"/>
    <n v="1"/>
    <n v="0"/>
    <n v="0"/>
    <n v="0.2341916775828472"/>
    <n v="0"/>
    <n v="1"/>
    <n v="1"/>
  </r>
  <r>
    <n v="952"/>
    <n v="50"/>
    <s v="female"/>
    <n v="27.8"/>
    <n v="80"/>
    <s v="Yes"/>
    <x v="3"/>
    <x v="0"/>
    <s v="southeast"/>
    <n v="14001.29"/>
    <x v="4"/>
    <n v="0"/>
    <n v="1"/>
    <n v="0"/>
    <n v="0"/>
    <n v="0.27711184503055286"/>
    <n v="0"/>
    <n v="1"/>
    <n v="1"/>
  </r>
  <r>
    <n v="953"/>
    <n v="41"/>
    <s v="female"/>
    <n v="32.1"/>
    <n v="109"/>
    <s v="Yes"/>
    <x v="3"/>
    <x v="0"/>
    <s v="southwest"/>
    <n v="14007.22"/>
    <x v="1"/>
    <n v="0"/>
    <n v="0"/>
    <n v="1"/>
    <n v="0"/>
    <n v="0.68007771323331123"/>
    <n v="0"/>
    <n v="1"/>
    <n v="1"/>
  </r>
  <r>
    <n v="954"/>
    <n v="42"/>
    <s v="female"/>
    <n v="31.7"/>
    <n v="83"/>
    <s v="No"/>
    <x v="0"/>
    <x v="0"/>
    <s v="northeast"/>
    <n v="14043.48"/>
    <x v="1"/>
    <n v="0"/>
    <n v="0"/>
    <n v="0"/>
    <n v="0"/>
    <n v="0.96626020402871127"/>
    <n v="0"/>
    <n v="0"/>
    <n v="1"/>
  </r>
  <r>
    <n v="955"/>
    <n v="24"/>
    <s v="male"/>
    <n v="32.299999999999997"/>
    <n v="97"/>
    <s v="No"/>
    <x v="2"/>
    <x v="0"/>
    <s v="northwest"/>
    <n v="14119.62"/>
    <x v="1"/>
    <n v="0"/>
    <n v="0"/>
    <n v="0"/>
    <n v="1"/>
    <n v="0.55645393721545588"/>
    <n v="0"/>
    <n v="0"/>
    <n v="0"/>
  </r>
  <r>
    <n v="956"/>
    <n v="30"/>
    <s v="female"/>
    <n v="38.299999999999997"/>
    <n v="98"/>
    <s v="No"/>
    <x v="0"/>
    <x v="0"/>
    <s v="southeast"/>
    <n v="14133.04"/>
    <x v="2"/>
    <n v="0"/>
    <n v="1"/>
    <n v="0"/>
    <n v="0"/>
    <n v="0.35514705647076883"/>
    <n v="0"/>
    <n v="0"/>
    <n v="1"/>
  </r>
  <r>
    <n v="957"/>
    <n v="47"/>
    <s v="male"/>
    <n v="37.9"/>
    <n v="103"/>
    <s v="No"/>
    <x v="0"/>
    <x v="0"/>
    <s v="northwest"/>
    <n v="14210.54"/>
    <x v="2"/>
    <n v="0"/>
    <n v="0"/>
    <n v="0"/>
    <n v="1"/>
    <n v="5.8230130808359926E-3"/>
    <n v="0"/>
    <n v="0"/>
    <n v="0"/>
  </r>
  <r>
    <n v="958"/>
    <n v="56"/>
    <s v="female"/>
    <n v="39.1"/>
    <n v="83"/>
    <s v="No"/>
    <x v="2"/>
    <x v="0"/>
    <s v="southwest"/>
    <n v="14235.07"/>
    <x v="2"/>
    <n v="0"/>
    <n v="0"/>
    <n v="1"/>
    <n v="0"/>
    <n v="0.51784336309089884"/>
    <n v="0"/>
    <n v="0"/>
    <n v="1"/>
  </r>
  <r>
    <n v="959"/>
    <n v="28"/>
    <s v="female"/>
    <n v="25.1"/>
    <n v="103"/>
    <s v="No"/>
    <x v="0"/>
    <x v="0"/>
    <s v="northwest"/>
    <n v="14254.61"/>
    <x v="4"/>
    <n v="0"/>
    <n v="0"/>
    <n v="0"/>
    <n v="1"/>
    <n v="0.47051117616848548"/>
    <n v="0"/>
    <n v="0"/>
    <n v="1"/>
  </r>
  <r>
    <n v="960"/>
    <n v="51"/>
    <s v="female"/>
    <n v="26.2"/>
    <n v="106"/>
    <s v="Yes"/>
    <x v="0"/>
    <x v="0"/>
    <s v="northwest"/>
    <n v="14256.19"/>
    <x v="4"/>
    <n v="0"/>
    <n v="0"/>
    <n v="0"/>
    <n v="1"/>
    <n v="0.27221603184700416"/>
    <n v="0"/>
    <n v="1"/>
    <n v="1"/>
  </r>
  <r>
    <n v="961"/>
    <n v="48"/>
    <s v="female"/>
    <n v="21.7"/>
    <n v="90"/>
    <s v="Yes"/>
    <x v="0"/>
    <x v="1"/>
    <s v="northeast"/>
    <n v="14283.46"/>
    <x v="0"/>
    <n v="21.7"/>
    <n v="0"/>
    <n v="0"/>
    <n v="0"/>
    <n v="0.58504950578947934"/>
    <n v="1"/>
    <n v="1"/>
    <n v="1"/>
  </r>
  <r>
    <n v="962"/>
    <n v="38"/>
    <s v="female"/>
    <n v="36"/>
    <n v="83"/>
    <s v="No"/>
    <x v="0"/>
    <x v="0"/>
    <s v="southeast"/>
    <n v="14313.85"/>
    <x v="2"/>
    <n v="0"/>
    <n v="1"/>
    <n v="0"/>
    <n v="0"/>
    <n v="0.79324010131896083"/>
    <n v="0"/>
    <n v="0"/>
    <n v="1"/>
  </r>
  <r>
    <n v="963"/>
    <n v="38"/>
    <s v="female"/>
    <n v="39.700000000000003"/>
    <n v="98"/>
    <s v="No"/>
    <x v="0"/>
    <x v="0"/>
    <s v="southwest"/>
    <n v="14319.03"/>
    <x v="2"/>
    <n v="0"/>
    <n v="0"/>
    <n v="1"/>
    <n v="0"/>
    <n v="0.66233641844067193"/>
    <n v="0"/>
    <n v="0"/>
    <n v="1"/>
  </r>
  <r>
    <n v="964"/>
    <n v="40"/>
    <s v="male"/>
    <n v="21.7"/>
    <n v="107"/>
    <s v="Yes"/>
    <x v="1"/>
    <x v="0"/>
    <s v="northwest"/>
    <n v="14349.85"/>
    <x v="0"/>
    <n v="0"/>
    <n v="0"/>
    <n v="0"/>
    <n v="1"/>
    <n v="0.22961055517788787"/>
    <n v="0"/>
    <n v="1"/>
    <n v="0"/>
  </r>
  <r>
    <n v="965"/>
    <n v="44"/>
    <s v="male"/>
    <n v="32.799999999999997"/>
    <n v="89"/>
    <s v="Yes"/>
    <x v="1"/>
    <x v="0"/>
    <s v="southwest"/>
    <n v="14358.36"/>
    <x v="1"/>
    <n v="0"/>
    <n v="0"/>
    <n v="1"/>
    <n v="0"/>
    <n v="0.87711134035770899"/>
    <n v="0"/>
    <n v="1"/>
    <n v="0"/>
  </r>
  <r>
    <n v="966"/>
    <n v="41"/>
    <s v="female"/>
    <n v="26.7"/>
    <n v="94"/>
    <s v="Yes"/>
    <x v="3"/>
    <x v="0"/>
    <s v="northwest"/>
    <n v="14382.71"/>
    <x v="4"/>
    <n v="0"/>
    <n v="0"/>
    <n v="0"/>
    <n v="1"/>
    <n v="8.1380757050708019E-2"/>
    <n v="0"/>
    <n v="1"/>
    <n v="1"/>
  </r>
  <r>
    <n v="967"/>
    <n v="45"/>
    <s v="female"/>
    <n v="28.8"/>
    <n v="101"/>
    <s v="No"/>
    <x v="4"/>
    <x v="0"/>
    <s v="northeast"/>
    <n v="14394.4"/>
    <x v="4"/>
    <n v="0"/>
    <n v="0"/>
    <n v="0"/>
    <n v="0"/>
    <n v="0.36979829112630613"/>
    <n v="0"/>
    <n v="0"/>
    <n v="1"/>
  </r>
  <r>
    <n v="968"/>
    <n v="45"/>
    <s v="male"/>
    <n v="26.4"/>
    <n v="103"/>
    <s v="Yes"/>
    <x v="0"/>
    <x v="0"/>
    <s v="northeast"/>
    <n v="14394.56"/>
    <x v="4"/>
    <n v="0"/>
    <n v="0"/>
    <n v="0"/>
    <n v="0"/>
    <n v="0.10363269303546785"/>
    <n v="0"/>
    <n v="1"/>
    <n v="0"/>
  </r>
  <r>
    <n v="969"/>
    <n v="37"/>
    <s v="male"/>
    <n v="38.200000000000003"/>
    <n v="97"/>
    <s v="Yes"/>
    <x v="0"/>
    <x v="0"/>
    <s v="northeast"/>
    <n v="14410.93"/>
    <x v="2"/>
    <n v="0"/>
    <n v="0"/>
    <n v="0"/>
    <n v="0"/>
    <n v="0.12836309872921414"/>
    <n v="0"/>
    <n v="1"/>
    <n v="0"/>
  </r>
  <r>
    <n v="970"/>
    <n v="31"/>
    <s v="male"/>
    <n v="39.200000000000003"/>
    <n v="91"/>
    <s v="No"/>
    <x v="1"/>
    <x v="0"/>
    <s v="southeast"/>
    <n v="14418.28"/>
    <x v="2"/>
    <n v="0"/>
    <n v="1"/>
    <n v="0"/>
    <n v="0"/>
    <n v="0.4083288455632359"/>
    <n v="0"/>
    <n v="0"/>
    <n v="0"/>
  </r>
  <r>
    <n v="971"/>
    <n v="41"/>
    <s v="female"/>
    <n v="23.2"/>
    <n v="98"/>
    <s v="No"/>
    <x v="2"/>
    <x v="0"/>
    <s v="northwest"/>
    <n v="14426.07"/>
    <x v="0"/>
    <n v="0"/>
    <n v="0"/>
    <n v="0"/>
    <n v="1"/>
    <n v="7.0402505201881738E-2"/>
    <n v="0"/>
    <n v="0"/>
    <n v="1"/>
  </r>
  <r>
    <n v="972"/>
    <n v="56"/>
    <s v="female"/>
    <n v="21.7"/>
    <n v="89"/>
    <s v="Yes"/>
    <x v="0"/>
    <x v="0"/>
    <s v="northeast"/>
    <n v="14449.85"/>
    <x v="0"/>
    <n v="0"/>
    <n v="0"/>
    <n v="0"/>
    <n v="0"/>
    <n v="0.43321709336639269"/>
    <n v="0"/>
    <n v="1"/>
    <n v="1"/>
  </r>
  <r>
    <n v="973"/>
    <n v="47"/>
    <s v="female"/>
    <n v="23.1"/>
    <n v="92"/>
    <s v="No"/>
    <x v="0"/>
    <x v="0"/>
    <s v="northeast"/>
    <n v="14451.84"/>
    <x v="0"/>
    <n v="0"/>
    <n v="0"/>
    <n v="0"/>
    <n v="0"/>
    <n v="0.50179426103736979"/>
    <n v="0"/>
    <n v="0"/>
    <n v="1"/>
  </r>
  <r>
    <n v="974"/>
    <n v="52"/>
    <s v="female"/>
    <n v="17.2"/>
    <n v="80"/>
    <s v="Yes"/>
    <x v="2"/>
    <x v="1"/>
    <s v="northeast"/>
    <n v="14455.64"/>
    <x v="3"/>
    <n v="17.2"/>
    <n v="0"/>
    <n v="0"/>
    <n v="0"/>
    <n v="0.56713113545246385"/>
    <n v="1"/>
    <n v="1"/>
    <n v="1"/>
  </r>
  <r>
    <n v="975"/>
    <n v="57"/>
    <s v="female"/>
    <n v="35.200000000000003"/>
    <n v="94"/>
    <s v="No"/>
    <x v="1"/>
    <x v="0"/>
    <s v="southeast"/>
    <n v="14474.68"/>
    <x v="2"/>
    <n v="0"/>
    <n v="1"/>
    <n v="0"/>
    <n v="0"/>
    <n v="0.91017510984048533"/>
    <n v="0"/>
    <n v="0"/>
    <n v="1"/>
  </r>
  <r>
    <n v="976"/>
    <n v="50"/>
    <s v="male"/>
    <n v="25.5"/>
    <n v="84"/>
    <s v="No"/>
    <x v="5"/>
    <x v="0"/>
    <s v="southeast"/>
    <n v="14478.33"/>
    <x v="4"/>
    <n v="0"/>
    <n v="1"/>
    <n v="0"/>
    <n v="0"/>
    <n v="0.29673962120876751"/>
    <n v="0"/>
    <n v="0"/>
    <n v="0"/>
  </r>
  <r>
    <n v="977"/>
    <n v="40"/>
    <s v="female"/>
    <n v="20.5"/>
    <n v="87"/>
    <s v="Yes"/>
    <x v="0"/>
    <x v="1"/>
    <s v="northeast"/>
    <n v="14571.89"/>
    <x v="0"/>
    <n v="20.5"/>
    <n v="0"/>
    <n v="0"/>
    <n v="0"/>
    <n v="0.93412174159186989"/>
    <n v="1"/>
    <n v="1"/>
    <n v="1"/>
  </r>
  <r>
    <n v="978"/>
    <n v="53"/>
    <s v="female"/>
    <n v="32.4"/>
    <n v="102"/>
    <s v="Yes"/>
    <x v="3"/>
    <x v="0"/>
    <s v="northeast"/>
    <n v="14590.63"/>
    <x v="1"/>
    <n v="0"/>
    <n v="0"/>
    <n v="0"/>
    <n v="0"/>
    <n v="0.91675080098654371"/>
    <n v="0"/>
    <n v="1"/>
    <n v="1"/>
  </r>
  <r>
    <n v="979"/>
    <n v="35"/>
    <s v="female"/>
    <n v="33"/>
    <n v="105"/>
    <s v="No"/>
    <x v="0"/>
    <x v="0"/>
    <s v="northwest"/>
    <n v="14692.67"/>
    <x v="1"/>
    <n v="0"/>
    <n v="0"/>
    <n v="0"/>
    <n v="1"/>
    <n v="0.75346150499688624"/>
    <n v="0"/>
    <n v="0"/>
    <n v="1"/>
  </r>
  <r>
    <n v="980"/>
    <n v="26"/>
    <s v="female"/>
    <n v="22.4"/>
    <n v="100"/>
    <s v="Yes"/>
    <x v="0"/>
    <x v="1"/>
    <s v="northwest"/>
    <n v="14711.74"/>
    <x v="0"/>
    <n v="22.4"/>
    <n v="0"/>
    <n v="0"/>
    <n v="1"/>
    <n v="0.93519657244223764"/>
    <n v="1"/>
    <n v="1"/>
    <n v="1"/>
  </r>
  <r>
    <n v="981"/>
    <n v="36"/>
    <s v="female"/>
    <n v="39.299999999999997"/>
    <n v="82"/>
    <s v="No"/>
    <x v="0"/>
    <x v="0"/>
    <s v="northeast"/>
    <n v="14901.52"/>
    <x v="2"/>
    <n v="0"/>
    <n v="0"/>
    <n v="0"/>
    <n v="0"/>
    <n v="0.94222523699856897"/>
    <n v="0"/>
    <n v="0"/>
    <n v="1"/>
  </r>
  <r>
    <n v="982"/>
    <n v="21"/>
    <s v="male"/>
    <n v="25.6"/>
    <n v="95"/>
    <s v="No"/>
    <x v="2"/>
    <x v="0"/>
    <s v="southwest"/>
    <n v="14988.43"/>
    <x v="4"/>
    <n v="0"/>
    <n v="0"/>
    <n v="1"/>
    <n v="0"/>
    <n v="0.51872643597681878"/>
    <n v="0"/>
    <n v="0"/>
    <n v="0"/>
  </r>
  <r>
    <n v="983"/>
    <n v="39"/>
    <s v="female"/>
    <n v="18"/>
    <n v="100"/>
    <s v="Yes"/>
    <x v="2"/>
    <x v="1"/>
    <s v="northeast"/>
    <n v="15006.58"/>
    <x v="3"/>
    <n v="18"/>
    <n v="0"/>
    <n v="0"/>
    <n v="0"/>
    <n v="6.5360108999824029E-2"/>
    <n v="1"/>
    <n v="1"/>
    <n v="1"/>
  </r>
  <r>
    <n v="984"/>
    <n v="27"/>
    <s v="female"/>
    <n v="30.5"/>
    <n v="100"/>
    <s v="Yes"/>
    <x v="2"/>
    <x v="0"/>
    <s v="northwest"/>
    <n v="15019.76"/>
    <x v="1"/>
    <n v="0"/>
    <n v="0"/>
    <n v="0"/>
    <n v="1"/>
    <n v="0.98404910897397491"/>
    <n v="0"/>
    <n v="1"/>
    <n v="1"/>
  </r>
  <r>
    <n v="985"/>
    <n v="24"/>
    <s v="male"/>
    <n v="33.700000000000003"/>
    <n v="101"/>
    <s v="No"/>
    <x v="3"/>
    <x v="0"/>
    <s v="southeast"/>
    <n v="15161.53"/>
    <x v="1"/>
    <n v="0"/>
    <n v="1"/>
    <n v="0"/>
    <n v="0"/>
    <n v="0.71025673376354326"/>
    <n v="0"/>
    <n v="0"/>
    <n v="0"/>
  </r>
  <r>
    <n v="986"/>
    <n v="24"/>
    <s v="male"/>
    <n v="39.799999999999997"/>
    <n v="95"/>
    <s v="Yes"/>
    <x v="3"/>
    <x v="0"/>
    <s v="southwest"/>
    <n v="15170.07"/>
    <x v="2"/>
    <n v="0"/>
    <n v="0"/>
    <n v="1"/>
    <n v="0"/>
    <n v="0.12439653826282815"/>
    <n v="0"/>
    <n v="1"/>
    <n v="0"/>
  </r>
  <r>
    <n v="987"/>
    <n v="55"/>
    <s v="female"/>
    <n v="38.1"/>
    <n v="91"/>
    <s v="No"/>
    <x v="2"/>
    <x v="0"/>
    <s v="northeast"/>
    <n v="15230.32"/>
    <x v="2"/>
    <n v="0"/>
    <n v="0"/>
    <n v="0"/>
    <n v="0"/>
    <n v="0.37933413077097322"/>
    <n v="0"/>
    <n v="0"/>
    <n v="1"/>
  </r>
  <r>
    <n v="988"/>
    <n v="37"/>
    <s v="female"/>
    <n v="21.9"/>
    <n v="89"/>
    <s v="Yes"/>
    <x v="1"/>
    <x v="1"/>
    <s v="northeast"/>
    <n v="15359.1"/>
    <x v="0"/>
    <n v="21.9"/>
    <n v="0"/>
    <n v="0"/>
    <n v="0"/>
    <n v="0.5857885951275158"/>
    <n v="1"/>
    <n v="1"/>
    <n v="1"/>
  </r>
  <r>
    <n v="989"/>
    <n v="46"/>
    <s v="male"/>
    <n v="25.2"/>
    <n v="104"/>
    <s v="Yes"/>
    <x v="0"/>
    <x v="1"/>
    <s v="northeast"/>
    <n v="15518.18"/>
    <x v="4"/>
    <n v="25.2"/>
    <n v="0"/>
    <n v="0"/>
    <n v="0"/>
    <n v="0.66921242016540794"/>
    <n v="1"/>
    <n v="1"/>
    <n v="0"/>
  </r>
  <r>
    <n v="990"/>
    <n v="21"/>
    <s v="male"/>
    <n v="41.3"/>
    <n v="85"/>
    <s v="Yes"/>
    <x v="3"/>
    <x v="0"/>
    <s v="northwest"/>
    <n v="15555.19"/>
    <x v="2"/>
    <n v="0"/>
    <n v="0"/>
    <n v="0"/>
    <n v="1"/>
    <n v="0.18299863215316947"/>
    <n v="0"/>
    <n v="1"/>
    <n v="0"/>
  </r>
  <r>
    <n v="991"/>
    <n v="36"/>
    <s v="female"/>
    <n v="33"/>
    <n v="94"/>
    <s v="No"/>
    <x v="3"/>
    <x v="0"/>
    <s v="northwest"/>
    <n v="15612.19"/>
    <x v="1"/>
    <n v="0"/>
    <n v="0"/>
    <n v="0"/>
    <n v="1"/>
    <n v="4.3498079674023638E-2"/>
    <n v="0"/>
    <n v="0"/>
    <n v="1"/>
  </r>
  <r>
    <n v="992"/>
    <n v="27"/>
    <s v="male"/>
    <n v="24.1"/>
    <n v="95"/>
    <s v="No"/>
    <x v="0"/>
    <x v="1"/>
    <s v="northwest"/>
    <n v="15817.99"/>
    <x v="0"/>
    <n v="24.1"/>
    <n v="0"/>
    <n v="0"/>
    <n v="1"/>
    <n v="0.99914309380554922"/>
    <n v="1"/>
    <n v="0"/>
    <n v="0"/>
  </r>
  <r>
    <n v="993"/>
    <n v="30"/>
    <s v="male"/>
    <n v="19.3"/>
    <n v="84"/>
    <s v="Yes"/>
    <x v="0"/>
    <x v="1"/>
    <s v="southwest"/>
    <n v="15820.7"/>
    <x v="3"/>
    <n v="19.3"/>
    <n v="0"/>
    <n v="1"/>
    <n v="0"/>
    <n v="0.38388488049750524"/>
    <n v="1"/>
    <n v="1"/>
    <n v="0"/>
  </r>
  <r>
    <n v="994"/>
    <n v="34"/>
    <s v="female"/>
    <n v="29.3"/>
    <n v="87"/>
    <s v="Yes"/>
    <x v="4"/>
    <x v="0"/>
    <s v="southwest"/>
    <n v="15828.82"/>
    <x v="4"/>
    <n v="0"/>
    <n v="0"/>
    <n v="1"/>
    <n v="0"/>
    <n v="0.83826378851926897"/>
    <n v="0"/>
    <n v="1"/>
    <n v="1"/>
  </r>
  <r>
    <n v="995"/>
    <n v="53"/>
    <s v="female"/>
    <n v="31.8"/>
    <n v="96"/>
    <s v="No"/>
    <x v="2"/>
    <x v="0"/>
    <s v="northeast"/>
    <n v="16069.08"/>
    <x v="1"/>
    <n v="0"/>
    <n v="0"/>
    <n v="0"/>
    <n v="0"/>
    <n v="0.47618130901620603"/>
    <n v="0"/>
    <n v="0"/>
    <n v="1"/>
  </r>
  <r>
    <n v="996"/>
    <n v="55"/>
    <s v="female"/>
    <n v="39.1"/>
    <n v="83"/>
    <s v="Yes"/>
    <x v="3"/>
    <x v="0"/>
    <s v="southeast"/>
    <n v="16085.13"/>
    <x v="2"/>
    <n v="0"/>
    <n v="1"/>
    <n v="0"/>
    <n v="0"/>
    <n v="0.89255200455034878"/>
    <n v="0"/>
    <n v="1"/>
    <n v="1"/>
  </r>
  <r>
    <n v="997"/>
    <n v="29"/>
    <s v="female"/>
    <n v="21.9"/>
    <n v="92"/>
    <s v="Yes"/>
    <x v="0"/>
    <x v="1"/>
    <s v="northeast"/>
    <n v="16115.3"/>
    <x v="0"/>
    <n v="21.9"/>
    <n v="0"/>
    <n v="0"/>
    <n v="0"/>
    <n v="0.30369136671902763"/>
    <n v="1"/>
    <n v="1"/>
    <n v="1"/>
  </r>
  <r>
    <n v="998"/>
    <n v="30"/>
    <s v="male"/>
    <n v="22.9"/>
    <n v="108"/>
    <s v="No"/>
    <x v="0"/>
    <x v="1"/>
    <s v="northeast"/>
    <n v="16138.76"/>
    <x v="0"/>
    <n v="22.9"/>
    <n v="0"/>
    <n v="0"/>
    <n v="0"/>
    <n v="0.35881099957185791"/>
    <n v="1"/>
    <n v="0"/>
    <n v="0"/>
  </r>
  <r>
    <n v="999"/>
    <n v="34"/>
    <s v="male"/>
    <n v="27.3"/>
    <n v="89"/>
    <s v="Yes"/>
    <x v="0"/>
    <x v="1"/>
    <s v="southwest"/>
    <n v="16232.85"/>
    <x v="4"/>
    <n v="27.3"/>
    <n v="0"/>
    <n v="1"/>
    <n v="0"/>
    <n v="0.75326501417835068"/>
    <n v="1"/>
    <n v="1"/>
    <n v="0"/>
  </r>
  <r>
    <n v="1000"/>
    <n v="33"/>
    <s v="male"/>
    <n v="27.7"/>
    <n v="94"/>
    <s v="No"/>
    <x v="0"/>
    <x v="1"/>
    <s v="southwest"/>
    <n v="16297.85"/>
    <x v="4"/>
    <n v="27.7"/>
    <n v="0"/>
    <n v="1"/>
    <n v="0"/>
    <n v="0.67904681856175653"/>
    <n v="1"/>
    <n v="0"/>
    <n v="0"/>
  </r>
  <r>
    <n v="1001"/>
    <n v="45"/>
    <s v="female"/>
    <n v="20"/>
    <n v="91"/>
    <s v="No"/>
    <x v="3"/>
    <x v="1"/>
    <s v="northwest"/>
    <n v="16420.490000000002"/>
    <x v="0"/>
    <n v="20"/>
    <n v="0"/>
    <n v="0"/>
    <n v="1"/>
    <n v="0.86739204094356637"/>
    <n v="1"/>
    <n v="0"/>
    <n v="1"/>
  </r>
  <r>
    <n v="1002"/>
    <n v="50"/>
    <s v="male"/>
    <n v="26"/>
    <n v="81"/>
    <s v="Yes"/>
    <x v="1"/>
    <x v="1"/>
    <s v="northwest"/>
    <n v="16450.89"/>
    <x v="4"/>
    <n v="26"/>
    <n v="0"/>
    <n v="0"/>
    <n v="1"/>
    <n v="0.22953223661960587"/>
    <n v="1"/>
    <n v="1"/>
    <n v="0"/>
  </r>
  <r>
    <n v="1003"/>
    <n v="44"/>
    <s v="female"/>
    <n v="30.1"/>
    <n v="105"/>
    <s v="Yes"/>
    <x v="3"/>
    <x v="0"/>
    <s v="northwest"/>
    <n v="16455.71"/>
    <x v="1"/>
    <n v="0"/>
    <n v="0"/>
    <n v="0"/>
    <n v="1"/>
    <n v="0.99983047274615822"/>
    <n v="0"/>
    <n v="1"/>
    <n v="1"/>
  </r>
  <r>
    <n v="1004"/>
    <n v="42"/>
    <s v="female"/>
    <n v="24.8"/>
    <n v="83"/>
    <s v="No"/>
    <x v="0"/>
    <x v="1"/>
    <s v="southeast"/>
    <n v="16577.78"/>
    <x v="0"/>
    <n v="24.8"/>
    <n v="1"/>
    <n v="0"/>
    <n v="0"/>
    <n v="0.19506160233523329"/>
    <n v="1"/>
    <n v="0"/>
    <n v="1"/>
  </r>
  <r>
    <n v="1005"/>
    <n v="44"/>
    <s v="male"/>
    <n v="31"/>
    <n v="88"/>
    <s v="No"/>
    <x v="0"/>
    <x v="0"/>
    <s v="southeast"/>
    <n v="16586.5"/>
    <x v="1"/>
    <n v="0"/>
    <n v="1"/>
    <n v="0"/>
    <n v="0"/>
    <n v="0.24792950367926714"/>
    <n v="0"/>
    <n v="0"/>
    <n v="0"/>
  </r>
  <r>
    <n v="1006"/>
    <n v="56"/>
    <s v="female"/>
    <n v="21.8"/>
    <n v="105"/>
    <s v="No"/>
    <x v="1"/>
    <x v="1"/>
    <s v="northeast"/>
    <n v="16657.72"/>
    <x v="0"/>
    <n v="21.8"/>
    <n v="0"/>
    <n v="0"/>
    <n v="0"/>
    <n v="0.82497971090388478"/>
    <n v="1"/>
    <n v="0"/>
    <n v="1"/>
  </r>
  <r>
    <n v="1007"/>
    <n v="50"/>
    <s v="female"/>
    <n v="19.100000000000001"/>
    <n v="108"/>
    <s v="No"/>
    <x v="2"/>
    <x v="1"/>
    <s v="northeast"/>
    <n v="16776.3"/>
    <x v="3"/>
    <n v="19.100000000000001"/>
    <n v="0"/>
    <n v="0"/>
    <n v="0"/>
    <n v="0.51601032222732923"/>
    <n v="1"/>
    <n v="0"/>
    <n v="1"/>
  </r>
  <r>
    <n v="1008"/>
    <n v="45"/>
    <s v="female"/>
    <n v="30.6"/>
    <n v="85"/>
    <s v="No"/>
    <x v="1"/>
    <x v="0"/>
    <s v="northeast"/>
    <n v="16796.41"/>
    <x v="1"/>
    <n v="0"/>
    <n v="0"/>
    <n v="0"/>
    <n v="0"/>
    <n v="0.8873551918000141"/>
    <n v="0"/>
    <n v="0"/>
    <n v="1"/>
  </r>
  <r>
    <n v="1009"/>
    <n v="60"/>
    <s v="female"/>
    <n v="27.9"/>
    <n v="97"/>
    <s v="No"/>
    <x v="0"/>
    <x v="1"/>
    <s v="southwest"/>
    <n v="16884.919999999998"/>
    <x v="4"/>
    <n v="27.9"/>
    <n v="0"/>
    <n v="1"/>
    <n v="0"/>
    <n v="0.94199678381619856"/>
    <n v="1"/>
    <n v="0"/>
    <n v="1"/>
  </r>
  <r>
    <n v="1010"/>
    <n v="22"/>
    <s v="male"/>
    <n v="27.1"/>
    <n v="86"/>
    <s v="Yes"/>
    <x v="0"/>
    <x v="1"/>
    <s v="southeast"/>
    <n v="17043.34"/>
    <x v="4"/>
    <n v="27.1"/>
    <n v="1"/>
    <n v="0"/>
    <n v="0"/>
    <n v="0.4978538954715519"/>
    <n v="1"/>
    <n v="1"/>
    <n v="0"/>
  </r>
  <r>
    <n v="1011"/>
    <n v="25"/>
    <s v="female"/>
    <n v="28.3"/>
    <n v="107"/>
    <s v="Yes"/>
    <x v="0"/>
    <x v="1"/>
    <s v="southwest"/>
    <n v="17081.080000000002"/>
    <x v="4"/>
    <n v="28.3"/>
    <n v="0"/>
    <n v="1"/>
    <n v="0"/>
    <n v="0.64680572510200673"/>
    <n v="1"/>
    <n v="1"/>
    <n v="1"/>
  </r>
  <r>
    <n v="1012"/>
    <n v="32"/>
    <s v="female"/>
    <n v="26.8"/>
    <n v="109"/>
    <s v="No"/>
    <x v="1"/>
    <x v="1"/>
    <s v="southeast"/>
    <n v="17085.27"/>
    <x v="4"/>
    <n v="26.8"/>
    <n v="1"/>
    <n v="0"/>
    <n v="0"/>
    <n v="0.56369165662743059"/>
    <n v="1"/>
    <n v="0"/>
    <n v="1"/>
  </r>
  <r>
    <n v="1013"/>
    <n v="35"/>
    <s v="male"/>
    <n v="33.6"/>
    <n v="90"/>
    <s v="Yes"/>
    <x v="4"/>
    <x v="0"/>
    <s v="northeast"/>
    <n v="17128.43"/>
    <x v="1"/>
    <n v="0"/>
    <n v="0"/>
    <n v="0"/>
    <n v="0"/>
    <n v="0.21797305498016462"/>
    <n v="0"/>
    <n v="1"/>
    <n v="0"/>
  </r>
  <r>
    <n v="1014"/>
    <n v="45"/>
    <s v="male"/>
    <n v="27.4"/>
    <n v="83"/>
    <s v="No"/>
    <x v="1"/>
    <x v="1"/>
    <s v="northeast"/>
    <n v="17178.68"/>
    <x v="4"/>
    <n v="27.4"/>
    <n v="0"/>
    <n v="0"/>
    <n v="0"/>
    <n v="0.62943859902763788"/>
    <n v="1"/>
    <n v="0"/>
    <n v="0"/>
  </r>
  <r>
    <n v="1015"/>
    <n v="44"/>
    <s v="male"/>
    <n v="19.8"/>
    <n v="106"/>
    <s v="No"/>
    <x v="1"/>
    <x v="1"/>
    <s v="southeast"/>
    <n v="17179.52"/>
    <x v="3"/>
    <n v="19.8"/>
    <n v="1"/>
    <n v="0"/>
    <n v="0"/>
    <n v="0.10530241814223185"/>
    <n v="1"/>
    <n v="0"/>
    <n v="0"/>
  </r>
  <r>
    <n v="1016"/>
    <n v="47"/>
    <s v="male"/>
    <n v="29.1"/>
    <n v="97"/>
    <s v="No"/>
    <x v="0"/>
    <x v="1"/>
    <s v="northwest"/>
    <n v="17352.68"/>
    <x v="4"/>
    <n v="29.1"/>
    <n v="0"/>
    <n v="0"/>
    <n v="1"/>
    <n v="0.78554489440964625"/>
    <n v="1"/>
    <n v="0"/>
    <n v="0"/>
  </r>
  <r>
    <n v="1017"/>
    <n v="19"/>
    <s v="male"/>
    <n v="23"/>
    <n v="99"/>
    <s v="Yes"/>
    <x v="2"/>
    <x v="1"/>
    <s v="northwest"/>
    <n v="17361.77"/>
    <x v="0"/>
    <n v="23"/>
    <n v="0"/>
    <n v="0"/>
    <n v="1"/>
    <n v="0.74430073098310767"/>
    <n v="1"/>
    <n v="1"/>
    <n v="0"/>
  </r>
  <r>
    <n v="1018"/>
    <n v="32"/>
    <s v="female"/>
    <n v="28.3"/>
    <n v="92"/>
    <s v="No"/>
    <x v="0"/>
    <x v="1"/>
    <s v="northwest"/>
    <n v="17468.98"/>
    <x v="4"/>
    <n v="28.3"/>
    <n v="0"/>
    <n v="0"/>
    <n v="1"/>
    <n v="0.54958809682093102"/>
    <n v="1"/>
    <n v="0"/>
    <n v="1"/>
  </r>
  <r>
    <n v="1019"/>
    <n v="45"/>
    <s v="female"/>
    <n v="24.6"/>
    <n v="96"/>
    <s v="Yes"/>
    <x v="0"/>
    <x v="1"/>
    <s v="southwest"/>
    <n v="17496.310000000001"/>
    <x v="0"/>
    <n v="24.6"/>
    <n v="0"/>
    <n v="1"/>
    <n v="0"/>
    <n v="0.13867281401816112"/>
    <n v="1"/>
    <n v="1"/>
    <n v="1"/>
  </r>
  <r>
    <n v="1020"/>
    <n v="23"/>
    <s v="male"/>
    <n v="28"/>
    <n v="86"/>
    <s v="Yes"/>
    <x v="1"/>
    <x v="1"/>
    <s v="northwest"/>
    <n v="17560.38"/>
    <x v="4"/>
    <n v="28"/>
    <n v="0"/>
    <n v="0"/>
    <n v="1"/>
    <n v="8.5739685825759304E-2"/>
    <n v="1"/>
    <n v="1"/>
    <n v="0"/>
  </r>
  <r>
    <n v="1021"/>
    <n v="60"/>
    <s v="female"/>
    <n v="23.7"/>
    <n v="91"/>
    <s v="Yes"/>
    <x v="1"/>
    <x v="0"/>
    <s v="southeast"/>
    <n v="17626.240000000002"/>
    <x v="0"/>
    <n v="0"/>
    <n v="1"/>
    <n v="0"/>
    <n v="0"/>
    <n v="0.35346988923243816"/>
    <n v="0"/>
    <n v="1"/>
    <n v="1"/>
  </r>
  <r>
    <n v="1022"/>
    <n v="19"/>
    <s v="male"/>
    <n v="24"/>
    <n v="80"/>
    <s v="No"/>
    <x v="3"/>
    <x v="1"/>
    <s v="southeast"/>
    <n v="17663.14"/>
    <x v="0"/>
    <n v="24"/>
    <n v="1"/>
    <n v="0"/>
    <n v="0"/>
    <n v="0.65397063239718856"/>
    <n v="1"/>
    <n v="0"/>
    <n v="0"/>
  </r>
  <r>
    <n v="1023"/>
    <n v="58"/>
    <s v="female"/>
    <n v="28.9"/>
    <n v="83"/>
    <s v="Yes"/>
    <x v="0"/>
    <x v="1"/>
    <s v="northwest"/>
    <n v="17748.509999999998"/>
    <x v="4"/>
    <n v="28.9"/>
    <n v="0"/>
    <n v="0"/>
    <n v="1"/>
    <n v="0.34053136527610384"/>
    <n v="1"/>
    <n v="1"/>
    <n v="1"/>
  </r>
  <r>
    <n v="1024"/>
    <n v="51"/>
    <s v="female"/>
    <n v="41.3"/>
    <n v="98"/>
    <s v="No"/>
    <x v="0"/>
    <x v="0"/>
    <s v="northeast"/>
    <n v="17878.900000000001"/>
    <x v="2"/>
    <n v="0"/>
    <n v="0"/>
    <n v="0"/>
    <n v="0"/>
    <n v="4.8574307215673573E-2"/>
    <n v="0"/>
    <n v="0"/>
    <n v="1"/>
  </r>
  <r>
    <n v="1025"/>
    <n v="22"/>
    <s v="male"/>
    <n v="24.8"/>
    <n v="100"/>
    <s v="No"/>
    <x v="0"/>
    <x v="1"/>
    <s v="northeast"/>
    <n v="17904.53"/>
    <x v="0"/>
    <n v="24.8"/>
    <n v="0"/>
    <n v="0"/>
    <n v="0"/>
    <n v="0.93292540758704046"/>
    <n v="1"/>
    <n v="0"/>
    <n v="0"/>
  </r>
  <r>
    <n v="1026"/>
    <n v="59"/>
    <s v="female"/>
    <n v="31.8"/>
    <n v="103"/>
    <s v="Yes"/>
    <x v="0"/>
    <x v="0"/>
    <s v="southeast"/>
    <n v="17929.3"/>
    <x v="1"/>
    <n v="0"/>
    <n v="1"/>
    <n v="0"/>
    <n v="0"/>
    <n v="0.82410046535373094"/>
    <n v="0"/>
    <n v="1"/>
    <n v="1"/>
  </r>
  <r>
    <n v="1027"/>
    <n v="36"/>
    <s v="male"/>
    <n v="25.7"/>
    <n v="96"/>
    <s v="Yes"/>
    <x v="4"/>
    <x v="1"/>
    <s v="southwest"/>
    <n v="17942.11"/>
    <x v="4"/>
    <n v="25.7"/>
    <n v="0"/>
    <n v="1"/>
    <n v="0"/>
    <n v="0.51621445536105781"/>
    <n v="1"/>
    <n v="1"/>
    <n v="0"/>
  </r>
  <r>
    <n v="1028"/>
    <n v="29"/>
    <s v="female"/>
    <n v="28.3"/>
    <n v="103"/>
    <s v="No"/>
    <x v="0"/>
    <x v="1"/>
    <s v="northwest"/>
    <n v="18033.97"/>
    <x v="4"/>
    <n v="28.3"/>
    <n v="0"/>
    <n v="0"/>
    <n v="1"/>
    <n v="0.53055531126846478"/>
    <n v="1"/>
    <n v="0"/>
    <n v="1"/>
  </r>
  <r>
    <n v="1029"/>
    <n v="33"/>
    <s v="male"/>
    <n v="29.7"/>
    <n v="102"/>
    <s v="Yes"/>
    <x v="2"/>
    <x v="0"/>
    <s v="northwest"/>
    <n v="18157.88"/>
    <x v="4"/>
    <n v="0"/>
    <n v="0"/>
    <n v="0"/>
    <n v="1"/>
    <n v="0.48523843235713593"/>
    <n v="0"/>
    <n v="1"/>
    <n v="0"/>
  </r>
  <r>
    <n v="1030"/>
    <n v="35"/>
    <s v="female"/>
    <n v="32.200000000000003"/>
    <n v="107"/>
    <s v="Yes"/>
    <x v="1"/>
    <x v="0"/>
    <s v="southeast"/>
    <n v="18218.16"/>
    <x v="1"/>
    <n v="0"/>
    <n v="1"/>
    <n v="0"/>
    <n v="0"/>
    <n v="0.67292569382000111"/>
    <n v="0"/>
    <n v="1"/>
    <n v="1"/>
  </r>
  <r>
    <n v="1031"/>
    <n v="52"/>
    <s v="female"/>
    <n v="27.3"/>
    <n v="104"/>
    <s v="No"/>
    <x v="3"/>
    <x v="1"/>
    <s v="southeast"/>
    <n v="18223.45"/>
    <x v="4"/>
    <n v="27.3"/>
    <n v="1"/>
    <n v="0"/>
    <n v="0"/>
    <n v="0.21015155089179938"/>
    <n v="1"/>
    <n v="0"/>
    <n v="1"/>
  </r>
  <r>
    <n v="1032"/>
    <n v="44"/>
    <s v="male"/>
    <n v="29.2"/>
    <n v="88"/>
    <s v="Yes"/>
    <x v="0"/>
    <x v="1"/>
    <s v="southeast"/>
    <n v="18246.5"/>
    <x v="4"/>
    <n v="29.2"/>
    <n v="1"/>
    <n v="0"/>
    <n v="0"/>
    <n v="0.94963339786276135"/>
    <n v="1"/>
    <n v="1"/>
    <n v="0"/>
  </r>
  <r>
    <n v="1033"/>
    <n v="22"/>
    <s v="male"/>
    <n v="24.4"/>
    <n v="83"/>
    <s v="Yes"/>
    <x v="3"/>
    <x v="1"/>
    <s v="southwest"/>
    <n v="18259.22"/>
    <x v="0"/>
    <n v="24.4"/>
    <n v="0"/>
    <n v="1"/>
    <n v="0"/>
    <n v="0.65115951855133558"/>
    <n v="1"/>
    <n v="1"/>
    <n v="0"/>
  </r>
  <r>
    <n v="1034"/>
    <n v="23"/>
    <s v="male"/>
    <n v="28.5"/>
    <n v="97"/>
    <s v="No"/>
    <x v="0"/>
    <x v="1"/>
    <s v="northwest"/>
    <n v="18310.740000000002"/>
    <x v="4"/>
    <n v="28.5"/>
    <n v="0"/>
    <n v="0"/>
    <n v="1"/>
    <n v="0.19766990626908554"/>
    <n v="1"/>
    <n v="0"/>
    <n v="0"/>
  </r>
  <r>
    <n v="1035"/>
    <n v="36"/>
    <s v="female"/>
    <n v="28.5"/>
    <n v="87"/>
    <s v="No"/>
    <x v="1"/>
    <x v="1"/>
    <s v="southeast"/>
    <n v="18328.240000000002"/>
    <x v="4"/>
    <n v="28.5"/>
    <n v="1"/>
    <n v="0"/>
    <n v="0"/>
    <n v="0.97558672462401241"/>
    <n v="1"/>
    <n v="0"/>
    <n v="1"/>
  </r>
  <r>
    <n v="1036"/>
    <n v="45"/>
    <s v="female"/>
    <n v="22.6"/>
    <n v="96"/>
    <s v="No"/>
    <x v="2"/>
    <x v="1"/>
    <s v="southwest"/>
    <n v="18608.259999999998"/>
    <x v="0"/>
    <n v="22.6"/>
    <n v="0"/>
    <n v="1"/>
    <n v="0"/>
    <n v="5.7830476094818728E-2"/>
    <n v="1"/>
    <n v="0"/>
    <n v="1"/>
  </r>
  <r>
    <n v="1037"/>
    <n v="38"/>
    <s v="male"/>
    <n v="29.8"/>
    <n v="87"/>
    <s v="Yes"/>
    <x v="0"/>
    <x v="1"/>
    <s v="northeast"/>
    <n v="18648.419999999998"/>
    <x v="4"/>
    <n v="29.8"/>
    <n v="0"/>
    <n v="0"/>
    <n v="0"/>
    <n v="0.24909798915030534"/>
    <n v="1"/>
    <n v="1"/>
    <n v="0"/>
  </r>
  <r>
    <n v="1038"/>
    <n v="58"/>
    <s v="female"/>
    <n v="23.7"/>
    <n v="95"/>
    <s v="No"/>
    <x v="3"/>
    <x v="1"/>
    <s v="northwest"/>
    <n v="18765.88"/>
    <x v="0"/>
    <n v="23.7"/>
    <n v="0"/>
    <n v="0"/>
    <n v="1"/>
    <n v="0.34625664025882241"/>
    <n v="1"/>
    <n v="0"/>
    <n v="1"/>
  </r>
  <r>
    <n v="1039"/>
    <n v="21"/>
    <s v="male"/>
    <n v="20.100000000000001"/>
    <n v="108"/>
    <s v="No"/>
    <x v="2"/>
    <x v="1"/>
    <s v="southeast"/>
    <n v="18767.740000000002"/>
    <x v="0"/>
    <n v="20.100000000000001"/>
    <n v="1"/>
    <n v="0"/>
    <n v="0"/>
    <n v="0.6684085125762339"/>
    <n v="1"/>
    <n v="0"/>
    <n v="0"/>
  </r>
  <r>
    <n v="1040"/>
    <n v="39"/>
    <s v="female"/>
    <n v="30.4"/>
    <n v="92"/>
    <s v="Yes"/>
    <x v="3"/>
    <x v="0"/>
    <s v="northwest"/>
    <n v="18804.75"/>
    <x v="1"/>
    <n v="0"/>
    <n v="0"/>
    <n v="0"/>
    <n v="1"/>
    <n v="3.5142118800743916E-2"/>
    <n v="0"/>
    <n v="1"/>
    <n v="1"/>
  </r>
  <r>
    <n v="1041"/>
    <n v="46"/>
    <s v="male"/>
    <n v="35.299999999999997"/>
    <n v="89"/>
    <s v="No"/>
    <x v="2"/>
    <x v="0"/>
    <s v="southeast"/>
    <n v="18806.150000000001"/>
    <x v="2"/>
    <n v="0"/>
    <n v="1"/>
    <n v="0"/>
    <n v="0"/>
    <n v="0.67135656286538703"/>
    <n v="0"/>
    <n v="0"/>
    <n v="0"/>
  </r>
  <r>
    <n v="1042"/>
    <n v="30"/>
    <s v="female"/>
    <n v="27.9"/>
    <n v="84"/>
    <s v="No"/>
    <x v="3"/>
    <x v="0"/>
    <s v="northwest"/>
    <n v="18838.7"/>
    <x v="4"/>
    <n v="0"/>
    <n v="0"/>
    <n v="0"/>
    <n v="1"/>
    <n v="2.0881426212516097E-2"/>
    <n v="0"/>
    <n v="0"/>
    <n v="1"/>
  </r>
  <r>
    <n v="1043"/>
    <n v="26"/>
    <s v="female"/>
    <n v="32.4"/>
    <n v="81"/>
    <s v="No"/>
    <x v="1"/>
    <x v="0"/>
    <s v="northeast"/>
    <n v="18903.490000000002"/>
    <x v="1"/>
    <n v="0"/>
    <n v="0"/>
    <n v="0"/>
    <n v="0"/>
    <n v="0.13586430505427727"/>
    <n v="0"/>
    <n v="0"/>
    <n v="1"/>
  </r>
  <r>
    <n v="1044"/>
    <n v="41"/>
    <s v="female"/>
    <n v="27.6"/>
    <n v="89"/>
    <s v="No"/>
    <x v="0"/>
    <x v="0"/>
    <s v="southwest"/>
    <n v="18955.22"/>
    <x v="4"/>
    <n v="0"/>
    <n v="0"/>
    <n v="1"/>
    <n v="0"/>
    <n v="0.68805104109735782"/>
    <n v="0"/>
    <n v="0"/>
    <n v="1"/>
  </r>
  <r>
    <n v="1045"/>
    <n v="36"/>
    <s v="male"/>
    <n v="38.799999999999997"/>
    <n v="99"/>
    <s v="No"/>
    <x v="1"/>
    <x v="0"/>
    <s v="southeast"/>
    <n v="18963.169999999998"/>
    <x v="2"/>
    <n v="0"/>
    <n v="1"/>
    <n v="0"/>
    <n v="0"/>
    <n v="0.68172741273986903"/>
    <n v="0"/>
    <n v="0"/>
    <n v="0"/>
  </r>
  <r>
    <n v="1046"/>
    <n v="19"/>
    <s v="male"/>
    <n v="25.3"/>
    <n v="95"/>
    <s v="No"/>
    <x v="2"/>
    <x v="1"/>
    <s v="southeast"/>
    <n v="18972.5"/>
    <x v="4"/>
    <n v="25.3"/>
    <n v="1"/>
    <n v="0"/>
    <n v="0"/>
    <n v="0.3111843269490735"/>
    <n v="1"/>
    <n v="0"/>
    <n v="0"/>
  </r>
  <r>
    <n v="1047"/>
    <n v="60"/>
    <s v="female"/>
    <n v="18.3"/>
    <n v="82"/>
    <s v="Yes"/>
    <x v="5"/>
    <x v="1"/>
    <s v="southwest"/>
    <n v="19023.259999999998"/>
    <x v="3"/>
    <n v="18.3"/>
    <n v="0"/>
    <n v="1"/>
    <n v="0"/>
    <n v="0.61174814467600835"/>
    <n v="1"/>
    <n v="1"/>
    <n v="1"/>
  </r>
  <r>
    <n v="1048"/>
    <n v="27"/>
    <s v="male"/>
    <n v="27.1"/>
    <n v="104"/>
    <s v="No"/>
    <x v="1"/>
    <x v="1"/>
    <s v="southwest"/>
    <n v="19040.88"/>
    <x v="4"/>
    <n v="27.1"/>
    <n v="0"/>
    <n v="1"/>
    <n v="0"/>
    <n v="0.74592854017640375"/>
    <n v="1"/>
    <n v="0"/>
    <n v="0"/>
  </r>
  <r>
    <n v="1049"/>
    <n v="50"/>
    <s v="female"/>
    <n v="27.9"/>
    <n v="83"/>
    <s v="No"/>
    <x v="1"/>
    <x v="1"/>
    <s v="southeast"/>
    <n v="19107.78"/>
    <x v="4"/>
    <n v="27.9"/>
    <n v="1"/>
    <n v="0"/>
    <n v="0"/>
    <n v="0.31869052301986722"/>
    <n v="1"/>
    <n v="0"/>
    <n v="1"/>
  </r>
  <r>
    <n v="1050"/>
    <n v="27"/>
    <s v="female"/>
    <n v="35.700000000000003"/>
    <n v="96"/>
    <s v="Yes"/>
    <x v="2"/>
    <x v="0"/>
    <s v="northeast"/>
    <n v="19144.580000000002"/>
    <x v="2"/>
    <n v="0"/>
    <n v="0"/>
    <n v="0"/>
    <n v="0"/>
    <n v="0.62351992023598002"/>
    <n v="0"/>
    <n v="1"/>
    <n v="1"/>
  </r>
  <r>
    <n v="1051"/>
    <n v="43"/>
    <s v="male"/>
    <n v="25.9"/>
    <n v="81"/>
    <s v="No"/>
    <x v="3"/>
    <x v="1"/>
    <s v="southwest"/>
    <n v="19199.939999999999"/>
    <x v="4"/>
    <n v="25.9"/>
    <n v="0"/>
    <n v="1"/>
    <n v="0"/>
    <n v="0.41147724391863216"/>
    <n v="1"/>
    <n v="0"/>
    <n v="0"/>
  </r>
  <r>
    <n v="1052"/>
    <n v="33"/>
    <s v="male"/>
    <n v="36.200000000000003"/>
    <n v="100"/>
    <s v="No"/>
    <x v="0"/>
    <x v="0"/>
    <s v="southeast"/>
    <n v="19214.71"/>
    <x v="2"/>
    <n v="0"/>
    <n v="1"/>
    <n v="0"/>
    <n v="0"/>
    <n v="0.14412234154221115"/>
    <n v="0"/>
    <n v="0"/>
    <n v="0"/>
  </r>
  <r>
    <n v="1053"/>
    <n v="49"/>
    <s v="male"/>
    <n v="29.8"/>
    <n v="98"/>
    <s v="No"/>
    <x v="0"/>
    <x v="1"/>
    <s v="southeast"/>
    <n v="19350.37"/>
    <x v="4"/>
    <n v="29.8"/>
    <n v="1"/>
    <n v="0"/>
    <n v="0"/>
    <n v="9.823788074516171E-2"/>
    <n v="1"/>
    <n v="0"/>
    <n v="0"/>
  </r>
  <r>
    <n v="1054"/>
    <n v="35"/>
    <s v="male"/>
    <n v="24.4"/>
    <n v="101"/>
    <s v="Yes"/>
    <x v="3"/>
    <x v="1"/>
    <s v="southeast"/>
    <n v="19362"/>
    <x v="0"/>
    <n v="24.4"/>
    <n v="1"/>
    <n v="0"/>
    <n v="0"/>
    <n v="0.92229047702582001"/>
    <n v="1"/>
    <n v="1"/>
    <n v="0"/>
  </r>
  <r>
    <n v="1055"/>
    <n v="34"/>
    <s v="male"/>
    <n v="33.299999999999997"/>
    <n v="93"/>
    <s v="Yes"/>
    <x v="2"/>
    <x v="0"/>
    <s v="northwest"/>
    <n v="19442.349999999999"/>
    <x v="1"/>
    <n v="0"/>
    <n v="0"/>
    <n v="0"/>
    <n v="1"/>
    <n v="0.55538076828304128"/>
    <n v="0"/>
    <n v="1"/>
    <n v="0"/>
  </r>
  <r>
    <n v="1056"/>
    <n v="25"/>
    <s v="female"/>
    <n v="22.2"/>
    <n v="100"/>
    <s v="Yes"/>
    <x v="2"/>
    <x v="1"/>
    <s v="southeast"/>
    <n v="19444.27"/>
    <x v="0"/>
    <n v="22.2"/>
    <n v="1"/>
    <n v="0"/>
    <n v="0"/>
    <n v="0.87201358340866364"/>
    <n v="1"/>
    <n v="1"/>
    <n v="1"/>
  </r>
  <r>
    <n v="1057"/>
    <n v="21"/>
    <s v="male"/>
    <n v="39.700000000000003"/>
    <n v="107"/>
    <s v="Yes"/>
    <x v="4"/>
    <x v="0"/>
    <s v="northeast"/>
    <n v="19496.72"/>
    <x v="2"/>
    <n v="0"/>
    <n v="0"/>
    <n v="0"/>
    <n v="0"/>
    <n v="0.31495879182630582"/>
    <n v="0"/>
    <n v="1"/>
    <n v="0"/>
  </r>
  <r>
    <n v="1058"/>
    <n v="21"/>
    <s v="male"/>
    <n v="24.6"/>
    <n v="87"/>
    <s v="No"/>
    <x v="0"/>
    <x v="1"/>
    <s v="southeast"/>
    <n v="19515.54"/>
    <x v="0"/>
    <n v="24.6"/>
    <n v="1"/>
    <n v="0"/>
    <n v="0"/>
    <n v="0.23118922521671004"/>
    <n v="1"/>
    <n v="0"/>
    <n v="0"/>
  </r>
  <r>
    <n v="1059"/>
    <n v="40"/>
    <s v="female"/>
    <n v="28.4"/>
    <n v="109"/>
    <s v="Yes"/>
    <x v="1"/>
    <x v="1"/>
    <s v="southeast"/>
    <n v="19521.97"/>
    <x v="4"/>
    <n v="28.4"/>
    <n v="1"/>
    <n v="0"/>
    <n v="0"/>
    <n v="0.30357821384052863"/>
    <n v="1"/>
    <n v="1"/>
    <n v="1"/>
  </r>
  <r>
    <n v="1060"/>
    <n v="34"/>
    <s v="female"/>
    <n v="26.4"/>
    <n v="105"/>
    <s v="No"/>
    <x v="0"/>
    <x v="1"/>
    <s v="southeast"/>
    <n v="19539.240000000002"/>
    <x v="4"/>
    <n v="26.4"/>
    <n v="1"/>
    <n v="0"/>
    <n v="0"/>
    <n v="0.4815364121169905"/>
    <n v="1"/>
    <n v="0"/>
    <n v="1"/>
  </r>
  <r>
    <n v="1061"/>
    <n v="53"/>
    <s v="female"/>
    <n v="20.2"/>
    <n v="87"/>
    <s v="No"/>
    <x v="1"/>
    <x v="1"/>
    <s v="northeast"/>
    <n v="19594.810000000001"/>
    <x v="0"/>
    <n v="20.2"/>
    <n v="0"/>
    <n v="0"/>
    <n v="0"/>
    <n v="0.60030894638609189"/>
    <n v="1"/>
    <n v="0"/>
    <n v="1"/>
  </r>
  <r>
    <n v="1062"/>
    <n v="47"/>
    <s v="male"/>
    <n v="33.799999999999997"/>
    <n v="98"/>
    <s v="No"/>
    <x v="0"/>
    <x v="0"/>
    <s v="northwest"/>
    <n v="19673.34"/>
    <x v="1"/>
    <n v="0"/>
    <n v="0"/>
    <n v="0"/>
    <n v="1"/>
    <n v="0.90193666246242044"/>
    <n v="0"/>
    <n v="0"/>
    <n v="0"/>
  </r>
  <r>
    <n v="1063"/>
    <n v="38"/>
    <s v="male"/>
    <n v="28.9"/>
    <n v="106"/>
    <s v="No"/>
    <x v="1"/>
    <x v="1"/>
    <s v="southeast"/>
    <n v="19719.689999999999"/>
    <x v="4"/>
    <n v="28.9"/>
    <n v="1"/>
    <n v="0"/>
    <n v="0"/>
    <n v="0.48264233150068381"/>
    <n v="1"/>
    <n v="0"/>
    <n v="0"/>
  </r>
  <r>
    <n v="1064"/>
    <n v="30"/>
    <s v="female"/>
    <n v="27.8"/>
    <n v="97"/>
    <s v="No"/>
    <x v="3"/>
    <x v="0"/>
    <s v="southeast"/>
    <n v="19749.38"/>
    <x v="4"/>
    <n v="0"/>
    <n v="1"/>
    <n v="0"/>
    <n v="0"/>
    <n v="0.25365936573510484"/>
    <n v="0"/>
    <n v="0"/>
    <n v="1"/>
  </r>
  <r>
    <n v="1065"/>
    <n v="28"/>
    <s v="female"/>
    <n v="20"/>
    <n v="96"/>
    <s v="Yes"/>
    <x v="2"/>
    <x v="1"/>
    <s v="northeast"/>
    <n v="19798.05"/>
    <x v="0"/>
    <n v="20"/>
    <n v="0"/>
    <n v="0"/>
    <n v="0"/>
    <n v="0.1021974302456925"/>
    <n v="1"/>
    <n v="1"/>
    <n v="1"/>
  </r>
  <r>
    <n v="1066"/>
    <n v="23"/>
    <s v="male"/>
    <n v="29.7"/>
    <n v="99"/>
    <s v="Yes"/>
    <x v="3"/>
    <x v="1"/>
    <s v="southwest"/>
    <n v="19933.46"/>
    <x v="4"/>
    <n v="29.7"/>
    <n v="0"/>
    <n v="1"/>
    <n v="0"/>
    <n v="0.96765173829019313"/>
    <n v="1"/>
    <n v="1"/>
    <n v="0"/>
  </r>
  <r>
    <n v="1067"/>
    <n v="43"/>
    <s v="female"/>
    <n v="23.4"/>
    <n v="82"/>
    <s v="Yes"/>
    <x v="0"/>
    <x v="1"/>
    <s v="northeast"/>
    <n v="19964.75"/>
    <x v="0"/>
    <n v="23.4"/>
    <n v="0"/>
    <n v="0"/>
    <n v="0"/>
    <n v="0.6764493529524902"/>
    <n v="1"/>
    <n v="1"/>
    <n v="1"/>
  </r>
  <r>
    <n v="1068"/>
    <n v="40"/>
    <s v="male"/>
    <n v="27.8"/>
    <n v="93"/>
    <s v="No"/>
    <x v="1"/>
    <x v="1"/>
    <s v="northwest"/>
    <n v="20009.63"/>
    <x v="4"/>
    <n v="27.8"/>
    <n v="0"/>
    <n v="0"/>
    <n v="1"/>
    <n v="0.51499515792057948"/>
    <n v="1"/>
    <n v="0"/>
    <n v="0"/>
  </r>
  <r>
    <n v="1069"/>
    <n v="19"/>
    <s v="male"/>
    <n v="26.4"/>
    <n v="87"/>
    <s v="Yes"/>
    <x v="0"/>
    <x v="1"/>
    <s v="northeast"/>
    <n v="20149.32"/>
    <x v="4"/>
    <n v="26.4"/>
    <n v="0"/>
    <n v="0"/>
    <n v="0"/>
    <n v="3.1056391973740993E-2"/>
    <n v="1"/>
    <n v="1"/>
    <n v="0"/>
  </r>
  <r>
    <n v="1070"/>
    <n v="28"/>
    <s v="female"/>
    <n v="21.8"/>
    <n v="81"/>
    <s v="No"/>
    <x v="0"/>
    <x v="1"/>
    <s v="southwest"/>
    <n v="20167.34"/>
    <x v="0"/>
    <n v="21.8"/>
    <n v="0"/>
    <n v="1"/>
    <n v="0"/>
    <n v="3.9192775649272149E-2"/>
    <n v="1"/>
    <n v="0"/>
    <n v="1"/>
  </r>
  <r>
    <n v="1071"/>
    <n v="42"/>
    <s v="female"/>
    <n v="27.5"/>
    <n v="110"/>
    <s v="Yes"/>
    <x v="2"/>
    <x v="0"/>
    <s v="southwest"/>
    <n v="20177.669999999998"/>
    <x v="4"/>
    <n v="0"/>
    <n v="0"/>
    <n v="1"/>
    <n v="0"/>
    <n v="0.55940927655847628"/>
    <n v="0"/>
    <n v="1"/>
    <n v="1"/>
  </r>
  <r>
    <n v="1072"/>
    <n v="44"/>
    <s v="female"/>
    <n v="28"/>
    <n v="82"/>
    <s v="Yes"/>
    <x v="0"/>
    <x v="1"/>
    <s v="northwest"/>
    <n v="20234.849999999999"/>
    <x v="4"/>
    <n v="28"/>
    <n v="0"/>
    <n v="0"/>
    <n v="1"/>
    <n v="0.49210486590652824"/>
    <n v="1"/>
    <n v="1"/>
    <n v="1"/>
  </r>
  <r>
    <n v="1073"/>
    <n v="20"/>
    <s v="male"/>
    <n v="29.6"/>
    <n v="91"/>
    <s v="Yes"/>
    <x v="1"/>
    <x v="0"/>
    <s v="northeast"/>
    <n v="20277.810000000001"/>
    <x v="4"/>
    <n v="0"/>
    <n v="0"/>
    <n v="0"/>
    <n v="0"/>
    <n v="0.808418139606774"/>
    <n v="0"/>
    <n v="1"/>
    <n v="0"/>
  </r>
  <r>
    <n v="1074"/>
    <n v="46"/>
    <s v="female"/>
    <n v="25.6"/>
    <n v="100"/>
    <s v="Yes"/>
    <x v="1"/>
    <x v="1"/>
    <s v="northeast"/>
    <n v="20296.86"/>
    <x v="4"/>
    <n v="25.6"/>
    <n v="0"/>
    <n v="0"/>
    <n v="0"/>
    <n v="0.33399945241833928"/>
    <n v="1"/>
    <n v="1"/>
    <n v="1"/>
  </r>
  <r>
    <n v="1075"/>
    <n v="47"/>
    <s v="male"/>
    <n v="29.8"/>
    <n v="89"/>
    <s v="Yes"/>
    <x v="0"/>
    <x v="0"/>
    <s v="southwest"/>
    <n v="20420.599999999999"/>
    <x v="4"/>
    <n v="0"/>
    <n v="0"/>
    <n v="1"/>
    <n v="0"/>
    <n v="0.44643819520836381"/>
    <n v="0"/>
    <n v="1"/>
    <n v="0"/>
  </r>
  <r>
    <n v="1076"/>
    <n v="44"/>
    <s v="female"/>
    <n v="38.1"/>
    <n v="98"/>
    <s v="Yes"/>
    <x v="3"/>
    <x v="0"/>
    <s v="southeast"/>
    <n v="20463"/>
    <x v="2"/>
    <n v="0"/>
    <n v="1"/>
    <n v="0"/>
    <n v="0"/>
    <n v="0.54532996095348807"/>
    <n v="0"/>
    <n v="1"/>
    <n v="1"/>
  </r>
  <r>
    <n v="1077"/>
    <n v="19"/>
    <s v="male"/>
    <n v="37.299999999999997"/>
    <n v="102"/>
    <s v="Yes"/>
    <x v="0"/>
    <x v="0"/>
    <s v="southwest"/>
    <n v="20630.28"/>
    <x v="2"/>
    <n v="0"/>
    <n v="0"/>
    <n v="1"/>
    <n v="0"/>
    <n v="0.41123347624550843"/>
    <n v="0"/>
    <n v="1"/>
    <n v="0"/>
  </r>
  <r>
    <n v="1078"/>
    <n v="19"/>
    <s v="male"/>
    <n v="40.299999999999997"/>
    <n v="110"/>
    <s v="No"/>
    <x v="0"/>
    <x v="0"/>
    <s v="northeast"/>
    <n v="20709.02"/>
    <x v="2"/>
    <n v="0"/>
    <n v="0"/>
    <n v="0"/>
    <n v="0"/>
    <n v="0.37445135397687146"/>
    <n v="0"/>
    <n v="0"/>
    <n v="0"/>
  </r>
  <r>
    <n v="1079"/>
    <n v="39"/>
    <s v="male"/>
    <n v="28.7"/>
    <n v="81"/>
    <s v="No"/>
    <x v="3"/>
    <x v="1"/>
    <s v="northwest"/>
    <n v="20745.990000000002"/>
    <x v="4"/>
    <n v="28.7"/>
    <n v="0"/>
    <n v="0"/>
    <n v="1"/>
    <n v="0.41767571915496338"/>
    <n v="1"/>
    <n v="0"/>
    <n v="0"/>
  </r>
  <r>
    <n v="1080"/>
    <n v="49"/>
    <s v="male"/>
    <n v="28"/>
    <n v="106"/>
    <s v="No"/>
    <x v="1"/>
    <x v="1"/>
    <s v="northeast"/>
    <n v="20773.63"/>
    <x v="4"/>
    <n v="28"/>
    <n v="0"/>
    <n v="0"/>
    <n v="0"/>
    <n v="5.8449863531573887E-2"/>
    <n v="1"/>
    <n v="0"/>
    <n v="0"/>
  </r>
  <r>
    <n v="1081"/>
    <n v="43"/>
    <s v="male"/>
    <n v="33"/>
    <n v="85"/>
    <s v="No"/>
    <x v="0"/>
    <x v="0"/>
    <s v="southeast"/>
    <n v="20781.490000000002"/>
    <x v="1"/>
    <n v="0"/>
    <n v="1"/>
    <n v="0"/>
    <n v="0"/>
    <n v="0.79791548704405635"/>
    <n v="0"/>
    <n v="0"/>
    <n v="0"/>
  </r>
  <r>
    <n v="1082"/>
    <n v="42"/>
    <s v="female"/>
    <n v="33.299999999999997"/>
    <n v="107"/>
    <s v="No"/>
    <x v="0"/>
    <x v="0"/>
    <s v="northeast"/>
    <n v="20878.78"/>
    <x v="1"/>
    <n v="0"/>
    <n v="0"/>
    <n v="0"/>
    <n v="0"/>
    <n v="0.38447898185287399"/>
    <n v="0"/>
    <n v="0"/>
    <n v="1"/>
  </r>
  <r>
    <n v="1083"/>
    <n v="30"/>
    <s v="male"/>
    <n v="27.7"/>
    <n v="89"/>
    <s v="Yes"/>
    <x v="2"/>
    <x v="1"/>
    <s v="northeast"/>
    <n v="20984.09"/>
    <x v="4"/>
    <n v="27.7"/>
    <n v="0"/>
    <n v="0"/>
    <n v="0"/>
    <n v="0.83251729147616849"/>
    <n v="1"/>
    <n v="1"/>
    <n v="0"/>
  </r>
  <r>
    <n v="1084"/>
    <n v="37"/>
    <s v="male"/>
    <n v="28.3"/>
    <n v="109"/>
    <s v="Yes"/>
    <x v="1"/>
    <x v="1"/>
    <s v="southwest"/>
    <n v="21082.16"/>
    <x v="4"/>
    <n v="28.3"/>
    <n v="0"/>
    <n v="1"/>
    <n v="0"/>
    <n v="0.10593219814283672"/>
    <n v="1"/>
    <n v="1"/>
    <n v="0"/>
  </r>
  <r>
    <n v="1085"/>
    <n v="43"/>
    <s v="male"/>
    <n v="22.9"/>
    <n v="106"/>
    <s v="Yes"/>
    <x v="2"/>
    <x v="1"/>
    <s v="northwest"/>
    <n v="21098.55"/>
    <x v="0"/>
    <n v="22.9"/>
    <n v="0"/>
    <n v="0"/>
    <n v="1"/>
    <n v="0.15169401135517802"/>
    <n v="1"/>
    <n v="1"/>
    <n v="0"/>
  </r>
  <r>
    <n v="1086"/>
    <n v="38"/>
    <s v="male"/>
    <n v="20.9"/>
    <n v="98"/>
    <s v="No"/>
    <x v="0"/>
    <x v="1"/>
    <s v="southeast"/>
    <n v="21195.82"/>
    <x v="0"/>
    <n v="20.9"/>
    <n v="1"/>
    <n v="0"/>
    <n v="0"/>
    <n v="0.7339496846608824"/>
    <n v="1"/>
    <n v="0"/>
    <n v="0"/>
  </r>
  <r>
    <n v="1087"/>
    <n v="44"/>
    <s v="male"/>
    <n v="24.4"/>
    <n v="110"/>
    <s v="No"/>
    <x v="0"/>
    <x v="1"/>
    <s v="southeast"/>
    <n v="21223.68"/>
    <x v="0"/>
    <n v="24.4"/>
    <n v="1"/>
    <n v="0"/>
    <n v="0"/>
    <n v="0.31731662602157718"/>
    <n v="1"/>
    <n v="0"/>
    <n v="0"/>
  </r>
  <r>
    <n v="1088"/>
    <n v="44"/>
    <s v="male"/>
    <n v="29.6"/>
    <n v="91"/>
    <s v="Yes"/>
    <x v="0"/>
    <x v="0"/>
    <s v="southwest"/>
    <n v="21232.18"/>
    <x v="4"/>
    <n v="0"/>
    <n v="0"/>
    <n v="1"/>
    <n v="0"/>
    <n v="0.66332000016422343"/>
    <n v="0"/>
    <n v="1"/>
    <n v="0"/>
  </r>
  <r>
    <n v="1089"/>
    <n v="33"/>
    <s v="male"/>
    <n v="24.6"/>
    <n v="87"/>
    <s v="Yes"/>
    <x v="2"/>
    <x v="1"/>
    <s v="northeast"/>
    <n v="21259.38"/>
    <x v="0"/>
    <n v="24.6"/>
    <n v="0"/>
    <n v="0"/>
    <n v="0"/>
    <n v="0.73639712079903108"/>
    <n v="1"/>
    <n v="1"/>
    <n v="0"/>
  </r>
  <r>
    <n v="1090"/>
    <n v="45"/>
    <s v="female"/>
    <n v="30.1"/>
    <n v="83"/>
    <s v="Yes"/>
    <x v="0"/>
    <x v="0"/>
    <s v="northeast"/>
    <n v="21344.85"/>
    <x v="1"/>
    <n v="0"/>
    <n v="0"/>
    <n v="0"/>
    <n v="0"/>
    <n v="0.14556114019787214"/>
    <n v="0"/>
    <n v="1"/>
    <n v="1"/>
  </r>
  <r>
    <n v="1091"/>
    <n v="54"/>
    <s v="female"/>
    <n v="26.6"/>
    <n v="99"/>
    <s v="No"/>
    <x v="0"/>
    <x v="1"/>
    <s v="northwest"/>
    <n v="21348.71"/>
    <x v="4"/>
    <n v="26.6"/>
    <n v="0"/>
    <n v="0"/>
    <n v="1"/>
    <n v="0.50372753708967122"/>
    <n v="1"/>
    <n v="0"/>
    <n v="1"/>
  </r>
  <r>
    <n v="1092"/>
    <n v="22"/>
    <s v="male"/>
    <n v="28.1"/>
    <n v="95"/>
    <s v="Yes"/>
    <x v="4"/>
    <x v="1"/>
    <s v="northwest"/>
    <n v="21472.48"/>
    <x v="4"/>
    <n v="28.1"/>
    <n v="0"/>
    <n v="0"/>
    <n v="1"/>
    <n v="0.22749691538040795"/>
    <n v="1"/>
    <n v="1"/>
    <n v="0"/>
  </r>
  <r>
    <n v="1093"/>
    <n v="50"/>
    <s v="male"/>
    <n v="18.7"/>
    <n v="89"/>
    <s v="No"/>
    <x v="0"/>
    <x v="0"/>
    <s v="northwest"/>
    <n v="21595.38"/>
    <x v="3"/>
    <n v="0"/>
    <n v="0"/>
    <n v="0"/>
    <n v="1"/>
    <n v="0.14677266855160753"/>
    <n v="0"/>
    <n v="0"/>
    <n v="0"/>
  </r>
  <r>
    <n v="1094"/>
    <n v="59"/>
    <s v="female"/>
    <n v="24.9"/>
    <n v="108"/>
    <s v="No"/>
    <x v="3"/>
    <x v="1"/>
    <s v="northeast"/>
    <n v="21659.93"/>
    <x v="0"/>
    <n v="24.9"/>
    <n v="0"/>
    <n v="0"/>
    <n v="0"/>
    <n v="0.51290065352438818"/>
    <n v="1"/>
    <n v="0"/>
    <n v="1"/>
  </r>
  <r>
    <n v="1095"/>
    <n v="26"/>
    <s v="female"/>
    <n v="23.7"/>
    <n v="94"/>
    <s v="Yes"/>
    <x v="1"/>
    <x v="1"/>
    <s v="northwest"/>
    <n v="21677.279999999999"/>
    <x v="0"/>
    <n v="23.7"/>
    <n v="0"/>
    <n v="0"/>
    <n v="1"/>
    <n v="9.5047778400137117E-2"/>
    <n v="1"/>
    <n v="1"/>
    <n v="1"/>
  </r>
  <r>
    <n v="1096"/>
    <n v="38"/>
    <s v="female"/>
    <n v="25.3"/>
    <n v="104"/>
    <s v="Yes"/>
    <x v="1"/>
    <x v="1"/>
    <s v="northeast"/>
    <n v="21771.34"/>
    <x v="4"/>
    <n v="25.3"/>
    <n v="0"/>
    <n v="0"/>
    <n v="0"/>
    <n v="0.15703099883183713"/>
    <n v="1"/>
    <n v="1"/>
    <n v="1"/>
  </r>
  <r>
    <n v="1097"/>
    <n v="34"/>
    <s v="female"/>
    <n v="26.9"/>
    <n v="105"/>
    <s v="No"/>
    <x v="0"/>
    <x v="1"/>
    <s v="northwest"/>
    <n v="21774.32"/>
    <x v="4"/>
    <n v="26.9"/>
    <n v="0"/>
    <n v="0"/>
    <n v="1"/>
    <n v="0.67809434851565986"/>
    <n v="1"/>
    <n v="0"/>
    <n v="1"/>
  </r>
  <r>
    <n v="1098"/>
    <n v="39"/>
    <s v="male"/>
    <n v="37.4"/>
    <n v="99"/>
    <s v="Yes"/>
    <x v="0"/>
    <x v="0"/>
    <s v="southwest"/>
    <n v="21797"/>
    <x v="2"/>
    <n v="0"/>
    <n v="0"/>
    <n v="1"/>
    <n v="0"/>
    <n v="0.82021287557938805"/>
    <n v="0"/>
    <n v="1"/>
    <n v="0"/>
  </r>
  <r>
    <n v="1099"/>
    <n v="58"/>
    <s v="female"/>
    <n v="24.7"/>
    <n v="82"/>
    <s v="No"/>
    <x v="2"/>
    <x v="1"/>
    <s v="northwest"/>
    <n v="21880.82"/>
    <x v="0"/>
    <n v="24.7"/>
    <n v="0"/>
    <n v="0"/>
    <n v="1"/>
    <n v="0.31912301106968632"/>
    <n v="1"/>
    <n v="0"/>
    <n v="1"/>
  </r>
  <r>
    <n v="1100"/>
    <n v="48"/>
    <s v="male"/>
    <n v="25.4"/>
    <n v="99"/>
    <s v="No"/>
    <x v="1"/>
    <x v="1"/>
    <s v="southeast"/>
    <n v="21978.68"/>
    <x v="4"/>
    <n v="25.4"/>
    <n v="1"/>
    <n v="0"/>
    <n v="0"/>
    <n v="0.82766521997873654"/>
    <n v="1"/>
    <n v="0"/>
    <n v="0"/>
  </r>
  <r>
    <n v="1101"/>
    <n v="34"/>
    <s v="male"/>
    <n v="22.7"/>
    <n v="107"/>
    <s v="Yes"/>
    <x v="0"/>
    <x v="0"/>
    <s v="northwest"/>
    <n v="21984.47"/>
    <x v="0"/>
    <n v="0"/>
    <n v="0"/>
    <n v="0"/>
    <n v="1"/>
    <n v="9.3832151134591535E-2"/>
    <n v="0"/>
    <n v="1"/>
    <n v="0"/>
  </r>
  <r>
    <n v="1102"/>
    <n v="40"/>
    <s v="male"/>
    <n v="30"/>
    <n v="106"/>
    <s v="No"/>
    <x v="0"/>
    <x v="1"/>
    <s v="southwest"/>
    <n v="22144.03"/>
    <x v="1"/>
    <n v="30"/>
    <n v="0"/>
    <n v="1"/>
    <n v="0"/>
    <n v="0.49287007564399976"/>
    <n v="1"/>
    <n v="0"/>
    <n v="0"/>
  </r>
  <r>
    <n v="1103"/>
    <n v="40"/>
    <s v="female"/>
    <n v="24"/>
    <n v="87"/>
    <s v="Yes"/>
    <x v="1"/>
    <x v="0"/>
    <s v="southeast"/>
    <n v="22192.44"/>
    <x v="0"/>
    <n v="0"/>
    <n v="1"/>
    <n v="0"/>
    <n v="0"/>
    <n v="0.63882147740529582"/>
    <n v="0"/>
    <n v="1"/>
    <n v="1"/>
  </r>
  <r>
    <n v="1104"/>
    <n v="36"/>
    <s v="male"/>
    <n v="23.2"/>
    <n v="80"/>
    <s v="Yes"/>
    <x v="1"/>
    <x v="1"/>
    <s v="southeast"/>
    <n v="22218.11"/>
    <x v="0"/>
    <n v="23.2"/>
    <n v="1"/>
    <n v="0"/>
    <n v="0"/>
    <n v="0.55930195887437772"/>
    <n v="1"/>
    <n v="1"/>
    <n v="0"/>
  </r>
  <r>
    <n v="1105"/>
    <n v="60"/>
    <s v="female"/>
    <n v="28.1"/>
    <n v="84"/>
    <s v="No"/>
    <x v="1"/>
    <x v="1"/>
    <s v="northeast"/>
    <n v="22331.57"/>
    <x v="4"/>
    <n v="28.1"/>
    <n v="0"/>
    <n v="0"/>
    <n v="0"/>
    <n v="0.60966586962691294"/>
    <n v="1"/>
    <n v="0"/>
    <n v="1"/>
  </r>
  <r>
    <n v="1106"/>
    <n v="45"/>
    <s v="female"/>
    <n v="24.2"/>
    <n v="103"/>
    <s v="No"/>
    <x v="2"/>
    <x v="0"/>
    <s v="northeast"/>
    <n v="22395.74"/>
    <x v="0"/>
    <n v="0"/>
    <n v="0"/>
    <n v="0"/>
    <n v="0"/>
    <n v="0.85254287266095707"/>
    <n v="0"/>
    <n v="0"/>
    <n v="1"/>
  </r>
  <r>
    <n v="1107"/>
    <n v="40"/>
    <s v="male"/>
    <n v="20"/>
    <n v="110"/>
    <s v="Yes"/>
    <x v="0"/>
    <x v="1"/>
    <s v="northeast"/>
    <n v="22412.65"/>
    <x v="0"/>
    <n v="20"/>
    <n v="0"/>
    <n v="0"/>
    <n v="0"/>
    <n v="0.12183995911614476"/>
    <n v="1"/>
    <n v="1"/>
    <n v="0"/>
  </r>
  <r>
    <n v="1108"/>
    <n v="32"/>
    <s v="male"/>
    <n v="29.9"/>
    <n v="85"/>
    <s v="Yes"/>
    <x v="1"/>
    <x v="1"/>
    <s v="northeast"/>
    <n v="22462.04"/>
    <x v="4"/>
    <n v="29.9"/>
    <n v="0"/>
    <n v="0"/>
    <n v="0"/>
    <n v="0.4448236776325728"/>
    <n v="1"/>
    <n v="1"/>
    <n v="0"/>
  </r>
  <r>
    <n v="1109"/>
    <n v="49"/>
    <s v="female"/>
    <n v="26.7"/>
    <n v="88"/>
    <s v="No"/>
    <x v="2"/>
    <x v="1"/>
    <s v="southwest"/>
    <n v="22478.6"/>
    <x v="4"/>
    <n v="26.7"/>
    <n v="0"/>
    <n v="1"/>
    <n v="0"/>
    <n v="0.66354559148295811"/>
    <n v="1"/>
    <n v="0"/>
    <n v="1"/>
  </r>
  <r>
    <n v="1110"/>
    <n v="32"/>
    <s v="male"/>
    <n v="27.3"/>
    <n v="94"/>
    <s v="No"/>
    <x v="2"/>
    <x v="0"/>
    <s v="northwest"/>
    <n v="22493.66"/>
    <x v="4"/>
    <n v="0"/>
    <n v="0"/>
    <n v="0"/>
    <n v="1"/>
    <n v="0.61038498917384854"/>
    <n v="0"/>
    <n v="0"/>
    <n v="0"/>
  </r>
  <r>
    <n v="1111"/>
    <n v="57"/>
    <s v="female"/>
    <n v="30.9"/>
    <n v="83"/>
    <s v="No"/>
    <x v="0"/>
    <x v="0"/>
    <s v="northeast"/>
    <n v="23045.57"/>
    <x v="1"/>
    <n v="0"/>
    <n v="0"/>
    <n v="0"/>
    <n v="0"/>
    <n v="0.82711116826526643"/>
    <n v="0"/>
    <n v="0"/>
    <n v="1"/>
  </r>
  <r>
    <n v="1112"/>
    <n v="27"/>
    <s v="female"/>
    <n v="27.8"/>
    <n v="87"/>
    <s v="Yes"/>
    <x v="0"/>
    <x v="1"/>
    <s v="southeast"/>
    <n v="23065.42"/>
    <x v="4"/>
    <n v="27.8"/>
    <n v="1"/>
    <n v="0"/>
    <n v="0"/>
    <n v="0.32163931061481355"/>
    <n v="1"/>
    <n v="1"/>
    <n v="1"/>
  </r>
  <r>
    <n v="1113"/>
    <n v="22"/>
    <s v="male"/>
    <n v="33.1"/>
    <n v="91"/>
    <s v="No"/>
    <x v="0"/>
    <x v="0"/>
    <s v="southwest"/>
    <n v="23082.959999999999"/>
    <x v="1"/>
    <n v="0"/>
    <n v="0"/>
    <n v="1"/>
    <n v="0"/>
    <n v="8.5252850918377865E-2"/>
    <n v="0"/>
    <n v="0"/>
    <n v="0"/>
  </r>
  <r>
    <n v="1114"/>
    <n v="23"/>
    <s v="male"/>
    <n v="25"/>
    <n v="80"/>
    <s v="Yes"/>
    <x v="2"/>
    <x v="0"/>
    <s v="northeast"/>
    <n v="23241.47"/>
    <x v="4"/>
    <n v="0"/>
    <n v="0"/>
    <n v="0"/>
    <n v="0"/>
    <n v="0.22337725395913322"/>
    <n v="0"/>
    <n v="1"/>
    <n v="0"/>
  </r>
  <r>
    <n v="1115"/>
    <n v="43"/>
    <s v="female"/>
    <n v="22.9"/>
    <n v="84"/>
    <s v="Yes"/>
    <x v="1"/>
    <x v="1"/>
    <s v="southeast"/>
    <n v="23244.79"/>
    <x v="0"/>
    <n v="22.9"/>
    <n v="1"/>
    <n v="0"/>
    <n v="0"/>
    <n v="0.44217227841046558"/>
    <n v="1"/>
    <n v="1"/>
    <n v="1"/>
  </r>
  <r>
    <n v="1116"/>
    <n v="59"/>
    <s v="female"/>
    <n v="24.3"/>
    <n v="104"/>
    <s v="No"/>
    <x v="1"/>
    <x v="0"/>
    <s v="northeast"/>
    <n v="23288.93"/>
    <x v="0"/>
    <n v="0"/>
    <n v="0"/>
    <n v="0"/>
    <n v="0"/>
    <n v="0.95226735365226012"/>
    <n v="0"/>
    <n v="0"/>
    <n v="1"/>
  </r>
  <r>
    <n v="1117"/>
    <n v="42"/>
    <s v="male"/>
    <n v="25.6"/>
    <n v="106"/>
    <s v="Yes"/>
    <x v="2"/>
    <x v="1"/>
    <s v="southwest"/>
    <n v="23306.55"/>
    <x v="4"/>
    <n v="25.6"/>
    <n v="0"/>
    <n v="1"/>
    <n v="0"/>
    <n v="0.44459381641496265"/>
    <n v="1"/>
    <n v="1"/>
    <n v="0"/>
  </r>
  <r>
    <n v="1118"/>
    <n v="26"/>
    <s v="female"/>
    <n v="26.1"/>
    <n v="99"/>
    <s v="Yes"/>
    <x v="1"/>
    <x v="1"/>
    <s v="northeast"/>
    <n v="23401.31"/>
    <x v="4"/>
    <n v="26.1"/>
    <n v="0"/>
    <n v="0"/>
    <n v="0"/>
    <n v="8.8007759138761466E-2"/>
    <n v="1"/>
    <n v="1"/>
    <n v="1"/>
  </r>
  <r>
    <n v="1119"/>
    <n v="36"/>
    <s v="male"/>
    <n v="34.1"/>
    <n v="89"/>
    <s v="No"/>
    <x v="2"/>
    <x v="0"/>
    <s v="southeast"/>
    <n v="23563.02"/>
    <x v="1"/>
    <n v="0"/>
    <n v="1"/>
    <n v="0"/>
    <n v="0"/>
    <n v="0.538338566192053"/>
    <n v="0"/>
    <n v="0"/>
    <n v="0"/>
  </r>
  <r>
    <n v="1120"/>
    <n v="44"/>
    <s v="male"/>
    <n v="28"/>
    <n v="93"/>
    <s v="No"/>
    <x v="1"/>
    <x v="1"/>
    <s v="southwest"/>
    <n v="23568.27"/>
    <x v="4"/>
    <n v="28"/>
    <n v="0"/>
    <n v="1"/>
    <n v="0"/>
    <n v="0.15211172937565709"/>
    <n v="1"/>
    <n v="0"/>
    <n v="0"/>
  </r>
  <r>
    <n v="1121"/>
    <n v="47"/>
    <s v="male"/>
    <n v="25.8"/>
    <n v="101"/>
    <s v="Yes"/>
    <x v="2"/>
    <x v="1"/>
    <s v="northwest"/>
    <n v="23807.24"/>
    <x v="4"/>
    <n v="25.8"/>
    <n v="0"/>
    <n v="0"/>
    <n v="1"/>
    <n v="0.46772879683668767"/>
    <n v="1"/>
    <n v="1"/>
    <n v="0"/>
  </r>
  <r>
    <n v="1122"/>
    <n v="59"/>
    <s v="female"/>
    <n v="24.1"/>
    <n v="91"/>
    <s v="Yes"/>
    <x v="1"/>
    <x v="1"/>
    <s v="northwest"/>
    <n v="23887.66"/>
    <x v="0"/>
    <n v="24.1"/>
    <n v="0"/>
    <n v="0"/>
    <n v="1"/>
    <n v="0.70410313237081534"/>
    <n v="1"/>
    <n v="1"/>
    <n v="1"/>
  </r>
  <r>
    <n v="1123"/>
    <n v="28"/>
    <s v="male"/>
    <n v="24.8"/>
    <n v="92"/>
    <s v="Yes"/>
    <x v="2"/>
    <x v="1"/>
    <s v="northwest"/>
    <n v="23967.38"/>
    <x v="0"/>
    <n v="24.8"/>
    <n v="0"/>
    <n v="0"/>
    <n v="1"/>
    <n v="0.66737043873782409"/>
    <n v="1"/>
    <n v="1"/>
    <n v="0"/>
  </r>
  <r>
    <n v="1124"/>
    <n v="60"/>
    <s v="female"/>
    <n v="30.6"/>
    <n v="85"/>
    <s v="No"/>
    <x v="2"/>
    <x v="0"/>
    <s v="northwest"/>
    <n v="24059.68"/>
    <x v="1"/>
    <n v="0"/>
    <n v="0"/>
    <n v="0"/>
    <n v="1"/>
    <n v="9.1143680337441579E-2"/>
    <n v="0"/>
    <n v="0"/>
    <n v="1"/>
  </r>
  <r>
    <n v="1125"/>
    <n v="46"/>
    <s v="female"/>
    <n v="23.8"/>
    <n v="86"/>
    <s v="Yes"/>
    <x v="3"/>
    <x v="1"/>
    <s v="northeast"/>
    <n v="24106.91"/>
    <x v="0"/>
    <n v="23.8"/>
    <n v="0"/>
    <n v="0"/>
    <n v="0"/>
    <n v="0.20984578278933774"/>
    <n v="1"/>
    <n v="1"/>
    <n v="1"/>
  </r>
  <r>
    <n v="1126"/>
    <n v="58"/>
    <s v="female"/>
    <n v="25.9"/>
    <n v="102"/>
    <s v="No"/>
    <x v="3"/>
    <x v="1"/>
    <s v="southeast"/>
    <n v="24180.93"/>
    <x v="4"/>
    <n v="25.9"/>
    <n v="1"/>
    <n v="0"/>
    <n v="0"/>
    <n v="8.1882106506859786E-2"/>
    <n v="1"/>
    <n v="0"/>
    <n v="1"/>
  </r>
  <r>
    <n v="1127"/>
    <n v="51"/>
    <s v="female"/>
    <n v="41.9"/>
    <n v="106"/>
    <s v="No"/>
    <x v="0"/>
    <x v="0"/>
    <s v="southeast"/>
    <n v="24227.34"/>
    <x v="2"/>
    <n v="0"/>
    <n v="1"/>
    <n v="0"/>
    <n v="0"/>
    <n v="0.67372304743964939"/>
    <n v="0"/>
    <n v="0"/>
    <n v="1"/>
  </r>
  <r>
    <n v="1128"/>
    <n v="48"/>
    <s v="male"/>
    <n v="27.4"/>
    <n v="106"/>
    <s v="No"/>
    <x v="0"/>
    <x v="1"/>
    <s v="northwest"/>
    <n v="24393.62"/>
    <x v="4"/>
    <n v="27.4"/>
    <n v="0"/>
    <n v="0"/>
    <n v="1"/>
    <n v="7.7952780349215267E-2"/>
    <n v="1"/>
    <n v="0"/>
    <n v="0"/>
  </r>
  <r>
    <n v="1129"/>
    <n v="45"/>
    <s v="male"/>
    <n v="30"/>
    <n v="84"/>
    <s v="No"/>
    <x v="0"/>
    <x v="0"/>
    <s v="northwest"/>
    <n v="24476.48"/>
    <x v="1"/>
    <n v="0"/>
    <n v="0"/>
    <n v="0"/>
    <n v="1"/>
    <n v="0.43700904170251476"/>
    <n v="0"/>
    <n v="0"/>
    <n v="0"/>
  </r>
  <r>
    <n v="1130"/>
    <n v="53"/>
    <s v="female"/>
    <n v="25.1"/>
    <n v="104"/>
    <s v="No"/>
    <x v="0"/>
    <x v="0"/>
    <s v="southeast"/>
    <n v="24513.09"/>
    <x v="4"/>
    <n v="0"/>
    <n v="1"/>
    <n v="0"/>
    <n v="0"/>
    <n v="0.93937674510370073"/>
    <n v="0"/>
    <n v="0"/>
    <n v="1"/>
  </r>
  <r>
    <n v="1131"/>
    <n v="39"/>
    <s v="female"/>
    <n v="27.6"/>
    <n v="104"/>
    <s v="Yes"/>
    <x v="1"/>
    <x v="1"/>
    <s v="southwest"/>
    <n v="24520.26"/>
    <x v="4"/>
    <n v="27.6"/>
    <n v="0"/>
    <n v="1"/>
    <n v="0"/>
    <n v="0.62372677132614951"/>
    <n v="1"/>
    <n v="1"/>
    <n v="1"/>
  </r>
  <r>
    <n v="1132"/>
    <n v="43"/>
    <s v="female"/>
    <n v="27.6"/>
    <n v="107"/>
    <s v="No"/>
    <x v="2"/>
    <x v="1"/>
    <s v="northwest"/>
    <n v="24535.7"/>
    <x v="4"/>
    <n v="27.6"/>
    <n v="0"/>
    <n v="0"/>
    <n v="1"/>
    <n v="0.36484414576336388"/>
    <n v="1"/>
    <n v="0"/>
    <n v="1"/>
  </r>
  <r>
    <n v="1133"/>
    <n v="46"/>
    <s v="male"/>
    <n v="27.6"/>
    <n v="84"/>
    <s v="No"/>
    <x v="0"/>
    <x v="0"/>
    <s v="southwest"/>
    <n v="24603.05"/>
    <x v="4"/>
    <n v="0"/>
    <n v="0"/>
    <n v="1"/>
    <n v="0"/>
    <n v="0.85900242451065112"/>
    <n v="0"/>
    <n v="0"/>
    <n v="0"/>
  </r>
  <r>
    <n v="1134"/>
    <n v="27"/>
    <s v="female"/>
    <n v="25.3"/>
    <n v="93"/>
    <s v="Yes"/>
    <x v="2"/>
    <x v="1"/>
    <s v="southeast"/>
    <n v="24667.42"/>
    <x v="4"/>
    <n v="25.3"/>
    <n v="1"/>
    <n v="0"/>
    <n v="0"/>
    <n v="0.56420157782011915"/>
    <n v="1"/>
    <n v="1"/>
    <n v="1"/>
  </r>
  <r>
    <n v="1135"/>
    <n v="36"/>
    <s v="female"/>
    <n v="29.6"/>
    <n v="99"/>
    <s v="No"/>
    <x v="4"/>
    <x v="0"/>
    <s v="northeast"/>
    <n v="24671.66"/>
    <x v="4"/>
    <n v="0"/>
    <n v="0"/>
    <n v="0"/>
    <n v="0"/>
    <n v="0.4691538146740748"/>
    <n v="0"/>
    <n v="0"/>
    <n v="1"/>
  </r>
  <r>
    <n v="1136"/>
    <n v="23"/>
    <s v="male"/>
    <n v="24.3"/>
    <n v="97"/>
    <s v="No"/>
    <x v="3"/>
    <x v="1"/>
    <s v="northeast"/>
    <n v="24869.84"/>
    <x v="0"/>
    <n v="24.3"/>
    <n v="0"/>
    <n v="0"/>
    <n v="0"/>
    <n v="0.84553719096335334"/>
    <n v="1"/>
    <n v="0"/>
    <n v="0"/>
  </r>
  <r>
    <n v="1137"/>
    <n v="32"/>
    <s v="female"/>
    <n v="22.6"/>
    <n v="84"/>
    <s v="Yes"/>
    <x v="3"/>
    <x v="1"/>
    <s v="northeast"/>
    <n v="24873.38"/>
    <x v="0"/>
    <n v="22.6"/>
    <n v="0"/>
    <n v="0"/>
    <n v="0"/>
    <n v="0.54047609903559302"/>
    <n v="1"/>
    <n v="1"/>
    <n v="1"/>
  </r>
  <r>
    <n v="1138"/>
    <n v="58"/>
    <s v="female"/>
    <n v="38.1"/>
    <n v="94"/>
    <s v="No"/>
    <x v="2"/>
    <x v="0"/>
    <s v="northeast"/>
    <n v="24915.05"/>
    <x v="2"/>
    <n v="0"/>
    <n v="0"/>
    <n v="0"/>
    <n v="0"/>
    <n v="0.9364892306057796"/>
    <n v="0"/>
    <n v="0"/>
    <n v="1"/>
  </r>
  <r>
    <n v="1139"/>
    <n v="20"/>
    <s v="male"/>
    <n v="28.2"/>
    <n v="107"/>
    <s v="Yes"/>
    <x v="3"/>
    <x v="1"/>
    <s v="northwest"/>
    <n v="24915.22"/>
    <x v="4"/>
    <n v="28.2"/>
    <n v="0"/>
    <n v="0"/>
    <n v="1"/>
    <n v="0.13321087663538789"/>
    <n v="1"/>
    <n v="1"/>
    <n v="0"/>
  </r>
  <r>
    <n v="1140"/>
    <n v="35"/>
    <s v="female"/>
    <n v="23.2"/>
    <n v="86"/>
    <s v="No"/>
    <x v="0"/>
    <x v="0"/>
    <s v="southeast"/>
    <n v="25081.77"/>
    <x v="0"/>
    <n v="0"/>
    <n v="1"/>
    <n v="0"/>
    <n v="0"/>
    <n v="0.13600150821642332"/>
    <n v="0"/>
    <n v="0"/>
    <n v="1"/>
  </r>
  <r>
    <n v="1141"/>
    <n v="19"/>
    <s v="male"/>
    <n v="29.8"/>
    <n v="89"/>
    <s v="No"/>
    <x v="3"/>
    <x v="1"/>
    <s v="southwest"/>
    <n v="25309.49"/>
    <x v="4"/>
    <n v="29.8"/>
    <n v="0"/>
    <n v="1"/>
    <n v="0"/>
    <n v="5.2697371111949387E-2"/>
    <n v="1"/>
    <n v="0"/>
    <n v="0"/>
  </r>
  <r>
    <n v="1142"/>
    <n v="29"/>
    <s v="male"/>
    <n v="32.1"/>
    <n v="85"/>
    <s v="No"/>
    <x v="2"/>
    <x v="0"/>
    <s v="northeast"/>
    <n v="25333.33"/>
    <x v="1"/>
    <n v="0"/>
    <n v="0"/>
    <n v="0"/>
    <n v="0"/>
    <n v="4.3806963102413166E-2"/>
    <n v="0"/>
    <n v="0"/>
    <n v="0"/>
  </r>
  <r>
    <n v="1143"/>
    <n v="26"/>
    <s v="male"/>
    <n v="25.1"/>
    <n v="85"/>
    <s v="No"/>
    <x v="3"/>
    <x v="1"/>
    <s v="southwest"/>
    <n v="25382.3"/>
    <x v="4"/>
    <n v="25.1"/>
    <n v="0"/>
    <n v="1"/>
    <n v="0"/>
    <n v="0.68810849340235436"/>
    <n v="1"/>
    <n v="0"/>
    <n v="0"/>
  </r>
  <r>
    <n v="1144"/>
    <n v="19"/>
    <s v="male"/>
    <n v="25.5"/>
    <n v="85"/>
    <s v="Yes"/>
    <x v="1"/>
    <x v="0"/>
    <s v="northeast"/>
    <n v="25517.11"/>
    <x v="4"/>
    <n v="0"/>
    <n v="0"/>
    <n v="0"/>
    <n v="0"/>
    <n v="0.41005908486892273"/>
    <n v="0"/>
    <n v="1"/>
    <n v="0"/>
  </r>
  <r>
    <n v="1145"/>
    <n v="47"/>
    <s v="female"/>
    <n v="27.4"/>
    <n v="80"/>
    <s v="No"/>
    <x v="0"/>
    <x v="0"/>
    <s v="northeast"/>
    <n v="25656.58"/>
    <x v="4"/>
    <n v="0"/>
    <n v="0"/>
    <n v="0"/>
    <n v="0"/>
    <n v="0.72894809220325607"/>
    <n v="0"/>
    <n v="0"/>
    <n v="1"/>
  </r>
  <r>
    <n v="1146"/>
    <n v="56"/>
    <s v="female"/>
    <n v="23.7"/>
    <n v="84"/>
    <s v="No"/>
    <x v="0"/>
    <x v="1"/>
    <s v="northwest"/>
    <n v="25678.78"/>
    <x v="0"/>
    <n v="23.7"/>
    <n v="0"/>
    <n v="0"/>
    <n v="1"/>
    <n v="0.9562603465069015"/>
    <n v="1"/>
    <n v="0"/>
    <n v="1"/>
  </r>
  <r>
    <n v="1147"/>
    <n v="32"/>
    <s v="male"/>
    <n v="26.4"/>
    <n v="95"/>
    <s v="Yes"/>
    <x v="3"/>
    <x v="0"/>
    <s v="southeast"/>
    <n v="25992.82"/>
    <x v="4"/>
    <n v="0"/>
    <n v="1"/>
    <n v="0"/>
    <n v="0"/>
    <n v="0.63631660634368259"/>
    <n v="0"/>
    <n v="1"/>
    <n v="0"/>
  </r>
  <r>
    <n v="1148"/>
    <n v="29"/>
    <s v="female"/>
    <n v="32.700000000000003"/>
    <n v="128"/>
    <s v="Yes"/>
    <x v="2"/>
    <x v="0"/>
    <s v="northwest"/>
    <n v="26018.95"/>
    <x v="1"/>
    <n v="0"/>
    <n v="0"/>
    <n v="0"/>
    <n v="1"/>
    <n v="0.50676754093508392"/>
    <n v="0"/>
    <n v="1"/>
    <n v="1"/>
  </r>
  <r>
    <n v="1149"/>
    <n v="32"/>
    <s v="male"/>
    <n v="26.7"/>
    <n v="115"/>
    <s v="Yes"/>
    <x v="1"/>
    <x v="1"/>
    <s v="northwest"/>
    <n v="26109.33"/>
    <x v="4"/>
    <n v="26.7"/>
    <n v="0"/>
    <n v="0"/>
    <n v="1"/>
    <n v="0.10057903428956549"/>
    <n v="1"/>
    <n v="1"/>
    <n v="0"/>
  </r>
  <r>
    <n v="1150"/>
    <n v="57"/>
    <s v="female"/>
    <n v="24.4"/>
    <n v="104"/>
    <s v="Yes"/>
    <x v="0"/>
    <x v="1"/>
    <s v="southeast"/>
    <n v="26125.67"/>
    <x v="0"/>
    <n v="24.4"/>
    <n v="1"/>
    <n v="0"/>
    <n v="0"/>
    <n v="0.16499419974812424"/>
    <n v="1"/>
    <n v="1"/>
    <n v="1"/>
  </r>
  <r>
    <n v="1151"/>
    <n v="55"/>
    <s v="female"/>
    <n v="27.1"/>
    <n v="135"/>
    <s v="No"/>
    <x v="1"/>
    <x v="0"/>
    <s v="southwest"/>
    <n v="26140.36"/>
    <x v="4"/>
    <n v="0"/>
    <n v="0"/>
    <n v="1"/>
    <n v="0"/>
    <n v="0.24440983271486372"/>
    <n v="0"/>
    <n v="0"/>
    <n v="1"/>
  </r>
  <r>
    <n v="1152"/>
    <n v="52"/>
    <s v="female"/>
    <n v="24.1"/>
    <n v="84"/>
    <s v="Yes"/>
    <x v="1"/>
    <x v="0"/>
    <s v="southwest"/>
    <n v="26236.58"/>
    <x v="0"/>
    <n v="0"/>
    <n v="0"/>
    <n v="1"/>
    <n v="0"/>
    <n v="0.96067574577115045"/>
    <n v="0"/>
    <n v="1"/>
    <n v="1"/>
  </r>
  <r>
    <n v="1153"/>
    <n v="38"/>
    <s v="female"/>
    <n v="35.9"/>
    <n v="128"/>
    <s v="No"/>
    <x v="1"/>
    <x v="0"/>
    <s v="northeast"/>
    <n v="26392.26"/>
    <x v="2"/>
    <n v="0"/>
    <n v="0"/>
    <n v="0"/>
    <n v="0"/>
    <n v="0.76526480849016765"/>
    <n v="0"/>
    <n v="0"/>
    <n v="1"/>
  </r>
  <r>
    <n v="1154"/>
    <n v="43"/>
    <s v="male"/>
    <n v="36.799999999999997"/>
    <n v="126"/>
    <s v="No"/>
    <x v="2"/>
    <x v="0"/>
    <s v="northwest"/>
    <n v="26467.1"/>
    <x v="2"/>
    <n v="0"/>
    <n v="0"/>
    <n v="0"/>
    <n v="1"/>
    <n v="0.58023383479643753"/>
    <n v="0"/>
    <n v="0"/>
    <n v="0"/>
  </r>
  <r>
    <n v="1155"/>
    <n v="31"/>
    <s v="male"/>
    <n v="23.8"/>
    <n v="126"/>
    <s v="Yes"/>
    <x v="0"/>
    <x v="1"/>
    <s v="southeast"/>
    <n v="26926.51"/>
    <x v="0"/>
    <n v="23.8"/>
    <n v="1"/>
    <n v="0"/>
    <n v="0"/>
    <n v="0.80954666222214466"/>
    <n v="1"/>
    <n v="1"/>
    <n v="0"/>
  </r>
  <r>
    <n v="1156"/>
    <n v="28"/>
    <s v="male"/>
    <n v="31.5"/>
    <n v="94"/>
    <s v="Yes"/>
    <x v="1"/>
    <x v="0"/>
    <s v="southeast"/>
    <n v="27000.98"/>
    <x v="1"/>
    <n v="0"/>
    <n v="1"/>
    <n v="0"/>
    <n v="0"/>
    <n v="1.1857174612883492E-2"/>
    <n v="0"/>
    <n v="1"/>
    <n v="0"/>
  </r>
  <r>
    <n v="1157"/>
    <n v="46"/>
    <s v="female"/>
    <n v="23"/>
    <n v="137"/>
    <s v="Yes"/>
    <x v="0"/>
    <x v="1"/>
    <s v="southeast"/>
    <n v="27037.91"/>
    <x v="0"/>
    <n v="23"/>
    <n v="1"/>
    <n v="0"/>
    <n v="0"/>
    <n v="0.24284015829426686"/>
    <n v="1"/>
    <n v="1"/>
    <n v="1"/>
  </r>
  <r>
    <n v="1158"/>
    <n v="30"/>
    <s v="female"/>
    <n v="24.9"/>
    <n v="91"/>
    <s v="Yes"/>
    <x v="0"/>
    <x v="0"/>
    <s v="southeast"/>
    <n v="27117.99"/>
    <x v="0"/>
    <n v="0"/>
    <n v="1"/>
    <n v="0"/>
    <n v="0"/>
    <n v="0.58907354546331947"/>
    <n v="0"/>
    <n v="1"/>
    <n v="1"/>
  </r>
  <r>
    <n v="1159"/>
    <n v="20"/>
    <s v="male"/>
    <n v="29"/>
    <n v="101"/>
    <s v="No"/>
    <x v="0"/>
    <x v="1"/>
    <s v="northeast"/>
    <n v="27218.44"/>
    <x v="4"/>
    <n v="29"/>
    <n v="0"/>
    <n v="0"/>
    <n v="0"/>
    <n v="1.9518897780492428E-2"/>
    <n v="1"/>
    <n v="0"/>
    <n v="0"/>
  </r>
  <r>
    <n v="1160"/>
    <n v="30"/>
    <s v="female"/>
    <n v="31.9"/>
    <n v="87"/>
    <s v="Yes"/>
    <x v="3"/>
    <x v="0"/>
    <s v="southeast"/>
    <n v="27322.73"/>
    <x v="1"/>
    <n v="0"/>
    <n v="1"/>
    <n v="0"/>
    <n v="0"/>
    <n v="0.66761812664736586"/>
    <n v="0"/>
    <n v="1"/>
    <n v="1"/>
  </r>
  <r>
    <n v="1161"/>
    <n v="36"/>
    <s v="male"/>
    <n v="31.4"/>
    <n v="81"/>
    <s v="Yes"/>
    <x v="0"/>
    <x v="0"/>
    <s v="southeast"/>
    <n v="27346.04"/>
    <x v="1"/>
    <n v="0"/>
    <n v="1"/>
    <n v="0"/>
    <n v="0"/>
    <n v="0.66488015820000301"/>
    <n v="0"/>
    <n v="1"/>
    <n v="0"/>
  </r>
  <r>
    <n v="1162"/>
    <n v="22"/>
    <s v="male"/>
    <n v="22.4"/>
    <n v="137"/>
    <s v="Yes"/>
    <x v="2"/>
    <x v="0"/>
    <s v="northeast"/>
    <n v="27375.9"/>
    <x v="0"/>
    <n v="0"/>
    <n v="0"/>
    <n v="0"/>
    <n v="0"/>
    <n v="0.35158145651887329"/>
    <n v="0"/>
    <n v="1"/>
    <n v="0"/>
  </r>
  <r>
    <n v="1163"/>
    <n v="49"/>
    <s v="female"/>
    <n v="29.8"/>
    <n v="92"/>
    <s v="Yes"/>
    <x v="0"/>
    <x v="1"/>
    <s v="southeast"/>
    <n v="27533.91"/>
    <x v="4"/>
    <n v="29.8"/>
    <n v="1"/>
    <n v="0"/>
    <n v="0"/>
    <n v="0.30419071245323215"/>
    <n v="1"/>
    <n v="1"/>
    <n v="1"/>
  </r>
  <r>
    <n v="1164"/>
    <n v="37"/>
    <s v="male"/>
    <n v="35.299999999999997"/>
    <n v="81"/>
    <s v="No"/>
    <x v="1"/>
    <x v="0"/>
    <s v="southeast"/>
    <n v="27724.29"/>
    <x v="2"/>
    <n v="0"/>
    <n v="1"/>
    <n v="0"/>
    <n v="0"/>
    <n v="0.60318620429732228"/>
    <n v="0"/>
    <n v="0"/>
    <n v="0"/>
  </r>
  <r>
    <n v="1165"/>
    <n v="53"/>
    <s v="female"/>
    <n v="26.3"/>
    <n v="119"/>
    <s v="No"/>
    <x v="0"/>
    <x v="1"/>
    <s v="southeast"/>
    <n v="27808.73"/>
    <x v="4"/>
    <n v="26.3"/>
    <n v="1"/>
    <n v="0"/>
    <n v="0"/>
    <n v="0.4009533485683745"/>
    <n v="1"/>
    <n v="0"/>
    <n v="1"/>
  </r>
  <r>
    <n v="1166"/>
    <n v="22"/>
    <s v="male"/>
    <n v="36.1"/>
    <n v="80"/>
    <s v="No"/>
    <x v="3"/>
    <x v="0"/>
    <s v="southwest"/>
    <n v="27941.29"/>
    <x v="2"/>
    <n v="0"/>
    <n v="0"/>
    <n v="1"/>
    <n v="0"/>
    <n v="0.85376584311231385"/>
    <n v="0"/>
    <n v="0"/>
    <n v="0"/>
  </r>
  <r>
    <n v="1167"/>
    <n v="23"/>
    <s v="male"/>
    <n v="26.7"/>
    <n v="123"/>
    <s v="Yes"/>
    <x v="0"/>
    <x v="1"/>
    <s v="northeast"/>
    <n v="28101.33"/>
    <x v="4"/>
    <n v="26.7"/>
    <n v="0"/>
    <n v="0"/>
    <n v="0"/>
    <n v="0.93086958453069779"/>
    <n v="1"/>
    <n v="1"/>
    <n v="0"/>
  </r>
  <r>
    <n v="1168"/>
    <n v="33"/>
    <s v="female"/>
    <n v="36.5"/>
    <n v="118"/>
    <s v="No"/>
    <x v="1"/>
    <x v="0"/>
    <s v="southeast"/>
    <n v="28287.9"/>
    <x v="2"/>
    <n v="0"/>
    <n v="1"/>
    <n v="0"/>
    <n v="0"/>
    <n v="0.97073747554442957"/>
    <n v="0"/>
    <n v="0"/>
    <n v="1"/>
  </r>
  <r>
    <n v="1169"/>
    <n v="36"/>
    <s v="female"/>
    <n v="27.6"/>
    <n v="118"/>
    <s v="No"/>
    <x v="1"/>
    <x v="0"/>
    <s v="northwest"/>
    <n v="28340.19"/>
    <x v="4"/>
    <n v="0"/>
    <n v="0"/>
    <n v="0"/>
    <n v="1"/>
    <n v="0.45291211852919266"/>
    <n v="0"/>
    <n v="0"/>
    <n v="1"/>
  </r>
  <r>
    <n v="1170"/>
    <n v="27"/>
    <s v="male"/>
    <n v="36.700000000000003"/>
    <n v="130"/>
    <s v="No"/>
    <x v="1"/>
    <x v="0"/>
    <s v="northwest"/>
    <n v="28468.92"/>
    <x v="2"/>
    <n v="0"/>
    <n v="0"/>
    <n v="0"/>
    <n v="1"/>
    <n v="0.46136521606979453"/>
    <n v="0"/>
    <n v="0"/>
    <n v="0"/>
  </r>
  <r>
    <n v="1171"/>
    <n v="27"/>
    <s v="female"/>
    <n v="41.4"/>
    <n v="95"/>
    <s v="No"/>
    <x v="1"/>
    <x v="0"/>
    <s v="northwest"/>
    <n v="28476.73"/>
    <x v="2"/>
    <n v="0"/>
    <n v="0"/>
    <n v="0"/>
    <n v="1"/>
    <n v="0.5313235140693876"/>
    <n v="0"/>
    <n v="0"/>
    <n v="1"/>
  </r>
  <r>
    <n v="1172"/>
    <n v="38"/>
    <s v="male"/>
    <n v="28.3"/>
    <n v="93"/>
    <s v="No"/>
    <x v="1"/>
    <x v="1"/>
    <s v="northwest"/>
    <n v="28868.66"/>
    <x v="4"/>
    <n v="28.3"/>
    <n v="0"/>
    <n v="0"/>
    <n v="1"/>
    <n v="0.67069017413667631"/>
    <n v="1"/>
    <n v="0"/>
    <n v="0"/>
  </r>
  <r>
    <n v="1173"/>
    <n v="57"/>
    <s v="female"/>
    <n v="25.8"/>
    <n v="98"/>
    <s v="Yes"/>
    <x v="0"/>
    <x v="0"/>
    <s v="northwest"/>
    <n v="28923.14"/>
    <x v="4"/>
    <n v="0"/>
    <n v="0"/>
    <n v="0"/>
    <n v="1"/>
    <n v="9.4552639631913737E-2"/>
    <n v="0"/>
    <n v="1"/>
    <n v="1"/>
  </r>
  <r>
    <n v="1174"/>
    <n v="30"/>
    <s v="female"/>
    <n v="27"/>
    <n v="113"/>
    <s v="No"/>
    <x v="0"/>
    <x v="1"/>
    <s v="northwest"/>
    <n v="28950.47"/>
    <x v="4"/>
    <n v="27"/>
    <n v="0"/>
    <n v="0"/>
    <n v="1"/>
    <n v="0.53282905331300923"/>
    <n v="1"/>
    <n v="0"/>
    <n v="1"/>
  </r>
  <r>
    <n v="1175"/>
    <n v="44"/>
    <s v="female"/>
    <n v="29.1"/>
    <n v="139"/>
    <s v="No"/>
    <x v="0"/>
    <x v="1"/>
    <s v="northwest"/>
    <n v="29141.360000000001"/>
    <x v="4"/>
    <n v="29.1"/>
    <n v="0"/>
    <n v="0"/>
    <n v="1"/>
    <n v="0.35741906041203375"/>
    <n v="1"/>
    <n v="0"/>
    <n v="1"/>
  </r>
  <r>
    <n v="1176"/>
    <n v="52"/>
    <s v="female"/>
    <n v="32.299999999999997"/>
    <n v="99"/>
    <s v="Yes"/>
    <x v="2"/>
    <x v="0"/>
    <s v="northeast"/>
    <n v="29186.48"/>
    <x v="1"/>
    <n v="0"/>
    <n v="0"/>
    <n v="0"/>
    <n v="0"/>
    <n v="0.63053213660741358"/>
    <n v="0"/>
    <n v="1"/>
    <n v="1"/>
  </r>
  <r>
    <n v="1177"/>
    <n v="47"/>
    <s v="female"/>
    <n v="26.9"/>
    <n v="114"/>
    <s v="Yes"/>
    <x v="0"/>
    <x v="1"/>
    <s v="northwest"/>
    <n v="29330.98"/>
    <x v="4"/>
    <n v="26.9"/>
    <n v="0"/>
    <n v="0"/>
    <n v="1"/>
    <n v="0.25180919204139907"/>
    <n v="1"/>
    <n v="1"/>
    <n v="1"/>
  </r>
  <r>
    <n v="1178"/>
    <n v="55"/>
    <s v="female"/>
    <n v="27.7"/>
    <n v="111"/>
    <s v="Yes"/>
    <x v="0"/>
    <x v="1"/>
    <s v="northeast"/>
    <n v="29523.17"/>
    <x v="4"/>
    <n v="27.7"/>
    <n v="0"/>
    <n v="0"/>
    <n v="0"/>
    <n v="0.50607690905516278"/>
    <n v="1"/>
    <n v="1"/>
    <n v="1"/>
  </r>
  <r>
    <n v="1179"/>
    <n v="27"/>
    <s v="male"/>
    <n v="37.700000000000003"/>
    <n v="95"/>
    <s v="No"/>
    <x v="3"/>
    <x v="0"/>
    <s v="northwest"/>
    <n v="30063.58"/>
    <x v="2"/>
    <n v="0"/>
    <n v="0"/>
    <n v="0"/>
    <n v="1"/>
    <n v="0.78110209303566103"/>
    <n v="0"/>
    <n v="0"/>
    <n v="0"/>
  </r>
  <r>
    <n v="1180"/>
    <n v="19"/>
    <s v="male"/>
    <n v="24.7"/>
    <n v="97"/>
    <s v="Yes"/>
    <x v="1"/>
    <x v="0"/>
    <s v="northwest"/>
    <n v="30166.62"/>
    <x v="0"/>
    <n v="0"/>
    <n v="0"/>
    <n v="0"/>
    <n v="1"/>
    <n v="0.78307388040192671"/>
    <n v="0"/>
    <n v="1"/>
    <n v="0"/>
  </r>
  <r>
    <n v="1181"/>
    <n v="39"/>
    <s v="male"/>
    <n v="29.8"/>
    <n v="110"/>
    <s v="No"/>
    <x v="3"/>
    <x v="1"/>
    <s v="northeast"/>
    <n v="30184.94"/>
    <x v="4"/>
    <n v="29.8"/>
    <n v="0"/>
    <n v="0"/>
    <n v="0"/>
    <n v="0.24132965506802362"/>
    <n v="1"/>
    <n v="0"/>
    <n v="0"/>
  </r>
  <r>
    <n v="1182"/>
    <n v="32"/>
    <s v="male"/>
    <n v="28.6"/>
    <n v="132"/>
    <s v="No"/>
    <x v="0"/>
    <x v="0"/>
    <s v="northeast"/>
    <n v="30260"/>
    <x v="4"/>
    <n v="0"/>
    <n v="0"/>
    <n v="0"/>
    <n v="0"/>
    <n v="0.82271171129191023"/>
    <n v="0"/>
    <n v="0"/>
    <n v="0"/>
  </r>
  <r>
    <n v="1183"/>
    <n v="36"/>
    <s v="male"/>
    <n v="25.4"/>
    <n v="84"/>
    <s v="No"/>
    <x v="2"/>
    <x v="0"/>
    <s v="northwest"/>
    <n v="30284.639999999999"/>
    <x v="4"/>
    <n v="0"/>
    <n v="0"/>
    <n v="0"/>
    <n v="1"/>
    <n v="0.1607793909560622"/>
    <n v="0"/>
    <n v="0"/>
    <n v="0"/>
  </r>
  <r>
    <n v="1184"/>
    <n v="30"/>
    <s v="female"/>
    <n v="29.9"/>
    <n v="95"/>
    <s v="Yes"/>
    <x v="3"/>
    <x v="1"/>
    <s v="southeast"/>
    <n v="30942.19"/>
    <x v="4"/>
    <n v="29.9"/>
    <n v="1"/>
    <n v="0"/>
    <n v="0"/>
    <n v="0.17392596122109916"/>
    <n v="1"/>
    <n v="1"/>
    <n v="1"/>
  </r>
  <r>
    <n v="1185"/>
    <n v="45"/>
    <s v="female"/>
    <n v="36.9"/>
    <n v="122"/>
    <s v="Yes"/>
    <x v="1"/>
    <x v="0"/>
    <s v="northeast"/>
    <n v="31620"/>
    <x v="2"/>
    <n v="0"/>
    <n v="0"/>
    <n v="0"/>
    <n v="0"/>
    <n v="0.47588966303997593"/>
    <n v="0"/>
    <n v="1"/>
    <n v="1"/>
  </r>
  <r>
    <n v="1186"/>
    <n v="18"/>
    <s v="male"/>
    <n v="29.7"/>
    <n v="103"/>
    <s v="No"/>
    <x v="2"/>
    <x v="0"/>
    <s v="northeast"/>
    <n v="32108.66"/>
    <x v="4"/>
    <n v="0"/>
    <n v="0"/>
    <n v="0"/>
    <n v="0"/>
    <n v="0.73807086817892353"/>
    <n v="0"/>
    <n v="0"/>
    <n v="0"/>
  </r>
  <r>
    <n v="1187"/>
    <n v="46"/>
    <s v="male"/>
    <n v="30.3"/>
    <n v="114"/>
    <s v="Yes"/>
    <x v="0"/>
    <x v="1"/>
    <s v="southeast"/>
    <n v="32548.34"/>
    <x v="1"/>
    <n v="30.3"/>
    <n v="1"/>
    <n v="0"/>
    <n v="0"/>
    <n v="7.8039145963907042E-2"/>
    <n v="1"/>
    <n v="1"/>
    <n v="0"/>
  </r>
  <r>
    <n v="1188"/>
    <n v="25"/>
    <s v="female"/>
    <n v="17.8"/>
    <n v="83"/>
    <s v="No"/>
    <x v="2"/>
    <x v="1"/>
    <s v="northwest"/>
    <n v="32734.19"/>
    <x v="3"/>
    <n v="17.8"/>
    <n v="0"/>
    <n v="0"/>
    <n v="1"/>
    <n v="0.94708001970631828"/>
    <n v="1"/>
    <n v="0"/>
    <n v="1"/>
  </r>
  <r>
    <n v="1189"/>
    <n v="37"/>
    <s v="male"/>
    <n v="28.3"/>
    <n v="88"/>
    <s v="No"/>
    <x v="3"/>
    <x v="1"/>
    <s v="northwest"/>
    <n v="32787.46"/>
    <x v="4"/>
    <n v="28.3"/>
    <n v="0"/>
    <n v="0"/>
    <n v="1"/>
    <n v="0.57409796676168445"/>
    <n v="1"/>
    <n v="0"/>
    <n v="0"/>
  </r>
  <r>
    <n v="1190"/>
    <n v="33"/>
    <s v="female"/>
    <n v="30"/>
    <n v="81"/>
    <s v="Yes"/>
    <x v="0"/>
    <x v="1"/>
    <s v="northwest"/>
    <n v="33307.550000000003"/>
    <x v="1"/>
    <n v="30"/>
    <n v="0"/>
    <n v="0"/>
    <n v="1"/>
    <n v="0.26465417369665212"/>
    <n v="1"/>
    <n v="1"/>
    <n v="1"/>
  </r>
  <r>
    <n v="1191"/>
    <n v="29"/>
    <s v="female"/>
    <n v="37.5"/>
    <n v="106"/>
    <s v="Yes"/>
    <x v="2"/>
    <x v="0"/>
    <s v="northwest"/>
    <n v="33471.97"/>
    <x v="2"/>
    <n v="0"/>
    <n v="0"/>
    <n v="0"/>
    <n v="1"/>
    <n v="0.74133275387306785"/>
    <n v="0"/>
    <n v="1"/>
    <n v="1"/>
  </r>
  <r>
    <n v="1192"/>
    <n v="29"/>
    <s v="male"/>
    <n v="30.7"/>
    <n v="94"/>
    <s v="No"/>
    <x v="0"/>
    <x v="1"/>
    <s v="northeast"/>
    <n v="33475.82"/>
    <x v="1"/>
    <n v="30.7"/>
    <n v="0"/>
    <n v="0"/>
    <n v="0"/>
    <n v="0.69717765537250542"/>
    <n v="1"/>
    <n v="0"/>
    <n v="0"/>
  </r>
  <r>
    <n v="1193"/>
    <n v="47"/>
    <s v="male"/>
    <n v="31.7"/>
    <n v="129"/>
    <s v="Yes"/>
    <x v="0"/>
    <x v="1"/>
    <s v="northeast"/>
    <n v="33732.69"/>
    <x v="1"/>
    <n v="31.7"/>
    <n v="0"/>
    <n v="0"/>
    <n v="0"/>
    <n v="0.74579358534357132"/>
    <n v="1"/>
    <n v="1"/>
    <n v="0"/>
  </r>
  <r>
    <n v="1194"/>
    <n v="46"/>
    <s v="male"/>
    <n v="31.9"/>
    <n v="82"/>
    <s v="Yes"/>
    <x v="0"/>
    <x v="1"/>
    <s v="northwest"/>
    <n v="33750.29"/>
    <x v="1"/>
    <n v="31.9"/>
    <n v="0"/>
    <n v="0"/>
    <n v="1"/>
    <n v="1.1240828778269818E-2"/>
    <n v="1"/>
    <n v="1"/>
    <n v="0"/>
  </r>
  <r>
    <n v="1195"/>
    <n v="48"/>
    <s v="female"/>
    <n v="30.2"/>
    <n v="129"/>
    <s v="Yes"/>
    <x v="0"/>
    <x v="1"/>
    <s v="southwest"/>
    <n v="33900.65"/>
    <x v="1"/>
    <n v="30.2"/>
    <n v="0"/>
    <n v="1"/>
    <n v="0"/>
    <n v="2.4572738582000264E-2"/>
    <n v="1"/>
    <n v="1"/>
    <n v="1"/>
  </r>
  <r>
    <n v="1196"/>
    <n v="59"/>
    <s v="female"/>
    <n v="30.4"/>
    <n v="80"/>
    <s v="No"/>
    <x v="0"/>
    <x v="1"/>
    <s v="northwest"/>
    <n v="33907.550000000003"/>
    <x v="1"/>
    <n v="30.4"/>
    <n v="0"/>
    <n v="0"/>
    <n v="1"/>
    <n v="0.42790332856076196"/>
    <n v="1"/>
    <n v="0"/>
    <n v="1"/>
  </r>
  <r>
    <n v="1197"/>
    <n v="36"/>
    <s v="female"/>
    <n v="31.4"/>
    <n v="136"/>
    <s v="Yes"/>
    <x v="0"/>
    <x v="1"/>
    <s v="southwest"/>
    <n v="34166.269999999997"/>
    <x v="1"/>
    <n v="31.4"/>
    <n v="0"/>
    <n v="1"/>
    <n v="0"/>
    <n v="0.93999149853601005"/>
    <n v="1"/>
    <n v="1"/>
    <n v="1"/>
  </r>
  <r>
    <n v="1198"/>
    <n v="30"/>
    <s v="male"/>
    <n v="31.1"/>
    <n v="136"/>
    <s v="No"/>
    <x v="0"/>
    <x v="1"/>
    <s v="northeast"/>
    <n v="34254.050000000003"/>
    <x v="1"/>
    <n v="31.1"/>
    <n v="0"/>
    <n v="0"/>
    <n v="0"/>
    <n v="6.9921473457879024E-2"/>
    <n v="1"/>
    <n v="0"/>
    <n v="0"/>
  </r>
  <r>
    <n v="1199"/>
    <n v="22"/>
    <s v="male"/>
    <n v="31.7"/>
    <n v="115"/>
    <s v="No"/>
    <x v="2"/>
    <x v="1"/>
    <s v="southeast"/>
    <n v="34303.17"/>
    <x v="1"/>
    <n v="31.7"/>
    <n v="1"/>
    <n v="0"/>
    <n v="0"/>
    <n v="9.6355264907172056E-2"/>
    <n v="1"/>
    <n v="0"/>
    <n v="0"/>
  </r>
  <r>
    <n v="1200"/>
    <n v="30"/>
    <s v="female"/>
    <n v="33.1"/>
    <n v="93"/>
    <s v="Yes"/>
    <x v="0"/>
    <x v="1"/>
    <s v="southeast"/>
    <n v="34439.86"/>
    <x v="1"/>
    <n v="33.1"/>
    <n v="1"/>
    <n v="0"/>
    <n v="0"/>
    <n v="0.89671940042354714"/>
    <n v="1"/>
    <n v="1"/>
    <n v="1"/>
  </r>
  <r>
    <n v="1201"/>
    <n v="40"/>
    <s v="male"/>
    <n v="32.700000000000003"/>
    <n v="98"/>
    <s v="No"/>
    <x v="0"/>
    <x v="1"/>
    <s v="southwest"/>
    <n v="34472.839999999997"/>
    <x v="1"/>
    <n v="32.700000000000003"/>
    <n v="0"/>
    <n v="1"/>
    <n v="0"/>
    <n v="7.8256048423335889E-2"/>
    <n v="1"/>
    <n v="0"/>
    <n v="0"/>
  </r>
  <r>
    <n v="1202"/>
    <n v="45"/>
    <s v="male"/>
    <n v="33.5"/>
    <n v="81"/>
    <s v="No"/>
    <x v="0"/>
    <x v="1"/>
    <s v="northeast"/>
    <n v="34617.839999999997"/>
    <x v="1"/>
    <n v="33.5"/>
    <n v="0"/>
    <n v="0"/>
    <n v="0"/>
    <n v="0.58646942743911379"/>
    <n v="1"/>
    <n v="0"/>
    <n v="0"/>
  </r>
  <r>
    <n v="1203"/>
    <n v="32"/>
    <s v="male"/>
    <n v="31.7"/>
    <n v="125"/>
    <s v="No"/>
    <x v="0"/>
    <x v="1"/>
    <s v="southeast"/>
    <n v="34672.15"/>
    <x v="1"/>
    <n v="31.7"/>
    <n v="1"/>
    <n v="0"/>
    <n v="0"/>
    <n v="0.8567277593944872"/>
    <n v="1"/>
    <n v="0"/>
    <n v="0"/>
  </r>
  <r>
    <n v="1204"/>
    <n v="26"/>
    <s v="male"/>
    <n v="34.799999999999997"/>
    <n v="94"/>
    <s v="Yes"/>
    <x v="0"/>
    <x v="1"/>
    <s v="southwest"/>
    <n v="34779.620000000003"/>
    <x v="1"/>
    <n v="34.799999999999997"/>
    <n v="0"/>
    <n v="1"/>
    <n v="0"/>
    <n v="0.58874404801675051"/>
    <n v="1"/>
    <n v="1"/>
    <n v="0"/>
  </r>
  <r>
    <n v="1205"/>
    <n v="32"/>
    <s v="male"/>
    <n v="31.1"/>
    <n v="114"/>
    <s v="Yes"/>
    <x v="1"/>
    <x v="1"/>
    <s v="southeast"/>
    <n v="34806.47"/>
    <x v="1"/>
    <n v="31.1"/>
    <n v="1"/>
    <n v="0"/>
    <n v="0"/>
    <n v="7.2673761316253138E-3"/>
    <n v="1"/>
    <n v="1"/>
    <n v="0"/>
  </r>
  <r>
    <n v="1206"/>
    <n v="20"/>
    <s v="male"/>
    <n v="34.9"/>
    <n v="124"/>
    <s v="Yes"/>
    <x v="0"/>
    <x v="1"/>
    <s v="southwest"/>
    <n v="34828.65"/>
    <x v="1"/>
    <n v="34.9"/>
    <n v="0"/>
    <n v="1"/>
    <n v="0"/>
    <n v="0.33818212239035395"/>
    <n v="1"/>
    <n v="1"/>
    <n v="0"/>
  </r>
  <r>
    <n v="1207"/>
    <n v="46"/>
    <s v="female"/>
    <n v="31.4"/>
    <n v="111"/>
    <s v="No"/>
    <x v="0"/>
    <x v="1"/>
    <s v="southwest"/>
    <n v="34838.870000000003"/>
    <x v="1"/>
    <n v="31.4"/>
    <n v="0"/>
    <n v="1"/>
    <n v="0"/>
    <n v="0.90176202646725023"/>
    <n v="1"/>
    <n v="0"/>
    <n v="1"/>
  </r>
  <r>
    <n v="1208"/>
    <n v="22"/>
    <s v="male"/>
    <n v="22.9"/>
    <n v="80"/>
    <s v="No"/>
    <x v="0"/>
    <x v="1"/>
    <s v="northeast"/>
    <n v="35069.370000000003"/>
    <x v="0"/>
    <n v="22.9"/>
    <n v="0"/>
    <n v="0"/>
    <n v="0"/>
    <n v="7.9375388834506344E-2"/>
    <n v="1"/>
    <n v="0"/>
    <n v="0"/>
  </r>
  <r>
    <n v="1209"/>
    <n v="23"/>
    <s v="male"/>
    <n v="28.5"/>
    <n v="106"/>
    <s v="No"/>
    <x v="0"/>
    <x v="1"/>
    <s v="northeast"/>
    <n v="35147.53"/>
    <x v="4"/>
    <n v="28.5"/>
    <n v="0"/>
    <n v="0"/>
    <n v="0"/>
    <n v="0.35871606298524783"/>
    <n v="1"/>
    <n v="0"/>
    <n v="0"/>
  </r>
  <r>
    <n v="1210"/>
    <n v="32"/>
    <s v="female"/>
    <n v="26.8"/>
    <n v="107"/>
    <s v="No"/>
    <x v="1"/>
    <x v="0"/>
    <s v="southwest"/>
    <n v="35160.129999999997"/>
    <x v="4"/>
    <n v="0"/>
    <n v="0"/>
    <n v="1"/>
    <n v="0"/>
    <n v="0.87025801175825002"/>
    <n v="0"/>
    <n v="0"/>
    <n v="1"/>
  </r>
  <r>
    <n v="1211"/>
    <n v="25"/>
    <s v="male"/>
    <n v="30.8"/>
    <n v="140"/>
    <s v="Yes"/>
    <x v="0"/>
    <x v="1"/>
    <s v="southwest"/>
    <n v="35491.64"/>
    <x v="1"/>
    <n v="30.8"/>
    <n v="0"/>
    <n v="1"/>
    <n v="0"/>
    <n v="0.55680948091669136"/>
    <n v="1"/>
    <n v="1"/>
    <n v="0"/>
  </r>
  <r>
    <n v="1212"/>
    <n v="22"/>
    <s v="male"/>
    <n v="35.6"/>
    <n v="97"/>
    <s v="Yes"/>
    <x v="0"/>
    <x v="1"/>
    <s v="southwest"/>
    <n v="35585.58"/>
    <x v="2"/>
    <n v="35.6"/>
    <n v="0"/>
    <n v="1"/>
    <n v="0"/>
    <n v="0.71713154851378269"/>
    <n v="1"/>
    <n v="1"/>
    <n v="0"/>
  </r>
  <r>
    <n v="1213"/>
    <n v="56"/>
    <s v="female"/>
    <n v="31"/>
    <n v="129"/>
    <s v="Yes"/>
    <x v="3"/>
    <x v="1"/>
    <s v="southeast"/>
    <n v="35595.589999999997"/>
    <x v="1"/>
    <n v="31"/>
    <n v="1"/>
    <n v="0"/>
    <n v="0"/>
    <n v="7.3824173508189039E-3"/>
    <n v="1"/>
    <n v="1"/>
    <n v="1"/>
  </r>
  <r>
    <n v="1214"/>
    <n v="30"/>
    <s v="female"/>
    <n v="32.799999999999997"/>
    <n v="98"/>
    <s v="No"/>
    <x v="2"/>
    <x v="1"/>
    <s v="southeast"/>
    <n v="36021.01"/>
    <x v="1"/>
    <n v="32.799999999999997"/>
    <n v="1"/>
    <n v="0"/>
    <n v="0"/>
    <n v="0.82847207551094826"/>
    <n v="1"/>
    <n v="0"/>
    <n v="1"/>
  </r>
  <r>
    <n v="1215"/>
    <n v="40"/>
    <s v="male"/>
    <n v="32.9"/>
    <n v="87"/>
    <s v="Yes"/>
    <x v="2"/>
    <x v="1"/>
    <s v="southwest"/>
    <n v="36085.22"/>
    <x v="1"/>
    <n v="32.9"/>
    <n v="0"/>
    <n v="1"/>
    <n v="0"/>
    <n v="0.89660558425092296"/>
    <n v="1"/>
    <n v="1"/>
    <n v="0"/>
  </r>
  <r>
    <n v="1216"/>
    <n v="22"/>
    <s v="male"/>
    <n v="33.299999999999997"/>
    <n v="117"/>
    <s v="No"/>
    <x v="2"/>
    <x v="1"/>
    <s v="southeast"/>
    <n v="36124.57"/>
    <x v="1"/>
    <n v="33.299999999999997"/>
    <n v="1"/>
    <n v="0"/>
    <n v="0"/>
    <n v="6.7527201395505165E-2"/>
    <n v="1"/>
    <n v="0"/>
    <n v="0"/>
  </r>
  <r>
    <n v="1217"/>
    <n v="34"/>
    <s v="female"/>
    <n v="36.9"/>
    <n v="131"/>
    <s v="No"/>
    <x v="0"/>
    <x v="1"/>
    <s v="southeast"/>
    <n v="36149.480000000003"/>
    <x v="2"/>
    <n v="36.9"/>
    <n v="1"/>
    <n v="0"/>
    <n v="0"/>
    <n v="0.63377951688827106"/>
    <n v="1"/>
    <n v="0"/>
    <n v="1"/>
  </r>
  <r>
    <n v="1218"/>
    <n v="28"/>
    <s v="male"/>
    <n v="31.7"/>
    <n v="105"/>
    <s v="Yes"/>
    <x v="3"/>
    <x v="1"/>
    <s v="northeast"/>
    <n v="36189.1"/>
    <x v="1"/>
    <n v="31.7"/>
    <n v="0"/>
    <n v="0"/>
    <n v="0"/>
    <n v="0.47696678956634442"/>
    <n v="1"/>
    <n v="1"/>
    <n v="0"/>
  </r>
  <r>
    <n v="1219"/>
    <n v="37"/>
    <s v="male"/>
    <n v="34.4"/>
    <n v="126"/>
    <s v="No"/>
    <x v="0"/>
    <x v="1"/>
    <s v="southwest"/>
    <n v="36197.699999999997"/>
    <x v="1"/>
    <n v="34.4"/>
    <n v="0"/>
    <n v="1"/>
    <n v="0"/>
    <n v="0.534025077397971"/>
    <n v="1"/>
    <n v="0"/>
    <n v="0"/>
  </r>
  <r>
    <n v="1220"/>
    <n v="35"/>
    <s v="male"/>
    <n v="37"/>
    <n v="108"/>
    <s v="Yes"/>
    <x v="0"/>
    <x v="1"/>
    <s v="northwest"/>
    <n v="36219.410000000003"/>
    <x v="2"/>
    <n v="37"/>
    <n v="0"/>
    <n v="0"/>
    <n v="1"/>
    <n v="0.61896904512302231"/>
    <n v="1"/>
    <n v="1"/>
    <n v="0"/>
  </r>
  <r>
    <n v="1221"/>
    <n v="32"/>
    <s v="male"/>
    <n v="38.200000000000003"/>
    <n v="135"/>
    <s v="Yes"/>
    <x v="0"/>
    <x v="1"/>
    <s v="southeast"/>
    <n v="36307.800000000003"/>
    <x v="2"/>
    <n v="38.200000000000003"/>
    <n v="1"/>
    <n v="0"/>
    <n v="0"/>
    <n v="0.41246856366838203"/>
    <n v="1"/>
    <n v="1"/>
    <n v="0"/>
  </r>
  <r>
    <n v="1222"/>
    <n v="31"/>
    <s v="female"/>
    <n v="34.700000000000003"/>
    <n v="96"/>
    <s v="No"/>
    <x v="2"/>
    <x v="1"/>
    <s v="southwest"/>
    <n v="36397.58"/>
    <x v="1"/>
    <n v="34.700000000000003"/>
    <n v="0"/>
    <n v="1"/>
    <n v="0"/>
    <n v="0.97851785468043062"/>
    <n v="1"/>
    <n v="0"/>
    <n v="1"/>
  </r>
  <r>
    <n v="1223"/>
    <n v="55"/>
    <s v="female"/>
    <n v="33.299999999999997"/>
    <n v="86"/>
    <s v="No"/>
    <x v="4"/>
    <x v="0"/>
    <s v="southeast"/>
    <n v="36580.28"/>
    <x v="1"/>
    <n v="0"/>
    <n v="1"/>
    <n v="0"/>
    <n v="0"/>
    <n v="0.45514250025384906"/>
    <n v="0"/>
    <n v="0"/>
    <n v="1"/>
  </r>
  <r>
    <n v="1224"/>
    <n v="20"/>
    <s v="male"/>
    <n v="35.299999999999997"/>
    <n v="86"/>
    <s v="No"/>
    <x v="0"/>
    <x v="1"/>
    <s v="southwest"/>
    <n v="36837.47"/>
    <x v="2"/>
    <n v="35.299999999999997"/>
    <n v="0"/>
    <n v="1"/>
    <n v="0"/>
    <n v="0.53191961742040417"/>
    <n v="1"/>
    <n v="0"/>
    <n v="0"/>
  </r>
  <r>
    <n v="1225"/>
    <n v="60"/>
    <s v="female"/>
    <n v="32.5"/>
    <n v="97"/>
    <s v="No"/>
    <x v="0"/>
    <x v="1"/>
    <s v="northwest"/>
    <n v="36898.730000000003"/>
    <x v="1"/>
    <n v="32.5"/>
    <n v="0"/>
    <n v="0"/>
    <n v="1"/>
    <n v="0.24261995740139164"/>
    <n v="1"/>
    <n v="0"/>
    <n v="1"/>
  </r>
  <r>
    <n v="1226"/>
    <n v="50"/>
    <s v="female"/>
    <n v="34.799999999999997"/>
    <n v="140"/>
    <s v="Yes"/>
    <x v="2"/>
    <x v="0"/>
    <s v="southwest"/>
    <n v="36910.61"/>
    <x v="1"/>
    <n v="0"/>
    <n v="0"/>
    <n v="1"/>
    <n v="0"/>
    <n v="0.38934980168075239"/>
    <n v="0"/>
    <n v="1"/>
    <n v="1"/>
  </r>
  <r>
    <n v="1227"/>
    <n v="46"/>
    <s v="male"/>
    <n v="35.5"/>
    <n v="140"/>
    <s v="Yes"/>
    <x v="0"/>
    <x v="1"/>
    <s v="southeast"/>
    <n v="36950.26"/>
    <x v="2"/>
    <n v="35.5"/>
    <n v="1"/>
    <n v="0"/>
    <n v="0"/>
    <n v="0.85552111504252526"/>
    <n v="1"/>
    <n v="1"/>
    <n v="0"/>
  </r>
  <r>
    <n v="1228"/>
    <n v="48"/>
    <s v="female"/>
    <n v="33.5"/>
    <n v="124"/>
    <s v="No"/>
    <x v="0"/>
    <x v="1"/>
    <s v="southwest"/>
    <n v="37079.370000000003"/>
    <x v="1"/>
    <n v="33.5"/>
    <n v="0"/>
    <n v="1"/>
    <n v="0"/>
    <n v="0.68853317899560051"/>
    <n v="1"/>
    <n v="0"/>
    <n v="1"/>
  </r>
  <r>
    <n v="1229"/>
    <n v="32"/>
    <s v="female"/>
    <n v="36.1"/>
    <n v="97"/>
    <s v="Yes"/>
    <x v="0"/>
    <x v="1"/>
    <s v="southeast"/>
    <n v="37133.9"/>
    <x v="2"/>
    <n v="36.1"/>
    <n v="1"/>
    <n v="0"/>
    <n v="0"/>
    <n v="0.20390448224137159"/>
    <n v="1"/>
    <n v="1"/>
    <n v="1"/>
  </r>
  <r>
    <n v="1230"/>
    <n v="41"/>
    <s v="male"/>
    <n v="37.6"/>
    <n v="127"/>
    <s v="Yes"/>
    <x v="1"/>
    <x v="1"/>
    <s v="southeast"/>
    <n v="37165.160000000003"/>
    <x v="2"/>
    <n v="37.6"/>
    <n v="1"/>
    <n v="0"/>
    <n v="0"/>
    <n v="7.4595920669398907E-2"/>
    <n v="1"/>
    <n v="1"/>
    <n v="0"/>
  </r>
  <r>
    <n v="1231"/>
    <n v="58"/>
    <s v="female"/>
    <n v="30.8"/>
    <n v="139"/>
    <s v="No"/>
    <x v="0"/>
    <x v="1"/>
    <s v="northeast"/>
    <n v="37270.15"/>
    <x v="1"/>
    <n v="30.8"/>
    <n v="0"/>
    <n v="0"/>
    <n v="0"/>
    <n v="0.46702615920441892"/>
    <n v="1"/>
    <n v="0"/>
    <n v="1"/>
  </r>
  <r>
    <n v="1232"/>
    <n v="31"/>
    <s v="male"/>
    <n v="35.6"/>
    <n v="106"/>
    <s v="No"/>
    <x v="3"/>
    <x v="1"/>
    <s v="northwest"/>
    <n v="37465.339999999997"/>
    <x v="2"/>
    <n v="35.6"/>
    <n v="0"/>
    <n v="0"/>
    <n v="1"/>
    <n v="0.61910852805470618"/>
    <n v="1"/>
    <n v="0"/>
    <n v="0"/>
  </r>
  <r>
    <n v="1233"/>
    <n v="40"/>
    <s v="male"/>
    <n v="37.1"/>
    <n v="119"/>
    <s v="No"/>
    <x v="2"/>
    <x v="1"/>
    <s v="southeast"/>
    <n v="37484.449999999997"/>
    <x v="2"/>
    <n v="37.1"/>
    <n v="1"/>
    <n v="0"/>
    <n v="0"/>
    <n v="0.60540578503735787"/>
    <n v="1"/>
    <n v="0"/>
    <n v="0"/>
  </r>
  <r>
    <n v="1234"/>
    <n v="20"/>
    <s v="male"/>
    <n v="33.6"/>
    <n v="103"/>
    <s v="No"/>
    <x v="1"/>
    <x v="1"/>
    <s v="northeast"/>
    <n v="37607.53"/>
    <x v="1"/>
    <n v="33.6"/>
    <n v="0"/>
    <n v="0"/>
    <n v="0"/>
    <n v="0.35254288809200451"/>
    <n v="1"/>
    <n v="0"/>
    <n v="0"/>
  </r>
  <r>
    <n v="1235"/>
    <n v="47"/>
    <s v="female"/>
    <n v="31.9"/>
    <n v="89"/>
    <s v="Yes"/>
    <x v="1"/>
    <x v="1"/>
    <s v="northeast"/>
    <n v="37701.879999999997"/>
    <x v="1"/>
    <n v="31.9"/>
    <n v="0"/>
    <n v="0"/>
    <n v="0"/>
    <n v="0.25546890856152338"/>
    <n v="1"/>
    <n v="1"/>
    <n v="1"/>
  </r>
  <r>
    <n v="1236"/>
    <n v="19"/>
    <s v="male"/>
    <n v="34.4"/>
    <n v="106"/>
    <s v="No"/>
    <x v="0"/>
    <x v="1"/>
    <s v="southeast"/>
    <n v="37742.58"/>
    <x v="1"/>
    <n v="34.4"/>
    <n v="1"/>
    <n v="0"/>
    <n v="0"/>
    <n v="6.6580283887039404E-2"/>
    <n v="1"/>
    <n v="0"/>
    <n v="0"/>
  </r>
  <r>
    <n v="1237"/>
    <n v="48"/>
    <s v="male"/>
    <n v="27.8"/>
    <n v="81"/>
    <s v="Yes"/>
    <x v="0"/>
    <x v="1"/>
    <s v="southwest"/>
    <n v="37829.72"/>
    <x v="4"/>
    <n v="27.8"/>
    <n v="0"/>
    <n v="1"/>
    <n v="0"/>
    <n v="0.17274779916584038"/>
    <n v="1"/>
    <n v="1"/>
    <n v="0"/>
  </r>
  <r>
    <n v="1238"/>
    <n v="46"/>
    <s v="male"/>
    <n v="40.200000000000003"/>
    <n v="89"/>
    <s v="No"/>
    <x v="0"/>
    <x v="1"/>
    <s v="southeast"/>
    <n v="38126.25"/>
    <x v="2"/>
    <n v="40.200000000000003"/>
    <n v="1"/>
    <n v="0"/>
    <n v="0"/>
    <n v="0.6203722525762112"/>
    <n v="1"/>
    <n v="0"/>
    <n v="0"/>
  </r>
  <r>
    <n v="1239"/>
    <n v="42"/>
    <s v="male"/>
    <n v="26.1"/>
    <n v="131"/>
    <s v="Yes"/>
    <x v="1"/>
    <x v="1"/>
    <s v="southeast"/>
    <n v="38245.589999999997"/>
    <x v="4"/>
    <n v="26.1"/>
    <n v="1"/>
    <n v="0"/>
    <n v="0"/>
    <n v="0.37357127596459772"/>
    <n v="1"/>
    <n v="1"/>
    <n v="0"/>
  </r>
  <r>
    <n v="1240"/>
    <n v="29"/>
    <s v="male"/>
    <n v="35.799999999999997"/>
    <n v="124"/>
    <s v="No"/>
    <x v="1"/>
    <x v="1"/>
    <s v="southeast"/>
    <n v="38282.75"/>
    <x v="2"/>
    <n v="35.799999999999997"/>
    <n v="1"/>
    <n v="0"/>
    <n v="0"/>
    <n v="0.10229165628330794"/>
    <n v="1"/>
    <n v="0"/>
    <n v="0"/>
  </r>
  <r>
    <n v="1241"/>
    <n v="34"/>
    <s v="male"/>
    <n v="39.4"/>
    <n v="85"/>
    <s v="No"/>
    <x v="2"/>
    <x v="1"/>
    <s v="southwest"/>
    <n v="38344.57"/>
    <x v="2"/>
    <n v="39.4"/>
    <n v="0"/>
    <n v="1"/>
    <n v="0"/>
    <n v="0.42139669322272122"/>
    <n v="1"/>
    <n v="0"/>
    <n v="0"/>
  </r>
  <r>
    <n v="1242"/>
    <n v="32"/>
    <s v="male"/>
    <n v="33.4"/>
    <n v="112"/>
    <s v="Yes"/>
    <x v="2"/>
    <x v="1"/>
    <s v="southwest"/>
    <n v="38415.47"/>
    <x v="1"/>
    <n v="33.4"/>
    <n v="0"/>
    <n v="1"/>
    <n v="0"/>
    <n v="0.84039219047504676"/>
    <n v="1"/>
    <n v="1"/>
    <n v="0"/>
  </r>
  <r>
    <n v="1243"/>
    <n v="27"/>
    <s v="female"/>
    <n v="36.700000000000003"/>
    <n v="140"/>
    <s v="No"/>
    <x v="2"/>
    <x v="1"/>
    <s v="northeast"/>
    <n v="38511.629999999997"/>
    <x v="2"/>
    <n v="36.700000000000003"/>
    <n v="0"/>
    <n v="0"/>
    <n v="0"/>
    <n v="0.5628526702862463"/>
    <n v="1"/>
    <n v="0"/>
    <n v="1"/>
  </r>
  <r>
    <n v="1244"/>
    <n v="29"/>
    <s v="male"/>
    <n v="35.200000000000003"/>
    <n v="85"/>
    <s v="No"/>
    <x v="1"/>
    <x v="1"/>
    <s v="southeast"/>
    <n v="38709.18"/>
    <x v="2"/>
    <n v="35.200000000000003"/>
    <n v="1"/>
    <n v="0"/>
    <n v="0"/>
    <n v="2.3900099027360233E-2"/>
    <n v="1"/>
    <n v="0"/>
    <n v="0"/>
  </r>
  <r>
    <n v="1245"/>
    <n v="22"/>
    <s v="male"/>
    <n v="36.299999999999997"/>
    <n v="123"/>
    <s v="No"/>
    <x v="2"/>
    <x v="1"/>
    <s v="southwest"/>
    <n v="38711"/>
    <x v="2"/>
    <n v="36.299999999999997"/>
    <n v="0"/>
    <n v="1"/>
    <n v="0"/>
    <n v="0.92810959328475384"/>
    <n v="1"/>
    <n v="0"/>
    <n v="0"/>
  </r>
  <r>
    <n v="1246"/>
    <n v="28"/>
    <s v="male"/>
    <n v="34.4"/>
    <n v="137"/>
    <s v="No"/>
    <x v="3"/>
    <x v="1"/>
    <s v="northwest"/>
    <n v="38746.36"/>
    <x v="1"/>
    <n v="34.4"/>
    <n v="0"/>
    <n v="0"/>
    <n v="1"/>
    <n v="0.16715928086328513"/>
    <n v="1"/>
    <n v="0"/>
    <n v="0"/>
  </r>
  <r>
    <n v="1247"/>
    <n v="25"/>
    <s v="female"/>
    <n v="42.2"/>
    <n v="131"/>
    <s v="Yes"/>
    <x v="0"/>
    <x v="1"/>
    <s v="southeast"/>
    <n v="38792.69"/>
    <x v="2"/>
    <n v="42.2"/>
    <n v="1"/>
    <n v="0"/>
    <n v="0"/>
    <n v="0.90949230414042537"/>
    <n v="1"/>
    <n v="1"/>
    <n v="1"/>
  </r>
  <r>
    <n v="1248"/>
    <n v="26"/>
    <s v="male"/>
    <n v="30.2"/>
    <n v="88"/>
    <s v="No"/>
    <x v="2"/>
    <x v="1"/>
    <s v="southwest"/>
    <n v="38998.550000000003"/>
    <x v="1"/>
    <n v="30.2"/>
    <n v="0"/>
    <n v="1"/>
    <n v="0"/>
    <n v="0.9647721609364619"/>
    <n v="1"/>
    <n v="0"/>
    <n v="0"/>
  </r>
  <r>
    <n v="1249"/>
    <n v="29"/>
    <s v="male"/>
    <n v="34.200000000000003"/>
    <n v="101"/>
    <s v="Yes"/>
    <x v="1"/>
    <x v="1"/>
    <s v="northeast"/>
    <n v="39047.29"/>
    <x v="1"/>
    <n v="34.200000000000003"/>
    <n v="0"/>
    <n v="0"/>
    <n v="0"/>
    <n v="9.1928983973162848E-2"/>
    <n v="1"/>
    <n v="1"/>
    <n v="0"/>
  </r>
  <r>
    <n v="1250"/>
    <n v="20"/>
    <s v="male"/>
    <n v="32.799999999999997"/>
    <n v="99"/>
    <s v="Yes"/>
    <x v="1"/>
    <x v="1"/>
    <s v="northeast"/>
    <n v="39125.33"/>
    <x v="1"/>
    <n v="32.799999999999997"/>
    <n v="0"/>
    <n v="0"/>
    <n v="0"/>
    <n v="0.90408443009185047"/>
    <n v="1"/>
    <n v="1"/>
    <n v="0"/>
  </r>
  <r>
    <n v="1251"/>
    <n v="42"/>
    <s v="male"/>
    <n v="37.799999999999997"/>
    <n v="106"/>
    <s v="No"/>
    <x v="2"/>
    <x v="1"/>
    <s v="southwest"/>
    <n v="39241.440000000002"/>
    <x v="2"/>
    <n v="37.799999999999997"/>
    <n v="0"/>
    <n v="1"/>
    <n v="0"/>
    <n v="0.82396403556484143"/>
    <n v="1"/>
    <n v="0"/>
    <n v="0"/>
  </r>
  <r>
    <n v="1252"/>
    <n v="21"/>
    <s v="male"/>
    <n v="31.4"/>
    <n v="89"/>
    <s v="Yes"/>
    <x v="1"/>
    <x v="1"/>
    <s v="northeast"/>
    <n v="39556.49"/>
    <x v="1"/>
    <n v="31.4"/>
    <n v="0"/>
    <n v="0"/>
    <n v="0"/>
    <n v="0.53634879102844046"/>
    <n v="1"/>
    <n v="1"/>
    <n v="0"/>
  </r>
  <r>
    <n v="1253"/>
    <n v="37"/>
    <s v="male"/>
    <n v="30.8"/>
    <n v="125"/>
    <s v="Yes"/>
    <x v="3"/>
    <x v="1"/>
    <s v="northeast"/>
    <n v="39597.410000000003"/>
    <x v="1"/>
    <n v="30.8"/>
    <n v="0"/>
    <n v="0"/>
    <n v="0"/>
    <n v="0.28686996804202869"/>
    <n v="1"/>
    <n v="1"/>
    <n v="0"/>
  </r>
  <r>
    <n v="1254"/>
    <n v="22"/>
    <s v="male"/>
    <n v="42.1"/>
    <n v="119"/>
    <s v="No"/>
    <x v="0"/>
    <x v="1"/>
    <s v="southeast"/>
    <n v="39611.760000000002"/>
    <x v="2"/>
    <n v="42.1"/>
    <n v="1"/>
    <n v="0"/>
    <n v="0"/>
    <n v="0.20570155753025821"/>
    <n v="1"/>
    <n v="0"/>
    <n v="0"/>
  </r>
  <r>
    <n v="1255"/>
    <n v="46"/>
    <s v="male"/>
    <n v="44.9"/>
    <n v="138"/>
    <s v="Yes"/>
    <x v="0"/>
    <x v="1"/>
    <s v="southeast"/>
    <n v="39722.75"/>
    <x v="2"/>
    <n v="44.9"/>
    <n v="1"/>
    <n v="0"/>
    <n v="0"/>
    <n v="0.74929742137797295"/>
    <n v="1"/>
    <n v="1"/>
    <n v="0"/>
  </r>
  <r>
    <n v="1256"/>
    <n v="40"/>
    <s v="female"/>
    <n v="30.5"/>
    <n v="93"/>
    <s v="Yes"/>
    <x v="1"/>
    <x v="1"/>
    <s v="northwest"/>
    <n v="39725.519999999997"/>
    <x v="1"/>
    <n v="30.5"/>
    <n v="0"/>
    <n v="0"/>
    <n v="1"/>
    <n v="0.89415738869506012"/>
    <n v="1"/>
    <n v="1"/>
    <n v="1"/>
  </r>
  <r>
    <n v="1257"/>
    <n v="27"/>
    <s v="male"/>
    <n v="30.9"/>
    <n v="139"/>
    <s v="No"/>
    <x v="0"/>
    <x v="1"/>
    <s v="southwest"/>
    <n v="39727.61"/>
    <x v="1"/>
    <n v="30.9"/>
    <n v="0"/>
    <n v="1"/>
    <n v="0"/>
    <n v="0.13944166778148515"/>
    <n v="1"/>
    <n v="0"/>
    <n v="0"/>
  </r>
  <r>
    <n v="1258"/>
    <n v="43"/>
    <s v="male"/>
    <n v="36.700000000000003"/>
    <n v="139"/>
    <s v="Yes"/>
    <x v="1"/>
    <x v="1"/>
    <s v="northeast"/>
    <n v="39774.28"/>
    <x v="2"/>
    <n v="36.700000000000003"/>
    <n v="0"/>
    <n v="0"/>
    <n v="0"/>
    <n v="0.18493746492151386"/>
    <n v="1"/>
    <n v="1"/>
    <n v="0"/>
  </r>
  <r>
    <n v="1259"/>
    <n v="38"/>
    <s v="female"/>
    <n v="34.799999999999997"/>
    <n v="132"/>
    <s v="No"/>
    <x v="2"/>
    <x v="1"/>
    <s v="southwest"/>
    <n v="39836.519999999997"/>
    <x v="1"/>
    <n v="34.799999999999997"/>
    <n v="0"/>
    <n v="1"/>
    <n v="0"/>
    <n v="0.41686745604172726"/>
    <n v="1"/>
    <n v="0"/>
    <n v="1"/>
  </r>
  <r>
    <n v="1260"/>
    <n v="47"/>
    <s v="male"/>
    <n v="37.1"/>
    <n v="114"/>
    <s v="Yes"/>
    <x v="1"/>
    <x v="1"/>
    <s v="southeast"/>
    <n v="39871.699999999997"/>
    <x v="2"/>
    <n v="37.1"/>
    <n v="1"/>
    <n v="0"/>
    <n v="0"/>
    <n v="0.38772609872503239"/>
    <n v="1"/>
    <n v="1"/>
    <n v="0"/>
  </r>
  <r>
    <n v="1261"/>
    <n v="50"/>
    <s v="female"/>
    <n v="34.1"/>
    <n v="82"/>
    <s v="Yes"/>
    <x v="3"/>
    <x v="1"/>
    <s v="northwest"/>
    <n v="39983.43"/>
    <x v="1"/>
    <n v="34.1"/>
    <n v="0"/>
    <n v="0"/>
    <n v="1"/>
    <n v="0.89800251979434231"/>
    <n v="1"/>
    <n v="1"/>
    <n v="1"/>
  </r>
  <r>
    <n v="1262"/>
    <n v="40"/>
    <s v="female"/>
    <n v="32.799999999999997"/>
    <n v="107"/>
    <s v="Yes"/>
    <x v="2"/>
    <x v="1"/>
    <s v="northwest"/>
    <n v="40003.33"/>
    <x v="1"/>
    <n v="32.799999999999997"/>
    <n v="0"/>
    <n v="0"/>
    <n v="1"/>
    <n v="1.4187797315304507E-2"/>
    <n v="1"/>
    <n v="1"/>
    <n v="1"/>
  </r>
  <r>
    <n v="1263"/>
    <n v="30"/>
    <s v="male"/>
    <n v="35.299999999999997"/>
    <n v="89"/>
    <s v="No"/>
    <x v="2"/>
    <x v="1"/>
    <s v="southwest"/>
    <n v="40103.89"/>
    <x v="2"/>
    <n v="35.299999999999997"/>
    <n v="0"/>
    <n v="1"/>
    <n v="0"/>
    <n v="0.10475188085973564"/>
    <n v="1"/>
    <n v="0"/>
    <n v="0"/>
  </r>
  <r>
    <n v="1264"/>
    <n v="50"/>
    <s v="male"/>
    <n v="34.1"/>
    <n v="86"/>
    <s v="No"/>
    <x v="4"/>
    <x v="1"/>
    <s v="southwest"/>
    <n v="40182.25"/>
    <x v="1"/>
    <n v="34.1"/>
    <n v="0"/>
    <n v="1"/>
    <n v="0"/>
    <n v="0.64828414376967436"/>
    <n v="1"/>
    <n v="0"/>
    <n v="0"/>
  </r>
  <r>
    <n v="1265"/>
    <n v="21"/>
    <s v="male"/>
    <n v="35.799999999999997"/>
    <n v="116"/>
    <s v="No"/>
    <x v="1"/>
    <x v="1"/>
    <s v="southeast"/>
    <n v="40273.65"/>
    <x v="2"/>
    <n v="35.799999999999997"/>
    <n v="1"/>
    <n v="0"/>
    <n v="0"/>
    <n v="0.19995628118102271"/>
    <n v="1"/>
    <n v="0"/>
    <n v="0"/>
  </r>
  <r>
    <n v="1266"/>
    <n v="54"/>
    <s v="female"/>
    <n v="38.4"/>
    <n v="85"/>
    <s v="Yes"/>
    <x v="0"/>
    <x v="1"/>
    <s v="southeast"/>
    <n v="40419.019999999997"/>
    <x v="2"/>
    <n v="38.4"/>
    <n v="1"/>
    <n v="0"/>
    <n v="0"/>
    <n v="0.12607317193215017"/>
    <n v="1"/>
    <n v="1"/>
    <n v="1"/>
  </r>
  <r>
    <n v="1267"/>
    <n v="43"/>
    <s v="male"/>
    <n v="30.5"/>
    <n v="96"/>
    <s v="Yes"/>
    <x v="3"/>
    <x v="1"/>
    <s v="northwest"/>
    <n v="40720.550000000003"/>
    <x v="1"/>
    <n v="30.5"/>
    <n v="0"/>
    <n v="0"/>
    <n v="1"/>
    <n v="0.5004933046822625"/>
    <n v="1"/>
    <n v="1"/>
    <n v="0"/>
  </r>
  <r>
    <n v="1268"/>
    <n v="43"/>
    <s v="female"/>
    <n v="42.8"/>
    <n v="105"/>
    <s v="Yes"/>
    <x v="1"/>
    <x v="1"/>
    <s v="northeast"/>
    <n v="40904.199999999997"/>
    <x v="2"/>
    <n v="42.8"/>
    <n v="0"/>
    <n v="0"/>
    <n v="0"/>
    <n v="0.74924037413959954"/>
    <n v="1"/>
    <n v="1"/>
    <n v="1"/>
  </r>
  <r>
    <n v="1269"/>
    <n v="42"/>
    <s v="female"/>
    <n v="39.1"/>
    <n v="131"/>
    <s v="Yes"/>
    <x v="3"/>
    <x v="1"/>
    <s v="southeast"/>
    <n v="40932.43"/>
    <x v="2"/>
    <n v="39.1"/>
    <n v="1"/>
    <n v="0"/>
    <n v="0"/>
    <n v="0.55133262393829263"/>
    <n v="1"/>
    <n v="1"/>
    <n v="1"/>
  </r>
  <r>
    <n v="1270"/>
    <n v="45"/>
    <s v="female"/>
    <n v="32.6"/>
    <n v="108"/>
    <s v="Yes"/>
    <x v="3"/>
    <x v="1"/>
    <s v="southeast"/>
    <n v="40941.29"/>
    <x v="1"/>
    <n v="32.6"/>
    <n v="1"/>
    <n v="0"/>
    <n v="0"/>
    <n v="0.9993259703627424"/>
    <n v="1"/>
    <n v="1"/>
    <n v="1"/>
  </r>
  <r>
    <n v="1271"/>
    <n v="27"/>
    <s v="female"/>
    <n v="33.1"/>
    <n v="128"/>
    <s v="No"/>
    <x v="0"/>
    <x v="1"/>
    <s v="southeast"/>
    <n v="40974.160000000003"/>
    <x v="1"/>
    <n v="33.1"/>
    <n v="1"/>
    <n v="0"/>
    <n v="0"/>
    <n v="0.61990512114964402"/>
    <n v="1"/>
    <n v="0"/>
    <n v="1"/>
  </r>
  <r>
    <n v="1272"/>
    <n v="35"/>
    <s v="male"/>
    <n v="35"/>
    <n v="109"/>
    <s v="No"/>
    <x v="1"/>
    <x v="1"/>
    <s v="northeast"/>
    <n v="41034.22"/>
    <x v="2"/>
    <n v="35"/>
    <n v="0"/>
    <n v="0"/>
    <n v="0"/>
    <n v="0.66387084434810795"/>
    <n v="1"/>
    <n v="0"/>
    <n v="0"/>
  </r>
  <r>
    <n v="1273"/>
    <n v="31"/>
    <s v="male"/>
    <n v="31.8"/>
    <n v="95"/>
    <s v="No"/>
    <x v="0"/>
    <x v="1"/>
    <s v="northeast"/>
    <n v="41097.160000000003"/>
    <x v="1"/>
    <n v="31.8"/>
    <n v="0"/>
    <n v="0"/>
    <n v="0"/>
    <n v="9.7146278579671841E-2"/>
    <n v="1"/>
    <n v="0"/>
    <n v="0"/>
  </r>
  <r>
    <n v="1274"/>
    <n v="51"/>
    <s v="female"/>
    <n v="34.6"/>
    <n v="86"/>
    <s v="No"/>
    <x v="1"/>
    <x v="1"/>
    <s v="southwest"/>
    <n v="41661.599999999999"/>
    <x v="1"/>
    <n v="34.6"/>
    <n v="0"/>
    <n v="1"/>
    <n v="0"/>
    <n v="0.53980372030994628"/>
    <n v="1"/>
    <n v="0"/>
    <n v="1"/>
  </r>
  <r>
    <n v="1275"/>
    <n v="27"/>
    <s v="male"/>
    <n v="36.200000000000003"/>
    <n v="98"/>
    <s v="No"/>
    <x v="0"/>
    <x v="1"/>
    <s v="southeast"/>
    <n v="41676.080000000002"/>
    <x v="2"/>
    <n v="36.200000000000003"/>
    <n v="1"/>
    <n v="0"/>
    <n v="0"/>
    <n v="0.46675156597038181"/>
    <n v="1"/>
    <n v="0"/>
    <n v="0"/>
  </r>
  <r>
    <n v="1276"/>
    <n v="37"/>
    <s v="male"/>
    <n v="32.299999999999997"/>
    <n v="115"/>
    <s v="No"/>
    <x v="1"/>
    <x v="1"/>
    <s v="northeast"/>
    <n v="41919.1"/>
    <x v="1"/>
    <n v="32.299999999999997"/>
    <n v="0"/>
    <n v="0"/>
    <n v="0"/>
    <n v="0.4049195113844839"/>
    <n v="1"/>
    <n v="0"/>
    <n v="0"/>
  </r>
  <r>
    <n v="1277"/>
    <n v="20"/>
    <s v="male"/>
    <n v="38.4"/>
    <n v="124"/>
    <s v="Yes"/>
    <x v="3"/>
    <x v="1"/>
    <s v="southeast"/>
    <n v="41949.24"/>
    <x v="2"/>
    <n v="38.4"/>
    <n v="1"/>
    <n v="0"/>
    <n v="0"/>
    <n v="0.23084193082592275"/>
    <n v="1"/>
    <n v="1"/>
    <n v="0"/>
  </r>
  <r>
    <n v="1278"/>
    <n v="46"/>
    <s v="male"/>
    <n v="30.8"/>
    <n v="120"/>
    <s v="No"/>
    <x v="1"/>
    <x v="1"/>
    <s v="southeast"/>
    <n v="41999.519999999997"/>
    <x v="1"/>
    <n v="30.8"/>
    <n v="1"/>
    <n v="0"/>
    <n v="0"/>
    <n v="0.74354887171957751"/>
    <n v="1"/>
    <n v="0"/>
    <n v="0"/>
  </r>
  <r>
    <n v="1279"/>
    <n v="35"/>
    <s v="female"/>
    <n v="35.5"/>
    <n v="135"/>
    <s v="No"/>
    <x v="0"/>
    <x v="1"/>
    <s v="northeast"/>
    <n v="42111.66"/>
    <x v="2"/>
    <n v="35.5"/>
    <n v="0"/>
    <n v="0"/>
    <n v="0"/>
    <n v="0.27578371854228534"/>
    <n v="1"/>
    <n v="0"/>
    <n v="1"/>
  </r>
  <r>
    <n v="1280"/>
    <n v="37"/>
    <s v="male"/>
    <n v="45.5"/>
    <n v="124"/>
    <s v="Yes"/>
    <x v="2"/>
    <x v="1"/>
    <s v="southeast"/>
    <n v="42112.24"/>
    <x v="2"/>
    <n v="45.5"/>
    <n v="1"/>
    <n v="0"/>
    <n v="0"/>
    <n v="0.42524106316572907"/>
    <n v="1"/>
    <n v="1"/>
    <n v="0"/>
  </r>
  <r>
    <n v="1281"/>
    <n v="39"/>
    <s v="male"/>
    <n v="36"/>
    <n v="98"/>
    <s v="Yes"/>
    <x v="3"/>
    <x v="1"/>
    <s v="southeast"/>
    <n v="42124.52"/>
    <x v="2"/>
    <n v="36"/>
    <n v="1"/>
    <n v="0"/>
    <n v="0"/>
    <n v="0.60909961188885708"/>
    <n v="1"/>
    <n v="1"/>
    <n v="0"/>
  </r>
  <r>
    <n v="1282"/>
    <n v="39"/>
    <s v="male"/>
    <n v="36.1"/>
    <n v="109"/>
    <s v="Yes"/>
    <x v="1"/>
    <x v="1"/>
    <s v="southeast"/>
    <n v="42211.14"/>
    <x v="2"/>
    <n v="36.1"/>
    <n v="1"/>
    <n v="0"/>
    <n v="0"/>
    <n v="0.90435138207808763"/>
    <n v="1"/>
    <n v="1"/>
    <n v="0"/>
  </r>
  <r>
    <n v="1283"/>
    <n v="42"/>
    <s v="male"/>
    <n v="30.7"/>
    <n v="117"/>
    <s v="Yes"/>
    <x v="0"/>
    <x v="1"/>
    <s v="northeast"/>
    <n v="42303.69"/>
    <x v="1"/>
    <n v="30.7"/>
    <n v="0"/>
    <n v="0"/>
    <n v="0"/>
    <n v="0.28450907543512993"/>
    <n v="1"/>
    <n v="1"/>
    <n v="0"/>
  </r>
  <r>
    <n v="1284"/>
    <n v="28"/>
    <s v="male"/>
    <n v="38.1"/>
    <n v="125"/>
    <s v="Yes"/>
    <x v="2"/>
    <x v="1"/>
    <s v="southeast"/>
    <n v="42560.43"/>
    <x v="2"/>
    <n v="38.1"/>
    <n v="1"/>
    <n v="0"/>
    <n v="0"/>
    <n v="0.25100581418828338"/>
    <n v="1"/>
    <n v="1"/>
    <n v="0"/>
  </r>
  <r>
    <n v="1285"/>
    <n v="25"/>
    <s v="male"/>
    <n v="36.5"/>
    <n v="104"/>
    <s v="Yes"/>
    <x v="2"/>
    <x v="1"/>
    <s v="northwest"/>
    <n v="42760.5"/>
    <x v="2"/>
    <n v="36.5"/>
    <n v="0"/>
    <n v="0"/>
    <n v="1"/>
    <n v="4.3375235112026678E-2"/>
    <n v="1"/>
    <n v="1"/>
    <n v="0"/>
  </r>
  <r>
    <n v="1286"/>
    <n v="49"/>
    <s v="male"/>
    <n v="34.200000000000003"/>
    <n v="98"/>
    <s v="Yes"/>
    <x v="2"/>
    <x v="1"/>
    <s v="southwest"/>
    <n v="42856.84"/>
    <x v="1"/>
    <n v="34.200000000000003"/>
    <n v="0"/>
    <n v="1"/>
    <n v="0"/>
    <n v="0.60494442624753519"/>
    <n v="1"/>
    <n v="1"/>
    <n v="0"/>
  </r>
  <r>
    <n v="1287"/>
    <n v="55"/>
    <s v="female"/>
    <n v="36.6"/>
    <n v="120"/>
    <s v="No"/>
    <x v="1"/>
    <x v="1"/>
    <s v="southeast"/>
    <n v="42969.85"/>
    <x v="2"/>
    <n v="36.6"/>
    <n v="1"/>
    <n v="0"/>
    <n v="0"/>
    <n v="0.18040577299048566"/>
    <n v="1"/>
    <n v="0"/>
    <n v="1"/>
  </r>
  <r>
    <n v="1288"/>
    <n v="32"/>
    <s v="female"/>
    <n v="39"/>
    <n v="96"/>
    <s v="Yes"/>
    <x v="0"/>
    <x v="1"/>
    <s v="northwest"/>
    <n v="42983.46"/>
    <x v="2"/>
    <n v="39"/>
    <n v="0"/>
    <n v="0"/>
    <n v="1"/>
    <n v="0.4796492765490149"/>
    <n v="1"/>
    <n v="1"/>
    <n v="1"/>
  </r>
  <r>
    <n v="1289"/>
    <n v="22"/>
    <s v="male"/>
    <n v="34.1"/>
    <n v="108"/>
    <s v="No"/>
    <x v="0"/>
    <x v="1"/>
    <s v="northeast"/>
    <n v="43254.42"/>
    <x v="1"/>
    <n v="34.1"/>
    <n v="0"/>
    <n v="0"/>
    <n v="0"/>
    <n v="0.77575213403931742"/>
    <n v="1"/>
    <n v="0"/>
    <n v="0"/>
  </r>
  <r>
    <n v="1290"/>
    <n v="52"/>
    <s v="female"/>
    <n v="31.2"/>
    <n v="127"/>
    <s v="No"/>
    <x v="0"/>
    <x v="1"/>
    <s v="northwest"/>
    <n v="43578.94"/>
    <x v="1"/>
    <n v="31.2"/>
    <n v="0"/>
    <n v="0"/>
    <n v="1"/>
    <n v="0.96979755968401049"/>
    <n v="1"/>
    <n v="0"/>
    <n v="1"/>
  </r>
  <r>
    <n v="1291"/>
    <n v="47"/>
    <s v="male"/>
    <n v="41.9"/>
    <n v="140"/>
    <s v="Yes"/>
    <x v="3"/>
    <x v="1"/>
    <s v="northeast"/>
    <n v="43753.34"/>
    <x v="2"/>
    <n v="41.9"/>
    <n v="0"/>
    <n v="0"/>
    <n v="0"/>
    <n v="0.67742361729609901"/>
    <n v="1"/>
    <n v="1"/>
    <n v="0"/>
  </r>
  <r>
    <n v="1292"/>
    <n v="36"/>
    <s v="male"/>
    <n v="31.8"/>
    <n v="94"/>
    <s v="Yes"/>
    <x v="2"/>
    <x v="1"/>
    <s v="southeast"/>
    <n v="43813.87"/>
    <x v="1"/>
    <n v="31.8"/>
    <n v="1"/>
    <n v="0"/>
    <n v="0"/>
    <n v="0.3627357682288832"/>
    <n v="1"/>
    <n v="1"/>
    <n v="0"/>
  </r>
  <r>
    <n v="1293"/>
    <n v="45"/>
    <s v="female"/>
    <n v="40.4"/>
    <n v="123"/>
    <s v="No"/>
    <x v="2"/>
    <x v="1"/>
    <s v="southeast"/>
    <n v="43896.38"/>
    <x v="2"/>
    <n v="40.4"/>
    <n v="1"/>
    <n v="0"/>
    <n v="0"/>
    <n v="0.53270178472886176"/>
    <n v="1"/>
    <n v="0"/>
    <n v="1"/>
  </r>
  <r>
    <n v="1294"/>
    <n v="28"/>
    <s v="male"/>
    <n v="33.6"/>
    <n v="101"/>
    <s v="Yes"/>
    <x v="0"/>
    <x v="1"/>
    <s v="northwest"/>
    <n v="43921.18"/>
    <x v="1"/>
    <n v="33.6"/>
    <n v="0"/>
    <n v="0"/>
    <n v="1"/>
    <n v="0.7199022148262143"/>
    <n v="1"/>
    <n v="1"/>
    <n v="0"/>
  </r>
  <r>
    <n v="1295"/>
    <n v="36"/>
    <s v="female"/>
    <n v="30.2"/>
    <n v="130"/>
    <s v="No"/>
    <x v="1"/>
    <x v="1"/>
    <s v="northwest"/>
    <n v="43943.88"/>
    <x v="1"/>
    <n v="30.2"/>
    <n v="0"/>
    <n v="0"/>
    <n v="1"/>
    <n v="0.79549543714783399"/>
    <n v="1"/>
    <n v="0"/>
    <n v="1"/>
  </r>
  <r>
    <n v="1296"/>
    <n v="50"/>
    <s v="male"/>
    <n v="38.9"/>
    <n v="102"/>
    <s v="Yes"/>
    <x v="2"/>
    <x v="1"/>
    <s v="southeast"/>
    <n v="44202.65"/>
    <x v="2"/>
    <n v="38.9"/>
    <n v="1"/>
    <n v="0"/>
    <n v="0"/>
    <n v="0.58444330270570077"/>
    <n v="1"/>
    <n v="1"/>
    <n v="0"/>
  </r>
  <r>
    <n v="1297"/>
    <n v="26"/>
    <s v="male"/>
    <n v="34.200000000000003"/>
    <n v="99"/>
    <s v="No"/>
    <x v="2"/>
    <x v="1"/>
    <s v="southeast"/>
    <n v="44260.75"/>
    <x v="1"/>
    <n v="34.200000000000003"/>
    <n v="1"/>
    <n v="0"/>
    <n v="0"/>
    <n v="0.6394179825629559"/>
    <n v="1"/>
    <n v="0"/>
    <n v="0"/>
  </r>
  <r>
    <n v="1298"/>
    <n v="45"/>
    <s v="female"/>
    <n v="38.1"/>
    <n v="115"/>
    <s v="Yes"/>
    <x v="0"/>
    <x v="1"/>
    <s v="southeast"/>
    <n v="44400.41"/>
    <x v="2"/>
    <n v="38.1"/>
    <n v="1"/>
    <n v="0"/>
    <n v="0"/>
    <n v="9.504587344281501E-2"/>
    <n v="1"/>
    <n v="1"/>
    <n v="1"/>
  </r>
  <r>
    <n v="1299"/>
    <n v="30"/>
    <s v="female"/>
    <n v="35.200000000000003"/>
    <n v="95"/>
    <s v="Yes"/>
    <x v="0"/>
    <x v="1"/>
    <s v="southeast"/>
    <n v="44423.8"/>
    <x v="2"/>
    <n v="35.200000000000003"/>
    <n v="1"/>
    <n v="0"/>
    <n v="0"/>
    <n v="0.8856991850727518"/>
    <n v="1"/>
    <n v="1"/>
    <n v="1"/>
  </r>
  <r>
    <n v="1300"/>
    <n v="50"/>
    <s v="male"/>
    <n v="52.6"/>
    <n v="110"/>
    <s v="No"/>
    <x v="1"/>
    <x v="1"/>
    <s v="southeast"/>
    <n v="44501.4"/>
    <x v="2"/>
    <n v="52.6"/>
    <n v="1"/>
    <n v="0"/>
    <n v="0"/>
    <n v="0.51974774793329903"/>
    <n v="1"/>
    <n v="0"/>
    <n v="0"/>
  </r>
  <r>
    <n v="1301"/>
    <n v="29"/>
    <s v="male"/>
    <n v="35.5"/>
    <n v="98"/>
    <s v="No"/>
    <x v="2"/>
    <x v="1"/>
    <s v="southwest"/>
    <n v="44585.46"/>
    <x v="2"/>
    <n v="35.5"/>
    <n v="0"/>
    <n v="1"/>
    <n v="0"/>
    <n v="0.59567645200093189"/>
    <n v="1"/>
    <n v="0"/>
    <n v="0"/>
  </r>
  <r>
    <n v="1302"/>
    <n v="60"/>
    <s v="female"/>
    <n v="35"/>
    <n v="92"/>
    <s v="Yes"/>
    <x v="2"/>
    <x v="1"/>
    <s v="northeast"/>
    <n v="44641.2"/>
    <x v="2"/>
    <n v="35"/>
    <n v="0"/>
    <n v="0"/>
    <n v="0"/>
    <n v="0.61815990967263168"/>
    <n v="1"/>
    <n v="1"/>
    <n v="1"/>
  </r>
  <r>
    <n v="1303"/>
    <n v="35"/>
    <s v="female"/>
    <n v="32.5"/>
    <n v="134"/>
    <s v="Yes"/>
    <x v="0"/>
    <x v="1"/>
    <s v="southeast"/>
    <n v="45008.959999999999"/>
    <x v="1"/>
    <n v="32.5"/>
    <n v="1"/>
    <n v="0"/>
    <n v="0"/>
    <n v="0.90465318466594513"/>
    <n v="1"/>
    <n v="1"/>
    <n v="1"/>
  </r>
  <r>
    <n v="1304"/>
    <n v="43"/>
    <s v="male"/>
    <n v="40.6"/>
    <n v="93"/>
    <s v="No"/>
    <x v="2"/>
    <x v="1"/>
    <s v="northwest"/>
    <n v="45702.02"/>
    <x v="2"/>
    <n v="40.6"/>
    <n v="0"/>
    <n v="0"/>
    <n v="1"/>
    <n v="0.44576141350309562"/>
    <n v="1"/>
    <n v="0"/>
    <n v="0"/>
  </r>
  <r>
    <n v="1305"/>
    <n v="42"/>
    <s v="male"/>
    <n v="32"/>
    <n v="83"/>
    <s v="Yes"/>
    <x v="0"/>
    <x v="1"/>
    <s v="northeast"/>
    <n v="45710.21"/>
    <x v="1"/>
    <n v="32"/>
    <n v="0"/>
    <n v="0"/>
    <n v="0"/>
    <n v="0.79714984949763712"/>
    <n v="1"/>
    <n v="1"/>
    <n v="0"/>
  </r>
  <r>
    <n v="1306"/>
    <n v="57"/>
    <s v="female"/>
    <n v="46.2"/>
    <n v="96"/>
    <s v="No"/>
    <x v="0"/>
    <x v="1"/>
    <s v="southeast"/>
    <n v="45863.21"/>
    <x v="2"/>
    <n v="46.2"/>
    <n v="1"/>
    <n v="0"/>
    <n v="0"/>
    <n v="0.99628503260239787"/>
    <n v="1"/>
    <n v="0"/>
    <n v="1"/>
  </r>
  <r>
    <n v="1307"/>
    <n v="43"/>
    <s v="female"/>
    <n v="47.6"/>
    <n v="112"/>
    <s v="Yes"/>
    <x v="2"/>
    <x v="1"/>
    <s v="southwest"/>
    <n v="46113.51"/>
    <x v="2"/>
    <n v="47.6"/>
    <n v="0"/>
    <n v="1"/>
    <n v="0"/>
    <n v="0.46446313775528825"/>
    <n v="1"/>
    <n v="1"/>
    <n v="1"/>
  </r>
  <r>
    <n v="1308"/>
    <n v="47"/>
    <s v="male"/>
    <n v="31.4"/>
    <n v="137"/>
    <s v="No"/>
    <x v="3"/>
    <x v="1"/>
    <s v="northwest"/>
    <n v="46130.53"/>
    <x v="1"/>
    <n v="31.4"/>
    <n v="0"/>
    <n v="0"/>
    <n v="1"/>
    <n v="0.17850533226356025"/>
    <n v="1"/>
    <n v="0"/>
    <n v="0"/>
  </r>
  <r>
    <n v="1309"/>
    <n v="20"/>
    <s v="male"/>
    <n v="42.4"/>
    <n v="104"/>
    <s v="No"/>
    <x v="3"/>
    <x v="1"/>
    <s v="southeast"/>
    <n v="46151.12"/>
    <x v="2"/>
    <n v="42.4"/>
    <n v="1"/>
    <n v="0"/>
    <n v="0"/>
    <n v="0.49781033208048897"/>
    <n v="1"/>
    <n v="0"/>
    <n v="0"/>
  </r>
  <r>
    <n v="1310"/>
    <n v="47"/>
    <s v="female"/>
    <n v="43.9"/>
    <n v="104"/>
    <s v="No"/>
    <x v="2"/>
    <x v="1"/>
    <s v="southeast"/>
    <n v="46200.99"/>
    <x v="2"/>
    <n v="43.9"/>
    <n v="1"/>
    <n v="0"/>
    <n v="0"/>
    <n v="0.41382310201649974"/>
    <n v="1"/>
    <n v="0"/>
    <n v="1"/>
  </r>
  <r>
    <n v="1311"/>
    <n v="26"/>
    <s v="female"/>
    <n v="37.1"/>
    <n v="95"/>
    <s v="No"/>
    <x v="3"/>
    <x v="1"/>
    <s v="northeast"/>
    <n v="46255.11"/>
    <x v="2"/>
    <n v="37.1"/>
    <n v="0"/>
    <n v="0"/>
    <n v="0"/>
    <n v="0.87647307759208515"/>
    <n v="1"/>
    <n v="0"/>
    <n v="1"/>
  </r>
  <r>
    <n v="1312"/>
    <n v="38"/>
    <s v="male"/>
    <n v="35.9"/>
    <n v="117"/>
    <s v="Yes"/>
    <x v="0"/>
    <x v="1"/>
    <s v="southeast"/>
    <n v="46599.11"/>
    <x v="2"/>
    <n v="35.9"/>
    <n v="1"/>
    <n v="0"/>
    <n v="0"/>
    <n v="0.72723681885527403"/>
    <n v="1"/>
    <n v="1"/>
    <n v="0"/>
  </r>
  <r>
    <n v="1313"/>
    <n v="56"/>
    <s v="female"/>
    <n v="36.9"/>
    <n v="110"/>
    <s v="No"/>
    <x v="3"/>
    <x v="1"/>
    <s v="northwest"/>
    <n v="46661.440000000002"/>
    <x v="2"/>
    <n v="36.9"/>
    <n v="0"/>
    <n v="0"/>
    <n v="1"/>
    <n v="0.99748460793880744"/>
    <n v="1"/>
    <n v="0"/>
    <n v="1"/>
  </r>
  <r>
    <n v="1314"/>
    <n v="29"/>
    <s v="male"/>
    <n v="30.9"/>
    <n v="114"/>
    <s v="Yes"/>
    <x v="3"/>
    <x v="1"/>
    <s v="northwest"/>
    <n v="46718.16"/>
    <x v="1"/>
    <n v="30.9"/>
    <n v="0"/>
    <n v="0"/>
    <n v="1"/>
    <n v="0.18636192954829789"/>
    <n v="1"/>
    <n v="1"/>
    <n v="0"/>
  </r>
  <r>
    <n v="1315"/>
    <n v="22"/>
    <s v="male"/>
    <n v="33.9"/>
    <n v="97"/>
    <s v="No"/>
    <x v="0"/>
    <x v="1"/>
    <s v="southeast"/>
    <n v="46889.26"/>
    <x v="1"/>
    <n v="33.9"/>
    <n v="1"/>
    <n v="0"/>
    <n v="0"/>
    <n v="0.38250589334140117"/>
    <n v="1"/>
    <n v="0"/>
    <n v="0"/>
  </r>
  <r>
    <n v="1316"/>
    <n v="23"/>
    <s v="male"/>
    <n v="35.1"/>
    <n v="121"/>
    <s v="No"/>
    <x v="0"/>
    <x v="1"/>
    <s v="southeast"/>
    <n v="47055.53"/>
    <x v="2"/>
    <n v="35.1"/>
    <n v="1"/>
    <n v="0"/>
    <n v="0"/>
    <n v="0.65036166111052907"/>
    <n v="1"/>
    <n v="0"/>
    <n v="0"/>
  </r>
  <r>
    <n v="1317"/>
    <n v="41"/>
    <s v="male"/>
    <n v="41.8"/>
    <n v="109"/>
    <s v="Yes"/>
    <x v="2"/>
    <x v="1"/>
    <s v="southeast"/>
    <n v="47269.85"/>
    <x v="2"/>
    <n v="41.8"/>
    <n v="1"/>
    <n v="0"/>
    <n v="0"/>
    <n v="0.23903185805584271"/>
    <n v="1"/>
    <n v="1"/>
    <n v="0"/>
  </r>
  <r>
    <n v="1318"/>
    <n v="49"/>
    <s v="female"/>
    <n v="31.3"/>
    <n v="111"/>
    <s v="No"/>
    <x v="2"/>
    <x v="1"/>
    <s v="southwest"/>
    <n v="47291.06"/>
    <x v="1"/>
    <n v="31.3"/>
    <n v="0"/>
    <n v="1"/>
    <n v="0"/>
    <n v="0.70116534825026144"/>
    <n v="1"/>
    <n v="0"/>
    <n v="1"/>
  </r>
  <r>
    <n v="1319"/>
    <n v="27"/>
    <s v="female"/>
    <n v="32.200000000000003"/>
    <n v="115"/>
    <s v="Yes"/>
    <x v="2"/>
    <x v="1"/>
    <s v="southwest"/>
    <n v="47305.31"/>
    <x v="1"/>
    <n v="32.200000000000003"/>
    <n v="0"/>
    <n v="1"/>
    <n v="0"/>
    <n v="0.5117721172685834"/>
    <n v="1"/>
    <n v="1"/>
    <n v="1"/>
  </r>
  <r>
    <n v="1320"/>
    <n v="40"/>
    <s v="male"/>
    <n v="36.299999999999997"/>
    <n v="94"/>
    <s v="Yes"/>
    <x v="1"/>
    <x v="1"/>
    <s v="southwest"/>
    <n v="47403.88"/>
    <x v="2"/>
    <n v="36.299999999999997"/>
    <n v="0"/>
    <n v="1"/>
    <n v="0"/>
    <n v="0.43525797382836107"/>
    <n v="1"/>
    <n v="1"/>
    <n v="0"/>
  </r>
  <r>
    <n v="1321"/>
    <n v="19"/>
    <s v="male"/>
    <n v="42.9"/>
    <n v="104"/>
    <s v="Yes"/>
    <x v="2"/>
    <x v="1"/>
    <s v="southeast"/>
    <n v="47462.89"/>
    <x v="2"/>
    <n v="42.9"/>
    <n v="1"/>
    <n v="0"/>
    <n v="0"/>
    <n v="0.15355725583997715"/>
    <n v="1"/>
    <n v="1"/>
    <n v="0"/>
  </r>
  <r>
    <n v="1322"/>
    <n v="26"/>
    <s v="male"/>
    <n v="37"/>
    <n v="81"/>
    <s v="No"/>
    <x v="2"/>
    <x v="1"/>
    <s v="northwest"/>
    <n v="47496.49"/>
    <x v="2"/>
    <n v="37"/>
    <n v="0"/>
    <n v="0"/>
    <n v="1"/>
    <n v="0.82600924704245726"/>
    <n v="1"/>
    <n v="0"/>
    <n v="0"/>
  </r>
  <r>
    <n v="1323"/>
    <n v="33"/>
    <s v="female"/>
    <n v="36.799999999999997"/>
    <n v="117"/>
    <s v="Yes"/>
    <x v="1"/>
    <x v="1"/>
    <s v="northeast"/>
    <n v="47896.79"/>
    <x v="2"/>
    <n v="36.799999999999997"/>
    <n v="0"/>
    <n v="0"/>
    <n v="0"/>
    <n v="0.12410161462542912"/>
    <n v="1"/>
    <n v="1"/>
    <n v="1"/>
  </r>
  <r>
    <n v="1324"/>
    <n v="49"/>
    <s v="female"/>
    <n v="33.799999999999997"/>
    <n v="107"/>
    <s v="No"/>
    <x v="1"/>
    <x v="1"/>
    <s v="southwest"/>
    <n v="47928.03"/>
    <x v="1"/>
    <n v="33.799999999999997"/>
    <n v="0"/>
    <n v="1"/>
    <n v="0"/>
    <n v="9.5308057837017235E-2"/>
    <n v="1"/>
    <n v="0"/>
    <n v="1"/>
  </r>
  <r>
    <n v="1325"/>
    <n v="39"/>
    <s v="male"/>
    <n v="39.9"/>
    <n v="115"/>
    <s v="No"/>
    <x v="0"/>
    <x v="1"/>
    <s v="southwest"/>
    <n v="48173.36"/>
    <x v="2"/>
    <n v="39.9"/>
    <n v="0"/>
    <n v="1"/>
    <n v="0"/>
    <n v="0.42485586364593519"/>
    <n v="1"/>
    <n v="0"/>
    <n v="0"/>
  </r>
  <r>
    <n v="1326"/>
    <n v="52"/>
    <s v="female"/>
    <n v="36.4"/>
    <n v="133"/>
    <s v="Yes"/>
    <x v="1"/>
    <x v="1"/>
    <s v="northeast"/>
    <n v="48517.56"/>
    <x v="2"/>
    <n v="36.4"/>
    <n v="0"/>
    <n v="0"/>
    <n v="0"/>
    <n v="0.98659974394471728"/>
    <n v="1"/>
    <n v="1"/>
    <n v="1"/>
  </r>
  <r>
    <n v="1327"/>
    <n v="26"/>
    <s v="male"/>
    <n v="40.6"/>
    <n v="113"/>
    <s v="Yes"/>
    <x v="3"/>
    <x v="1"/>
    <s v="northeast"/>
    <n v="48549.18"/>
    <x v="2"/>
    <n v="40.6"/>
    <n v="0"/>
    <n v="0"/>
    <n v="0"/>
    <n v="0.39130731716649414"/>
    <n v="1"/>
    <n v="1"/>
    <n v="0"/>
  </r>
  <r>
    <n v="1328"/>
    <n v="49"/>
    <s v="male"/>
    <n v="40.9"/>
    <n v="107"/>
    <s v="No"/>
    <x v="0"/>
    <x v="1"/>
    <s v="southeast"/>
    <n v="48673.56"/>
    <x v="2"/>
    <n v="40.9"/>
    <n v="1"/>
    <n v="0"/>
    <n v="0"/>
    <n v="0.17391323550585303"/>
    <n v="1"/>
    <n v="0"/>
    <n v="0"/>
  </r>
  <r>
    <n v="1329"/>
    <n v="45"/>
    <s v="male"/>
    <n v="42.1"/>
    <n v="117"/>
    <s v="No"/>
    <x v="1"/>
    <x v="1"/>
    <s v="southeast"/>
    <n v="48675.519999999997"/>
    <x v="2"/>
    <n v="42.1"/>
    <n v="1"/>
    <n v="0"/>
    <n v="0"/>
    <n v="6.5361729223361476E-2"/>
    <n v="1"/>
    <n v="0"/>
    <n v="0"/>
  </r>
  <r>
    <n v="1330"/>
    <n v="52"/>
    <s v="female"/>
    <n v="37.700000000000003"/>
    <n v="109"/>
    <s v="Yes"/>
    <x v="0"/>
    <x v="1"/>
    <s v="southwest"/>
    <n v="48824.45"/>
    <x v="2"/>
    <n v="37.700000000000003"/>
    <n v="0"/>
    <n v="1"/>
    <n v="0"/>
    <n v="0.41762442429502145"/>
    <n v="1"/>
    <n v="1"/>
    <n v="1"/>
  </r>
  <r>
    <n v="1331"/>
    <n v="25"/>
    <s v="female"/>
    <n v="38.1"/>
    <n v="111"/>
    <s v="No"/>
    <x v="0"/>
    <x v="1"/>
    <s v="southeast"/>
    <n v="48885.14"/>
    <x v="2"/>
    <n v="38.1"/>
    <n v="1"/>
    <n v="0"/>
    <n v="0"/>
    <n v="0.64055481676488846"/>
    <n v="1"/>
    <n v="0"/>
    <n v="1"/>
  </r>
  <r>
    <n v="1332"/>
    <n v="18"/>
    <s v="male"/>
    <n v="41.1"/>
    <n v="104"/>
    <s v="No"/>
    <x v="1"/>
    <x v="1"/>
    <s v="southeast"/>
    <n v="48970.25"/>
    <x v="2"/>
    <n v="41.1"/>
    <n v="1"/>
    <n v="0"/>
    <n v="0"/>
    <n v="0.96206263088499777"/>
    <n v="1"/>
    <n v="0"/>
    <n v="0"/>
  </r>
  <r>
    <n v="1333"/>
    <n v="26"/>
    <s v="male"/>
    <n v="37"/>
    <n v="120"/>
    <s v="No"/>
    <x v="2"/>
    <x v="1"/>
    <s v="southeast"/>
    <n v="49577.66"/>
    <x v="2"/>
    <n v="37"/>
    <n v="1"/>
    <n v="0"/>
    <n v="0"/>
    <n v="0.61296192629740553"/>
    <n v="1"/>
    <n v="0"/>
    <n v="0"/>
  </r>
  <r>
    <n v="1334"/>
    <n v="44"/>
    <s v="male"/>
    <n v="36.4"/>
    <n v="127"/>
    <s v="No"/>
    <x v="1"/>
    <x v="1"/>
    <s v="southwest"/>
    <n v="51194.559999999998"/>
    <x v="2"/>
    <n v="36.4"/>
    <n v="0"/>
    <n v="1"/>
    <n v="0"/>
    <n v="0.91514588486685544"/>
    <n v="1"/>
    <n v="0"/>
    <n v="0"/>
  </r>
  <r>
    <n v="1335"/>
    <n v="43"/>
    <s v="male"/>
    <n v="32.799999999999997"/>
    <n v="125"/>
    <s v="No"/>
    <x v="0"/>
    <x v="1"/>
    <s v="southwest"/>
    <n v="52590.83"/>
    <x v="1"/>
    <n v="32.799999999999997"/>
    <n v="0"/>
    <n v="1"/>
    <n v="0"/>
    <n v="0.90352296462636061"/>
    <n v="1"/>
    <n v="0"/>
    <n v="0"/>
  </r>
  <r>
    <n v="1336"/>
    <n v="44"/>
    <s v="female"/>
    <n v="35.5"/>
    <n v="88"/>
    <s v="Yes"/>
    <x v="0"/>
    <x v="1"/>
    <s v="northwest"/>
    <n v="55135.4"/>
    <x v="2"/>
    <n v="35.5"/>
    <n v="0"/>
    <n v="0"/>
    <n v="1"/>
    <n v="0.82992949632847557"/>
    <n v="1"/>
    <n v="1"/>
    <n v="1"/>
  </r>
  <r>
    <n v="1337"/>
    <n v="59"/>
    <s v="female"/>
    <n v="38.1"/>
    <n v="120"/>
    <s v="No"/>
    <x v="1"/>
    <x v="1"/>
    <s v="northeast"/>
    <n v="58571.07"/>
    <x v="2"/>
    <n v="38.1"/>
    <n v="0"/>
    <n v="0"/>
    <n v="0"/>
    <n v="0.54524782170448638"/>
    <n v="1"/>
    <n v="0"/>
    <n v="1"/>
  </r>
  <r>
    <n v="1338"/>
    <n v="30"/>
    <s v="male"/>
    <n v="34.5"/>
    <n v="91"/>
    <s v="Yes"/>
    <x v="3"/>
    <x v="1"/>
    <s v="northwest"/>
    <n v="60021.4"/>
    <x v="1"/>
    <n v="34.5"/>
    <n v="0"/>
    <n v="0"/>
    <n v="1"/>
    <n v="0.81120721250184002"/>
    <n v="1"/>
    <n v="1"/>
    <n v="0"/>
  </r>
  <r>
    <n v="1339"/>
    <n v="37"/>
    <s v="male"/>
    <n v="30.4"/>
    <n v="106"/>
    <s v="No"/>
    <x v="0"/>
    <x v="1"/>
    <s v="southeast"/>
    <n v="62592.87"/>
    <x v="1"/>
    <n v="30.4"/>
    <n v="1"/>
    <n v="0"/>
    <n v="0"/>
    <n v="0.87891632455831514"/>
    <n v="1"/>
    <n v="0"/>
    <n v="0"/>
  </r>
  <r>
    <n v="1340"/>
    <n v="30"/>
    <s v="female"/>
    <n v="47.4"/>
    <n v="101"/>
    <s v="No"/>
    <x v="0"/>
    <x v="1"/>
    <s v="southeast"/>
    <n v="63770.43"/>
    <x v="2"/>
    <n v="47.4"/>
    <n v="1"/>
    <n v="0"/>
    <n v="0"/>
    <n v="0.44307133850343128"/>
    <n v="1"/>
    <n v="0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1">
  <r>
    <n v="1"/>
    <n v="39"/>
    <s v="male"/>
    <x v="0"/>
    <n v="91"/>
    <s v="Yes"/>
    <n v="0"/>
    <x v="0"/>
    <s v="southeast"/>
    <n v="1121.8699999999999"/>
    <x v="0"/>
    <n v="0"/>
    <n v="1"/>
    <n v="0"/>
    <n v="0"/>
    <n v="0.71471673812021075"/>
    <n v="0"/>
    <n v="1"/>
    <n v="0"/>
    <n v="5464.87"/>
    <n v="-4343"/>
  </r>
  <r>
    <n v="2"/>
    <n v="24"/>
    <s v="male"/>
    <x v="1"/>
    <n v="87"/>
    <s v="No"/>
    <n v="0"/>
    <x v="0"/>
    <s v="southeast"/>
    <n v="1131.51"/>
    <x v="1"/>
    <n v="0"/>
    <n v="1"/>
    <n v="0"/>
    <n v="0"/>
    <n v="0.95799827889432532"/>
    <n v="0"/>
    <n v="0"/>
    <n v="0"/>
    <n v="5504.7200000000012"/>
    <n v="-4373.2100000000009"/>
  </r>
  <r>
    <n v="3"/>
    <n v="38"/>
    <s v="male"/>
    <x v="2"/>
    <n v="82"/>
    <s v="Yes"/>
    <n v="0"/>
    <x v="0"/>
    <s v="southeast"/>
    <n v="1135.94"/>
    <x v="1"/>
    <n v="0"/>
    <n v="1"/>
    <n v="0"/>
    <n v="0"/>
    <n v="0.52184096627103371"/>
    <n v="0"/>
    <n v="1"/>
    <n v="0"/>
    <n v="4893.3900000000003"/>
    <n v="-3757.4500000000003"/>
  </r>
  <r>
    <n v="4"/>
    <n v="38"/>
    <s v="male"/>
    <x v="3"/>
    <n v="80"/>
    <s v="No"/>
    <n v="0"/>
    <x v="0"/>
    <s v="northwest"/>
    <n v="1136.4000000000001"/>
    <x v="1"/>
    <n v="0"/>
    <n v="0"/>
    <n v="0"/>
    <n v="1"/>
    <n v="0.674654772660915"/>
    <n v="0"/>
    <n v="0"/>
    <n v="0"/>
    <n v="5374.1600000000008"/>
    <n v="-4237.76"/>
  </r>
  <r>
    <n v="5"/>
    <n v="38"/>
    <s v="male"/>
    <x v="4"/>
    <n v="100"/>
    <s v="No"/>
    <n v="0"/>
    <x v="0"/>
    <s v="northwest"/>
    <n v="1137.01"/>
    <x v="1"/>
    <n v="0"/>
    <n v="0"/>
    <n v="0"/>
    <n v="1"/>
    <n v="0.84569391769793034"/>
    <n v="0"/>
    <n v="0"/>
    <n v="0"/>
    <n v="8600.16"/>
    <n v="-7463.15"/>
  </r>
  <r>
    <n v="6"/>
    <n v="38"/>
    <s v="male"/>
    <x v="5"/>
    <n v="96"/>
    <s v="Yes"/>
    <n v="0"/>
    <x v="0"/>
    <s v="northwest"/>
    <n v="1137.47"/>
    <x v="1"/>
    <n v="0"/>
    <n v="0"/>
    <n v="0"/>
    <n v="1"/>
    <n v="0.68910948759611224"/>
    <n v="0"/>
    <n v="1"/>
    <n v="0"/>
    <n v="7918.3899999999976"/>
    <n v="-6780.9199999999973"/>
  </r>
  <r>
    <n v="7"/>
    <n v="38"/>
    <s v="male"/>
    <x v="6"/>
    <n v="86"/>
    <s v="Yes"/>
    <n v="0"/>
    <x v="0"/>
    <s v="northwest"/>
    <n v="1141.45"/>
    <x v="2"/>
    <n v="0"/>
    <n v="0"/>
    <n v="0"/>
    <n v="1"/>
    <n v="0.16280539098894986"/>
    <n v="0"/>
    <n v="1"/>
    <n v="0"/>
    <n v="6570.4399999999987"/>
    <n v="-5428.9899999999989"/>
  </r>
  <r>
    <n v="8"/>
    <n v="19"/>
    <s v="male"/>
    <x v="7"/>
    <n v="100"/>
    <s v="No"/>
    <n v="0"/>
    <x v="0"/>
    <s v="northwest"/>
    <n v="1146.8"/>
    <x v="2"/>
    <n v="0"/>
    <n v="0"/>
    <n v="0"/>
    <n v="1"/>
    <n v="0.68992857608799318"/>
    <n v="0"/>
    <n v="0"/>
    <n v="0"/>
    <n v="9222.98"/>
    <n v="-8076.1799999999994"/>
  </r>
  <r>
    <n v="9"/>
    <n v="20"/>
    <s v="male"/>
    <x v="8"/>
    <n v="86"/>
    <s v="No"/>
    <n v="0"/>
    <x v="0"/>
    <s v="northwest"/>
    <n v="1149.4000000000001"/>
    <x v="2"/>
    <n v="0"/>
    <n v="0"/>
    <n v="0"/>
    <n v="1"/>
    <n v="0.70153267279255715"/>
    <n v="0"/>
    <n v="0"/>
    <n v="0"/>
    <n v="7149.89"/>
    <n v="-6000.49"/>
  </r>
  <r>
    <n v="10"/>
    <n v="30"/>
    <s v="male"/>
    <x v="9"/>
    <n v="97"/>
    <s v="No"/>
    <n v="0"/>
    <x v="0"/>
    <s v="northwest"/>
    <n v="1163.46"/>
    <x v="2"/>
    <n v="0"/>
    <n v="0"/>
    <n v="0"/>
    <n v="1"/>
    <n v="0.2611333124392059"/>
    <n v="0"/>
    <n v="0"/>
    <n v="0"/>
    <n v="9756.130000000001"/>
    <n v="-8592.6700000000019"/>
  </r>
  <r>
    <n v="11"/>
    <n v="36"/>
    <s v="male"/>
    <x v="10"/>
    <n v="88"/>
    <s v="Yes"/>
    <n v="0"/>
    <x v="0"/>
    <s v="northwest"/>
    <n v="1241.57"/>
    <x v="3"/>
    <n v="0"/>
    <n v="0"/>
    <n v="0"/>
    <n v="1"/>
    <n v="0.74024267527775622"/>
    <n v="0"/>
    <n v="1"/>
    <n v="0"/>
    <n v="5395.93"/>
    <n v="-4154.3600000000006"/>
  </r>
  <r>
    <n v="12"/>
    <n v="37"/>
    <s v="male"/>
    <x v="11"/>
    <n v="90"/>
    <s v="Yes"/>
    <n v="0"/>
    <x v="0"/>
    <s v="northwest"/>
    <n v="1242.26"/>
    <x v="0"/>
    <n v="0"/>
    <n v="0"/>
    <n v="0"/>
    <n v="1"/>
    <n v="0.83110142427607847"/>
    <n v="0"/>
    <n v="1"/>
    <n v="0"/>
    <n v="5756.58"/>
    <n v="-4514.32"/>
  </r>
  <r>
    <n v="13"/>
    <n v="19"/>
    <s v="male"/>
    <x v="12"/>
    <n v="81"/>
    <s v="No"/>
    <n v="0"/>
    <x v="0"/>
    <s v="northwest"/>
    <n v="1242.82"/>
    <x v="0"/>
    <n v="0"/>
    <n v="0"/>
    <n v="0"/>
    <n v="1"/>
    <n v="0.87564291447932718"/>
    <n v="0"/>
    <n v="0"/>
    <n v="0"/>
    <n v="4446.5700000000006"/>
    <n v="-3203.7500000000009"/>
  </r>
  <r>
    <n v="14"/>
    <n v="32"/>
    <s v="male"/>
    <x v="13"/>
    <n v="100"/>
    <s v="No"/>
    <n v="0"/>
    <x v="0"/>
    <s v="northwest"/>
    <n v="1252.4100000000001"/>
    <x v="4"/>
    <n v="0"/>
    <n v="0"/>
    <n v="0"/>
    <n v="1"/>
    <n v="0.11556962321567554"/>
    <n v="0"/>
    <n v="0"/>
    <n v="0"/>
    <n v="8052.0900000000011"/>
    <n v="-6799.6800000000012"/>
  </r>
  <r>
    <n v="15"/>
    <n v="40"/>
    <s v="male"/>
    <x v="14"/>
    <n v="81"/>
    <s v="Yes"/>
    <n v="0"/>
    <x v="0"/>
    <s v="northwest"/>
    <n v="1253.94"/>
    <x v="4"/>
    <n v="0"/>
    <n v="0"/>
    <n v="0"/>
    <n v="1"/>
    <n v="0.47712655382012792"/>
    <n v="0"/>
    <n v="1"/>
    <n v="0"/>
    <n v="5034.630000000001"/>
    <n v="-3780.690000000001"/>
  </r>
  <r>
    <n v="16"/>
    <n v="32"/>
    <s v="male"/>
    <x v="15"/>
    <n v="86"/>
    <s v="Yes"/>
    <n v="0"/>
    <x v="0"/>
    <s v="northwest"/>
    <n v="1256.3"/>
    <x v="1"/>
    <n v="0"/>
    <n v="0"/>
    <n v="0"/>
    <n v="1"/>
    <n v="0.66782829645637298"/>
    <n v="0"/>
    <n v="1"/>
    <n v="0"/>
    <n v="5988.17"/>
    <n v="-4731.87"/>
  </r>
  <r>
    <n v="17"/>
    <n v="35"/>
    <s v="male"/>
    <x v="4"/>
    <n v="90"/>
    <s v="No"/>
    <n v="0"/>
    <x v="0"/>
    <s v="southwest"/>
    <n v="1261.44"/>
    <x v="1"/>
    <n v="0"/>
    <n v="0"/>
    <n v="1"/>
    <n v="0"/>
    <n v="0.70871844070246559"/>
    <n v="0"/>
    <n v="0"/>
    <n v="0"/>
    <n v="7000.0299999999988"/>
    <n v="-5738.5899999999983"/>
  </r>
  <r>
    <n v="18"/>
    <n v="41"/>
    <s v="male"/>
    <x v="5"/>
    <n v="84"/>
    <s v="No"/>
    <n v="0"/>
    <x v="0"/>
    <s v="southwest"/>
    <n v="1261.8599999999999"/>
    <x v="1"/>
    <n v="0"/>
    <n v="0"/>
    <n v="1"/>
    <n v="0"/>
    <n v="0.12005503535420159"/>
    <n v="0"/>
    <n v="0"/>
    <n v="0"/>
    <n v="6060.4599999999991"/>
    <n v="-4798.5999999999995"/>
  </r>
  <r>
    <n v="19"/>
    <n v="49"/>
    <s v="male"/>
    <x v="16"/>
    <n v="97"/>
    <s v="Yes"/>
    <n v="0"/>
    <x v="0"/>
    <s v="southwest"/>
    <n v="1263.25"/>
    <x v="2"/>
    <n v="0"/>
    <n v="0"/>
    <n v="1"/>
    <n v="0"/>
    <n v="0.77034982095688254"/>
    <n v="0"/>
    <n v="1"/>
    <n v="0"/>
    <n v="8141.329999999999"/>
    <n v="-6878.079999999999"/>
  </r>
  <r>
    <n v="20"/>
    <n v="48"/>
    <s v="male"/>
    <x v="2"/>
    <n v="91"/>
    <s v="Yes"/>
    <n v="0"/>
    <x v="0"/>
    <s v="southeast"/>
    <n v="1391.53"/>
    <x v="1"/>
    <n v="0"/>
    <n v="1"/>
    <n v="0"/>
    <n v="0"/>
    <n v="0.63742411051028103"/>
    <n v="0"/>
    <n v="1"/>
    <n v="0"/>
    <n v="6316.9000000000005"/>
    <n v="-4925.3700000000008"/>
  </r>
  <r>
    <n v="21"/>
    <n v="45"/>
    <s v="male"/>
    <x v="0"/>
    <n v="85"/>
    <s v="Yes"/>
    <n v="0"/>
    <x v="0"/>
    <s v="southeast"/>
    <n v="1515.34"/>
    <x v="0"/>
    <n v="0"/>
    <n v="1"/>
    <n v="0"/>
    <n v="0"/>
    <n v="0.64837798831384352"/>
    <n v="0"/>
    <n v="1"/>
    <n v="0"/>
    <n v="4499.6499999999987"/>
    <n v="-2984.3099999999986"/>
  </r>
  <r>
    <n v="22"/>
    <n v="34"/>
    <s v="male"/>
    <x v="17"/>
    <n v="96"/>
    <s v="No"/>
    <n v="0"/>
    <x v="0"/>
    <s v="southwest"/>
    <n v="1526.31"/>
    <x v="1"/>
    <n v="0"/>
    <n v="0"/>
    <n v="1"/>
    <n v="0"/>
    <n v="0.94079666267467466"/>
    <n v="0"/>
    <n v="0"/>
    <n v="0"/>
    <n v="7702.3499999999985"/>
    <n v="-6176.0399999999991"/>
  </r>
  <r>
    <n v="23"/>
    <n v="18"/>
    <s v="male"/>
    <x v="18"/>
    <n v="100"/>
    <s v="Yes"/>
    <n v="0"/>
    <x v="0"/>
    <s v="southeast"/>
    <n v="1532.47"/>
    <x v="2"/>
    <n v="0"/>
    <n v="1"/>
    <n v="0"/>
    <n v="0"/>
    <n v="0.85151494993836985"/>
    <n v="0"/>
    <n v="1"/>
    <n v="0"/>
    <n v="7979.71"/>
    <n v="-6447.24"/>
  </r>
  <r>
    <n v="24"/>
    <n v="42"/>
    <s v="male"/>
    <x v="19"/>
    <n v="93"/>
    <s v="No"/>
    <n v="0"/>
    <x v="0"/>
    <s v="southeast"/>
    <n v="1534.3"/>
    <x v="2"/>
    <n v="0"/>
    <n v="1"/>
    <n v="0"/>
    <n v="0"/>
    <n v="0.25790375303336643"/>
    <n v="0"/>
    <n v="0"/>
    <n v="0"/>
    <n v="7020.6200000000008"/>
    <n v="-5486.3200000000006"/>
  </r>
  <r>
    <n v="25"/>
    <n v="50"/>
    <s v="female"/>
    <x v="20"/>
    <n v="85"/>
    <s v="Yes"/>
    <n v="0"/>
    <x v="0"/>
    <s v="southeast"/>
    <n v="1607.51"/>
    <x v="0"/>
    <n v="0"/>
    <n v="1"/>
    <n v="0"/>
    <n v="0"/>
    <n v="0.50896327038247657"/>
    <n v="0"/>
    <n v="1"/>
    <n v="1"/>
    <n v="4733"/>
    <n v="-3125.49"/>
  </r>
  <r>
    <n v="26"/>
    <n v="23"/>
    <s v="male"/>
    <x v="8"/>
    <n v="86"/>
    <s v="No"/>
    <n v="0"/>
    <x v="0"/>
    <s v="northwest"/>
    <n v="1149.4000000000001"/>
    <x v="2"/>
    <n v="0"/>
    <n v="0"/>
    <n v="0"/>
    <n v="1"/>
    <n v="0.99131583349167574"/>
    <n v="0"/>
    <n v="0"/>
    <n v="0"/>
    <n v="7146.05"/>
    <n v="-5996.65"/>
  </r>
  <r>
    <n v="27"/>
    <n v="36"/>
    <s v="female"/>
    <x v="21"/>
    <n v="97"/>
    <s v="Yes"/>
    <n v="0"/>
    <x v="0"/>
    <s v="southeast"/>
    <n v="1615.77"/>
    <x v="4"/>
    <n v="0"/>
    <n v="1"/>
    <n v="0"/>
    <n v="0"/>
    <n v="0.2715218724151347"/>
    <n v="0"/>
    <n v="1"/>
    <n v="1"/>
    <n v="7170.4499999999989"/>
    <n v="-5554.6799999999985"/>
  </r>
  <r>
    <n v="28"/>
    <n v="30"/>
    <s v="male"/>
    <x v="22"/>
    <n v="93"/>
    <s v="Yes"/>
    <n v="0"/>
    <x v="0"/>
    <s v="northwest"/>
    <n v="1621.34"/>
    <x v="3"/>
    <n v="0"/>
    <n v="0"/>
    <n v="0"/>
    <n v="1"/>
    <n v="0.53324941791992664"/>
    <n v="0"/>
    <n v="1"/>
    <n v="0"/>
    <n v="6004.9100000000017"/>
    <n v="-4383.5700000000015"/>
  </r>
  <r>
    <n v="29"/>
    <n v="58"/>
    <s v="female"/>
    <x v="17"/>
    <n v="87"/>
    <s v="No"/>
    <n v="0"/>
    <x v="0"/>
    <s v="southeast"/>
    <n v="1621.88"/>
    <x v="1"/>
    <n v="0"/>
    <n v="1"/>
    <n v="0"/>
    <n v="0"/>
    <n v="0.23266182722786288"/>
    <n v="0"/>
    <n v="0"/>
    <n v="1"/>
    <n v="5991.6500000000005"/>
    <n v="-4369.7700000000004"/>
  </r>
  <r>
    <n v="30"/>
    <n v="35"/>
    <s v="female"/>
    <x v="23"/>
    <n v="93"/>
    <s v="No"/>
    <n v="0"/>
    <x v="0"/>
    <s v="southeast"/>
    <n v="1622.19"/>
    <x v="1"/>
    <n v="0"/>
    <n v="1"/>
    <n v="0"/>
    <n v="0"/>
    <n v="0.58617084059799673"/>
    <n v="0"/>
    <n v="0"/>
    <n v="1"/>
    <n v="7004.2800000000016"/>
    <n v="-5382.090000000002"/>
  </r>
  <r>
    <n v="31"/>
    <n v="29"/>
    <s v="male"/>
    <x v="24"/>
    <n v="80"/>
    <s v="Yes"/>
    <n v="0"/>
    <x v="0"/>
    <s v="northwest"/>
    <n v="1625.43"/>
    <x v="0"/>
    <n v="0"/>
    <n v="0"/>
    <n v="0"/>
    <n v="1"/>
    <n v="0.96241045622543042"/>
    <n v="0"/>
    <n v="1"/>
    <n v="0"/>
    <n v="4179.47"/>
    <n v="-2554.04"/>
  </r>
  <r>
    <n v="32"/>
    <n v="49"/>
    <s v="male"/>
    <x v="25"/>
    <n v="80"/>
    <s v="No"/>
    <n v="0"/>
    <x v="0"/>
    <s v="northwest"/>
    <n v="1627.28"/>
    <x v="0"/>
    <n v="0"/>
    <n v="0"/>
    <n v="0"/>
    <n v="1"/>
    <n v="0.62175153786167803"/>
    <n v="0"/>
    <n v="0"/>
    <n v="0"/>
    <n v="4342.63"/>
    <n v="-2715.3500000000004"/>
  </r>
  <r>
    <n v="33"/>
    <n v="21"/>
    <s v="male"/>
    <x v="26"/>
    <n v="96"/>
    <s v="Yes"/>
    <n v="0"/>
    <x v="0"/>
    <s v="northwest"/>
    <n v="1628.47"/>
    <x v="0"/>
    <n v="0"/>
    <n v="0"/>
    <n v="0"/>
    <n v="1"/>
    <n v="0.62335601474790836"/>
    <n v="0"/>
    <n v="1"/>
    <n v="0"/>
    <n v="6931.2499999999982"/>
    <n v="-5302.7799999999979"/>
  </r>
  <r>
    <n v="34"/>
    <n v="52"/>
    <s v="female"/>
    <x v="19"/>
    <n v="81"/>
    <s v="No"/>
    <n v="0"/>
    <x v="0"/>
    <s v="southeast"/>
    <n v="1629.83"/>
    <x v="2"/>
    <n v="0"/>
    <n v="1"/>
    <n v="0"/>
    <n v="0"/>
    <n v="0.39018158623880328"/>
    <n v="0"/>
    <n v="0"/>
    <n v="1"/>
    <n v="5537.6900000000014"/>
    <n v="-3907.8600000000015"/>
  </r>
  <r>
    <n v="35"/>
    <n v="43"/>
    <s v="female"/>
    <x v="27"/>
    <n v="86"/>
    <s v="Yes"/>
    <n v="0"/>
    <x v="0"/>
    <s v="southeast"/>
    <n v="1631.67"/>
    <x v="2"/>
    <n v="0"/>
    <n v="1"/>
    <n v="0"/>
    <n v="0"/>
    <n v="0.76892981538106642"/>
    <n v="0"/>
    <n v="1"/>
    <n v="1"/>
    <n v="6389.25"/>
    <n v="-4757.58"/>
  </r>
  <r>
    <n v="36"/>
    <n v="47"/>
    <s v="female"/>
    <x v="28"/>
    <n v="93"/>
    <s v="No"/>
    <n v="0"/>
    <x v="0"/>
    <s v="southeast"/>
    <n v="1631.82"/>
    <x v="2"/>
    <n v="0"/>
    <n v="1"/>
    <n v="0"/>
    <n v="0"/>
    <n v="0.72533094223550898"/>
    <n v="0"/>
    <n v="0"/>
    <n v="1"/>
    <n v="7578.8700000000017"/>
    <n v="-5947.050000000002"/>
  </r>
  <r>
    <n v="37"/>
    <n v="48"/>
    <s v="male"/>
    <x v="29"/>
    <n v="98"/>
    <s v="No"/>
    <n v="0"/>
    <x v="0"/>
    <s v="northwest"/>
    <n v="1632.04"/>
    <x v="4"/>
    <n v="0"/>
    <n v="0"/>
    <n v="0"/>
    <n v="1"/>
    <n v="2.3809640965968604E-2"/>
    <n v="0"/>
    <n v="0"/>
    <n v="0"/>
    <n v="7507.2300000000005"/>
    <n v="-5875.1900000000005"/>
  </r>
  <r>
    <n v="38"/>
    <n v="34"/>
    <s v="male"/>
    <x v="30"/>
    <n v="83"/>
    <s v="No"/>
    <n v="0"/>
    <x v="0"/>
    <s v="northwest"/>
    <n v="1632.56"/>
    <x v="4"/>
    <n v="0"/>
    <n v="0"/>
    <n v="0"/>
    <n v="1"/>
    <n v="0.49045245221418643"/>
    <n v="0"/>
    <n v="0"/>
    <n v="0"/>
    <n v="5165.5000000000009"/>
    <n v="-3532.940000000001"/>
  </r>
  <r>
    <n v="39"/>
    <n v="28"/>
    <s v="female"/>
    <x v="31"/>
    <n v="87"/>
    <s v="No"/>
    <n v="0"/>
    <x v="0"/>
    <s v="southeast"/>
    <n v="1633.04"/>
    <x v="2"/>
    <n v="0"/>
    <n v="1"/>
    <n v="0"/>
    <n v="0"/>
    <n v="0.20756277816126811"/>
    <n v="0"/>
    <n v="0"/>
    <n v="1"/>
    <n v="6722.6000000000013"/>
    <n v="-5089.5600000000013"/>
  </r>
  <r>
    <n v="40"/>
    <n v="49"/>
    <s v="female"/>
    <x v="32"/>
    <n v="100"/>
    <s v="Yes"/>
    <n v="0"/>
    <x v="0"/>
    <s v="southeast"/>
    <n v="1633.96"/>
    <x v="2"/>
    <n v="0"/>
    <n v="1"/>
    <n v="0"/>
    <n v="0"/>
    <n v="0.59708051709477061"/>
    <n v="0"/>
    <n v="1"/>
    <n v="1"/>
    <n v="8752.630000000001"/>
    <n v="-7118.670000000001"/>
  </r>
  <r>
    <n v="41"/>
    <n v="29"/>
    <s v="female"/>
    <x v="33"/>
    <n v="94"/>
    <s v="No"/>
    <n v="0"/>
    <x v="0"/>
    <s v="southeast"/>
    <n v="1634.57"/>
    <x v="2"/>
    <n v="0"/>
    <n v="1"/>
    <n v="0"/>
    <n v="0"/>
    <n v="0.57223510441098124"/>
    <n v="0"/>
    <n v="0"/>
    <n v="1"/>
    <n v="7932.5000000000009"/>
    <n v="-6297.9300000000012"/>
  </r>
  <r>
    <n v="42"/>
    <n v="18"/>
    <s v="male"/>
    <x v="34"/>
    <n v="93"/>
    <s v="No"/>
    <n v="0"/>
    <x v="0"/>
    <s v="northwest"/>
    <n v="1635.73"/>
    <x v="4"/>
    <n v="0"/>
    <n v="0"/>
    <n v="0"/>
    <n v="1"/>
    <n v="0.68730976727114468"/>
    <n v="0"/>
    <n v="0"/>
    <n v="0"/>
    <n v="6969.9800000000005"/>
    <n v="-5334.25"/>
  </r>
  <r>
    <n v="43"/>
    <n v="32"/>
    <s v="male"/>
    <x v="35"/>
    <n v="93"/>
    <s v="No"/>
    <n v="0"/>
    <x v="0"/>
    <s v="northwest"/>
    <n v="1639.56"/>
    <x v="1"/>
    <n v="0"/>
    <n v="0"/>
    <n v="0"/>
    <n v="1"/>
    <n v="0.42033475161408984"/>
    <n v="0"/>
    <n v="0"/>
    <n v="0"/>
    <n v="7191.46"/>
    <n v="-5551.9"/>
  </r>
  <r>
    <n v="44"/>
    <n v="44"/>
    <s v="male"/>
    <x v="35"/>
    <n v="82"/>
    <s v="No"/>
    <n v="0"/>
    <x v="0"/>
    <s v="northwest"/>
    <n v="1639.56"/>
    <x v="1"/>
    <n v="0"/>
    <n v="0"/>
    <n v="0"/>
    <n v="1"/>
    <n v="0.15481899971970836"/>
    <n v="0"/>
    <n v="0"/>
    <n v="0"/>
    <n v="5420.6100000000015"/>
    <n v="-3781.0500000000015"/>
  </r>
  <r>
    <n v="45"/>
    <n v="37"/>
    <s v="male"/>
    <x v="18"/>
    <n v="91"/>
    <s v="No"/>
    <n v="0"/>
    <x v="0"/>
    <s v="northwest"/>
    <n v="1646.43"/>
    <x v="2"/>
    <n v="0"/>
    <n v="0"/>
    <n v="0"/>
    <n v="1"/>
    <n v="5.9356092489473045E-2"/>
    <n v="0"/>
    <n v="0"/>
    <n v="0"/>
    <n v="7284.8300000000008"/>
    <n v="-5638.4000000000005"/>
  </r>
  <r>
    <n v="46"/>
    <n v="29"/>
    <s v="male"/>
    <x v="36"/>
    <n v="94"/>
    <s v="Yes"/>
    <n v="0"/>
    <x v="0"/>
    <s v="southeast"/>
    <n v="1665"/>
    <x v="4"/>
    <n v="0"/>
    <n v="1"/>
    <n v="0"/>
    <n v="0"/>
    <n v="0.88212104746881592"/>
    <n v="0"/>
    <n v="1"/>
    <n v="0"/>
    <n v="6264.2400000000007"/>
    <n v="-4599.2400000000007"/>
  </r>
  <r>
    <n v="47"/>
    <n v="24"/>
    <s v="male"/>
    <x v="37"/>
    <n v="89"/>
    <s v="No"/>
    <n v="0"/>
    <x v="0"/>
    <s v="southeast"/>
    <n v="1674.63"/>
    <x v="1"/>
    <n v="0"/>
    <n v="1"/>
    <n v="0"/>
    <n v="0"/>
    <n v="0.18161570078189326"/>
    <n v="0"/>
    <n v="0"/>
    <n v="0"/>
    <n v="6140.25"/>
    <n v="-4465.62"/>
  </r>
  <r>
    <n v="48"/>
    <n v="31"/>
    <s v="male"/>
    <x v="38"/>
    <n v="80"/>
    <s v="Yes"/>
    <n v="0"/>
    <x v="0"/>
    <s v="southwest"/>
    <n v="1682.6"/>
    <x v="2"/>
    <n v="0"/>
    <n v="0"/>
    <n v="1"/>
    <n v="0"/>
    <n v="0.12901430822825621"/>
    <n v="0"/>
    <n v="1"/>
    <n v="0"/>
    <n v="5801.89"/>
    <n v="-4119.2900000000009"/>
  </r>
  <r>
    <n v="49"/>
    <n v="34"/>
    <s v="male"/>
    <x v="39"/>
    <n v="83"/>
    <s v="No"/>
    <n v="0"/>
    <x v="0"/>
    <s v="northeast"/>
    <n v="1694.8"/>
    <x v="3"/>
    <n v="0"/>
    <n v="0"/>
    <n v="0"/>
    <n v="0"/>
    <n v="0.97801132014736636"/>
    <n v="0"/>
    <n v="0"/>
    <n v="0"/>
    <n v="7292.7400000000007"/>
    <n v="-5597.9400000000005"/>
  </r>
  <r>
    <n v="50"/>
    <n v="30"/>
    <s v="male"/>
    <x v="40"/>
    <n v="83"/>
    <s v="Yes"/>
    <n v="0"/>
    <x v="0"/>
    <s v="northeast"/>
    <n v="1702.46"/>
    <x v="0"/>
    <n v="0"/>
    <n v="0"/>
    <n v="0"/>
    <n v="0"/>
    <n v="0.39701724423456686"/>
    <n v="0"/>
    <n v="1"/>
    <n v="0"/>
    <n v="7699.0500000000011"/>
    <n v="-5996.5900000000011"/>
  </r>
  <r>
    <n v="51"/>
    <n v="45"/>
    <s v="male"/>
    <x v="41"/>
    <n v="81"/>
    <s v="Yes"/>
    <n v="0"/>
    <x v="0"/>
    <s v="northeast"/>
    <n v="1704.57"/>
    <x v="0"/>
    <n v="0"/>
    <n v="0"/>
    <n v="0"/>
    <n v="0"/>
    <n v="0.26083144871018193"/>
    <n v="0"/>
    <n v="1"/>
    <n v="0"/>
    <n v="7488.92"/>
    <n v="-5784.35"/>
  </r>
  <r>
    <n v="52"/>
    <n v="31"/>
    <s v="male"/>
    <x v="42"/>
    <n v="81"/>
    <s v="Yes"/>
    <n v="0"/>
    <x v="0"/>
    <s v="northwest"/>
    <n v="1704.7"/>
    <x v="0"/>
    <n v="0"/>
    <n v="0"/>
    <n v="0"/>
    <n v="1"/>
    <n v="0.68288004602540664"/>
    <n v="0"/>
    <n v="1"/>
    <n v="0"/>
    <n v="4567.3500000000004"/>
    <n v="-2862.6500000000005"/>
  </r>
  <r>
    <n v="53"/>
    <n v="30"/>
    <s v="male"/>
    <x v="43"/>
    <n v="91"/>
    <s v="Yes"/>
    <n v="0"/>
    <x v="0"/>
    <s v="northwest"/>
    <n v="1705.62"/>
    <x v="0"/>
    <n v="0"/>
    <n v="0"/>
    <n v="0"/>
    <n v="1"/>
    <n v="0.35218364411163128"/>
    <n v="0"/>
    <n v="1"/>
    <n v="0"/>
    <n v="6224.380000000001"/>
    <n v="-4518.7600000000011"/>
  </r>
  <r>
    <n v="54"/>
    <n v="34"/>
    <s v="male"/>
    <x v="44"/>
    <n v="82"/>
    <s v="Yes"/>
    <n v="0"/>
    <x v="0"/>
    <s v="northwest"/>
    <n v="1708"/>
    <x v="4"/>
    <n v="0"/>
    <n v="0"/>
    <n v="0"/>
    <n v="1"/>
    <n v="0.16914178108958622"/>
    <n v="0"/>
    <n v="1"/>
    <n v="0"/>
    <n v="4928.3"/>
    <n v="-3220.3"/>
  </r>
  <r>
    <n v="55"/>
    <n v="21"/>
    <s v="male"/>
    <x v="45"/>
    <n v="87"/>
    <s v="Yes"/>
    <n v="0"/>
    <x v="0"/>
    <s v="northwest"/>
    <n v="1708.93"/>
    <x v="4"/>
    <n v="0"/>
    <n v="0"/>
    <n v="0"/>
    <n v="1"/>
    <n v="0.95388723598794822"/>
    <n v="0"/>
    <n v="1"/>
    <n v="0"/>
    <n v="5794.1900000000005"/>
    <n v="-4085.26"/>
  </r>
  <r>
    <n v="56"/>
    <n v="21"/>
    <s v="male"/>
    <x v="46"/>
    <n v="80"/>
    <s v="Yes"/>
    <n v="1"/>
    <x v="0"/>
    <s v="northwest"/>
    <n v="1711.03"/>
    <x v="0"/>
    <n v="0"/>
    <n v="0"/>
    <n v="0"/>
    <n v="1"/>
    <n v="0.98976128588657486"/>
    <n v="0"/>
    <n v="1"/>
    <n v="0"/>
    <n v="5175.8999999999996"/>
    <n v="-3464.87"/>
  </r>
  <r>
    <n v="57"/>
    <n v="23"/>
    <s v="male"/>
    <x v="47"/>
    <n v="88"/>
    <s v="Yes"/>
    <n v="0"/>
    <x v="0"/>
    <s v="northwest"/>
    <n v="1712.23"/>
    <x v="4"/>
    <n v="0"/>
    <n v="0"/>
    <n v="0"/>
    <n v="1"/>
    <n v="0.87049889303227812"/>
    <n v="0"/>
    <n v="1"/>
    <n v="0"/>
    <n v="6156.42"/>
    <n v="-4444.1900000000005"/>
  </r>
  <r>
    <n v="58"/>
    <n v="32"/>
    <s v="male"/>
    <x v="48"/>
    <n v="97"/>
    <s v="No"/>
    <n v="1"/>
    <x v="0"/>
    <s v="southeast"/>
    <n v="1719.44"/>
    <x v="4"/>
    <n v="0"/>
    <n v="1"/>
    <n v="0"/>
    <n v="0"/>
    <n v="0.7601842524641792"/>
    <n v="0"/>
    <n v="0"/>
    <n v="0"/>
    <n v="7768.77"/>
    <n v="-6049.33"/>
  </r>
  <r>
    <n v="59"/>
    <n v="50"/>
    <s v="male"/>
    <x v="49"/>
    <n v="88"/>
    <s v="No"/>
    <n v="1"/>
    <x v="0"/>
    <s v="southeast"/>
    <n v="1720.35"/>
    <x v="1"/>
    <n v="0"/>
    <n v="1"/>
    <n v="0"/>
    <n v="0"/>
    <n v="2.0688348861055195E-2"/>
    <n v="0"/>
    <n v="0"/>
    <n v="0"/>
    <n v="6360.7200000000012"/>
    <n v="-4640.3700000000008"/>
  </r>
  <r>
    <n v="60"/>
    <n v="47"/>
    <s v="male"/>
    <x v="37"/>
    <n v="90"/>
    <s v="No"/>
    <n v="1"/>
    <x v="0"/>
    <s v="southeast"/>
    <n v="1725.55"/>
    <x v="1"/>
    <n v="0"/>
    <n v="1"/>
    <n v="0"/>
    <n v="0"/>
    <n v="0.75709272325402732"/>
    <n v="0"/>
    <n v="0"/>
    <n v="0"/>
    <n v="7008.6399999999994"/>
    <n v="-5283.0899999999992"/>
  </r>
  <r>
    <n v="61"/>
    <n v="49"/>
    <s v="male"/>
    <x v="50"/>
    <n v="80"/>
    <s v="Yes"/>
    <n v="1"/>
    <x v="0"/>
    <s v="southeast"/>
    <n v="1727.54"/>
    <x v="2"/>
    <n v="0"/>
    <n v="1"/>
    <n v="0"/>
    <n v="0"/>
    <n v="8.4069243062525278E-2"/>
    <n v="0"/>
    <n v="1"/>
    <n v="0"/>
    <n v="5460.8200000000006"/>
    <n v="-3733.2800000000007"/>
  </r>
  <r>
    <n v="62"/>
    <n v="32"/>
    <s v="female"/>
    <x v="51"/>
    <n v="90"/>
    <s v="No"/>
    <n v="0"/>
    <x v="0"/>
    <s v="southwest"/>
    <n v="1727.79"/>
    <x v="3"/>
    <n v="0"/>
    <n v="0"/>
    <n v="1"/>
    <n v="0"/>
    <n v="1.654842013884128E-2"/>
    <n v="0"/>
    <n v="0"/>
    <n v="1"/>
    <n v="6055.1699999999992"/>
    <n v="-4327.3799999999992"/>
  </r>
  <r>
    <n v="63"/>
    <n v="51"/>
    <s v="female"/>
    <x v="52"/>
    <n v="98"/>
    <s v="Yes"/>
    <n v="0"/>
    <x v="0"/>
    <s v="southwest"/>
    <n v="1728.9"/>
    <x v="3"/>
    <n v="0"/>
    <n v="0"/>
    <n v="1"/>
    <n v="0"/>
    <n v="0.68343118393017421"/>
    <n v="0"/>
    <n v="1"/>
    <n v="1"/>
    <n v="7306.91"/>
    <n v="-5578.01"/>
  </r>
  <r>
    <n v="64"/>
    <n v="60"/>
    <s v="female"/>
    <x v="53"/>
    <n v="90"/>
    <s v="No"/>
    <n v="0"/>
    <x v="0"/>
    <s v="southwest"/>
    <n v="1731.68"/>
    <x v="0"/>
    <n v="0"/>
    <n v="0"/>
    <n v="1"/>
    <n v="0"/>
    <n v="0.76440070635353397"/>
    <n v="0"/>
    <n v="0"/>
    <n v="1"/>
    <n v="6258.7299999999987"/>
    <n v="-4527.0499999999984"/>
  </r>
  <r>
    <n v="65"/>
    <n v="32"/>
    <s v="female"/>
    <x v="54"/>
    <n v="89"/>
    <s v="No"/>
    <n v="0"/>
    <x v="0"/>
    <s v="southwest"/>
    <n v="1737.38"/>
    <x v="0"/>
    <n v="0"/>
    <n v="0"/>
    <n v="1"/>
    <n v="0"/>
    <n v="0.66863222934086497"/>
    <n v="0"/>
    <n v="0"/>
    <n v="1"/>
    <n v="6485.53"/>
    <n v="-4748.1499999999996"/>
  </r>
  <r>
    <n v="66"/>
    <n v="51"/>
    <s v="female"/>
    <x v="55"/>
    <n v="87"/>
    <s v="Yes"/>
    <n v="0"/>
    <x v="0"/>
    <s v="southwest"/>
    <n v="1743.21"/>
    <x v="4"/>
    <n v="0"/>
    <n v="0"/>
    <n v="1"/>
    <n v="0"/>
    <n v="0.71575429574564209"/>
    <n v="0"/>
    <n v="1"/>
    <n v="1"/>
    <n v="6432.07"/>
    <n v="-4688.8599999999997"/>
  </r>
  <r>
    <n v="67"/>
    <n v="27"/>
    <s v="female"/>
    <x v="56"/>
    <n v="100"/>
    <s v="No"/>
    <n v="0"/>
    <x v="0"/>
    <s v="southwest"/>
    <n v="1744.47"/>
    <x v="4"/>
    <n v="0"/>
    <n v="0"/>
    <n v="1"/>
    <n v="0"/>
    <n v="0.56640844949201097"/>
    <n v="0"/>
    <n v="0"/>
    <n v="1"/>
    <n v="8683.4699999999993"/>
    <n v="-6938.9999999999991"/>
  </r>
  <r>
    <n v="68"/>
    <n v="39"/>
    <s v="female"/>
    <x v="57"/>
    <n v="99"/>
    <s v="Yes"/>
    <n v="0"/>
    <x v="0"/>
    <s v="southwest"/>
    <n v="1748.77"/>
    <x v="1"/>
    <n v="0"/>
    <n v="0"/>
    <n v="1"/>
    <n v="0"/>
    <n v="0.95345993875171797"/>
    <n v="0"/>
    <n v="1"/>
    <n v="1"/>
    <n v="8704.51"/>
    <n v="-6955.74"/>
  </r>
  <r>
    <n v="69"/>
    <n v="26"/>
    <s v="female"/>
    <x v="58"/>
    <n v="87"/>
    <s v="Yes"/>
    <n v="0"/>
    <x v="0"/>
    <s v="southwest"/>
    <n v="1759.34"/>
    <x v="2"/>
    <n v="0"/>
    <n v="0"/>
    <n v="1"/>
    <n v="0"/>
    <n v="7.1325755410341585E-2"/>
    <n v="0"/>
    <n v="1"/>
    <n v="1"/>
    <n v="7455.869999999999"/>
    <n v="-5696.5299999999988"/>
  </r>
  <r>
    <n v="70"/>
    <n v="32"/>
    <s v="male"/>
    <x v="59"/>
    <n v="80"/>
    <s v="Yes"/>
    <n v="0"/>
    <x v="0"/>
    <s v="northwest"/>
    <n v="1769.53"/>
    <x v="4"/>
    <n v="0"/>
    <n v="0"/>
    <n v="0"/>
    <n v="1"/>
    <n v="0.19739927990635664"/>
    <n v="0"/>
    <n v="1"/>
    <n v="0"/>
    <n v="4970.7800000000007"/>
    <n v="-3201.2500000000009"/>
  </r>
  <r>
    <n v="71"/>
    <n v="28"/>
    <s v="male"/>
    <x v="60"/>
    <n v="88"/>
    <s v="Yes"/>
    <n v="0"/>
    <x v="0"/>
    <s v="southeast"/>
    <n v="1815.88"/>
    <x v="4"/>
    <n v="0"/>
    <n v="1"/>
    <n v="0"/>
    <n v="0"/>
    <n v="0.57655820899534138"/>
    <n v="0"/>
    <n v="1"/>
    <n v="0"/>
    <n v="5282.329999999999"/>
    <n v="-3466.4499999999989"/>
  </r>
  <r>
    <n v="72"/>
    <n v="48"/>
    <s v="male"/>
    <x v="61"/>
    <n v="80"/>
    <s v="Yes"/>
    <n v="0"/>
    <x v="0"/>
    <s v="southeast"/>
    <n v="1824.29"/>
    <x v="1"/>
    <n v="0"/>
    <n v="1"/>
    <n v="0"/>
    <n v="0"/>
    <n v="0.16195034780697337"/>
    <n v="0"/>
    <n v="1"/>
    <n v="0"/>
    <n v="4501.5600000000022"/>
    <n v="-2677.2700000000023"/>
  </r>
  <r>
    <n v="73"/>
    <n v="22"/>
    <s v="male"/>
    <x v="5"/>
    <n v="98"/>
    <s v="Yes"/>
    <n v="0"/>
    <x v="0"/>
    <s v="southwest"/>
    <n v="1826.84"/>
    <x v="1"/>
    <n v="0"/>
    <n v="0"/>
    <n v="1"/>
    <n v="0"/>
    <n v="2.7306245383220018E-2"/>
    <n v="0"/>
    <n v="1"/>
    <n v="0"/>
    <n v="8249.98"/>
    <n v="-6423.1399999999994"/>
  </r>
  <r>
    <n v="74"/>
    <n v="20"/>
    <s v="male"/>
    <x v="62"/>
    <n v="98"/>
    <s v="No"/>
    <n v="1"/>
    <x v="0"/>
    <s v="southwest"/>
    <n v="1832.09"/>
    <x v="0"/>
    <n v="0"/>
    <n v="0"/>
    <n v="1"/>
    <n v="0"/>
    <n v="0.72423517206769361"/>
    <n v="0"/>
    <n v="0"/>
    <n v="0"/>
    <n v="7905.5899999999983"/>
    <n v="-6073.4999999999982"/>
  </r>
  <r>
    <n v="75"/>
    <n v="50"/>
    <s v="male"/>
    <x v="63"/>
    <n v="90"/>
    <s v="No"/>
    <n v="1"/>
    <x v="0"/>
    <s v="southwest"/>
    <n v="1837.24"/>
    <x v="0"/>
    <n v="0"/>
    <n v="0"/>
    <n v="1"/>
    <n v="0"/>
    <n v="0.45147284683746014"/>
    <n v="0"/>
    <n v="0"/>
    <n v="0"/>
    <n v="6906.82"/>
    <n v="-5069.58"/>
  </r>
  <r>
    <n v="76"/>
    <n v="30"/>
    <s v="male"/>
    <x v="64"/>
    <n v="95"/>
    <s v="Yes"/>
    <n v="0"/>
    <x v="0"/>
    <s v="southeast"/>
    <n v="1837.28"/>
    <x v="2"/>
    <n v="0"/>
    <n v="1"/>
    <n v="0"/>
    <n v="0"/>
    <n v="0.58345948615882948"/>
    <n v="0"/>
    <n v="1"/>
    <n v="0"/>
    <n v="7713.6000000000013"/>
    <n v="-5876.3200000000015"/>
  </r>
  <r>
    <n v="77"/>
    <n v="38"/>
    <s v="male"/>
    <x v="65"/>
    <n v="87"/>
    <s v="No"/>
    <n v="1"/>
    <x v="0"/>
    <s v="southwest"/>
    <n v="1842.52"/>
    <x v="4"/>
    <n v="0"/>
    <n v="0"/>
    <n v="1"/>
    <n v="0"/>
    <n v="2.7157038348454288E-2"/>
    <n v="0"/>
    <n v="0"/>
    <n v="0"/>
    <n v="6768.3099999999977"/>
    <n v="-4925.7899999999972"/>
  </r>
  <r>
    <n v="78"/>
    <n v="50"/>
    <s v="female"/>
    <x v="66"/>
    <n v="95"/>
    <s v="No"/>
    <n v="0"/>
    <x v="0"/>
    <s v="southwest"/>
    <n v="1875.34"/>
    <x v="4"/>
    <n v="0"/>
    <n v="0"/>
    <n v="1"/>
    <n v="0"/>
    <n v="0.78887395046599873"/>
    <n v="0"/>
    <n v="0"/>
    <n v="1"/>
    <n v="7838.9800000000005"/>
    <n v="-5963.64"/>
  </r>
  <r>
    <n v="79"/>
    <n v="42"/>
    <s v="female"/>
    <x v="67"/>
    <n v="100"/>
    <s v="No"/>
    <n v="0"/>
    <x v="0"/>
    <s v="southeast"/>
    <n v="1877.93"/>
    <x v="1"/>
    <n v="0"/>
    <n v="1"/>
    <n v="0"/>
    <n v="0"/>
    <n v="0.97213176703597182"/>
    <n v="0"/>
    <n v="0"/>
    <n v="1"/>
    <n v="8120.9999999999991"/>
    <n v="-6243.0699999999988"/>
  </r>
  <r>
    <n v="80"/>
    <n v="53"/>
    <s v="female"/>
    <x v="68"/>
    <n v="83"/>
    <s v="Yes"/>
    <n v="0"/>
    <x v="0"/>
    <s v="southeast"/>
    <n v="1880.07"/>
    <x v="1"/>
    <n v="0"/>
    <n v="1"/>
    <n v="0"/>
    <n v="0"/>
    <n v="0.91466283177211649"/>
    <n v="0"/>
    <n v="1"/>
    <n v="1"/>
    <n v="5453.0800000000017"/>
    <n v="-3573.010000000002"/>
  </r>
  <r>
    <n v="81"/>
    <n v="26"/>
    <s v="female"/>
    <x v="2"/>
    <n v="83"/>
    <s v="Yes"/>
    <n v="0"/>
    <x v="0"/>
    <s v="southwest"/>
    <n v="1880.49"/>
    <x v="1"/>
    <n v="0"/>
    <n v="0"/>
    <n v="1"/>
    <n v="0"/>
    <n v="0.1481442643971318"/>
    <n v="0"/>
    <n v="1"/>
    <n v="1"/>
    <n v="6201.91"/>
    <n v="-4321.42"/>
  </r>
  <r>
    <n v="82"/>
    <n v="43"/>
    <s v="male"/>
    <x v="69"/>
    <n v="91"/>
    <s v="Yes"/>
    <n v="0"/>
    <x v="0"/>
    <s v="northwest"/>
    <n v="1906.36"/>
    <x v="4"/>
    <n v="0"/>
    <n v="0"/>
    <n v="0"/>
    <n v="1"/>
    <n v="0.51661508862899408"/>
    <n v="0"/>
    <n v="1"/>
    <n v="0"/>
    <n v="6652.34"/>
    <n v="-4745.9800000000005"/>
  </r>
  <r>
    <n v="83"/>
    <n v="42"/>
    <s v="male"/>
    <x v="70"/>
    <n v="98"/>
    <s v="No"/>
    <n v="0"/>
    <x v="0"/>
    <s v="northwest"/>
    <n v="1909.53"/>
    <x v="1"/>
    <n v="0"/>
    <n v="0"/>
    <n v="0"/>
    <n v="1"/>
    <n v="0.28984155963512848"/>
    <n v="0"/>
    <n v="0"/>
    <n v="0"/>
    <n v="8036.46"/>
    <n v="-6126.93"/>
  </r>
  <r>
    <n v="84"/>
    <n v="43"/>
    <s v="male"/>
    <x v="19"/>
    <n v="91"/>
    <s v="Yes"/>
    <n v="0"/>
    <x v="0"/>
    <s v="northwest"/>
    <n v="1917.32"/>
    <x v="2"/>
    <n v="0"/>
    <n v="0"/>
    <n v="0"/>
    <n v="1"/>
    <n v="0.16756476508925622"/>
    <n v="0"/>
    <n v="1"/>
    <n v="0"/>
    <n v="7327.7899999999991"/>
    <n v="-5410.4699999999993"/>
  </r>
  <r>
    <n v="85"/>
    <n v="36"/>
    <s v="male"/>
    <x v="71"/>
    <n v="88"/>
    <s v="Yes"/>
    <n v="1"/>
    <x v="0"/>
    <s v="southwest"/>
    <n v="1964.78"/>
    <x v="0"/>
    <n v="0"/>
    <n v="0"/>
    <n v="1"/>
    <n v="0"/>
    <n v="0.24090551391846826"/>
    <n v="0"/>
    <n v="1"/>
    <n v="0"/>
    <n v="6314.199999999998"/>
    <n v="-4349.4199999999983"/>
  </r>
  <r>
    <n v="86"/>
    <n v="19"/>
    <s v="male"/>
    <x v="72"/>
    <n v="94"/>
    <s v="Yes"/>
    <n v="0"/>
    <x v="0"/>
    <s v="northeast"/>
    <n v="1967.02"/>
    <x v="4"/>
    <n v="0"/>
    <n v="0"/>
    <n v="0"/>
    <n v="0"/>
    <n v="0.93798974248629241"/>
    <n v="0"/>
    <n v="1"/>
    <n v="0"/>
    <n v="10015.820000000002"/>
    <n v="-8048.8000000000011"/>
  </r>
  <r>
    <n v="87"/>
    <n v="19"/>
    <s v="male"/>
    <x v="73"/>
    <n v="97"/>
    <s v="No"/>
    <n v="0"/>
    <x v="0"/>
    <s v="northwest"/>
    <n v="1969.61"/>
    <x v="0"/>
    <n v="0"/>
    <n v="0"/>
    <n v="0"/>
    <n v="1"/>
    <n v="0.22687774604939825"/>
    <n v="0"/>
    <n v="0"/>
    <n v="0"/>
    <n v="7230.86"/>
    <n v="-5261.25"/>
  </r>
  <r>
    <n v="88"/>
    <n v="37"/>
    <s v="male"/>
    <x v="74"/>
    <n v="86"/>
    <s v="No"/>
    <n v="0"/>
    <x v="0"/>
    <s v="northwest"/>
    <n v="1972.95"/>
    <x v="4"/>
    <n v="0"/>
    <n v="0"/>
    <n v="0"/>
    <n v="1"/>
    <n v="0.22037194588172959"/>
    <n v="0"/>
    <n v="0"/>
    <n v="0"/>
    <n v="5657.53"/>
    <n v="-3684.58"/>
  </r>
  <r>
    <n v="89"/>
    <n v="40"/>
    <s v="male"/>
    <x v="75"/>
    <n v="97"/>
    <s v="Yes"/>
    <n v="0"/>
    <x v="0"/>
    <s v="northwest"/>
    <n v="1977.82"/>
    <x v="4"/>
    <n v="0"/>
    <n v="0"/>
    <n v="0"/>
    <n v="1"/>
    <n v="0.63586743647157329"/>
    <n v="0"/>
    <n v="1"/>
    <n v="0"/>
    <n v="7639.369999999999"/>
    <n v="-5661.5499999999993"/>
  </r>
  <r>
    <n v="90"/>
    <n v="23"/>
    <s v="male"/>
    <x v="68"/>
    <n v="80"/>
    <s v="Yes"/>
    <n v="1"/>
    <x v="0"/>
    <s v="northwest"/>
    <n v="1980.07"/>
    <x v="1"/>
    <n v="0"/>
    <n v="0"/>
    <n v="0"/>
    <n v="1"/>
    <n v="0.58110696976970144"/>
    <n v="0"/>
    <n v="1"/>
    <n v="0"/>
    <n v="6002.6900000000005"/>
    <n v="-4022.6200000000008"/>
  </r>
  <r>
    <n v="91"/>
    <n v="19"/>
    <s v="male"/>
    <x v="76"/>
    <n v="100"/>
    <s v="Yes"/>
    <n v="0"/>
    <x v="0"/>
    <s v="southeast"/>
    <n v="1981.58"/>
    <x v="1"/>
    <n v="0"/>
    <n v="1"/>
    <n v="0"/>
    <n v="0"/>
    <n v="1.220371666127007E-2"/>
    <n v="0"/>
    <n v="1"/>
    <n v="0"/>
    <n v="7679.1800000000012"/>
    <n v="-5697.6000000000013"/>
  </r>
  <r>
    <n v="92"/>
    <n v="20"/>
    <s v="male"/>
    <x v="58"/>
    <n v="95"/>
    <s v="No"/>
    <n v="0"/>
    <x v="0"/>
    <s v="southeast"/>
    <n v="1984.45"/>
    <x v="2"/>
    <n v="0"/>
    <n v="1"/>
    <n v="0"/>
    <n v="0"/>
    <n v="0.88901849357992169"/>
    <n v="0"/>
    <n v="0"/>
    <n v="0"/>
    <n v="7675.760000000002"/>
    <n v="-5691.3100000000022"/>
  </r>
  <r>
    <n v="93"/>
    <n v="41"/>
    <s v="male"/>
    <x v="77"/>
    <n v="97"/>
    <s v="No"/>
    <n v="0"/>
    <x v="0"/>
    <s v="southeast"/>
    <n v="1986.93"/>
    <x v="2"/>
    <n v="0"/>
    <n v="1"/>
    <n v="0"/>
    <n v="0"/>
    <n v="0.27509808147604642"/>
    <n v="0"/>
    <n v="0"/>
    <n v="0"/>
    <n v="7574.76"/>
    <n v="-5587.83"/>
  </r>
  <r>
    <n v="94"/>
    <n v="26"/>
    <s v="female"/>
    <x v="74"/>
    <n v="100"/>
    <s v="Yes"/>
    <n v="0"/>
    <x v="0"/>
    <s v="southwest"/>
    <n v="2007.95"/>
    <x v="4"/>
    <n v="0"/>
    <n v="0"/>
    <n v="1"/>
    <n v="0"/>
    <n v="0.49645862124874796"/>
    <n v="0"/>
    <n v="1"/>
    <n v="1"/>
    <n v="8273.6899999999987"/>
    <n v="-6265.7399999999989"/>
  </r>
  <r>
    <n v="95"/>
    <n v="48"/>
    <s v="female"/>
    <x v="78"/>
    <n v="99"/>
    <s v="No"/>
    <n v="0"/>
    <x v="0"/>
    <s v="southwest"/>
    <n v="2020.18"/>
    <x v="1"/>
    <n v="0"/>
    <n v="0"/>
    <n v="1"/>
    <n v="0"/>
    <n v="0.83552574232505161"/>
    <n v="0"/>
    <n v="0"/>
    <n v="1"/>
    <n v="8907.4000000000015"/>
    <n v="-6887.2200000000012"/>
  </r>
  <r>
    <n v="96"/>
    <n v="54"/>
    <s v="female"/>
    <x v="79"/>
    <n v="90"/>
    <s v="No"/>
    <n v="0"/>
    <x v="0"/>
    <s v="southeast"/>
    <n v="2020.55"/>
    <x v="1"/>
    <n v="0"/>
    <n v="1"/>
    <n v="0"/>
    <n v="0"/>
    <n v="0.31618421958672371"/>
    <n v="0"/>
    <n v="0"/>
    <n v="1"/>
    <n v="6800.4400000000014"/>
    <n v="-4779.8900000000012"/>
  </r>
  <r>
    <n v="97"/>
    <n v="44"/>
    <s v="female"/>
    <x v="38"/>
    <n v="93"/>
    <s v="Yes"/>
    <n v="0"/>
    <x v="0"/>
    <s v="southeast"/>
    <n v="2026.97"/>
    <x v="2"/>
    <n v="0"/>
    <n v="1"/>
    <n v="0"/>
    <n v="0"/>
    <n v="0.33562609812554933"/>
    <n v="0"/>
    <n v="1"/>
    <n v="1"/>
    <n v="7616.25"/>
    <n v="-5589.28"/>
  </r>
  <r>
    <n v="98"/>
    <n v="44"/>
    <s v="male"/>
    <x v="29"/>
    <n v="91"/>
    <s v="No"/>
    <n v="0"/>
    <x v="0"/>
    <s v="northwest"/>
    <n v="2045.69"/>
    <x v="4"/>
    <n v="0"/>
    <n v="0"/>
    <n v="0"/>
    <n v="1"/>
    <n v="0.16076843073001834"/>
    <n v="0"/>
    <n v="0"/>
    <n v="0"/>
    <n v="6395.22"/>
    <n v="-4349.5300000000007"/>
  </r>
  <r>
    <n v="99"/>
    <n v="47"/>
    <s v="male"/>
    <x v="80"/>
    <n v="81"/>
    <s v="No"/>
    <n v="0"/>
    <x v="0"/>
    <s v="northwest"/>
    <n v="2055.3200000000002"/>
    <x v="1"/>
    <n v="0"/>
    <n v="0"/>
    <n v="0"/>
    <n v="1"/>
    <n v="0.90260165208010767"/>
    <n v="0"/>
    <n v="0"/>
    <n v="0"/>
    <n v="5385.4300000000012"/>
    <n v="-3330.110000000001"/>
  </r>
  <r>
    <n v="100"/>
    <n v="50"/>
    <s v="male"/>
    <x v="81"/>
    <n v="82"/>
    <s v="No"/>
    <n v="0"/>
    <x v="0"/>
    <s v="northeast"/>
    <n v="2102.2600000000002"/>
    <x v="4"/>
    <n v="0"/>
    <n v="0"/>
    <n v="0"/>
    <n v="0"/>
    <n v="0.87395549795440863"/>
    <n v="0"/>
    <n v="0"/>
    <n v="0"/>
    <n v="7967.670000000001"/>
    <n v="-5865.4100000000008"/>
  </r>
  <r>
    <n v="101"/>
    <n v="30"/>
    <s v="male"/>
    <x v="82"/>
    <n v="83"/>
    <s v="Yes"/>
    <n v="1"/>
    <x v="0"/>
    <s v="southwest"/>
    <n v="2103.08"/>
    <x v="0"/>
    <n v="0"/>
    <n v="0"/>
    <n v="1"/>
    <n v="0"/>
    <n v="0.56262564004701199"/>
    <n v="0"/>
    <n v="1"/>
    <n v="0"/>
    <n v="5549.5800000000008"/>
    <n v="-3446.5000000000009"/>
  </r>
  <r>
    <n v="102"/>
    <n v="33"/>
    <s v="male"/>
    <x v="83"/>
    <n v="100"/>
    <s v="No"/>
    <n v="0"/>
    <x v="0"/>
    <s v="northeast"/>
    <n v="2104.11"/>
    <x v="4"/>
    <n v="0"/>
    <n v="0"/>
    <n v="0"/>
    <n v="0"/>
    <n v="0.94230576539601696"/>
    <n v="0"/>
    <n v="0"/>
    <n v="0"/>
    <n v="10981.75"/>
    <n v="-8877.64"/>
  </r>
  <r>
    <n v="103"/>
    <n v="59"/>
    <s v="female"/>
    <x v="84"/>
    <n v="87"/>
    <s v="No"/>
    <n v="0"/>
    <x v="0"/>
    <s v="northwest"/>
    <n v="2117.34"/>
    <x v="0"/>
    <n v="0"/>
    <n v="0"/>
    <n v="0"/>
    <n v="1"/>
    <n v="0.29315891196537713"/>
    <n v="0"/>
    <n v="0"/>
    <n v="1"/>
    <n v="5951.7599999999984"/>
    <n v="-3834.4199999999983"/>
  </r>
  <r>
    <n v="104"/>
    <n v="42"/>
    <s v="female"/>
    <x v="85"/>
    <n v="99"/>
    <s v="No"/>
    <n v="0"/>
    <x v="0"/>
    <s v="northwest"/>
    <n v="2128.4299999999998"/>
    <x v="1"/>
    <n v="0"/>
    <n v="0"/>
    <n v="0"/>
    <n v="1"/>
    <n v="3.0104459633108482E-2"/>
    <n v="0"/>
    <n v="0"/>
    <n v="1"/>
    <n v="8572.5999999999985"/>
    <n v="-6444.1699999999983"/>
  </r>
  <r>
    <n v="105"/>
    <n v="52"/>
    <s v="female"/>
    <x v="80"/>
    <n v="94"/>
    <s v="Yes"/>
    <n v="0"/>
    <x v="0"/>
    <s v="northwest"/>
    <n v="2130.6799999999998"/>
    <x v="1"/>
    <n v="0"/>
    <n v="0"/>
    <n v="0"/>
    <n v="1"/>
    <n v="0.88533300128905257"/>
    <n v="0"/>
    <n v="1"/>
    <n v="1"/>
    <n v="7829.5900000000011"/>
    <n v="-5698.9100000000017"/>
  </r>
  <r>
    <n v="106"/>
    <n v="43"/>
    <s v="female"/>
    <x v="50"/>
    <n v="80"/>
    <s v="No"/>
    <n v="0"/>
    <x v="0"/>
    <s v="northwest"/>
    <n v="2134.9"/>
    <x v="2"/>
    <n v="0"/>
    <n v="0"/>
    <n v="0"/>
    <n v="1"/>
    <n v="0.35730084165644904"/>
    <n v="0"/>
    <n v="0"/>
    <n v="1"/>
    <n v="5940.9600000000009"/>
    <n v="-3806.0600000000009"/>
  </r>
  <r>
    <n v="107"/>
    <n v="42"/>
    <s v="female"/>
    <x v="86"/>
    <n v="90"/>
    <s v="No"/>
    <n v="0"/>
    <x v="0"/>
    <s v="northwest"/>
    <n v="2136.88"/>
    <x v="2"/>
    <n v="0"/>
    <n v="0"/>
    <n v="0"/>
    <n v="1"/>
    <n v="0.15860751864286726"/>
    <n v="0"/>
    <n v="0"/>
    <n v="1"/>
    <n v="7657.84"/>
    <n v="-5520.96"/>
  </r>
  <r>
    <n v="108"/>
    <n v="33"/>
    <s v="male"/>
    <x v="87"/>
    <n v="100"/>
    <s v="Yes"/>
    <n v="0"/>
    <x v="0"/>
    <s v="southeast"/>
    <n v="2137.65"/>
    <x v="4"/>
    <n v="0"/>
    <n v="1"/>
    <n v="0"/>
    <n v="0"/>
    <n v="0.99599502784293215"/>
    <n v="0"/>
    <n v="1"/>
    <n v="0"/>
    <n v="7122.61"/>
    <n v="-4984.9599999999991"/>
  </r>
  <r>
    <n v="109"/>
    <n v="26"/>
    <s v="female"/>
    <x v="88"/>
    <n v="83"/>
    <s v="Yes"/>
    <n v="0"/>
    <x v="0"/>
    <s v="northwest"/>
    <n v="2138.0700000000002"/>
    <x v="2"/>
    <n v="0"/>
    <n v="0"/>
    <n v="0"/>
    <n v="1"/>
    <n v="0.72633569603728632"/>
    <n v="0"/>
    <n v="1"/>
    <n v="1"/>
    <n v="6560.53"/>
    <n v="-4422.4599999999991"/>
  </r>
  <r>
    <n v="110"/>
    <n v="41"/>
    <s v="female"/>
    <x v="89"/>
    <n v="91"/>
    <s v="Yes"/>
    <n v="0"/>
    <x v="0"/>
    <s v="southwest"/>
    <n v="2150.4699999999998"/>
    <x v="0"/>
    <n v="0"/>
    <n v="0"/>
    <n v="1"/>
    <n v="0"/>
    <n v="0.79948990240476037"/>
    <n v="0"/>
    <n v="1"/>
    <n v="1"/>
    <n v="6689.93"/>
    <n v="-4539.4600000000009"/>
  </r>
  <r>
    <n v="111"/>
    <n v="27"/>
    <s v="female"/>
    <x v="90"/>
    <n v="88"/>
    <s v="Yes"/>
    <n v="0"/>
    <x v="0"/>
    <s v="southwest"/>
    <n v="2154.36"/>
    <x v="4"/>
    <n v="0"/>
    <n v="0"/>
    <n v="1"/>
    <n v="0"/>
    <n v="0.5104429919056005"/>
    <n v="0"/>
    <n v="1"/>
    <n v="1"/>
    <n v="6468.48"/>
    <n v="-4314.119999999999"/>
  </r>
  <r>
    <n v="112"/>
    <n v="37"/>
    <s v="female"/>
    <x v="91"/>
    <n v="80"/>
    <s v="No"/>
    <n v="0"/>
    <x v="0"/>
    <s v="southeast"/>
    <n v="2155.6799999999998"/>
    <x v="4"/>
    <n v="0"/>
    <n v="1"/>
    <n v="0"/>
    <n v="0"/>
    <n v="0.63300919219666996"/>
    <n v="0"/>
    <n v="0"/>
    <n v="1"/>
    <n v="4644.9000000000005"/>
    <n v="-2489.2200000000007"/>
  </r>
  <r>
    <n v="113"/>
    <n v="43"/>
    <s v="female"/>
    <x v="92"/>
    <n v="88"/>
    <s v="Yes"/>
    <n v="0"/>
    <x v="0"/>
    <s v="southeast"/>
    <n v="2156.75"/>
    <x v="4"/>
    <n v="0"/>
    <n v="1"/>
    <n v="0"/>
    <n v="0"/>
    <n v="0.35738756319234055"/>
    <n v="0"/>
    <n v="1"/>
    <n v="1"/>
    <n v="5904.73"/>
    <n v="-3747.9799999999996"/>
  </r>
  <r>
    <n v="114"/>
    <n v="30"/>
    <s v="female"/>
    <x v="93"/>
    <n v="80"/>
    <s v="No"/>
    <n v="0"/>
    <x v="0"/>
    <s v="southwest"/>
    <n v="2166.73"/>
    <x v="2"/>
    <n v="0"/>
    <n v="0"/>
    <n v="1"/>
    <n v="0"/>
    <n v="0.91135675360114654"/>
    <n v="0"/>
    <n v="0"/>
    <n v="1"/>
    <n v="6017.9299999999994"/>
    <n v="-3851.1999999999994"/>
  </r>
  <r>
    <n v="115"/>
    <n v="47"/>
    <s v="female"/>
    <x v="94"/>
    <n v="80"/>
    <s v="No"/>
    <n v="0"/>
    <x v="0"/>
    <s v="southeast"/>
    <n v="2196.4699999999998"/>
    <x v="4"/>
    <n v="0"/>
    <n v="1"/>
    <n v="0"/>
    <n v="0"/>
    <n v="0.73187014903617398"/>
    <n v="0"/>
    <n v="0"/>
    <n v="1"/>
    <n v="4375.6000000000013"/>
    <n v="-2179.1300000000015"/>
  </r>
  <r>
    <n v="116"/>
    <n v="26"/>
    <s v="female"/>
    <x v="95"/>
    <n v="87"/>
    <s v="Yes"/>
    <n v="0"/>
    <x v="0"/>
    <s v="southeast"/>
    <n v="2198.19"/>
    <x v="4"/>
    <n v="0"/>
    <n v="1"/>
    <n v="0"/>
    <n v="0"/>
    <n v="3.7131384639720322E-2"/>
    <n v="0"/>
    <n v="1"/>
    <n v="1"/>
    <n v="5553.15"/>
    <n v="-3354.9599999999996"/>
  </r>
  <r>
    <n v="117"/>
    <n v="49"/>
    <s v="female"/>
    <x v="96"/>
    <n v="98"/>
    <s v="Yes"/>
    <n v="0"/>
    <x v="0"/>
    <s v="southeast"/>
    <n v="2200.83"/>
    <x v="4"/>
    <n v="0"/>
    <n v="1"/>
    <n v="0"/>
    <n v="0"/>
    <n v="6.0439127165402562E-2"/>
    <n v="0"/>
    <n v="1"/>
    <n v="1"/>
    <n v="7441.65"/>
    <n v="-5240.82"/>
  </r>
  <r>
    <n v="118"/>
    <n v="59"/>
    <s v="female"/>
    <x v="97"/>
    <n v="82"/>
    <s v="No"/>
    <n v="1"/>
    <x v="0"/>
    <s v="southeast"/>
    <n v="2201.1"/>
    <x v="0"/>
    <n v="0"/>
    <n v="1"/>
    <n v="0"/>
    <n v="0"/>
    <n v="0.63207090318068115"/>
    <n v="0"/>
    <n v="0"/>
    <n v="1"/>
    <n v="5332.1600000000008"/>
    <n v="-3131.0600000000009"/>
  </r>
  <r>
    <n v="119"/>
    <n v="58"/>
    <s v="female"/>
    <x v="1"/>
    <n v="81"/>
    <s v="Yes"/>
    <n v="0"/>
    <x v="0"/>
    <s v="southeast"/>
    <n v="2203.4699999999998"/>
    <x v="1"/>
    <n v="0"/>
    <n v="1"/>
    <n v="0"/>
    <n v="0"/>
    <n v="3.2268799692133254E-2"/>
    <n v="0"/>
    <n v="1"/>
    <n v="1"/>
    <n v="4879.5500000000011"/>
    <n v="-2676.0800000000013"/>
  </r>
  <r>
    <n v="120"/>
    <n v="32"/>
    <s v="female"/>
    <x v="98"/>
    <n v="94"/>
    <s v="Yes"/>
    <n v="0"/>
    <x v="0"/>
    <s v="southeast"/>
    <n v="2203.7399999999998"/>
    <x v="1"/>
    <n v="0"/>
    <n v="1"/>
    <n v="0"/>
    <n v="0"/>
    <n v="0.27570706585478666"/>
    <n v="0"/>
    <n v="1"/>
    <n v="1"/>
    <n v="7004.6"/>
    <n v="-4800.8600000000006"/>
  </r>
  <r>
    <n v="121"/>
    <n v="37"/>
    <s v="female"/>
    <x v="99"/>
    <n v="89"/>
    <s v="No"/>
    <n v="0"/>
    <x v="0"/>
    <s v="southeast"/>
    <n v="2205.98"/>
    <x v="1"/>
    <n v="0"/>
    <n v="1"/>
    <n v="0"/>
    <n v="0"/>
    <n v="0.50103290041036552"/>
    <n v="0"/>
    <n v="0"/>
    <n v="1"/>
    <n v="6406.11"/>
    <n v="-4200.1299999999992"/>
  </r>
  <r>
    <n v="122"/>
    <n v="48"/>
    <s v="female"/>
    <x v="100"/>
    <n v="97"/>
    <s v="No"/>
    <n v="0"/>
    <x v="0"/>
    <s v="southeast"/>
    <n v="2207.6999999999998"/>
    <x v="1"/>
    <n v="0"/>
    <n v="1"/>
    <n v="0"/>
    <n v="0"/>
    <n v="0.9995379318311951"/>
    <n v="0"/>
    <n v="0"/>
    <n v="1"/>
    <n v="7779.9000000000005"/>
    <n v="-5572.2000000000007"/>
  </r>
  <r>
    <n v="123"/>
    <n v="52"/>
    <s v="female"/>
    <x v="101"/>
    <n v="89"/>
    <s v="No"/>
    <n v="0"/>
    <x v="0"/>
    <s v="southeast"/>
    <n v="2211.13"/>
    <x v="2"/>
    <n v="0"/>
    <n v="1"/>
    <n v="0"/>
    <n v="0"/>
    <n v="0.11486293329593267"/>
    <n v="0"/>
    <n v="0"/>
    <n v="1"/>
    <n v="6703.2600000000011"/>
    <n v="-4492.130000000001"/>
  </r>
  <r>
    <n v="124"/>
    <n v="55"/>
    <s v="female"/>
    <x v="102"/>
    <n v="82"/>
    <s v="No"/>
    <n v="0"/>
    <x v="0"/>
    <s v="southeast"/>
    <n v="2217.4699999999998"/>
    <x v="2"/>
    <n v="0"/>
    <n v="1"/>
    <n v="0"/>
    <n v="0"/>
    <n v="0.12194725847491261"/>
    <n v="0"/>
    <n v="0"/>
    <n v="1"/>
    <n v="5975.5900000000029"/>
    <n v="-3758.1200000000031"/>
  </r>
  <r>
    <n v="125"/>
    <n v="33"/>
    <s v="female"/>
    <x v="33"/>
    <n v="94"/>
    <s v="Yes"/>
    <n v="0"/>
    <x v="0"/>
    <s v="southeast"/>
    <n v="2217.6"/>
    <x v="2"/>
    <n v="0"/>
    <n v="1"/>
    <n v="0"/>
    <n v="0"/>
    <n v="0.19309090261018946"/>
    <n v="0"/>
    <n v="1"/>
    <n v="1"/>
    <n v="7858.32"/>
    <n v="-5640.7199999999993"/>
  </r>
  <r>
    <n v="126"/>
    <n v="53"/>
    <s v="female"/>
    <x v="6"/>
    <n v="88"/>
    <s v="Yes"/>
    <n v="1"/>
    <x v="0"/>
    <s v="southeast"/>
    <n v="2219.4499999999998"/>
    <x v="2"/>
    <n v="0"/>
    <n v="1"/>
    <n v="0"/>
    <n v="0"/>
    <n v="0.34574930489144995"/>
    <n v="0"/>
    <n v="1"/>
    <n v="1"/>
    <n v="7356.9199999999983"/>
    <n v="-5137.4699999999984"/>
  </r>
  <r>
    <n v="127"/>
    <n v="26"/>
    <s v="male"/>
    <x v="30"/>
    <n v="86"/>
    <s v="No"/>
    <n v="1"/>
    <x v="0"/>
    <s v="northwest"/>
    <n v="2221.56"/>
    <x v="4"/>
    <n v="0"/>
    <n v="0"/>
    <n v="0"/>
    <n v="1"/>
    <n v="0.48450624225708205"/>
    <n v="0"/>
    <n v="0"/>
    <n v="0"/>
    <n v="6392.7500000000009"/>
    <n v="-4171.1900000000005"/>
  </r>
  <r>
    <n v="128"/>
    <n v="49"/>
    <s v="male"/>
    <x v="55"/>
    <n v="81"/>
    <s v="No"/>
    <n v="0"/>
    <x v="0"/>
    <s v="northwest"/>
    <n v="2250.84"/>
    <x v="4"/>
    <n v="0"/>
    <n v="0"/>
    <n v="0"/>
    <n v="1"/>
    <n v="0.73849601147656074"/>
    <n v="0"/>
    <n v="0"/>
    <n v="0"/>
    <n v="5109.2700000000004"/>
    <n v="-2858.4300000000003"/>
  </r>
  <r>
    <n v="129"/>
    <n v="31"/>
    <s v="male"/>
    <x v="103"/>
    <n v="90"/>
    <s v="No"/>
    <n v="0"/>
    <x v="0"/>
    <s v="northwest"/>
    <n v="2254.8000000000002"/>
    <x v="1"/>
    <n v="0"/>
    <n v="0"/>
    <n v="0"/>
    <n v="1"/>
    <n v="0.69493257283006826"/>
    <n v="0"/>
    <n v="0"/>
    <n v="0"/>
    <n v="6808.0199999999995"/>
    <n v="-4553.2199999999993"/>
  </r>
  <r>
    <n v="130"/>
    <n v="42"/>
    <s v="female"/>
    <x v="69"/>
    <n v="81"/>
    <s v="Yes"/>
    <n v="0"/>
    <x v="0"/>
    <s v="northwest"/>
    <n v="2257.48"/>
    <x v="4"/>
    <n v="0"/>
    <n v="0"/>
    <n v="0"/>
    <n v="1"/>
    <n v="0.93224884942020569"/>
    <n v="0"/>
    <n v="1"/>
    <n v="1"/>
    <n v="5502.67"/>
    <n v="-3245.19"/>
  </r>
  <r>
    <n v="131"/>
    <n v="30"/>
    <s v="female"/>
    <x v="99"/>
    <n v="89"/>
    <s v="No"/>
    <n v="0"/>
    <x v="0"/>
    <s v="northwest"/>
    <n v="2261.5700000000002"/>
    <x v="1"/>
    <n v="0"/>
    <n v="0"/>
    <n v="0"/>
    <n v="1"/>
    <n v="0.49339231818038576"/>
    <n v="0"/>
    <n v="0"/>
    <n v="1"/>
    <n v="7111.76"/>
    <n v="-4850.1900000000005"/>
  </r>
  <r>
    <n v="132"/>
    <n v="45"/>
    <s v="male"/>
    <x v="20"/>
    <n v="88"/>
    <s v="No"/>
    <n v="0"/>
    <x v="0"/>
    <s v="northwest"/>
    <n v="2302.3000000000002"/>
    <x v="0"/>
    <n v="0"/>
    <n v="0"/>
    <n v="0"/>
    <n v="1"/>
    <n v="0.94072711994661795"/>
    <n v="0"/>
    <n v="0"/>
    <n v="0"/>
    <n v="5538.97"/>
    <n v="-3236.67"/>
  </r>
  <r>
    <n v="133"/>
    <n v="49"/>
    <s v="male"/>
    <x v="104"/>
    <n v="91"/>
    <s v="No"/>
    <n v="2"/>
    <x v="0"/>
    <s v="southeast"/>
    <n v="2304"/>
    <x v="4"/>
    <n v="0"/>
    <n v="1"/>
    <n v="0"/>
    <n v="0"/>
    <n v="0.44817037384513159"/>
    <n v="0"/>
    <n v="0"/>
    <n v="0"/>
    <n v="7254.1100000000006"/>
    <n v="-4950.1100000000006"/>
  </r>
  <r>
    <n v="134"/>
    <n v="47"/>
    <s v="male"/>
    <x v="16"/>
    <n v="95"/>
    <s v="No"/>
    <n v="0"/>
    <x v="0"/>
    <s v="southeast"/>
    <n v="2322.62"/>
    <x v="2"/>
    <n v="0"/>
    <n v="1"/>
    <n v="0"/>
    <n v="0"/>
    <n v="0.84714485436639275"/>
    <n v="0"/>
    <n v="0"/>
    <n v="0"/>
    <n v="7205.1500000000015"/>
    <n v="-4882.5300000000016"/>
  </r>
  <r>
    <n v="135"/>
    <n v="47"/>
    <s v="female"/>
    <x v="65"/>
    <n v="87"/>
    <s v="Yes"/>
    <n v="1"/>
    <x v="0"/>
    <s v="southwest"/>
    <n v="2331.52"/>
    <x v="4"/>
    <n v="0"/>
    <n v="0"/>
    <n v="1"/>
    <n v="0"/>
    <n v="0.96606755134075706"/>
    <n v="0"/>
    <n v="1"/>
    <n v="1"/>
    <n v="7132.6799999999985"/>
    <n v="-4801.159999999998"/>
  </r>
  <r>
    <n v="136"/>
    <n v="29"/>
    <s v="male"/>
    <x v="105"/>
    <n v="89"/>
    <s v="Yes"/>
    <n v="0"/>
    <x v="0"/>
    <s v="northwest"/>
    <n v="2352.9699999999998"/>
    <x v="0"/>
    <n v="0"/>
    <n v="0"/>
    <n v="0"/>
    <n v="1"/>
    <n v="5.1981070840706689E-2"/>
    <n v="0"/>
    <n v="1"/>
    <n v="0"/>
    <n v="5897.93"/>
    <n v="-3544.9600000000005"/>
  </r>
  <r>
    <n v="137"/>
    <n v="40"/>
    <s v="male"/>
    <x v="106"/>
    <n v="81"/>
    <s v="No"/>
    <n v="1"/>
    <x v="0"/>
    <s v="northwest"/>
    <n v="2362.23"/>
    <x v="1"/>
    <n v="0"/>
    <n v="0"/>
    <n v="0"/>
    <n v="1"/>
    <n v="8.2945096426828235E-2"/>
    <n v="0"/>
    <n v="0"/>
    <n v="0"/>
    <n v="6158.28"/>
    <n v="-3796.0499999999997"/>
  </r>
  <r>
    <n v="138"/>
    <n v="21"/>
    <s v="male"/>
    <x v="43"/>
    <n v="95"/>
    <s v="Yes"/>
    <n v="0"/>
    <x v="0"/>
    <s v="southeast"/>
    <n v="2395.17"/>
    <x v="0"/>
    <n v="0"/>
    <n v="1"/>
    <n v="0"/>
    <n v="0"/>
    <n v="0.80855538455537834"/>
    <n v="0"/>
    <n v="1"/>
    <n v="0"/>
    <n v="6177.5700000000006"/>
    <n v="-3782.4000000000005"/>
  </r>
  <r>
    <n v="139"/>
    <n v="32"/>
    <s v="male"/>
    <x v="107"/>
    <n v="90"/>
    <s v="Yes"/>
    <n v="0"/>
    <x v="0"/>
    <s v="southeast"/>
    <n v="2396.1"/>
    <x v="0"/>
    <n v="0"/>
    <n v="1"/>
    <n v="0"/>
    <n v="0"/>
    <n v="0.4725575772325511"/>
    <n v="0"/>
    <n v="1"/>
    <n v="0"/>
    <n v="5425.39"/>
    <n v="-3029.2900000000004"/>
  </r>
  <r>
    <n v="140"/>
    <n v="26"/>
    <s v="female"/>
    <x v="108"/>
    <n v="90"/>
    <s v="Yes"/>
    <n v="0"/>
    <x v="0"/>
    <s v="northwest"/>
    <n v="2404.73"/>
    <x v="2"/>
    <n v="0"/>
    <n v="0"/>
    <n v="0"/>
    <n v="1"/>
    <n v="0.54997162500488228"/>
    <n v="0"/>
    <n v="1"/>
    <n v="1"/>
    <n v="7532.31"/>
    <n v="-5127.58"/>
  </r>
  <r>
    <n v="141"/>
    <n v="47"/>
    <s v="male"/>
    <x v="50"/>
    <n v="80"/>
    <s v="No"/>
    <n v="1"/>
    <x v="0"/>
    <s v="southwest"/>
    <n v="2416.96"/>
    <x v="2"/>
    <n v="0"/>
    <n v="0"/>
    <n v="1"/>
    <n v="0"/>
    <n v="0.8060976057337218"/>
    <n v="0"/>
    <n v="0"/>
    <n v="0"/>
    <n v="6221.0600000000013"/>
    <n v="-3804.1000000000013"/>
  </r>
  <r>
    <n v="142"/>
    <n v="46"/>
    <s v="male"/>
    <x v="109"/>
    <n v="89"/>
    <s v="Yes"/>
    <n v="1"/>
    <x v="0"/>
    <s v="southeast"/>
    <n v="2438.06"/>
    <x v="2"/>
    <n v="0"/>
    <n v="1"/>
    <n v="0"/>
    <n v="0"/>
    <n v="7.6238901257465908E-2"/>
    <n v="0"/>
    <n v="1"/>
    <n v="0"/>
    <n v="8200.5700000000015"/>
    <n v="-5762.510000000002"/>
  </r>
  <r>
    <n v="143"/>
    <n v="44"/>
    <s v="female"/>
    <x v="92"/>
    <n v="94"/>
    <s v="Yes"/>
    <n v="0"/>
    <x v="0"/>
    <s v="southeast"/>
    <n v="2457.21"/>
    <x v="4"/>
    <n v="0"/>
    <n v="1"/>
    <n v="0"/>
    <n v="0"/>
    <n v="0.55284901497639238"/>
    <n v="0"/>
    <n v="1"/>
    <n v="1"/>
    <n v="6860.9900000000016"/>
    <n v="-4403.7800000000016"/>
  </r>
  <r>
    <n v="144"/>
    <n v="41"/>
    <s v="female"/>
    <x v="26"/>
    <n v="91"/>
    <s v="Yes"/>
    <n v="0"/>
    <x v="0"/>
    <s v="southwest"/>
    <n v="2457.5"/>
    <x v="0"/>
    <n v="0"/>
    <n v="0"/>
    <n v="1"/>
    <n v="0"/>
    <n v="0.74066166162785618"/>
    <n v="0"/>
    <n v="1"/>
    <n v="1"/>
    <n v="6544.58"/>
    <n v="-4087.08"/>
  </r>
  <r>
    <n v="145"/>
    <n v="37"/>
    <s v="female"/>
    <x v="35"/>
    <n v="96"/>
    <s v="Yes"/>
    <n v="0"/>
    <x v="0"/>
    <s v="southeast"/>
    <n v="2459.7199999999998"/>
    <x v="1"/>
    <n v="0"/>
    <n v="1"/>
    <n v="0"/>
    <n v="0"/>
    <n v="0.47684368574699709"/>
    <n v="0"/>
    <n v="1"/>
    <n v="1"/>
    <n v="7343.0299999999988"/>
    <n v="-4883.3099999999995"/>
  </r>
  <r>
    <n v="146"/>
    <n v="29"/>
    <s v="female"/>
    <x v="110"/>
    <n v="80"/>
    <s v="Yes"/>
    <n v="0"/>
    <x v="0"/>
    <s v="southeast"/>
    <n v="2464.62"/>
    <x v="4"/>
    <n v="0"/>
    <n v="1"/>
    <n v="0"/>
    <n v="0"/>
    <n v="0.34337383796364507"/>
    <n v="0"/>
    <n v="1"/>
    <n v="1"/>
    <n v="4551.880000000001"/>
    <n v="-2087.2600000000011"/>
  </r>
  <r>
    <n v="147"/>
    <n v="47"/>
    <s v="female"/>
    <x v="111"/>
    <n v="84"/>
    <s v="No"/>
    <n v="0"/>
    <x v="0"/>
    <s v="southeast"/>
    <n v="2473.33"/>
    <x v="1"/>
    <n v="0"/>
    <n v="1"/>
    <n v="0"/>
    <n v="0"/>
    <n v="0.70002988240724051"/>
    <n v="0"/>
    <n v="0"/>
    <n v="1"/>
    <n v="5774.9099999999989"/>
    <n v="-3301.579999999999"/>
  </r>
  <r>
    <n v="148"/>
    <n v="35"/>
    <s v="female"/>
    <x v="38"/>
    <n v="82"/>
    <s v="Yes"/>
    <n v="0"/>
    <x v="0"/>
    <s v="southeast"/>
    <n v="2480.98"/>
    <x v="2"/>
    <n v="0"/>
    <n v="1"/>
    <n v="0"/>
    <n v="0"/>
    <n v="0.1386027243933865"/>
    <n v="0"/>
    <n v="1"/>
    <n v="1"/>
    <n v="5872.2800000000007"/>
    <n v="-3391.3000000000006"/>
  </r>
  <r>
    <n v="149"/>
    <n v="48"/>
    <s v="male"/>
    <x v="42"/>
    <n v="91"/>
    <s v="Yes"/>
    <n v="0"/>
    <x v="0"/>
    <s v="southeast"/>
    <n v="2483.7399999999998"/>
    <x v="0"/>
    <n v="0"/>
    <n v="1"/>
    <n v="0"/>
    <n v="0"/>
    <n v="0.92118702614260262"/>
    <n v="0"/>
    <n v="1"/>
    <n v="0"/>
    <n v="5444.8"/>
    <n v="-2961.0600000000004"/>
  </r>
  <r>
    <n v="150"/>
    <n v="22"/>
    <s v="male"/>
    <x v="85"/>
    <n v="82"/>
    <s v="No"/>
    <n v="0"/>
    <x v="0"/>
    <s v="southwest"/>
    <n v="2494.02"/>
    <x v="1"/>
    <n v="0"/>
    <n v="0"/>
    <n v="1"/>
    <n v="0"/>
    <n v="0.33903340613784771"/>
    <n v="0"/>
    <n v="0"/>
    <n v="0"/>
    <n v="5432.1500000000015"/>
    <n v="-2938.1300000000015"/>
  </r>
  <r>
    <n v="151"/>
    <n v="41"/>
    <s v="male"/>
    <x v="112"/>
    <n v="93"/>
    <s v="No"/>
    <n v="0"/>
    <x v="0"/>
    <s v="southeast"/>
    <n v="2497.04"/>
    <x v="1"/>
    <n v="0"/>
    <n v="1"/>
    <n v="0"/>
    <n v="0"/>
    <n v="0.64107226817314789"/>
    <n v="0"/>
    <n v="0"/>
    <n v="0"/>
    <n v="6662.8000000000029"/>
    <n v="-4165.7600000000029"/>
  </r>
  <r>
    <n v="152"/>
    <n v="26"/>
    <s v="male"/>
    <x v="3"/>
    <n v="99"/>
    <s v="No"/>
    <n v="0"/>
    <x v="0"/>
    <s v="southeast"/>
    <n v="2498.41"/>
    <x v="1"/>
    <n v="0"/>
    <n v="1"/>
    <n v="0"/>
    <n v="0"/>
    <n v="0.90291371927632258"/>
    <n v="0"/>
    <n v="0"/>
    <n v="0"/>
    <n v="7725.0400000000009"/>
    <n v="-5226.630000000001"/>
  </r>
  <r>
    <n v="153"/>
    <n v="18"/>
    <s v="male"/>
    <x v="13"/>
    <n v="94"/>
    <s v="Yes"/>
    <n v="0"/>
    <x v="0"/>
    <s v="northwest"/>
    <n v="2523.17"/>
    <x v="4"/>
    <n v="0"/>
    <n v="0"/>
    <n v="0"/>
    <n v="1"/>
    <n v="0.96903456235014862"/>
    <n v="0"/>
    <n v="1"/>
    <n v="0"/>
    <n v="7043.4100000000017"/>
    <n v="-4520.2400000000016"/>
  </r>
  <r>
    <n v="154"/>
    <n v="28"/>
    <s v="female"/>
    <x v="113"/>
    <n v="82"/>
    <s v="No"/>
    <n v="0"/>
    <x v="0"/>
    <s v="northwest"/>
    <n v="2527.8200000000002"/>
    <x v="0"/>
    <n v="0"/>
    <n v="0"/>
    <n v="0"/>
    <n v="1"/>
    <n v="5.1603474680423256E-2"/>
    <n v="0"/>
    <n v="0"/>
    <n v="1"/>
    <n v="4996.84"/>
    <n v="-2469.02"/>
  </r>
  <r>
    <n v="155"/>
    <n v="33"/>
    <s v="male"/>
    <x v="101"/>
    <n v="98"/>
    <s v="No"/>
    <n v="0"/>
    <x v="0"/>
    <s v="northwest"/>
    <n v="2534.39"/>
    <x v="2"/>
    <n v="0"/>
    <n v="0"/>
    <n v="0"/>
    <n v="1"/>
    <n v="0.4435545320548222"/>
    <n v="0"/>
    <n v="0"/>
    <n v="0"/>
    <n v="8415.630000000001"/>
    <n v="-5881.2400000000016"/>
  </r>
  <r>
    <n v="156"/>
    <n v="49"/>
    <s v="male"/>
    <x v="17"/>
    <n v="88"/>
    <s v="Yes"/>
    <n v="2"/>
    <x v="0"/>
    <s v="southeast"/>
    <n v="2566.4699999999998"/>
    <x v="1"/>
    <n v="0"/>
    <n v="1"/>
    <n v="0"/>
    <n v="0"/>
    <n v="0.74510163566453624"/>
    <n v="0"/>
    <n v="1"/>
    <n v="0"/>
    <n v="7125.2300000000005"/>
    <n v="-4558.76"/>
  </r>
  <r>
    <n v="157"/>
    <n v="33"/>
    <s v="female"/>
    <x v="114"/>
    <n v="87"/>
    <s v="No"/>
    <n v="1"/>
    <x v="0"/>
    <s v="southwest"/>
    <n v="2585.27"/>
    <x v="3"/>
    <n v="0"/>
    <n v="0"/>
    <n v="1"/>
    <n v="0"/>
    <n v="0.73338216033803372"/>
    <n v="0"/>
    <n v="0"/>
    <n v="1"/>
    <n v="6279.1599999999989"/>
    <n v="-3693.889999999999"/>
  </r>
  <r>
    <n v="158"/>
    <n v="43"/>
    <s v="female"/>
    <x v="115"/>
    <n v="82"/>
    <s v="Yes"/>
    <n v="0"/>
    <x v="0"/>
    <s v="southeast"/>
    <n v="2585.85"/>
    <x v="0"/>
    <n v="0"/>
    <n v="1"/>
    <n v="0"/>
    <n v="0"/>
    <n v="0.49270141509172594"/>
    <n v="0"/>
    <n v="1"/>
    <n v="1"/>
    <n v="4374.3400000000011"/>
    <n v="-1788.4900000000011"/>
  </r>
  <r>
    <n v="159"/>
    <n v="57"/>
    <s v="female"/>
    <x v="116"/>
    <n v="86"/>
    <s v="No"/>
    <n v="1"/>
    <x v="0"/>
    <s v="southwest"/>
    <n v="2597.7800000000002"/>
    <x v="4"/>
    <n v="0"/>
    <n v="0"/>
    <n v="1"/>
    <n v="0"/>
    <n v="0.19277361657286907"/>
    <n v="0"/>
    <n v="0"/>
    <n v="1"/>
    <n v="6858.3499999999976"/>
    <n v="-4260.5699999999979"/>
  </r>
  <r>
    <n v="160"/>
    <n v="30"/>
    <s v="female"/>
    <x v="98"/>
    <n v="94"/>
    <s v="Yes"/>
    <n v="0"/>
    <x v="0"/>
    <s v="southwest"/>
    <n v="2632.99"/>
    <x v="1"/>
    <n v="0"/>
    <n v="0"/>
    <n v="1"/>
    <n v="0"/>
    <n v="0.15774805609800302"/>
    <n v="0"/>
    <n v="1"/>
    <n v="1"/>
    <n v="7695.7800000000007"/>
    <n v="-5062.7900000000009"/>
  </r>
  <r>
    <n v="161"/>
    <n v="42"/>
    <s v="male"/>
    <x v="117"/>
    <n v="86"/>
    <s v="Yes"/>
    <n v="1"/>
    <x v="0"/>
    <s v="northwest"/>
    <n v="2639.04"/>
    <x v="4"/>
    <n v="0"/>
    <n v="0"/>
    <n v="0"/>
    <n v="1"/>
    <n v="0.4005015795438549"/>
    <n v="0"/>
    <n v="1"/>
    <n v="0"/>
    <n v="6534.0599999999995"/>
    <n v="-3895.0199999999995"/>
  </r>
  <r>
    <n v="162"/>
    <n v="21"/>
    <s v="male"/>
    <x v="23"/>
    <n v="91"/>
    <s v="No"/>
    <n v="1"/>
    <x v="0"/>
    <s v="northwest"/>
    <n v="2643.27"/>
    <x v="1"/>
    <n v="0"/>
    <n v="0"/>
    <n v="0"/>
    <n v="1"/>
    <n v="0.62972285076669288"/>
    <n v="0"/>
    <n v="0"/>
    <n v="0"/>
    <n v="7693.0000000000009"/>
    <n v="-5049.7300000000014"/>
  </r>
  <r>
    <n v="163"/>
    <n v="47"/>
    <s v="male"/>
    <x v="118"/>
    <n v="92"/>
    <s v="Yes"/>
    <n v="0"/>
    <x v="0"/>
    <s v="northwest"/>
    <n v="2680.95"/>
    <x v="3"/>
    <n v="0"/>
    <n v="0"/>
    <n v="0"/>
    <n v="1"/>
    <n v="0.3163583833559237"/>
    <n v="0"/>
    <n v="1"/>
    <n v="0"/>
    <n v="5840.66"/>
    <n v="-3159.71"/>
  </r>
  <r>
    <n v="164"/>
    <n v="28"/>
    <s v="male"/>
    <x v="119"/>
    <n v="81"/>
    <s v="Yes"/>
    <n v="0"/>
    <x v="0"/>
    <s v="southeast"/>
    <n v="2689.5"/>
    <x v="2"/>
    <n v="0"/>
    <n v="1"/>
    <n v="0"/>
    <n v="0"/>
    <n v="0.5700438469658734"/>
    <n v="0"/>
    <n v="1"/>
    <n v="0"/>
    <n v="5157.0000000000009"/>
    <n v="-2467.5000000000009"/>
  </r>
  <r>
    <n v="165"/>
    <n v="52"/>
    <s v="female"/>
    <x v="91"/>
    <n v="90"/>
    <s v="Yes"/>
    <n v="0"/>
    <x v="0"/>
    <s v="northwest"/>
    <n v="2690.11"/>
    <x v="4"/>
    <n v="0"/>
    <n v="0"/>
    <n v="0"/>
    <n v="1"/>
    <n v="0.89893102919334766"/>
    <n v="0"/>
    <n v="1"/>
    <n v="1"/>
    <n v="6849.2300000000005"/>
    <n v="-4159.1200000000008"/>
  </r>
  <r>
    <n v="166"/>
    <n v="30"/>
    <s v="male"/>
    <x v="17"/>
    <n v="91"/>
    <s v="No"/>
    <n v="0"/>
    <x v="0"/>
    <s v="northwest"/>
    <n v="2699.57"/>
    <x v="1"/>
    <n v="0"/>
    <n v="0"/>
    <n v="0"/>
    <n v="1"/>
    <n v="0.50670452172263636"/>
    <n v="0"/>
    <n v="0"/>
    <n v="0"/>
    <n v="6917.5900000000011"/>
    <n v="-4218.0200000000004"/>
  </r>
  <r>
    <n v="167"/>
    <n v="51"/>
    <s v="female"/>
    <x v="107"/>
    <n v="80"/>
    <s v="Yes"/>
    <n v="1"/>
    <x v="0"/>
    <s v="northwest"/>
    <n v="2709.11"/>
    <x v="0"/>
    <n v="0"/>
    <n v="0"/>
    <n v="0"/>
    <n v="1"/>
    <n v="0.69071836082079674"/>
    <n v="0"/>
    <n v="1"/>
    <n v="1"/>
    <n v="5685.05"/>
    <n v="-2975.94"/>
  </r>
  <r>
    <n v="168"/>
    <n v="58"/>
    <s v="female"/>
    <x v="63"/>
    <n v="87"/>
    <s v="Yes"/>
    <n v="1"/>
    <x v="0"/>
    <s v="northwest"/>
    <n v="2709.24"/>
    <x v="0"/>
    <n v="0"/>
    <n v="0"/>
    <n v="0"/>
    <n v="1"/>
    <n v="0.2029516616673378"/>
    <n v="0"/>
    <n v="1"/>
    <n v="1"/>
    <n v="6801.7699999999995"/>
    <n v="-4092.5299999999997"/>
  </r>
  <r>
    <n v="169"/>
    <n v="26"/>
    <s v="female"/>
    <x v="87"/>
    <n v="88"/>
    <s v="No"/>
    <n v="1"/>
    <x v="0"/>
    <s v="northwest"/>
    <n v="2710.83"/>
    <x v="4"/>
    <n v="0"/>
    <n v="0"/>
    <n v="0"/>
    <n v="1"/>
    <n v="9.2977834547347982E-2"/>
    <n v="0"/>
    <n v="0"/>
    <n v="1"/>
    <n v="7165.43"/>
    <n v="-4454.6000000000004"/>
  </r>
  <r>
    <n v="170"/>
    <n v="41"/>
    <s v="female"/>
    <x v="120"/>
    <n v="88"/>
    <s v="Yes"/>
    <n v="1"/>
    <x v="0"/>
    <s v="northwest"/>
    <n v="2719.28"/>
    <x v="1"/>
    <n v="0"/>
    <n v="0"/>
    <n v="0"/>
    <n v="1"/>
    <n v="6.8971080247054339E-2"/>
    <n v="0"/>
    <n v="1"/>
    <n v="1"/>
    <n v="7598.72"/>
    <n v="-4879.4400000000005"/>
  </r>
  <r>
    <n v="171"/>
    <n v="46"/>
    <s v="male"/>
    <x v="104"/>
    <n v="84"/>
    <s v="No"/>
    <n v="0"/>
    <x v="0"/>
    <s v="southeast"/>
    <n v="2721.32"/>
    <x v="4"/>
    <n v="0"/>
    <n v="1"/>
    <n v="0"/>
    <n v="0"/>
    <n v="0.88360570998994015"/>
    <n v="0"/>
    <n v="0"/>
    <n v="0"/>
    <n v="4664.34"/>
    <n v="-1943.02"/>
  </r>
  <r>
    <n v="172"/>
    <n v="23"/>
    <s v="male"/>
    <x v="35"/>
    <n v="96"/>
    <s v="No"/>
    <n v="0"/>
    <x v="0"/>
    <s v="southeast"/>
    <n v="2727.4"/>
    <x v="1"/>
    <n v="0"/>
    <n v="1"/>
    <n v="0"/>
    <n v="0"/>
    <n v="0.2617770335002424"/>
    <n v="0"/>
    <n v="0"/>
    <n v="0"/>
    <n v="6985.0600000000013"/>
    <n v="-4257.6600000000017"/>
  </r>
  <r>
    <n v="173"/>
    <n v="34"/>
    <s v="female"/>
    <x v="121"/>
    <n v="91"/>
    <s v="Yes"/>
    <n v="1"/>
    <x v="0"/>
    <s v="northwest"/>
    <n v="2730.11"/>
    <x v="2"/>
    <n v="0"/>
    <n v="0"/>
    <n v="0"/>
    <n v="1"/>
    <n v="0.24228186579258293"/>
    <n v="0"/>
    <n v="1"/>
    <n v="1"/>
    <n v="8753.35"/>
    <n v="-6023.24"/>
  </r>
  <r>
    <n v="174"/>
    <n v="29"/>
    <s v="female"/>
    <x v="0"/>
    <n v="80"/>
    <s v="No"/>
    <n v="0"/>
    <x v="0"/>
    <s v="southeast"/>
    <n v="2731.91"/>
    <x v="0"/>
    <n v="0"/>
    <n v="1"/>
    <n v="0"/>
    <n v="0"/>
    <n v="0.27592997279615228"/>
    <n v="0"/>
    <n v="0"/>
    <n v="1"/>
    <n v="4236.1900000000014"/>
    <n v="-1504.2800000000016"/>
  </r>
  <r>
    <n v="175"/>
    <n v="58"/>
    <s v="female"/>
    <x v="15"/>
    <n v="85"/>
    <s v="Yes"/>
    <n v="0"/>
    <x v="0"/>
    <s v="southeast"/>
    <n v="2741.95"/>
    <x v="1"/>
    <n v="0"/>
    <n v="1"/>
    <n v="0"/>
    <n v="0"/>
    <n v="0.59673688545900638"/>
    <n v="0"/>
    <n v="1"/>
    <n v="1"/>
    <n v="5543.5599999999995"/>
    <n v="-2801.6099999999997"/>
  </r>
  <r>
    <n v="176"/>
    <n v="59"/>
    <s v="female"/>
    <x v="32"/>
    <n v="81"/>
    <s v="Yes"/>
    <n v="0"/>
    <x v="0"/>
    <s v="northeast"/>
    <n v="2755.02"/>
    <x v="2"/>
    <n v="0"/>
    <n v="0"/>
    <n v="0"/>
    <n v="0"/>
    <n v="0.24027142442851401"/>
    <n v="0"/>
    <n v="1"/>
    <n v="1"/>
    <n v="9352.35"/>
    <n v="-6597.33"/>
  </r>
  <r>
    <n v="177"/>
    <n v="30"/>
    <s v="male"/>
    <x v="114"/>
    <n v="89"/>
    <s v="No"/>
    <n v="1"/>
    <x v="0"/>
    <s v="northwest"/>
    <n v="2775.19"/>
    <x v="3"/>
    <n v="0"/>
    <n v="0"/>
    <n v="0"/>
    <n v="1"/>
    <n v="0.98604302335177363"/>
    <n v="0"/>
    <n v="0"/>
    <n v="0"/>
    <n v="6165.3"/>
    <n v="-3390.11"/>
  </r>
  <r>
    <n v="178"/>
    <n v="49"/>
    <s v="male"/>
    <x v="83"/>
    <n v="91"/>
    <s v="No"/>
    <n v="1"/>
    <x v="0"/>
    <s v="northwest"/>
    <n v="2789.06"/>
    <x v="4"/>
    <n v="0"/>
    <n v="0"/>
    <n v="0"/>
    <n v="1"/>
    <n v="0.46241494401556882"/>
    <n v="0"/>
    <n v="0"/>
    <n v="0"/>
    <n v="7315.1600000000008"/>
    <n v="-4526.1000000000004"/>
  </r>
  <r>
    <n v="179"/>
    <n v="60"/>
    <s v="female"/>
    <x v="80"/>
    <n v="98"/>
    <s v="No"/>
    <n v="2"/>
    <x v="0"/>
    <s v="southeast"/>
    <n v="2801.26"/>
    <x v="1"/>
    <n v="0"/>
    <n v="1"/>
    <n v="0"/>
    <n v="0"/>
    <n v="0.63518483337060361"/>
    <n v="0"/>
    <n v="0"/>
    <n v="1"/>
    <n v="9306.5600000000013"/>
    <n v="-6505.3000000000011"/>
  </r>
  <r>
    <n v="180"/>
    <n v="49"/>
    <s v="male"/>
    <x v="53"/>
    <n v="92"/>
    <s v="No"/>
    <n v="2"/>
    <x v="0"/>
    <s v="northwest"/>
    <n v="2803.7"/>
    <x v="0"/>
    <n v="0"/>
    <n v="0"/>
    <n v="0"/>
    <n v="1"/>
    <n v="9.3874232775269073E-2"/>
    <n v="0"/>
    <n v="0"/>
    <n v="0"/>
    <n v="7631.5900000000011"/>
    <n v="-4827.8900000000012"/>
  </r>
  <r>
    <n v="181"/>
    <n v="45"/>
    <s v="female"/>
    <x v="122"/>
    <n v="88"/>
    <s v="No"/>
    <n v="0"/>
    <x v="0"/>
    <s v="northwest"/>
    <n v="2842.76"/>
    <x v="0"/>
    <n v="0"/>
    <n v="0"/>
    <n v="0"/>
    <n v="1"/>
    <n v="0.59531486373986697"/>
    <n v="0"/>
    <n v="0"/>
    <n v="1"/>
    <n v="6274.619999999999"/>
    <n v="-3431.8599999999988"/>
  </r>
  <r>
    <n v="182"/>
    <n v="54"/>
    <s v="female"/>
    <x v="123"/>
    <n v="90"/>
    <s v="No"/>
    <n v="0"/>
    <x v="0"/>
    <s v="northwest"/>
    <n v="2850.68"/>
    <x v="4"/>
    <n v="0"/>
    <n v="0"/>
    <n v="0"/>
    <n v="1"/>
    <n v="0.5144091843766011"/>
    <n v="0"/>
    <n v="0"/>
    <n v="1"/>
    <n v="7069.630000000001"/>
    <n v="-4218.9500000000007"/>
  </r>
  <r>
    <n v="183"/>
    <n v="27"/>
    <s v="female"/>
    <x v="2"/>
    <n v="92"/>
    <s v="Yes"/>
    <n v="0"/>
    <x v="0"/>
    <s v="northwest"/>
    <n v="2855.44"/>
    <x v="1"/>
    <n v="0"/>
    <n v="0"/>
    <n v="0"/>
    <n v="1"/>
    <n v="0.47875285226974762"/>
    <n v="0"/>
    <n v="1"/>
    <n v="1"/>
    <n v="7645.0099999999993"/>
    <n v="-4789.57"/>
  </r>
  <r>
    <n v="184"/>
    <n v="37"/>
    <s v="male"/>
    <x v="124"/>
    <n v="87"/>
    <s v="Yes"/>
    <n v="0"/>
    <x v="0"/>
    <s v="southwest"/>
    <n v="2866.09"/>
    <x v="4"/>
    <n v="0"/>
    <n v="0"/>
    <n v="1"/>
    <n v="0"/>
    <n v="2.1653967290824472E-3"/>
    <n v="0"/>
    <n v="1"/>
    <n v="0"/>
    <n v="5859.69"/>
    <n v="-2993.5999999999995"/>
  </r>
  <r>
    <n v="185"/>
    <n v="48"/>
    <s v="male"/>
    <x v="72"/>
    <n v="82"/>
    <s v="Yes"/>
    <n v="0"/>
    <x v="0"/>
    <s v="southeast"/>
    <n v="2867.12"/>
    <x v="4"/>
    <n v="0"/>
    <n v="1"/>
    <n v="0"/>
    <n v="0"/>
    <n v="0.29595098484054516"/>
    <n v="0"/>
    <n v="1"/>
    <n v="0"/>
    <n v="4418.8900000000003"/>
    <n v="-1551.7700000000004"/>
  </r>
  <r>
    <n v="186"/>
    <n v="49"/>
    <s v="male"/>
    <x v="125"/>
    <n v="92"/>
    <s v="No"/>
    <n v="0"/>
    <x v="0"/>
    <s v="northeast"/>
    <n v="2897.32"/>
    <x v="4"/>
    <n v="0"/>
    <n v="0"/>
    <n v="0"/>
    <n v="0"/>
    <n v="0.69914110658238837"/>
    <n v="0"/>
    <n v="0"/>
    <n v="0"/>
    <n v="9864.1"/>
    <n v="-6966.7800000000007"/>
  </r>
  <r>
    <n v="187"/>
    <n v="25"/>
    <s v="female"/>
    <x v="79"/>
    <n v="100"/>
    <s v="No"/>
    <n v="0"/>
    <x v="0"/>
    <s v="northeast"/>
    <n v="2899.49"/>
    <x v="1"/>
    <n v="0"/>
    <n v="0"/>
    <n v="0"/>
    <n v="0"/>
    <n v="0.390819447188546"/>
    <n v="0"/>
    <n v="0"/>
    <n v="1"/>
    <n v="12078.19"/>
    <n v="-9178.7000000000007"/>
  </r>
  <r>
    <n v="188"/>
    <n v="20"/>
    <s v="male"/>
    <x v="126"/>
    <n v="95"/>
    <s v="No"/>
    <n v="1"/>
    <x v="0"/>
    <s v="southeast"/>
    <n v="2902.91"/>
    <x v="4"/>
    <n v="0"/>
    <n v="1"/>
    <n v="0"/>
    <n v="0"/>
    <n v="0.15927533919089687"/>
    <n v="0"/>
    <n v="0"/>
    <n v="0"/>
    <n v="7447.85"/>
    <n v="-4544.9400000000005"/>
  </r>
  <r>
    <n v="189"/>
    <n v="35"/>
    <s v="male"/>
    <x v="49"/>
    <n v="86"/>
    <s v="No"/>
    <n v="1"/>
    <x v="0"/>
    <s v="southwest"/>
    <n v="2904.09"/>
    <x v="1"/>
    <n v="0"/>
    <n v="0"/>
    <n v="1"/>
    <n v="0"/>
    <n v="0.74172393829260252"/>
    <n v="0"/>
    <n v="0"/>
    <n v="0"/>
    <n v="6749.3599999999988"/>
    <n v="-3845.2699999999986"/>
  </r>
  <r>
    <n v="190"/>
    <n v="37"/>
    <s v="female"/>
    <x v="73"/>
    <n v="96"/>
    <s v="No"/>
    <n v="2"/>
    <x v="0"/>
    <s v="southwest"/>
    <n v="2913.57"/>
    <x v="0"/>
    <n v="0"/>
    <n v="0"/>
    <n v="1"/>
    <n v="0"/>
    <n v="0.1066249958075639"/>
    <n v="0"/>
    <n v="0"/>
    <n v="1"/>
    <n v="8961.59"/>
    <n v="-6048.02"/>
  </r>
  <r>
    <n v="191"/>
    <n v="28"/>
    <s v="male"/>
    <x v="127"/>
    <n v="94"/>
    <s v="No"/>
    <n v="1"/>
    <x v="0"/>
    <s v="southeast"/>
    <n v="2927.06"/>
    <x v="2"/>
    <n v="0"/>
    <n v="1"/>
    <n v="0"/>
    <n v="0"/>
    <n v="0.14521830258803192"/>
    <n v="0"/>
    <n v="0"/>
    <n v="0"/>
    <n v="8757.1700000000019"/>
    <n v="-5830.1100000000024"/>
  </r>
  <r>
    <n v="192"/>
    <n v="28"/>
    <s v="female"/>
    <x v="97"/>
    <n v="80"/>
    <s v="No"/>
    <n v="0"/>
    <x v="0"/>
    <s v="southwest"/>
    <n v="2974.13"/>
    <x v="0"/>
    <n v="0"/>
    <n v="0"/>
    <n v="1"/>
    <n v="0"/>
    <n v="0.6560372055268695"/>
    <n v="0"/>
    <n v="0"/>
    <n v="1"/>
    <n v="5003.04"/>
    <n v="-2028.9099999999999"/>
  </r>
  <r>
    <n v="193"/>
    <n v="55"/>
    <s v="female"/>
    <x v="128"/>
    <n v="87"/>
    <s v="Yes"/>
    <n v="0"/>
    <x v="0"/>
    <s v="northwest"/>
    <n v="3021.81"/>
    <x v="1"/>
    <n v="0"/>
    <n v="0"/>
    <n v="0"/>
    <n v="1"/>
    <n v="0.34680328816467521"/>
    <n v="0"/>
    <n v="1"/>
    <n v="1"/>
    <n v="6913.8200000000006"/>
    <n v="-3892.0100000000007"/>
  </r>
  <r>
    <n v="194"/>
    <n v="54"/>
    <s v="female"/>
    <x v="129"/>
    <n v="100"/>
    <s v="No"/>
    <n v="0"/>
    <x v="0"/>
    <s v="northeast"/>
    <n v="3044.21"/>
    <x v="4"/>
    <n v="0"/>
    <n v="0"/>
    <n v="0"/>
    <n v="0"/>
    <n v="1.4418805632485765E-2"/>
    <n v="0"/>
    <n v="0"/>
    <n v="1"/>
    <n v="11220.27"/>
    <n v="-8176.06"/>
  </r>
  <r>
    <n v="195"/>
    <n v="57"/>
    <s v="female"/>
    <x v="130"/>
    <n v="83"/>
    <s v="No"/>
    <n v="0"/>
    <x v="0"/>
    <s v="northeast"/>
    <n v="3046.06"/>
    <x v="4"/>
    <n v="0"/>
    <n v="0"/>
    <n v="0"/>
    <n v="0"/>
    <n v="0.81714661952574175"/>
    <n v="0"/>
    <n v="0"/>
    <n v="1"/>
    <n v="8614.5500000000011"/>
    <n v="-5568.4900000000016"/>
  </r>
  <r>
    <n v="196"/>
    <n v="33"/>
    <s v="female"/>
    <x v="120"/>
    <n v="98"/>
    <s v="Yes"/>
    <n v="2"/>
    <x v="0"/>
    <s v="southeast"/>
    <n v="3056.39"/>
    <x v="1"/>
    <n v="0"/>
    <n v="1"/>
    <n v="0"/>
    <n v="0"/>
    <n v="0.48703715395381619"/>
    <n v="0"/>
    <n v="1"/>
    <n v="1"/>
    <n v="9246.4100000000017"/>
    <n v="-6190.0200000000023"/>
  </r>
  <r>
    <n v="197"/>
    <n v="30"/>
    <s v="male"/>
    <x v="131"/>
    <n v="89"/>
    <s v="Yes"/>
    <n v="0"/>
    <x v="0"/>
    <s v="northwest"/>
    <n v="3062.51"/>
    <x v="1"/>
    <n v="0"/>
    <n v="0"/>
    <n v="0"/>
    <n v="1"/>
    <n v="0.33013776486653734"/>
    <n v="0"/>
    <n v="1"/>
    <n v="0"/>
    <n v="6512.25"/>
    <n v="-3449.74"/>
  </r>
  <r>
    <n v="198"/>
    <n v="49"/>
    <s v="male"/>
    <x v="81"/>
    <n v="98"/>
    <s v="Yes"/>
    <n v="0"/>
    <x v="0"/>
    <s v="northeast"/>
    <n v="3070.81"/>
    <x v="4"/>
    <n v="0"/>
    <n v="0"/>
    <n v="0"/>
    <n v="0"/>
    <n v="0.36955253164278445"/>
    <n v="0"/>
    <n v="1"/>
    <n v="0"/>
    <n v="10453.33"/>
    <n v="-7382.52"/>
  </r>
  <r>
    <n v="199"/>
    <n v="25"/>
    <s v="male"/>
    <x v="41"/>
    <n v="81"/>
    <s v="Yes"/>
    <n v="0"/>
    <x v="0"/>
    <s v="northeast"/>
    <n v="1704.57"/>
    <x v="0"/>
    <n v="0"/>
    <n v="0"/>
    <n v="0"/>
    <n v="0"/>
    <n v="0.83006041599244851"/>
    <n v="0"/>
    <n v="1"/>
    <n v="0"/>
    <n v="7514.52"/>
    <n v="-5809.9500000000007"/>
  </r>
  <r>
    <n v="200"/>
    <n v="38"/>
    <s v="male"/>
    <x v="43"/>
    <n v="99"/>
    <s v="Yes"/>
    <n v="2"/>
    <x v="0"/>
    <s v="northwest"/>
    <n v="3077.1"/>
    <x v="0"/>
    <n v="0"/>
    <n v="0"/>
    <n v="0"/>
    <n v="1"/>
    <n v="0.96642425995260994"/>
    <n v="0"/>
    <n v="1"/>
    <n v="0"/>
    <n v="8967.3399999999983"/>
    <n v="-5890.239999999998"/>
  </r>
  <r>
    <n v="201"/>
    <n v="60"/>
    <s v="female"/>
    <x v="74"/>
    <n v="100"/>
    <s v="Yes"/>
    <n v="0"/>
    <x v="0"/>
    <s v="southwest"/>
    <n v="3161.45"/>
    <x v="4"/>
    <n v="0"/>
    <n v="0"/>
    <n v="1"/>
    <n v="0"/>
    <n v="0.60045498166543276"/>
    <n v="0"/>
    <n v="1"/>
    <n v="1"/>
    <n v="8230.1699999999983"/>
    <n v="-5068.7199999999984"/>
  </r>
  <r>
    <n v="202"/>
    <n v="59"/>
    <s v="female"/>
    <x v="132"/>
    <n v="96"/>
    <s v="Yes"/>
    <n v="1"/>
    <x v="0"/>
    <s v="northeast"/>
    <n v="3167.46"/>
    <x v="3"/>
    <n v="0"/>
    <n v="0"/>
    <n v="0"/>
    <n v="0"/>
    <n v="0.28159003615623102"/>
    <n v="0"/>
    <n v="1"/>
    <n v="1"/>
    <n v="10517.94"/>
    <n v="-7350.4800000000005"/>
  </r>
  <r>
    <n v="203"/>
    <n v="52"/>
    <s v="female"/>
    <x v="133"/>
    <n v="87"/>
    <s v="No"/>
    <n v="0"/>
    <x v="0"/>
    <s v="southeast"/>
    <n v="3171.61"/>
    <x v="1"/>
    <n v="0"/>
    <n v="1"/>
    <n v="0"/>
    <n v="0"/>
    <n v="0.44238605284754717"/>
    <n v="0"/>
    <n v="0"/>
    <n v="1"/>
    <n v="6170.3300000000008"/>
    <n v="-2998.7200000000007"/>
  </r>
  <r>
    <n v="204"/>
    <n v="35"/>
    <s v="female"/>
    <x v="134"/>
    <n v="99"/>
    <s v="No"/>
    <n v="0"/>
    <x v="0"/>
    <s v="southwest"/>
    <n v="3172.02"/>
    <x v="1"/>
    <n v="0"/>
    <n v="0"/>
    <n v="1"/>
    <n v="0"/>
    <n v="0.31231580114868362"/>
    <n v="0"/>
    <n v="0"/>
    <n v="1"/>
    <n v="8821.4399999999987"/>
    <n v="-5649.4199999999983"/>
  </r>
  <r>
    <n v="205"/>
    <n v="35"/>
    <s v="female"/>
    <x v="135"/>
    <n v="93"/>
    <s v="No"/>
    <n v="0"/>
    <x v="0"/>
    <s v="northwest"/>
    <n v="3176.29"/>
    <x v="0"/>
    <n v="0"/>
    <n v="0"/>
    <n v="0"/>
    <n v="1"/>
    <n v="0.94458102132988331"/>
    <n v="0"/>
    <n v="0"/>
    <n v="1"/>
    <n v="6914.3700000000008"/>
    <n v="-3738.0800000000008"/>
  </r>
  <r>
    <n v="206"/>
    <n v="48"/>
    <s v="female"/>
    <x v="26"/>
    <n v="94"/>
    <s v="No"/>
    <n v="0"/>
    <x v="0"/>
    <s v="northwest"/>
    <n v="3176.82"/>
    <x v="0"/>
    <n v="0"/>
    <n v="0"/>
    <n v="0"/>
    <n v="1"/>
    <n v="9.4303214763219345E-2"/>
    <n v="0"/>
    <n v="0"/>
    <n v="1"/>
    <n v="7091.52"/>
    <n v="-3914.7000000000003"/>
  </r>
  <r>
    <n v="207"/>
    <n v="27"/>
    <s v="female"/>
    <x v="136"/>
    <n v="80"/>
    <s v="No"/>
    <n v="2"/>
    <x v="0"/>
    <s v="southeast"/>
    <n v="3180.51"/>
    <x v="0"/>
    <n v="0"/>
    <n v="1"/>
    <n v="0"/>
    <n v="0"/>
    <n v="0.91676188376860002"/>
    <n v="0"/>
    <n v="0"/>
    <n v="1"/>
    <n v="5604.0800000000008"/>
    <n v="-2423.5700000000006"/>
  </r>
  <r>
    <n v="208"/>
    <n v="48"/>
    <s v="female"/>
    <x v="102"/>
    <n v="82"/>
    <s v="No"/>
    <n v="0"/>
    <x v="0"/>
    <s v="northwest"/>
    <n v="3201.25"/>
    <x v="2"/>
    <n v="0"/>
    <n v="0"/>
    <n v="0"/>
    <n v="1"/>
    <n v="0.58261982981048588"/>
    <n v="0"/>
    <n v="0"/>
    <n v="1"/>
    <n v="6681.2400000000016"/>
    <n v="-3479.9900000000016"/>
  </r>
  <r>
    <n v="209"/>
    <n v="45"/>
    <s v="female"/>
    <x v="137"/>
    <n v="96"/>
    <s v="No"/>
    <n v="0"/>
    <x v="0"/>
    <s v="northeast"/>
    <n v="3206.49"/>
    <x v="0"/>
    <n v="0"/>
    <n v="0"/>
    <n v="0"/>
    <n v="0"/>
    <n v="0.85634790479126643"/>
    <n v="0"/>
    <n v="0"/>
    <n v="1"/>
    <n v="10439.529999999999"/>
    <n v="-7233.0399999999991"/>
  </r>
  <r>
    <n v="210"/>
    <n v="33"/>
    <s v="female"/>
    <x v="20"/>
    <n v="87"/>
    <s v="Yes"/>
    <n v="1"/>
    <x v="0"/>
    <s v="southwest"/>
    <n v="3208.79"/>
    <x v="0"/>
    <n v="0"/>
    <n v="0"/>
    <n v="1"/>
    <n v="0"/>
    <n v="0.25195381911307047"/>
    <n v="0"/>
    <n v="1"/>
    <n v="1"/>
    <n v="6500.7999999999993"/>
    <n v="-3292.0099999999993"/>
  </r>
  <r>
    <n v="211"/>
    <n v="59"/>
    <s v="female"/>
    <x v="138"/>
    <n v="82"/>
    <s v="No"/>
    <n v="0"/>
    <x v="0"/>
    <s v="northeast"/>
    <n v="3213.62"/>
    <x v="4"/>
    <n v="0"/>
    <n v="0"/>
    <n v="0"/>
    <n v="0"/>
    <n v="0.96367066805242174"/>
    <n v="0"/>
    <n v="0"/>
    <n v="1"/>
    <n v="8623.4000000000015"/>
    <n v="-5409.7800000000016"/>
  </r>
  <r>
    <n v="212"/>
    <n v="36"/>
    <s v="female"/>
    <x v="111"/>
    <n v="88"/>
    <s v="Yes"/>
    <n v="1"/>
    <x v="0"/>
    <s v="southeast"/>
    <n v="3227.12"/>
    <x v="1"/>
    <n v="0"/>
    <n v="1"/>
    <n v="0"/>
    <n v="0"/>
    <n v="0.37844699623953371"/>
    <n v="0"/>
    <n v="1"/>
    <n v="1"/>
    <n v="7096.5299999999988"/>
    <n v="-3869.4099999999989"/>
  </r>
  <r>
    <n v="213"/>
    <n v="46"/>
    <s v="female"/>
    <x v="139"/>
    <n v="89"/>
    <s v="No"/>
    <n v="1"/>
    <x v="0"/>
    <s v="southeast"/>
    <n v="3238.44"/>
    <x v="2"/>
    <n v="0"/>
    <n v="1"/>
    <n v="0"/>
    <n v="0"/>
    <n v="0.94271062879031109"/>
    <n v="0"/>
    <n v="0"/>
    <n v="1"/>
    <n v="8004.9299999999994"/>
    <n v="-4766.49"/>
  </r>
  <r>
    <n v="214"/>
    <n v="35"/>
    <s v="male"/>
    <x v="24"/>
    <n v="88"/>
    <s v="No"/>
    <n v="0"/>
    <x v="0"/>
    <s v="southwest"/>
    <n v="3260.2"/>
    <x v="0"/>
    <n v="0"/>
    <n v="0"/>
    <n v="1"/>
    <n v="0"/>
    <n v="6.464416412470575E-2"/>
    <n v="0"/>
    <n v="0"/>
    <n v="0"/>
    <n v="5509.5"/>
    <n v="-2249.3000000000002"/>
  </r>
  <r>
    <n v="215"/>
    <n v="43"/>
    <s v="male"/>
    <x v="16"/>
    <n v="86"/>
    <s v="Yes"/>
    <n v="0"/>
    <x v="0"/>
    <s v="northeast"/>
    <n v="3268.85"/>
    <x v="2"/>
    <n v="0"/>
    <n v="0"/>
    <n v="0"/>
    <n v="0"/>
    <n v="0.77791908132069443"/>
    <n v="0"/>
    <n v="1"/>
    <n v="0"/>
    <n v="9349.6299999999992"/>
    <n v="-6080.7799999999988"/>
  </r>
  <r>
    <n v="216"/>
    <n v="28"/>
    <s v="male"/>
    <x v="140"/>
    <n v="90"/>
    <s v="Yes"/>
    <n v="1"/>
    <x v="0"/>
    <s v="southwest"/>
    <n v="3277.16"/>
    <x v="2"/>
    <n v="0"/>
    <n v="0"/>
    <n v="1"/>
    <n v="0"/>
    <n v="4.24252209731657E-3"/>
    <n v="0"/>
    <n v="1"/>
    <n v="0"/>
    <n v="7934.6699999999992"/>
    <n v="-4657.5099999999993"/>
  </r>
  <r>
    <n v="217"/>
    <n v="26"/>
    <s v="male"/>
    <x v="87"/>
    <n v="91"/>
    <s v="No"/>
    <n v="2"/>
    <x v="0"/>
    <s v="northeast"/>
    <n v="3279.87"/>
    <x v="4"/>
    <n v="0"/>
    <n v="0"/>
    <n v="0"/>
    <n v="0"/>
    <n v="0.33164619165575171"/>
    <n v="0"/>
    <n v="0"/>
    <n v="0"/>
    <n v="10885.53"/>
    <n v="-7605.6600000000008"/>
  </r>
  <r>
    <n v="218"/>
    <n v="23"/>
    <s v="male"/>
    <x v="141"/>
    <n v="81"/>
    <s v="No"/>
    <n v="1"/>
    <x v="0"/>
    <s v="northwest"/>
    <n v="3292.53"/>
    <x v="1"/>
    <n v="0"/>
    <n v="0"/>
    <n v="0"/>
    <n v="1"/>
    <n v="0.61171289047599142"/>
    <n v="0"/>
    <n v="0"/>
    <n v="0"/>
    <n v="6308.2900000000018"/>
    <n v="-3015.7600000000016"/>
  </r>
  <r>
    <n v="219"/>
    <n v="48"/>
    <s v="male"/>
    <x v="74"/>
    <n v="82"/>
    <s v="Yes"/>
    <n v="1"/>
    <x v="0"/>
    <s v="northeast"/>
    <n v="3309.79"/>
    <x v="4"/>
    <n v="0"/>
    <n v="0"/>
    <n v="0"/>
    <n v="0"/>
    <n v="0.17808140950326379"/>
    <n v="0"/>
    <n v="1"/>
    <n v="0"/>
    <n v="8622.3100000000013"/>
    <n v="-5312.5200000000013"/>
  </r>
  <r>
    <n v="220"/>
    <n v="49"/>
    <s v="female"/>
    <x v="142"/>
    <n v="97"/>
    <s v="No"/>
    <n v="0"/>
    <x v="0"/>
    <s v="southwest"/>
    <n v="3353.28"/>
    <x v="4"/>
    <n v="0"/>
    <n v="0"/>
    <n v="1"/>
    <n v="0"/>
    <n v="0.83863403027275107"/>
    <n v="0"/>
    <n v="0"/>
    <n v="1"/>
    <n v="7843.0899999999992"/>
    <n v="-4489.8099999999995"/>
  </r>
  <r>
    <n v="221"/>
    <n v="41"/>
    <s v="female"/>
    <x v="40"/>
    <n v="92"/>
    <s v="No"/>
    <n v="0"/>
    <x v="0"/>
    <s v="northwest"/>
    <n v="3353.47"/>
    <x v="0"/>
    <n v="0"/>
    <n v="0"/>
    <n v="0"/>
    <n v="1"/>
    <n v="0.53959190667879775"/>
    <n v="0"/>
    <n v="0"/>
    <n v="1"/>
    <n v="6687.25"/>
    <n v="-3333.78"/>
  </r>
  <r>
    <n v="222"/>
    <n v="28"/>
    <s v="female"/>
    <x v="18"/>
    <n v="95"/>
    <s v="Yes"/>
    <n v="0"/>
    <x v="0"/>
    <s v="southeast"/>
    <n v="3366.67"/>
    <x v="2"/>
    <n v="0"/>
    <n v="1"/>
    <n v="0"/>
    <n v="0"/>
    <n v="0.17725896667977681"/>
    <n v="0"/>
    <n v="1"/>
    <n v="1"/>
    <n v="7613.91"/>
    <n v="-4247.24"/>
  </r>
  <r>
    <n v="223"/>
    <n v="53"/>
    <s v="female"/>
    <x v="10"/>
    <n v="93"/>
    <s v="Yes"/>
    <n v="1"/>
    <x v="0"/>
    <s v="southwest"/>
    <n v="3378.91"/>
    <x v="3"/>
    <n v="0"/>
    <n v="0"/>
    <n v="1"/>
    <n v="0"/>
    <n v="0.9997864988212708"/>
    <n v="0"/>
    <n v="1"/>
    <n v="1"/>
    <n v="7347.24"/>
    <n v="-3968.33"/>
  </r>
  <r>
    <n v="224"/>
    <n v="28"/>
    <s v="female"/>
    <x v="92"/>
    <n v="99"/>
    <s v="Yes"/>
    <n v="0"/>
    <x v="0"/>
    <s v="northeast"/>
    <n v="3385.4"/>
    <x v="4"/>
    <n v="0"/>
    <n v="0"/>
    <n v="0"/>
    <n v="0"/>
    <n v="0.19906794440011044"/>
    <n v="0"/>
    <n v="1"/>
    <n v="1"/>
    <n v="11324.150000000001"/>
    <n v="-7938.7500000000018"/>
  </r>
  <r>
    <n v="225"/>
    <n v="40"/>
    <s v="female"/>
    <x v="125"/>
    <n v="100"/>
    <s v="No"/>
    <n v="1"/>
    <x v="0"/>
    <s v="southeast"/>
    <n v="3392.37"/>
    <x v="4"/>
    <n v="0"/>
    <n v="1"/>
    <n v="0"/>
    <n v="0"/>
    <n v="0.19001386962887423"/>
    <n v="0"/>
    <n v="0"/>
    <n v="1"/>
    <n v="8690.8000000000011"/>
    <n v="-5298.4300000000012"/>
  </r>
  <r>
    <n v="226"/>
    <n v="60"/>
    <s v="female"/>
    <x v="123"/>
    <n v="82"/>
    <s v="Yes"/>
    <n v="1"/>
    <x v="0"/>
    <s v="southeast"/>
    <n v="3392.98"/>
    <x v="4"/>
    <n v="0"/>
    <n v="1"/>
    <n v="0"/>
    <n v="0"/>
    <n v="0.24903318871557967"/>
    <n v="0"/>
    <n v="1"/>
    <n v="1"/>
    <n v="5757.7200000000012"/>
    <n v="-2364.7400000000011"/>
  </r>
  <r>
    <n v="227"/>
    <n v="35"/>
    <s v="female"/>
    <x v="143"/>
    <n v="85"/>
    <s v="No"/>
    <n v="2"/>
    <x v="0"/>
    <s v="southeast"/>
    <n v="3393.36"/>
    <x v="2"/>
    <n v="0"/>
    <n v="1"/>
    <n v="0"/>
    <n v="0"/>
    <n v="0.24881866215841253"/>
    <n v="0"/>
    <n v="0"/>
    <n v="1"/>
    <n v="7828.19"/>
    <n v="-4434.83"/>
  </r>
  <r>
    <n v="228"/>
    <n v="34"/>
    <s v="female"/>
    <x v="144"/>
    <n v="92"/>
    <s v="No"/>
    <n v="1"/>
    <x v="0"/>
    <s v="southwest"/>
    <n v="3410.32"/>
    <x v="2"/>
    <n v="0"/>
    <n v="0"/>
    <n v="1"/>
    <n v="0"/>
    <n v="0.11618475856317512"/>
    <n v="0"/>
    <n v="0"/>
    <n v="1"/>
    <n v="9213.33"/>
    <n v="-5803.01"/>
  </r>
  <r>
    <n v="229"/>
    <n v="40"/>
    <s v="male"/>
    <x v="145"/>
    <n v="81"/>
    <s v="No"/>
    <n v="3"/>
    <x v="0"/>
    <s v="southwest"/>
    <n v="3443.06"/>
    <x v="1"/>
    <n v="0"/>
    <n v="0"/>
    <n v="1"/>
    <n v="0"/>
    <n v="0.80234922628082028"/>
    <n v="0"/>
    <n v="0"/>
    <n v="0"/>
    <n v="7831.8899999999994"/>
    <n v="-4388.83"/>
  </r>
  <r>
    <n v="230"/>
    <n v="42"/>
    <s v="male"/>
    <x v="146"/>
    <n v="94"/>
    <s v="No"/>
    <n v="1"/>
    <x v="0"/>
    <s v="southeast"/>
    <n v="3471.41"/>
    <x v="2"/>
    <n v="0"/>
    <n v="1"/>
    <n v="0"/>
    <n v="0"/>
    <n v="2.6428223088663216E-2"/>
    <n v="0"/>
    <n v="0"/>
    <n v="0"/>
    <n v="8089.4500000000007"/>
    <n v="-4618.0400000000009"/>
  </r>
  <r>
    <n v="231"/>
    <n v="22"/>
    <s v="male"/>
    <x v="15"/>
    <n v="95"/>
    <s v="Yes"/>
    <n v="3"/>
    <x v="0"/>
    <s v="southeast"/>
    <n v="3481.87"/>
    <x v="1"/>
    <n v="0"/>
    <n v="1"/>
    <n v="0"/>
    <n v="0"/>
    <n v="5.5329836077178118E-2"/>
    <n v="0"/>
    <n v="1"/>
    <n v="0"/>
    <n v="8955.3100000000031"/>
    <n v="-5473.4400000000032"/>
  </r>
  <r>
    <n v="232"/>
    <n v="35"/>
    <s v="male"/>
    <x v="105"/>
    <n v="88"/>
    <s v="No"/>
    <n v="2"/>
    <x v="0"/>
    <s v="southwest"/>
    <n v="3484.33"/>
    <x v="0"/>
    <n v="0"/>
    <n v="0"/>
    <n v="1"/>
    <n v="0"/>
    <n v="0.45073515783653284"/>
    <n v="0"/>
    <n v="0"/>
    <n v="0"/>
    <n v="7268.1299999999992"/>
    <n v="-3783.7999999999993"/>
  </r>
  <r>
    <n v="233"/>
    <n v="49"/>
    <s v="male"/>
    <x v="147"/>
    <n v="93"/>
    <s v="Yes"/>
    <n v="1"/>
    <x v="0"/>
    <s v="southeast"/>
    <n v="3490.55"/>
    <x v="1"/>
    <n v="0"/>
    <n v="1"/>
    <n v="0"/>
    <n v="0"/>
    <n v="0.10424339526421778"/>
    <n v="0"/>
    <n v="1"/>
    <n v="0"/>
    <n v="7304.64"/>
    <n v="-3814.09"/>
  </r>
  <r>
    <n v="234"/>
    <n v="30"/>
    <s v="female"/>
    <x v="148"/>
    <n v="92"/>
    <s v="No"/>
    <n v="2"/>
    <x v="0"/>
    <s v="southeast"/>
    <n v="3500.61"/>
    <x v="2"/>
    <n v="0"/>
    <n v="1"/>
    <n v="0"/>
    <n v="0"/>
    <n v="0.20222047154978295"/>
    <n v="0"/>
    <n v="0"/>
    <n v="1"/>
    <n v="9003.0200000000023"/>
    <n v="-5502.4100000000017"/>
  </r>
  <r>
    <n v="235"/>
    <n v="21"/>
    <s v="male"/>
    <x v="47"/>
    <n v="98"/>
    <s v="Yes"/>
    <n v="2"/>
    <x v="0"/>
    <s v="northwest"/>
    <n v="3537.7"/>
    <x v="4"/>
    <n v="0"/>
    <n v="0"/>
    <n v="0"/>
    <n v="1"/>
    <n v="0.28053263683359719"/>
    <n v="0"/>
    <n v="1"/>
    <n v="0"/>
    <n v="9231.3599999999988"/>
    <n v="-5693.6599999999989"/>
  </r>
  <r>
    <n v="236"/>
    <n v="58"/>
    <s v="female"/>
    <x v="110"/>
    <n v="82"/>
    <s v="No"/>
    <n v="0"/>
    <x v="0"/>
    <s v="southwest"/>
    <n v="3554.2"/>
    <x v="4"/>
    <n v="0"/>
    <n v="0"/>
    <n v="1"/>
    <n v="0"/>
    <n v="0.52269382128201802"/>
    <n v="0"/>
    <n v="0"/>
    <n v="1"/>
    <n v="5591.62"/>
    <n v="-2037.42"/>
  </r>
  <r>
    <n v="237"/>
    <n v="59"/>
    <s v="female"/>
    <x v="145"/>
    <n v="85"/>
    <s v="Yes"/>
    <n v="0"/>
    <x v="0"/>
    <s v="northwest"/>
    <n v="3556.92"/>
    <x v="1"/>
    <n v="0"/>
    <n v="0"/>
    <n v="0"/>
    <n v="1"/>
    <n v="0.68978194796056747"/>
    <n v="0"/>
    <n v="1"/>
    <n v="1"/>
    <n v="6615.1699999999992"/>
    <n v="-3058.2499999999991"/>
  </r>
  <r>
    <n v="238"/>
    <n v="48"/>
    <s v="female"/>
    <x v="29"/>
    <n v="82"/>
    <s v="No"/>
    <n v="0"/>
    <x v="0"/>
    <s v="southeast"/>
    <n v="3558.62"/>
    <x v="4"/>
    <n v="0"/>
    <n v="1"/>
    <n v="0"/>
    <n v="0"/>
    <n v="0.95047181320179297"/>
    <n v="0"/>
    <n v="0"/>
    <n v="1"/>
    <n v="4702.050000000002"/>
    <n v="-1143.4300000000021"/>
  </r>
  <r>
    <n v="239"/>
    <n v="32"/>
    <s v="female"/>
    <x v="0"/>
    <n v="89"/>
    <s v="Yes"/>
    <n v="1"/>
    <x v="0"/>
    <s v="southeast"/>
    <n v="3561.89"/>
    <x v="0"/>
    <n v="0"/>
    <n v="1"/>
    <n v="0"/>
    <n v="0"/>
    <n v="0.61067314931370997"/>
    <n v="0"/>
    <n v="1"/>
    <n v="1"/>
    <n v="6337.84"/>
    <n v="-2775.9500000000003"/>
  </r>
  <r>
    <n v="240"/>
    <n v="31"/>
    <s v="female"/>
    <x v="145"/>
    <n v="88"/>
    <s v="No"/>
    <n v="1"/>
    <x v="0"/>
    <s v="southwest"/>
    <n v="3578"/>
    <x v="1"/>
    <n v="0"/>
    <n v="0"/>
    <n v="1"/>
    <n v="0"/>
    <n v="0.97400995457268835"/>
    <n v="0"/>
    <n v="0"/>
    <n v="1"/>
    <n v="7929.0099999999975"/>
    <n v="-4351.0099999999975"/>
  </r>
  <r>
    <n v="241"/>
    <n v="47"/>
    <s v="female"/>
    <x v="149"/>
    <n v="84"/>
    <s v="Yes"/>
    <n v="2"/>
    <x v="0"/>
    <s v="northwest"/>
    <n v="3579.83"/>
    <x v="1"/>
    <n v="0"/>
    <n v="0"/>
    <n v="0"/>
    <n v="1"/>
    <n v="0.97024328993739617"/>
    <n v="0"/>
    <n v="1"/>
    <n v="1"/>
    <n v="7844.8199999999988"/>
    <n v="-4264.9899999999989"/>
  </r>
  <r>
    <n v="242"/>
    <n v="23"/>
    <s v="male"/>
    <x v="112"/>
    <n v="82"/>
    <s v="Yes"/>
    <n v="3"/>
    <x v="0"/>
    <s v="southwest"/>
    <n v="3591.48"/>
    <x v="1"/>
    <n v="0"/>
    <n v="0"/>
    <n v="1"/>
    <n v="0"/>
    <n v="0.41258132331735597"/>
    <n v="0"/>
    <n v="1"/>
    <n v="0"/>
    <n v="7764.6300000000019"/>
    <n v="-4173.1500000000015"/>
  </r>
  <r>
    <n v="243"/>
    <n v="36"/>
    <s v="female"/>
    <x v="84"/>
    <n v="91"/>
    <s v="Yes"/>
    <n v="1"/>
    <x v="0"/>
    <s v="northwest"/>
    <n v="3594.17"/>
    <x v="0"/>
    <n v="0"/>
    <n v="0"/>
    <n v="0"/>
    <n v="1"/>
    <n v="0.67568160532019972"/>
    <n v="0"/>
    <n v="1"/>
    <n v="1"/>
    <n v="7288.7399999999989"/>
    <n v="-3694.5699999999988"/>
  </r>
  <r>
    <n v="244"/>
    <n v="48"/>
    <s v="male"/>
    <x v="140"/>
    <n v="97"/>
    <s v="No"/>
    <n v="3"/>
    <x v="0"/>
    <s v="southwest"/>
    <n v="3597.6"/>
    <x v="2"/>
    <n v="0"/>
    <n v="0"/>
    <n v="1"/>
    <n v="0"/>
    <n v="0.24212570451049931"/>
    <n v="0"/>
    <n v="0"/>
    <n v="0"/>
    <n v="10571.74"/>
    <n v="-6974.1399999999994"/>
  </r>
  <r>
    <n v="245"/>
    <n v="18"/>
    <s v="male"/>
    <x v="44"/>
    <n v="99"/>
    <s v="Yes"/>
    <n v="0"/>
    <x v="0"/>
    <s v="northeast"/>
    <n v="3645.09"/>
    <x v="4"/>
    <n v="0"/>
    <n v="0"/>
    <n v="0"/>
    <n v="0"/>
    <n v="0.86836036148304729"/>
    <n v="0"/>
    <n v="1"/>
    <n v="0"/>
    <n v="10609.85"/>
    <n v="-6964.76"/>
  </r>
  <r>
    <n v="246"/>
    <n v="23"/>
    <s v="male"/>
    <x v="23"/>
    <n v="88"/>
    <s v="No"/>
    <n v="1"/>
    <x v="0"/>
    <s v="southwest"/>
    <n v="3659.35"/>
    <x v="1"/>
    <n v="0"/>
    <n v="0"/>
    <n v="1"/>
    <n v="0"/>
    <n v="0.94656832651272205"/>
    <n v="0"/>
    <n v="0"/>
    <n v="0"/>
    <n v="7203.5999999999985"/>
    <n v="-3544.2499999999986"/>
  </r>
  <r>
    <n v="247"/>
    <n v="20"/>
    <s v="male"/>
    <x v="150"/>
    <n v="97"/>
    <s v="No"/>
    <n v="2"/>
    <x v="0"/>
    <s v="southwest"/>
    <n v="3693.43"/>
    <x v="2"/>
    <n v="0"/>
    <n v="0"/>
    <n v="1"/>
    <n v="0"/>
    <n v="0.66323771898590445"/>
    <n v="0"/>
    <n v="0"/>
    <n v="0"/>
    <n v="10621.739999999998"/>
    <n v="-6928.3099999999977"/>
  </r>
  <r>
    <n v="248"/>
    <n v="31"/>
    <s v="male"/>
    <x v="98"/>
    <n v="92"/>
    <s v="No"/>
    <n v="0"/>
    <x v="0"/>
    <s v="southeast"/>
    <n v="3704.35"/>
    <x v="1"/>
    <n v="0"/>
    <n v="1"/>
    <n v="0"/>
    <n v="0"/>
    <n v="0.40330992842405866"/>
    <n v="0"/>
    <n v="0"/>
    <n v="0"/>
    <n v="6310.8100000000013"/>
    <n v="-2606.4600000000014"/>
  </r>
  <r>
    <n v="249"/>
    <n v="35"/>
    <s v="female"/>
    <x v="151"/>
    <n v="82"/>
    <s v="Yes"/>
    <n v="0"/>
    <x v="0"/>
    <s v="northeast"/>
    <n v="3732.63"/>
    <x v="3"/>
    <n v="0"/>
    <n v="0"/>
    <n v="0"/>
    <n v="0"/>
    <n v="0.14286399078148815"/>
    <n v="0"/>
    <n v="1"/>
    <n v="1"/>
    <n v="7618.91"/>
    <n v="-3886.2799999999997"/>
  </r>
  <r>
    <n v="250"/>
    <n v="49"/>
    <s v="female"/>
    <x v="81"/>
    <n v="88"/>
    <s v="No"/>
    <n v="0"/>
    <x v="0"/>
    <s v="northwest"/>
    <n v="3736.46"/>
    <x v="4"/>
    <n v="0"/>
    <n v="0"/>
    <n v="0"/>
    <n v="1"/>
    <n v="0.16328209653836712"/>
    <n v="0"/>
    <n v="0"/>
    <n v="1"/>
    <n v="6423.4"/>
    <n v="-2686.9399999999996"/>
  </r>
  <r>
    <n v="251"/>
    <n v="45"/>
    <s v="female"/>
    <x v="87"/>
    <n v="80"/>
    <s v="No"/>
    <n v="0"/>
    <x v="0"/>
    <s v="southeast"/>
    <n v="3756.62"/>
    <x v="4"/>
    <n v="0"/>
    <n v="1"/>
    <n v="0"/>
    <n v="0"/>
    <n v="7.2101471671711659E-3"/>
    <n v="0"/>
    <n v="0"/>
    <n v="1"/>
    <n v="4429.46"/>
    <n v="-672.84000000000015"/>
  </r>
  <r>
    <n v="252"/>
    <n v="30"/>
    <s v="female"/>
    <x v="130"/>
    <n v="89"/>
    <s v="Yes"/>
    <n v="0"/>
    <x v="0"/>
    <s v="southeast"/>
    <n v="3757.84"/>
    <x v="4"/>
    <n v="0"/>
    <n v="1"/>
    <n v="0"/>
    <n v="0"/>
    <n v="0.92206669449546363"/>
    <n v="0"/>
    <n v="1"/>
    <n v="1"/>
    <n v="5892.8600000000006"/>
    <n v="-2135.0200000000004"/>
  </r>
  <r>
    <n v="253"/>
    <n v="52"/>
    <s v="female"/>
    <x v="152"/>
    <n v="90"/>
    <s v="No"/>
    <n v="0"/>
    <x v="0"/>
    <s v="southwest"/>
    <n v="3761.29"/>
    <x v="4"/>
    <n v="0"/>
    <n v="0"/>
    <n v="1"/>
    <n v="0"/>
    <n v="8.7745935877493242E-2"/>
    <n v="0"/>
    <n v="0"/>
    <n v="1"/>
    <n v="6995.72"/>
    <n v="-3234.4300000000003"/>
  </r>
  <r>
    <n v="254"/>
    <n v="44"/>
    <s v="female"/>
    <x v="153"/>
    <n v="84"/>
    <s v="No"/>
    <n v="1"/>
    <x v="0"/>
    <s v="southeast"/>
    <n v="3766.88"/>
    <x v="2"/>
    <n v="0"/>
    <n v="1"/>
    <n v="0"/>
    <n v="0"/>
    <n v="0.92114007911311324"/>
    <n v="0"/>
    <n v="0"/>
    <n v="1"/>
    <n v="6824.79"/>
    <n v="-3057.91"/>
  </r>
  <r>
    <n v="255"/>
    <n v="31"/>
    <s v="male"/>
    <x v="43"/>
    <n v="83"/>
    <s v="No"/>
    <n v="2"/>
    <x v="0"/>
    <s v="southwest"/>
    <n v="3847.67"/>
    <x v="0"/>
    <n v="0"/>
    <n v="0"/>
    <n v="1"/>
    <n v="0"/>
    <n v="0.57231909973817074"/>
    <n v="0"/>
    <n v="0"/>
    <n v="0"/>
    <n v="6483.85"/>
    <n v="-2636.1800000000003"/>
  </r>
  <r>
    <n v="256"/>
    <n v="25"/>
    <s v="male"/>
    <x v="131"/>
    <n v="86"/>
    <s v="Yes"/>
    <n v="0"/>
    <x v="0"/>
    <s v="northeast"/>
    <n v="3857.76"/>
    <x v="1"/>
    <n v="0"/>
    <n v="0"/>
    <n v="0"/>
    <n v="0"/>
    <n v="0.17958526138791742"/>
    <n v="0"/>
    <n v="1"/>
    <n v="0"/>
    <n v="8987.92"/>
    <n v="-5130.16"/>
  </r>
  <r>
    <n v="257"/>
    <n v="34"/>
    <s v="male"/>
    <x v="113"/>
    <n v="80"/>
    <s v="No"/>
    <n v="3"/>
    <x v="0"/>
    <s v="northeast"/>
    <n v="3861.21"/>
    <x v="0"/>
    <n v="0"/>
    <n v="0"/>
    <n v="0"/>
    <n v="0"/>
    <n v="0.74493050527792881"/>
    <n v="0"/>
    <n v="0"/>
    <n v="0"/>
    <n v="9387.7900000000009"/>
    <n v="-5526.5800000000008"/>
  </r>
  <r>
    <n v="258"/>
    <n v="33"/>
    <s v="male"/>
    <x v="55"/>
    <n v="87"/>
    <s v="No"/>
    <n v="0"/>
    <x v="0"/>
    <s v="northwest"/>
    <n v="3866.86"/>
    <x v="4"/>
    <n v="0"/>
    <n v="0"/>
    <n v="0"/>
    <n v="1"/>
    <n v="0.16873636957898608"/>
    <n v="0"/>
    <n v="0"/>
    <n v="0"/>
    <n v="6087.29"/>
    <n v="-2220.4299999999998"/>
  </r>
  <r>
    <n v="259"/>
    <n v="32"/>
    <s v="male"/>
    <x v="38"/>
    <n v="88"/>
    <s v="Yes"/>
    <n v="1"/>
    <x v="0"/>
    <s v="southeast"/>
    <n v="3875.73"/>
    <x v="2"/>
    <n v="0"/>
    <n v="1"/>
    <n v="0"/>
    <n v="0"/>
    <n v="0.77108827870680963"/>
    <n v="0"/>
    <n v="1"/>
    <n v="0"/>
    <n v="7126.95"/>
    <n v="-3251.22"/>
  </r>
  <r>
    <n v="260"/>
    <n v="18"/>
    <s v="male"/>
    <x v="131"/>
    <n v="92"/>
    <s v="No"/>
    <n v="2"/>
    <x v="0"/>
    <s v="northwest"/>
    <n v="3877.3"/>
    <x v="1"/>
    <n v="0"/>
    <n v="0"/>
    <n v="0"/>
    <n v="1"/>
    <n v="0.30353083846409623"/>
    <n v="0"/>
    <n v="0"/>
    <n v="0"/>
    <n v="8551.9200000000019"/>
    <n v="-4674.6200000000017"/>
  </r>
  <r>
    <n v="261"/>
    <n v="28"/>
    <s v="male"/>
    <x v="36"/>
    <n v="92"/>
    <s v="No"/>
    <n v="3"/>
    <x v="0"/>
    <s v="southwest"/>
    <n v="3906.13"/>
    <x v="4"/>
    <n v="0"/>
    <n v="0"/>
    <n v="1"/>
    <n v="0"/>
    <n v="0.94327181838158014"/>
    <n v="0"/>
    <n v="0"/>
    <n v="0"/>
    <n v="8918.7400000000016"/>
    <n v="-5012.6100000000015"/>
  </r>
  <r>
    <n v="262"/>
    <n v="42"/>
    <s v="female"/>
    <x v="78"/>
    <n v="80"/>
    <s v="No"/>
    <n v="2"/>
    <x v="0"/>
    <s v="northeast"/>
    <n v="3925.76"/>
    <x v="1"/>
    <n v="0"/>
    <n v="0"/>
    <n v="0"/>
    <n v="0"/>
    <n v="0.63474175114161524"/>
    <n v="0"/>
    <n v="0"/>
    <n v="1"/>
    <n v="10315.460000000001"/>
    <n v="-6389.7000000000007"/>
  </r>
  <r>
    <n v="263"/>
    <n v="36"/>
    <s v="male"/>
    <x v="154"/>
    <n v="96"/>
    <s v="Yes"/>
    <n v="0"/>
    <x v="0"/>
    <s v="southeast"/>
    <n v="3935.18"/>
    <x v="1"/>
    <n v="0"/>
    <n v="1"/>
    <n v="0"/>
    <n v="0"/>
    <n v="0.39335693578770503"/>
    <n v="0"/>
    <n v="1"/>
    <n v="0"/>
    <n v="7207.1600000000008"/>
    <n v="-3271.9800000000009"/>
  </r>
  <r>
    <n v="264"/>
    <n v="46"/>
    <s v="female"/>
    <x v="155"/>
    <n v="88"/>
    <s v="Yes"/>
    <n v="0"/>
    <x v="0"/>
    <s v="northeast"/>
    <n v="3943.6"/>
    <x v="1"/>
    <n v="0"/>
    <n v="0"/>
    <n v="0"/>
    <n v="0"/>
    <n v="0.77940342137014484"/>
    <n v="0"/>
    <n v="1"/>
    <n v="1"/>
    <n v="9750.8200000000015"/>
    <n v="-5807.2200000000012"/>
  </r>
  <r>
    <n v="265"/>
    <n v="46"/>
    <s v="female"/>
    <x v="66"/>
    <n v="86"/>
    <s v="Yes"/>
    <n v="1"/>
    <x v="0"/>
    <s v="southeast"/>
    <n v="3947.41"/>
    <x v="4"/>
    <n v="0"/>
    <n v="1"/>
    <n v="0"/>
    <n v="0"/>
    <n v="0.58078392460799733"/>
    <n v="0"/>
    <n v="1"/>
    <n v="1"/>
    <n v="6388.3499999999985"/>
    <n v="-2440.9399999999987"/>
  </r>
  <r>
    <n v="266"/>
    <n v="38"/>
    <s v="female"/>
    <x v="70"/>
    <n v="86"/>
    <s v="Yes"/>
    <n v="1"/>
    <x v="0"/>
    <s v="northwest"/>
    <n v="3956.07"/>
    <x v="1"/>
    <n v="0"/>
    <n v="0"/>
    <n v="0"/>
    <n v="1"/>
    <n v="0.19953382948913223"/>
    <n v="0"/>
    <n v="1"/>
    <n v="1"/>
    <n v="7240.6299999999983"/>
    <n v="-3284.5599999999981"/>
  </r>
  <r>
    <n v="267"/>
    <n v="53"/>
    <s v="female"/>
    <x v="55"/>
    <n v="93"/>
    <s v="No"/>
    <n v="0"/>
    <x v="0"/>
    <s v="southeast"/>
    <n v="3972.92"/>
    <x v="4"/>
    <n v="0"/>
    <n v="1"/>
    <n v="0"/>
    <n v="0"/>
    <n v="4.5426939734964256E-2"/>
    <n v="0"/>
    <n v="0"/>
    <n v="1"/>
    <n v="6767.4900000000007"/>
    <n v="-2794.5700000000006"/>
  </r>
  <r>
    <n v="268"/>
    <n v="35"/>
    <s v="female"/>
    <x v="123"/>
    <n v="93"/>
    <s v="Yes"/>
    <n v="2"/>
    <x v="0"/>
    <s v="southeast"/>
    <n v="3981.98"/>
    <x v="4"/>
    <n v="0"/>
    <n v="1"/>
    <n v="0"/>
    <n v="0"/>
    <n v="0.76235337260710057"/>
    <n v="0"/>
    <n v="1"/>
    <n v="1"/>
    <n v="8283.4500000000007"/>
    <n v="-4301.4700000000012"/>
  </r>
  <r>
    <n v="269"/>
    <n v="48"/>
    <s v="female"/>
    <x v="154"/>
    <n v="99"/>
    <s v="Yes"/>
    <n v="2"/>
    <x v="0"/>
    <s v="southwest"/>
    <n v="3987.93"/>
    <x v="1"/>
    <n v="0"/>
    <n v="0"/>
    <n v="1"/>
    <n v="0"/>
    <n v="0.71105067759483287"/>
    <n v="0"/>
    <n v="1"/>
    <n v="1"/>
    <n v="10280.620000000001"/>
    <n v="-6292.6900000000005"/>
  </r>
  <r>
    <n v="270"/>
    <n v="49"/>
    <s v="female"/>
    <x v="7"/>
    <n v="88"/>
    <s v="Yes"/>
    <n v="0"/>
    <x v="0"/>
    <s v="southwest"/>
    <n v="3989.84"/>
    <x v="2"/>
    <n v="0"/>
    <n v="0"/>
    <n v="1"/>
    <n v="0"/>
    <n v="0.8146012574282484"/>
    <n v="0"/>
    <n v="1"/>
    <n v="1"/>
    <n v="7637.32"/>
    <n v="-3647.4799999999996"/>
  </r>
  <r>
    <n v="271"/>
    <n v="46"/>
    <s v="female"/>
    <x v="156"/>
    <n v="91"/>
    <s v="Yes"/>
    <n v="0"/>
    <x v="0"/>
    <s v="southeast"/>
    <n v="3994.18"/>
    <x v="2"/>
    <n v="0"/>
    <n v="1"/>
    <n v="0"/>
    <n v="0"/>
    <n v="0.99537272765714491"/>
    <n v="0"/>
    <n v="1"/>
    <n v="1"/>
    <n v="7696.3600000000006"/>
    <n v="-3702.1800000000007"/>
  </r>
  <r>
    <n v="272"/>
    <n v="48"/>
    <s v="male"/>
    <x v="157"/>
    <n v="82"/>
    <s v="No"/>
    <n v="3"/>
    <x v="0"/>
    <s v="northeast"/>
    <n v="4005.42"/>
    <x v="0"/>
    <n v="0"/>
    <n v="0"/>
    <n v="0"/>
    <n v="0"/>
    <n v="0.98913404016571238"/>
    <n v="0"/>
    <n v="0"/>
    <n v="0"/>
    <n v="9671.9500000000007"/>
    <n v="-5666.5300000000007"/>
  </r>
  <r>
    <n v="273"/>
    <n v="44"/>
    <s v="male"/>
    <x v="97"/>
    <n v="86"/>
    <s v="No"/>
    <n v="1"/>
    <x v="0"/>
    <s v="northwest"/>
    <n v="4032.24"/>
    <x v="0"/>
    <n v="0"/>
    <n v="0"/>
    <n v="0"/>
    <n v="1"/>
    <n v="0.80184701639166533"/>
    <n v="0"/>
    <n v="0"/>
    <n v="0"/>
    <n v="6241.46"/>
    <n v="-2209.2200000000003"/>
  </r>
  <r>
    <n v="274"/>
    <n v="43"/>
    <s v="male"/>
    <x v="69"/>
    <n v="91"/>
    <s v="No"/>
    <n v="1"/>
    <x v="0"/>
    <s v="northeast"/>
    <n v="4040.56"/>
    <x v="4"/>
    <n v="0"/>
    <n v="0"/>
    <n v="0"/>
    <n v="0"/>
    <n v="0.44117816414346744"/>
    <n v="0"/>
    <n v="0"/>
    <n v="0"/>
    <n v="10407.68"/>
    <n v="-6367.1200000000008"/>
  </r>
  <r>
    <n v="275"/>
    <n v="24"/>
    <s v="male"/>
    <x v="6"/>
    <n v="99"/>
    <s v="Yes"/>
    <n v="2"/>
    <x v="0"/>
    <s v="southeast"/>
    <n v="4058.12"/>
    <x v="2"/>
    <n v="0"/>
    <n v="1"/>
    <n v="0"/>
    <n v="0"/>
    <n v="0.81822610429284248"/>
    <n v="0"/>
    <n v="1"/>
    <n v="0"/>
    <n v="9442.82"/>
    <n v="-5384.7"/>
  </r>
  <r>
    <n v="276"/>
    <n v="37"/>
    <s v="male"/>
    <x v="100"/>
    <n v="90"/>
    <s v="Yes"/>
    <n v="2"/>
    <x v="0"/>
    <s v="northwest"/>
    <n v="4058.71"/>
    <x v="1"/>
    <n v="0"/>
    <n v="0"/>
    <n v="0"/>
    <n v="1"/>
    <n v="0.62238766880941698"/>
    <n v="0"/>
    <n v="1"/>
    <n v="0"/>
    <n v="8336.01"/>
    <n v="-4277.3"/>
  </r>
  <r>
    <n v="277"/>
    <n v="23"/>
    <s v="male"/>
    <x v="49"/>
    <n v="95"/>
    <s v="Yes"/>
    <n v="1"/>
    <x v="0"/>
    <s v="southeast"/>
    <n v="4074.45"/>
    <x v="1"/>
    <n v="0"/>
    <n v="1"/>
    <n v="0"/>
    <n v="0"/>
    <n v="0.98248696578397043"/>
    <n v="0"/>
    <n v="1"/>
    <n v="0"/>
    <n v="7443.3500000000013"/>
    <n v="-3368.9000000000015"/>
  </r>
  <r>
    <n v="278"/>
    <n v="26"/>
    <s v="male"/>
    <x v="67"/>
    <n v="95"/>
    <s v="Yes"/>
    <n v="1"/>
    <x v="0"/>
    <s v="southwest"/>
    <n v="4076.5"/>
    <x v="1"/>
    <n v="0"/>
    <n v="0"/>
    <n v="1"/>
    <n v="0"/>
    <n v="0.19277772611386967"/>
    <n v="0"/>
    <n v="1"/>
    <n v="0"/>
    <n v="8256.380000000001"/>
    <n v="-4179.880000000001"/>
  </r>
  <r>
    <n v="279"/>
    <n v="49"/>
    <s v="female"/>
    <x v="142"/>
    <n v="80"/>
    <s v="Yes"/>
    <n v="1"/>
    <x v="0"/>
    <s v="northwest"/>
    <n v="4133.6400000000003"/>
    <x v="4"/>
    <n v="0"/>
    <n v="0"/>
    <n v="0"/>
    <n v="1"/>
    <n v="0.24333557995404387"/>
    <n v="0"/>
    <n v="1"/>
    <n v="1"/>
    <n v="5807.3099999999986"/>
    <n v="-1673.6699999999983"/>
  </r>
  <r>
    <n v="280"/>
    <n v="47"/>
    <s v="female"/>
    <x v="25"/>
    <n v="98"/>
    <s v="No"/>
    <n v="0"/>
    <x v="0"/>
    <s v="northwest"/>
    <n v="4134.08"/>
    <x v="0"/>
    <n v="0"/>
    <n v="0"/>
    <n v="0"/>
    <n v="1"/>
    <n v="0.18123541054567893"/>
    <n v="0"/>
    <n v="0"/>
    <n v="1"/>
    <n v="7662.76"/>
    <n v="-3528.6800000000003"/>
  </r>
  <r>
    <n v="281"/>
    <n v="25"/>
    <s v="female"/>
    <x v="72"/>
    <n v="88"/>
    <s v="Yes"/>
    <n v="0"/>
    <x v="0"/>
    <s v="southeast"/>
    <n v="4137.5200000000004"/>
    <x v="4"/>
    <n v="0"/>
    <n v="1"/>
    <n v="0"/>
    <n v="0"/>
    <n v="0.9275093557842109"/>
    <n v="0"/>
    <n v="1"/>
    <n v="1"/>
    <n v="5850.82"/>
    <n v="-1713.2999999999993"/>
  </r>
  <r>
    <n v="282"/>
    <n v="59"/>
    <s v="female"/>
    <x v="106"/>
    <n v="94"/>
    <s v="No"/>
    <n v="1"/>
    <x v="0"/>
    <s v="southwest"/>
    <n v="4149.74"/>
    <x v="1"/>
    <n v="0"/>
    <n v="0"/>
    <n v="1"/>
    <n v="0"/>
    <n v="0.91812039164926507"/>
    <n v="0"/>
    <n v="0"/>
    <n v="1"/>
    <n v="8645.51"/>
    <n v="-4495.7700000000004"/>
  </r>
  <r>
    <n v="283"/>
    <n v="48"/>
    <s v="female"/>
    <x v="2"/>
    <n v="100"/>
    <s v="Yes"/>
    <n v="1"/>
    <x v="0"/>
    <s v="southeast"/>
    <n v="4151.03"/>
    <x v="1"/>
    <n v="0"/>
    <n v="1"/>
    <n v="0"/>
    <n v="0"/>
    <n v="0.59136894797953532"/>
    <n v="0"/>
    <n v="1"/>
    <n v="1"/>
    <n v="8936.4000000000015"/>
    <n v="-4785.3700000000017"/>
  </r>
  <r>
    <n v="284"/>
    <n v="34"/>
    <s v="female"/>
    <x v="89"/>
    <n v="90"/>
    <s v="Yes"/>
    <n v="0"/>
    <x v="0"/>
    <s v="southeast"/>
    <n v="4185.1000000000004"/>
    <x v="0"/>
    <n v="0"/>
    <n v="1"/>
    <n v="0"/>
    <n v="0"/>
    <n v="7.0377541409070044E-2"/>
    <n v="0"/>
    <n v="1"/>
    <n v="1"/>
    <n v="5850.68"/>
    <n v="-1665.58"/>
  </r>
  <r>
    <n v="285"/>
    <n v="25"/>
    <s v="female"/>
    <x v="36"/>
    <n v="98"/>
    <s v="No"/>
    <n v="2"/>
    <x v="0"/>
    <s v="northwest"/>
    <n v="4189.1099999999997"/>
    <x v="4"/>
    <n v="0"/>
    <n v="0"/>
    <n v="0"/>
    <n v="1"/>
    <n v="0.49151445917894454"/>
    <n v="0"/>
    <n v="0"/>
    <n v="1"/>
    <n v="9594.9000000000015"/>
    <n v="-5405.7900000000018"/>
  </r>
  <r>
    <n v="286"/>
    <n v="27"/>
    <s v="female"/>
    <x v="1"/>
    <n v="81"/>
    <s v="No"/>
    <n v="3"/>
    <x v="0"/>
    <s v="southwest"/>
    <n v="4234.93"/>
    <x v="1"/>
    <n v="0"/>
    <n v="0"/>
    <n v="1"/>
    <n v="0"/>
    <n v="0.32912007432873969"/>
    <n v="0"/>
    <n v="0"/>
    <n v="1"/>
    <n v="7891.63"/>
    <n v="-3656.7"/>
  </r>
  <r>
    <n v="287"/>
    <n v="30"/>
    <s v="male"/>
    <x v="13"/>
    <n v="90"/>
    <s v="No"/>
    <n v="1"/>
    <x v="0"/>
    <s v="southeast"/>
    <n v="4237.13"/>
    <x v="4"/>
    <n v="0"/>
    <n v="1"/>
    <n v="0"/>
    <n v="0"/>
    <n v="0.63444918544324347"/>
    <n v="0"/>
    <n v="0"/>
    <n v="0"/>
    <n v="6500.3000000000011"/>
    <n v="-2263.170000000001"/>
  </r>
  <r>
    <n v="288"/>
    <n v="35"/>
    <s v="male"/>
    <x v="142"/>
    <n v="84"/>
    <s v="Yes"/>
    <n v="1"/>
    <x v="0"/>
    <s v="northwest"/>
    <n v="4239.8900000000003"/>
    <x v="4"/>
    <n v="0"/>
    <n v="0"/>
    <n v="0"/>
    <n v="1"/>
    <n v="0.41985412154330837"/>
    <n v="0"/>
    <n v="1"/>
    <n v="0"/>
    <n v="6018.6399999999976"/>
    <n v="-1778.7499999999973"/>
  </r>
  <r>
    <n v="289"/>
    <n v="37"/>
    <s v="male"/>
    <x v="138"/>
    <n v="93"/>
    <s v="Yes"/>
    <n v="1"/>
    <x v="0"/>
    <s v="northwest"/>
    <n v="4243.59"/>
    <x v="4"/>
    <n v="0"/>
    <n v="0"/>
    <n v="0"/>
    <n v="1"/>
    <n v="0.85410879509087589"/>
    <n v="0"/>
    <n v="1"/>
    <n v="0"/>
    <n v="7683.24"/>
    <n v="-3439.6499999999996"/>
  </r>
  <r>
    <n v="290"/>
    <n v="35"/>
    <s v="male"/>
    <x v="98"/>
    <n v="80"/>
    <s v="No"/>
    <n v="3"/>
    <x v="0"/>
    <s v="southwest"/>
    <n v="4260.74"/>
    <x v="1"/>
    <n v="0"/>
    <n v="0"/>
    <n v="1"/>
    <n v="0"/>
    <n v="0.36006590174889475"/>
    <n v="0"/>
    <n v="0"/>
    <n v="0"/>
    <n v="7293.9500000000007"/>
    <n v="-3033.2100000000009"/>
  </r>
  <r>
    <n v="291"/>
    <n v="49"/>
    <s v="male"/>
    <x v="156"/>
    <n v="80"/>
    <s v="No"/>
    <n v="2"/>
    <x v="0"/>
    <s v="southeast"/>
    <n v="4266.17"/>
    <x v="2"/>
    <n v="0"/>
    <n v="1"/>
    <n v="0"/>
    <n v="0"/>
    <n v="0.63452620770164103"/>
    <n v="0"/>
    <n v="0"/>
    <n v="0"/>
    <n v="7037.6200000000008"/>
    <n v="-2771.4500000000007"/>
  </r>
  <r>
    <n v="292"/>
    <n v="25"/>
    <s v="female"/>
    <x v="158"/>
    <n v="95"/>
    <s v="Yes"/>
    <n v="3"/>
    <x v="0"/>
    <s v="northwest"/>
    <n v="4296.2700000000004"/>
    <x v="0"/>
    <n v="0"/>
    <n v="0"/>
    <n v="0"/>
    <n v="1"/>
    <n v="9.4432466132015502E-2"/>
    <n v="0"/>
    <n v="1"/>
    <n v="1"/>
    <n v="9315.0600000000031"/>
    <n v="-5018.7900000000027"/>
  </r>
  <r>
    <n v="293"/>
    <n v="21"/>
    <s v="male"/>
    <x v="159"/>
    <n v="88"/>
    <s v="No"/>
    <n v="0"/>
    <x v="0"/>
    <s v="northwest"/>
    <n v="4320.41"/>
    <x v="2"/>
    <n v="0"/>
    <n v="0"/>
    <n v="0"/>
    <n v="1"/>
    <n v="0.21639617496186225"/>
    <n v="0"/>
    <n v="0"/>
    <n v="0"/>
    <n v="6852.19"/>
    <n v="-2531.7799999999997"/>
  </r>
  <r>
    <n v="294"/>
    <n v="37"/>
    <s v="female"/>
    <x v="55"/>
    <n v="87"/>
    <s v="No"/>
    <n v="1"/>
    <x v="0"/>
    <s v="southeast"/>
    <n v="4337.74"/>
    <x v="4"/>
    <n v="0"/>
    <n v="1"/>
    <n v="0"/>
    <n v="0"/>
    <n v="0.85050568766244827"/>
    <n v="0"/>
    <n v="0"/>
    <n v="1"/>
    <n v="6568.670000000001"/>
    <n v="-2230.9300000000012"/>
  </r>
  <r>
    <n v="295"/>
    <n v="57"/>
    <s v="female"/>
    <x v="60"/>
    <n v="90"/>
    <s v="Yes"/>
    <n v="2"/>
    <x v="0"/>
    <s v="southeast"/>
    <n v="4340.4399999999996"/>
    <x v="4"/>
    <n v="0"/>
    <n v="1"/>
    <n v="0"/>
    <n v="0"/>
    <n v="0.21721701322360187"/>
    <n v="0"/>
    <n v="1"/>
    <n v="1"/>
    <n v="7485.82"/>
    <n v="-3145.38"/>
  </r>
  <r>
    <n v="296"/>
    <n v="32"/>
    <s v="female"/>
    <x v="17"/>
    <n v="88"/>
    <s v="No"/>
    <n v="0"/>
    <x v="0"/>
    <s v="southeast"/>
    <n v="4347.0200000000004"/>
    <x v="1"/>
    <n v="0"/>
    <n v="1"/>
    <n v="0"/>
    <n v="0"/>
    <n v="0.22005183871252765"/>
    <n v="0"/>
    <n v="0"/>
    <n v="1"/>
    <n v="6184.5199999999995"/>
    <n v="-1837.4999999999991"/>
  </r>
  <r>
    <n v="297"/>
    <n v="25"/>
    <s v="female"/>
    <x v="68"/>
    <n v="89"/>
    <s v="Yes"/>
    <n v="2"/>
    <x v="0"/>
    <s v="southeast"/>
    <n v="4349.46"/>
    <x v="1"/>
    <n v="0"/>
    <n v="1"/>
    <n v="0"/>
    <n v="0"/>
    <n v="6.1670940223647053E-3"/>
    <n v="0"/>
    <n v="1"/>
    <n v="1"/>
    <n v="7922.9400000000005"/>
    <n v="-3573.4800000000005"/>
  </r>
  <r>
    <n v="298"/>
    <n v="40"/>
    <s v="female"/>
    <x v="75"/>
    <n v="87"/>
    <s v="Yes"/>
    <n v="1"/>
    <x v="0"/>
    <s v="southeast"/>
    <n v="4350.51"/>
    <x v="4"/>
    <n v="0"/>
    <n v="1"/>
    <n v="0"/>
    <n v="0"/>
    <n v="0.22031648073005772"/>
    <n v="0"/>
    <n v="1"/>
    <n v="1"/>
    <n v="6529.9699999999993"/>
    <n v="-2179.4599999999991"/>
  </r>
  <r>
    <n v="299"/>
    <n v="30"/>
    <s v="female"/>
    <x v="59"/>
    <n v="93"/>
    <s v="No"/>
    <n v="0"/>
    <x v="0"/>
    <s v="northwest"/>
    <n v="4357.04"/>
    <x v="4"/>
    <n v="0"/>
    <n v="0"/>
    <n v="0"/>
    <n v="1"/>
    <n v="0.39534890039061854"/>
    <n v="0"/>
    <n v="0"/>
    <n v="1"/>
    <n v="7562.02"/>
    <n v="-3204.9800000000005"/>
  </r>
  <r>
    <n v="300"/>
    <n v="31"/>
    <s v="female"/>
    <x v="89"/>
    <n v="90"/>
    <s v="Yes"/>
    <n v="3"/>
    <x v="0"/>
    <s v="southwest"/>
    <n v="4391.6499999999996"/>
    <x v="0"/>
    <n v="0"/>
    <n v="0"/>
    <n v="1"/>
    <n v="0"/>
    <n v="0.58617680468837396"/>
    <n v="0"/>
    <n v="1"/>
    <n v="1"/>
    <n v="8757.8600000000024"/>
    <n v="-4366.2100000000028"/>
  </r>
  <r>
    <n v="301"/>
    <n v="37"/>
    <s v="male"/>
    <x v="59"/>
    <n v="81"/>
    <s v="No"/>
    <n v="0"/>
    <x v="0"/>
    <s v="southeast"/>
    <n v="4399.7299999999996"/>
    <x v="4"/>
    <n v="0"/>
    <n v="1"/>
    <n v="0"/>
    <n v="0"/>
    <n v="0.73509751257151978"/>
    <n v="0"/>
    <n v="0"/>
    <n v="0"/>
    <n v="4496.340000000002"/>
    <n v="-96.610000000002401"/>
  </r>
  <r>
    <n v="302"/>
    <n v="26"/>
    <s v="male"/>
    <x v="67"/>
    <n v="88"/>
    <s v="Yes"/>
    <n v="0"/>
    <x v="0"/>
    <s v="southwest"/>
    <n v="4402.2299999999996"/>
    <x v="1"/>
    <n v="0"/>
    <n v="0"/>
    <n v="1"/>
    <n v="0"/>
    <n v="0.91164143730089531"/>
    <n v="0"/>
    <n v="1"/>
    <n v="0"/>
    <n v="6401.0099999999993"/>
    <n v="-1998.7799999999997"/>
  </r>
  <r>
    <n v="303"/>
    <n v="41"/>
    <s v="female"/>
    <x v="110"/>
    <n v="92"/>
    <s v="Yes"/>
    <n v="0"/>
    <x v="0"/>
    <s v="southeast"/>
    <n v="4415.16"/>
    <x v="4"/>
    <n v="0"/>
    <n v="1"/>
    <n v="0"/>
    <n v="0"/>
    <n v="0.67173875675972694"/>
    <n v="0"/>
    <n v="1"/>
    <n v="1"/>
    <n v="6451.6"/>
    <n v="-2036.4400000000005"/>
  </r>
  <r>
    <n v="304"/>
    <n v="46"/>
    <s v="male"/>
    <x v="84"/>
    <n v="88"/>
    <s v="Yes"/>
    <n v="2"/>
    <x v="0"/>
    <s v="southeast"/>
    <n v="4428.8900000000003"/>
    <x v="0"/>
    <n v="0"/>
    <n v="1"/>
    <n v="0"/>
    <n v="0"/>
    <n v="0.26567897057492373"/>
    <n v="0"/>
    <n v="1"/>
    <n v="0"/>
    <n v="6393.7699999999995"/>
    <n v="-1964.8799999999992"/>
  </r>
  <r>
    <n v="305"/>
    <n v="32"/>
    <s v="male"/>
    <x v="103"/>
    <n v="83"/>
    <s v="Yes"/>
    <n v="2"/>
    <x v="0"/>
    <s v="northwest"/>
    <n v="4433.3900000000003"/>
    <x v="1"/>
    <n v="0"/>
    <n v="0"/>
    <n v="0"/>
    <n v="1"/>
    <n v="0.31971687612859923"/>
    <n v="0"/>
    <n v="1"/>
    <n v="0"/>
    <n v="7097.0300000000007"/>
    <n v="-2663.6400000000003"/>
  </r>
  <r>
    <n v="306"/>
    <n v="34"/>
    <s v="male"/>
    <x v="80"/>
    <n v="83"/>
    <s v="Yes"/>
    <n v="2"/>
    <x v="0"/>
    <s v="northwest"/>
    <n v="4433.92"/>
    <x v="1"/>
    <n v="0"/>
    <n v="0"/>
    <n v="0"/>
    <n v="1"/>
    <n v="0.57070905595009336"/>
    <n v="0"/>
    <n v="1"/>
    <n v="0"/>
    <n v="7128.67"/>
    <n v="-2694.75"/>
  </r>
  <r>
    <n v="307"/>
    <n v="44"/>
    <s v="male"/>
    <x v="160"/>
    <n v="100"/>
    <s v="Yes"/>
    <n v="2"/>
    <x v="0"/>
    <s v="southeast"/>
    <n v="4435.09"/>
    <x v="4"/>
    <n v="0"/>
    <n v="1"/>
    <n v="0"/>
    <n v="0"/>
    <n v="0.20239586079948613"/>
    <n v="0"/>
    <n v="1"/>
    <n v="0"/>
    <n v="8696.1600000000017"/>
    <n v="-4261.0700000000015"/>
  </r>
  <r>
    <n v="308"/>
    <n v="46"/>
    <s v="male"/>
    <x v="75"/>
    <n v="80"/>
    <s v="Yes"/>
    <n v="2"/>
    <x v="0"/>
    <s v="southeast"/>
    <n v="4438.26"/>
    <x v="4"/>
    <n v="0"/>
    <n v="1"/>
    <n v="0"/>
    <n v="0"/>
    <n v="0.57161172965079188"/>
    <n v="0"/>
    <n v="1"/>
    <n v="0"/>
    <n v="5698.45"/>
    <n v="-1260.1899999999996"/>
  </r>
  <r>
    <n v="309"/>
    <n v="41"/>
    <s v="male"/>
    <x v="161"/>
    <n v="90"/>
    <s v="No"/>
    <n v="1"/>
    <x v="0"/>
    <s v="southeast"/>
    <n v="4441.21"/>
    <x v="4"/>
    <n v="0"/>
    <n v="1"/>
    <n v="0"/>
    <n v="0"/>
    <n v="0.73307053993498827"/>
    <n v="0"/>
    <n v="0"/>
    <n v="0"/>
    <n v="6426.3700000000008"/>
    <n v="-1985.1600000000008"/>
  </r>
  <r>
    <n v="310"/>
    <n v="32"/>
    <s v="male"/>
    <x v="68"/>
    <n v="94"/>
    <s v="Yes"/>
    <n v="3"/>
    <x v="0"/>
    <s v="southeast"/>
    <n v="4449.46"/>
    <x v="1"/>
    <n v="0"/>
    <n v="1"/>
    <n v="0"/>
    <n v="0"/>
    <n v="0.7655249523131038"/>
    <n v="0"/>
    <n v="1"/>
    <n v="0"/>
    <n v="9005.220000000003"/>
    <n v="-4555.7600000000029"/>
  </r>
  <r>
    <n v="311"/>
    <n v="43"/>
    <s v="male"/>
    <x v="34"/>
    <n v="81"/>
    <s v="No"/>
    <n v="1"/>
    <x v="0"/>
    <s v="northwest"/>
    <n v="4454.3999999999996"/>
    <x v="4"/>
    <n v="0"/>
    <n v="0"/>
    <n v="0"/>
    <n v="1"/>
    <n v="0.30624309657682758"/>
    <n v="0"/>
    <n v="0"/>
    <n v="0"/>
    <n v="5761.14"/>
    <n v="-1306.7400000000007"/>
  </r>
  <r>
    <n v="312"/>
    <n v="37"/>
    <s v="male"/>
    <x v="37"/>
    <n v="90"/>
    <s v="No"/>
    <n v="1"/>
    <x v="0"/>
    <s v="northwest"/>
    <n v="4462.72"/>
    <x v="1"/>
    <n v="0"/>
    <n v="0"/>
    <n v="0"/>
    <n v="1"/>
    <n v="0.34461493449137992"/>
    <n v="0"/>
    <n v="0"/>
    <n v="0"/>
    <n v="7718.13"/>
    <n v="-3255.41"/>
  </r>
  <r>
    <n v="313"/>
    <n v="21"/>
    <s v="male"/>
    <x v="162"/>
    <n v="87"/>
    <s v="Yes"/>
    <n v="2"/>
    <x v="0"/>
    <s v="southeast"/>
    <n v="4463.21"/>
    <x v="2"/>
    <n v="0"/>
    <n v="1"/>
    <n v="0"/>
    <n v="0"/>
    <n v="0.7521234703237879"/>
    <n v="0"/>
    <n v="1"/>
    <n v="0"/>
    <n v="7625.63"/>
    <n v="-3162.42"/>
  </r>
  <r>
    <n v="314"/>
    <n v="45"/>
    <s v="female"/>
    <x v="163"/>
    <n v="91"/>
    <s v="Yes"/>
    <n v="3"/>
    <x v="0"/>
    <s v="northwest"/>
    <n v="4466.62"/>
    <x v="2"/>
    <n v="0"/>
    <n v="0"/>
    <n v="0"/>
    <n v="1"/>
    <n v="0.34740694877686384"/>
    <n v="0"/>
    <n v="1"/>
    <n v="1"/>
    <n v="9822.4500000000025"/>
    <n v="-5355.8300000000027"/>
  </r>
  <r>
    <n v="315"/>
    <n v="36"/>
    <s v="male"/>
    <x v="164"/>
    <n v="89"/>
    <s v="No"/>
    <n v="0"/>
    <x v="0"/>
    <s v="southeast"/>
    <n v="4500.34"/>
    <x v="0"/>
    <n v="0"/>
    <n v="1"/>
    <n v="0"/>
    <n v="0"/>
    <n v="0.14686094420276841"/>
    <n v="0"/>
    <n v="0"/>
    <n v="0"/>
    <n v="5064.6900000000005"/>
    <n v="-564.35000000000036"/>
  </r>
  <r>
    <n v="316"/>
    <n v="44"/>
    <s v="male"/>
    <x v="3"/>
    <n v="96"/>
    <s v="No"/>
    <n v="4"/>
    <x v="0"/>
    <s v="southeast"/>
    <n v="4504.66"/>
    <x v="1"/>
    <n v="0"/>
    <n v="1"/>
    <n v="0"/>
    <n v="0"/>
    <n v="1.2629174748795213E-2"/>
    <n v="0"/>
    <n v="0"/>
    <n v="0"/>
    <n v="10176.19"/>
    <n v="-5671.5300000000007"/>
  </r>
  <r>
    <n v="317"/>
    <n v="35"/>
    <s v="male"/>
    <x v="165"/>
    <n v="83"/>
    <s v="Yes"/>
    <n v="0"/>
    <x v="0"/>
    <s v="southeast"/>
    <n v="4518.83"/>
    <x v="1"/>
    <n v="0"/>
    <n v="1"/>
    <n v="0"/>
    <n v="0"/>
    <n v="0.31134271747985687"/>
    <n v="0"/>
    <n v="1"/>
    <n v="0"/>
    <n v="5176.5200000000013"/>
    <n v="-657.69000000000142"/>
  </r>
  <r>
    <n v="318"/>
    <n v="51"/>
    <s v="female"/>
    <x v="65"/>
    <n v="93"/>
    <s v="No"/>
    <n v="1"/>
    <x v="0"/>
    <s v="northwest"/>
    <n v="4527.18"/>
    <x v="4"/>
    <n v="0"/>
    <n v="0"/>
    <n v="0"/>
    <n v="1"/>
    <n v="0.45837233120448362"/>
    <n v="0"/>
    <n v="0"/>
    <n v="1"/>
    <n v="8162.23"/>
    <n v="-3635.0499999999993"/>
  </r>
  <r>
    <n v="319"/>
    <n v="47"/>
    <s v="female"/>
    <x v="63"/>
    <n v="90"/>
    <s v="Yes"/>
    <n v="2"/>
    <x v="0"/>
    <s v="southwest"/>
    <n v="4529.4799999999996"/>
    <x v="0"/>
    <n v="0"/>
    <n v="0"/>
    <n v="1"/>
    <n v="0"/>
    <n v="0.8777761116132945"/>
    <n v="0"/>
    <n v="1"/>
    <n v="1"/>
    <n v="8024.7899999999991"/>
    <n v="-3495.3099999999995"/>
  </r>
  <r>
    <n v="320"/>
    <n v="26"/>
    <s v="male"/>
    <x v="166"/>
    <n v="95"/>
    <s v="Yes"/>
    <n v="1"/>
    <x v="0"/>
    <s v="southwest"/>
    <n v="4536.26"/>
    <x v="2"/>
    <n v="0"/>
    <n v="0"/>
    <n v="1"/>
    <n v="0"/>
    <n v="0.21099773656010767"/>
    <n v="0"/>
    <n v="1"/>
    <n v="0"/>
    <n v="9231.08"/>
    <n v="-4694.82"/>
  </r>
  <r>
    <n v="321"/>
    <n v="50"/>
    <s v="female"/>
    <x v="167"/>
    <n v="89"/>
    <s v="Yes"/>
    <n v="0"/>
    <x v="0"/>
    <s v="southeast"/>
    <n v="4544.2299999999996"/>
    <x v="0"/>
    <n v="0"/>
    <n v="1"/>
    <n v="0"/>
    <n v="0"/>
    <n v="0.89201652341423243"/>
    <n v="0"/>
    <n v="1"/>
    <n v="1"/>
    <n v="5345.7099999999991"/>
    <n v="-801.47999999999956"/>
  </r>
  <r>
    <n v="322"/>
    <n v="43"/>
    <s v="female"/>
    <x v="23"/>
    <n v="99"/>
    <s v="No"/>
    <n v="4"/>
    <x v="0"/>
    <s v="southeast"/>
    <n v="4561.1899999999996"/>
    <x v="1"/>
    <n v="0"/>
    <n v="1"/>
    <n v="0"/>
    <n v="0"/>
    <n v="3.3149116472621754E-2"/>
    <n v="0"/>
    <n v="0"/>
    <n v="1"/>
    <n v="10904.54"/>
    <n v="-6343.3500000000013"/>
  </r>
  <r>
    <n v="323"/>
    <n v="55"/>
    <s v="female"/>
    <x v="66"/>
    <n v="93"/>
    <s v="Yes"/>
    <n v="1"/>
    <x v="0"/>
    <s v="southeast"/>
    <n v="4562.84"/>
    <x v="4"/>
    <n v="0"/>
    <n v="1"/>
    <n v="0"/>
    <n v="0"/>
    <n v="0.83621582314489806"/>
    <n v="0"/>
    <n v="1"/>
    <n v="1"/>
    <n v="7493.9600000000009"/>
    <n v="-2931.1200000000008"/>
  </r>
  <r>
    <n v="324"/>
    <n v="26"/>
    <s v="female"/>
    <x v="48"/>
    <n v="96"/>
    <s v="Yes"/>
    <n v="2"/>
    <x v="0"/>
    <s v="southeast"/>
    <n v="4564.1899999999996"/>
    <x v="4"/>
    <n v="0"/>
    <n v="1"/>
    <n v="0"/>
    <n v="0"/>
    <n v="0.92953637685667856"/>
    <n v="0"/>
    <n v="1"/>
    <n v="1"/>
    <n v="8730.9900000000016"/>
    <n v="-4166.800000000002"/>
  </r>
  <r>
    <n v="325"/>
    <n v="60"/>
    <s v="female"/>
    <x v="21"/>
    <n v="94"/>
    <s v="No"/>
    <n v="0"/>
    <x v="0"/>
    <s v="northwest"/>
    <n v="4571.41"/>
    <x v="4"/>
    <n v="0"/>
    <n v="0"/>
    <n v="0"/>
    <n v="1"/>
    <n v="0.94096483272969667"/>
    <n v="0"/>
    <n v="0"/>
    <n v="1"/>
    <n v="7426.7100000000009"/>
    <n v="-2855.3000000000011"/>
  </r>
  <r>
    <n v="326"/>
    <n v="31"/>
    <s v="female"/>
    <x v="168"/>
    <n v="83"/>
    <s v="No"/>
    <n v="3"/>
    <x v="0"/>
    <s v="northwest"/>
    <n v="4618.08"/>
    <x v="1"/>
    <n v="0"/>
    <n v="0"/>
    <n v="0"/>
    <n v="1"/>
    <n v="0.12066835867797177"/>
    <n v="0"/>
    <n v="0"/>
    <n v="1"/>
    <n v="8222.3100000000013"/>
    <n v="-3604.2300000000014"/>
  </r>
  <r>
    <n v="327"/>
    <n v="18"/>
    <s v="male"/>
    <x v="169"/>
    <n v="97"/>
    <s v="Yes"/>
    <n v="0"/>
    <x v="0"/>
    <s v="southwest"/>
    <n v="4646.76"/>
    <x v="1"/>
    <n v="0"/>
    <n v="0"/>
    <n v="1"/>
    <n v="0"/>
    <n v="0.32602663748153105"/>
    <n v="0"/>
    <n v="1"/>
    <n v="0"/>
    <n v="7787.7099999999982"/>
    <n v="-3140.949999999998"/>
  </r>
  <r>
    <n v="328"/>
    <n v="47"/>
    <s v="male"/>
    <x v="170"/>
    <n v="85"/>
    <s v="Yes"/>
    <n v="3"/>
    <x v="0"/>
    <s v="southeast"/>
    <n v="4661.29"/>
    <x v="4"/>
    <n v="0"/>
    <n v="1"/>
    <n v="0"/>
    <n v="0"/>
    <n v="4.5734502832292856E-2"/>
    <n v="0"/>
    <n v="1"/>
    <n v="0"/>
    <n v="7062.3600000000015"/>
    <n v="-2401.0700000000015"/>
  </r>
  <r>
    <n v="329"/>
    <n v="26"/>
    <s v="male"/>
    <x v="6"/>
    <n v="86"/>
    <s v="Yes"/>
    <n v="1"/>
    <x v="0"/>
    <s v="southeast"/>
    <n v="4667.6099999999997"/>
    <x v="2"/>
    <n v="0"/>
    <n v="1"/>
    <n v="0"/>
    <n v="0"/>
    <n v="0.83146530646880046"/>
    <n v="0"/>
    <n v="1"/>
    <n v="0"/>
    <n v="6627.3499999999995"/>
    <n v="-1959.7399999999998"/>
  </r>
  <r>
    <n v="330"/>
    <n v="22"/>
    <s v="male"/>
    <x v="50"/>
    <n v="87"/>
    <s v="Yes"/>
    <n v="2"/>
    <x v="0"/>
    <s v="southwest"/>
    <n v="4670.6400000000003"/>
    <x v="2"/>
    <n v="0"/>
    <n v="0"/>
    <n v="1"/>
    <n v="0"/>
    <n v="0.60422401634651723"/>
    <n v="0"/>
    <n v="1"/>
    <n v="0"/>
    <n v="8039.37"/>
    <n v="-3368.7299999999996"/>
  </r>
  <r>
    <n v="331"/>
    <n v="32"/>
    <s v="male"/>
    <x v="171"/>
    <n v="82"/>
    <s v="No"/>
    <n v="2"/>
    <x v="0"/>
    <s v="southeast"/>
    <n v="4673.3900000000003"/>
    <x v="2"/>
    <n v="0"/>
    <n v="1"/>
    <n v="0"/>
    <n v="0"/>
    <n v="0.21886962526571729"/>
    <n v="0"/>
    <n v="0"/>
    <n v="0"/>
    <n v="6780.0600000000013"/>
    <n v="-2106.670000000001"/>
  </r>
  <r>
    <n v="332"/>
    <n v="43"/>
    <s v="male"/>
    <x v="127"/>
    <n v="83"/>
    <s v="Yes"/>
    <n v="2"/>
    <x v="0"/>
    <s v="southeast"/>
    <n v="4686.3900000000003"/>
    <x v="2"/>
    <n v="0"/>
    <n v="1"/>
    <n v="0"/>
    <n v="0"/>
    <n v="0.91036683342004565"/>
    <n v="0"/>
    <n v="1"/>
    <n v="0"/>
    <n v="7651.6600000000008"/>
    <n v="-2965.2700000000004"/>
  </r>
  <r>
    <n v="333"/>
    <n v="46"/>
    <s v="female"/>
    <x v="138"/>
    <n v="80"/>
    <s v="No"/>
    <n v="5"/>
    <x v="0"/>
    <s v="southwest"/>
    <n v="4687.8"/>
    <x v="4"/>
    <n v="0"/>
    <n v="0"/>
    <n v="1"/>
    <n v="0"/>
    <n v="0.78645076575985728"/>
    <n v="0"/>
    <n v="0"/>
    <n v="1"/>
    <n v="9055.9500000000007"/>
    <n v="-4368.1500000000005"/>
  </r>
  <r>
    <n v="334"/>
    <n v="56"/>
    <s v="female"/>
    <x v="136"/>
    <n v="100"/>
    <s v="Yes"/>
    <n v="1"/>
    <x v="0"/>
    <s v="southeast"/>
    <n v="4718.2"/>
    <x v="0"/>
    <n v="0"/>
    <n v="1"/>
    <n v="0"/>
    <n v="0"/>
    <n v="0.63562225735106026"/>
    <n v="0"/>
    <n v="1"/>
    <n v="1"/>
    <n v="7951.4599999999991"/>
    <n v="-3233.2599999999993"/>
  </r>
  <r>
    <n v="335"/>
    <n v="45"/>
    <s v="female"/>
    <x v="172"/>
    <n v="94"/>
    <s v="No"/>
    <n v="1"/>
    <x v="0"/>
    <s v="southeast"/>
    <n v="4719.5200000000004"/>
    <x v="0"/>
    <n v="0"/>
    <n v="1"/>
    <n v="0"/>
    <n v="0"/>
    <n v="0.65885048367130039"/>
    <n v="0"/>
    <n v="0"/>
    <n v="1"/>
    <n v="7162.56"/>
    <n v="-2443.04"/>
  </r>
  <r>
    <n v="336"/>
    <n v="42"/>
    <s v="female"/>
    <x v="43"/>
    <n v="80"/>
    <s v="Yes"/>
    <n v="2"/>
    <x v="0"/>
    <s v="northwest"/>
    <n v="4719.74"/>
    <x v="0"/>
    <n v="0"/>
    <n v="0"/>
    <n v="0"/>
    <n v="1"/>
    <n v="0.22222549943637171"/>
    <n v="0"/>
    <n v="1"/>
    <n v="1"/>
    <n v="6374.96"/>
    <n v="-1655.2200000000003"/>
  </r>
  <r>
    <n v="337"/>
    <n v="48"/>
    <s v="female"/>
    <x v="112"/>
    <n v="95"/>
    <s v="No"/>
    <n v="1"/>
    <x v="0"/>
    <s v="northwest"/>
    <n v="4738.2700000000004"/>
    <x v="1"/>
    <n v="0"/>
    <n v="0"/>
    <n v="0"/>
    <n v="1"/>
    <n v="0.57877716347481056"/>
    <n v="0"/>
    <n v="0"/>
    <n v="1"/>
    <n v="8852.9000000000015"/>
    <n v="-4114.630000000001"/>
  </r>
  <r>
    <n v="338"/>
    <n v="29"/>
    <s v="male"/>
    <x v="90"/>
    <n v="82"/>
    <s v="Yes"/>
    <n v="1"/>
    <x v="0"/>
    <s v="southwest"/>
    <n v="4746.34"/>
    <x v="4"/>
    <n v="0"/>
    <n v="0"/>
    <n v="1"/>
    <n v="0"/>
    <n v="0.64206995942520495"/>
    <n v="0"/>
    <n v="1"/>
    <n v="0"/>
    <n v="5801.6699999999992"/>
    <n v="-1055.329999999999"/>
  </r>
  <r>
    <n v="339"/>
    <n v="44"/>
    <s v="male"/>
    <x v="13"/>
    <n v="86"/>
    <s v="No"/>
    <n v="1"/>
    <x v="0"/>
    <s v="southeast"/>
    <n v="4747.05"/>
    <x v="4"/>
    <n v="0"/>
    <n v="1"/>
    <n v="0"/>
    <n v="0"/>
    <n v="6.5132387236047973E-2"/>
    <n v="0"/>
    <n v="0"/>
    <n v="0"/>
    <n v="5844.02"/>
    <n v="-1096.9700000000003"/>
  </r>
  <r>
    <n v="340"/>
    <n v="19"/>
    <s v="male"/>
    <x v="85"/>
    <n v="92"/>
    <s v="Yes"/>
    <n v="1"/>
    <x v="0"/>
    <s v="southwest"/>
    <n v="4751.07"/>
    <x v="1"/>
    <n v="0"/>
    <n v="0"/>
    <n v="1"/>
    <n v="0"/>
    <n v="0.36907872605744441"/>
    <n v="0"/>
    <n v="1"/>
    <n v="0"/>
    <n v="7701.0700000000006"/>
    <n v="-2950.0000000000009"/>
  </r>
  <r>
    <n v="341"/>
    <n v="50"/>
    <s v="female"/>
    <x v="173"/>
    <n v="98"/>
    <s v="No"/>
    <n v="2"/>
    <x v="0"/>
    <s v="southeast"/>
    <n v="4753.6400000000003"/>
    <x v="2"/>
    <n v="0"/>
    <n v="1"/>
    <n v="0"/>
    <n v="0"/>
    <n v="0.62805890739356585"/>
    <n v="0"/>
    <n v="0"/>
    <n v="1"/>
    <n v="10259.86"/>
    <n v="-5506.22"/>
  </r>
  <r>
    <n v="342"/>
    <n v="46"/>
    <s v="male"/>
    <x v="174"/>
    <n v="83"/>
    <s v="Yes"/>
    <n v="1"/>
    <x v="0"/>
    <s v="southwest"/>
    <n v="4762.33"/>
    <x v="2"/>
    <n v="0"/>
    <n v="0"/>
    <n v="1"/>
    <n v="0"/>
    <n v="0.92101233140158734"/>
    <n v="0"/>
    <n v="1"/>
    <n v="0"/>
    <n v="6922.7500000000009"/>
    <n v="-2160.420000000001"/>
  </r>
  <r>
    <n v="343"/>
    <n v="33"/>
    <s v="female"/>
    <x v="175"/>
    <n v="94"/>
    <s v="Yes"/>
    <n v="1"/>
    <x v="0"/>
    <s v="southwest"/>
    <n v="4766.0200000000004"/>
    <x v="3"/>
    <n v="0"/>
    <n v="0"/>
    <n v="1"/>
    <n v="0"/>
    <n v="0.16238134589117015"/>
    <n v="0"/>
    <n v="1"/>
    <n v="1"/>
    <n v="7421.2799999999988"/>
    <n v="-2655.2599999999984"/>
  </r>
  <r>
    <n v="344"/>
    <n v="56"/>
    <s v="female"/>
    <x v="117"/>
    <n v="100"/>
    <s v="Yes"/>
    <n v="1"/>
    <x v="0"/>
    <s v="southeast"/>
    <n v="4779.6000000000004"/>
    <x v="4"/>
    <n v="0"/>
    <n v="1"/>
    <n v="0"/>
    <n v="0"/>
    <n v="0.81073903394394886"/>
    <n v="0"/>
    <n v="1"/>
    <n v="1"/>
    <n v="8498.66"/>
    <n v="-3719.0599999999995"/>
  </r>
  <r>
    <n v="345"/>
    <n v="38"/>
    <s v="female"/>
    <x v="32"/>
    <n v="85"/>
    <s v="Yes"/>
    <n v="1"/>
    <x v="0"/>
    <s v="southeast"/>
    <n v="4795.66"/>
    <x v="2"/>
    <n v="0"/>
    <n v="1"/>
    <n v="0"/>
    <n v="0"/>
    <n v="0.55452372505723202"/>
    <n v="0"/>
    <n v="1"/>
    <n v="1"/>
    <n v="7111.0999999999985"/>
    <n v="-2315.4399999999987"/>
  </r>
  <r>
    <n v="346"/>
    <n v="33"/>
    <s v="male"/>
    <x v="176"/>
    <n v="87"/>
    <s v="Yes"/>
    <n v="3"/>
    <x v="0"/>
    <s v="southeast"/>
    <n v="4827.8999999999996"/>
    <x v="3"/>
    <n v="0"/>
    <n v="1"/>
    <n v="0"/>
    <n v="0"/>
    <n v="0.52055306767963161"/>
    <n v="0"/>
    <n v="1"/>
    <n v="0"/>
    <n v="6681.2599999999993"/>
    <n v="-1853.3599999999997"/>
  </r>
  <r>
    <n v="347"/>
    <n v="55"/>
    <s v="female"/>
    <x v="177"/>
    <n v="83"/>
    <s v="Yes"/>
    <n v="5"/>
    <x v="0"/>
    <s v="southwest"/>
    <n v="4830.63"/>
    <x v="2"/>
    <n v="0"/>
    <n v="0"/>
    <n v="1"/>
    <n v="0"/>
    <n v="0.93293161468876751"/>
    <n v="0"/>
    <n v="1"/>
    <n v="1"/>
    <n v="10172.340000000002"/>
    <n v="-5341.7100000000019"/>
  </r>
  <r>
    <n v="348"/>
    <n v="43"/>
    <s v="male"/>
    <x v="178"/>
    <n v="89"/>
    <s v="No"/>
    <n v="3"/>
    <x v="0"/>
    <s v="southeast"/>
    <n v="4837.58"/>
    <x v="1"/>
    <n v="0"/>
    <n v="1"/>
    <n v="0"/>
    <n v="0"/>
    <n v="0.40578946021421758"/>
    <n v="0"/>
    <n v="0"/>
    <n v="0"/>
    <n v="8142.5500000000011"/>
    <n v="-3304.9700000000012"/>
  </r>
  <r>
    <n v="349"/>
    <n v="46"/>
    <s v="male"/>
    <x v="61"/>
    <n v="82"/>
    <s v="Yes"/>
    <n v="3"/>
    <x v="0"/>
    <s v="southeast"/>
    <n v="4846.92"/>
    <x v="1"/>
    <n v="0"/>
    <n v="1"/>
    <n v="0"/>
    <n v="0"/>
    <n v="9.380762034730894E-2"/>
    <n v="0"/>
    <n v="1"/>
    <n v="0"/>
    <n v="7038.0200000000013"/>
    <n v="-2191.1000000000013"/>
  </r>
  <r>
    <n v="350"/>
    <n v="47"/>
    <s v="male"/>
    <x v="21"/>
    <n v="93"/>
    <s v="No"/>
    <n v="4"/>
    <x v="0"/>
    <s v="northwest"/>
    <n v="4877.9799999999996"/>
    <x v="4"/>
    <n v="0"/>
    <n v="0"/>
    <n v="0"/>
    <n v="1"/>
    <n v="0.44136719690623827"/>
    <n v="0"/>
    <n v="0"/>
    <n v="0"/>
    <n v="9791.77"/>
    <n v="-4913.7900000000009"/>
  </r>
  <r>
    <n v="351"/>
    <n v="60"/>
    <s v="female"/>
    <x v="104"/>
    <n v="99"/>
    <s v="No"/>
    <n v="0"/>
    <x v="0"/>
    <s v="southwest"/>
    <n v="4883.87"/>
    <x v="4"/>
    <n v="0"/>
    <n v="0"/>
    <n v="1"/>
    <n v="0"/>
    <n v="0.79893636150671288"/>
    <n v="0"/>
    <n v="0"/>
    <n v="1"/>
    <n v="8173.8399999999992"/>
    <n v="-3289.9699999999993"/>
  </r>
  <r>
    <n v="352"/>
    <n v="31"/>
    <s v="female"/>
    <x v="123"/>
    <n v="85"/>
    <s v="No"/>
    <n v="0"/>
    <x v="0"/>
    <s v="southeast"/>
    <n v="4889.04"/>
    <x v="4"/>
    <n v="0"/>
    <n v="1"/>
    <n v="0"/>
    <n v="0"/>
    <n v="0.4486019009523563"/>
    <n v="0"/>
    <n v="0"/>
    <n v="1"/>
    <n v="5604.4299999999994"/>
    <n v="-715.38999999999942"/>
  </r>
  <r>
    <n v="353"/>
    <n v="28"/>
    <s v="male"/>
    <x v="159"/>
    <n v="97"/>
    <s v="No"/>
    <n v="2"/>
    <x v="0"/>
    <s v="southeast"/>
    <n v="4890"/>
    <x v="2"/>
    <n v="0"/>
    <n v="1"/>
    <n v="0"/>
    <n v="0"/>
    <n v="0.61064249936610271"/>
    <n v="0"/>
    <n v="0"/>
    <n v="0"/>
    <n v="9059.33"/>
    <n v="-4169.33"/>
  </r>
  <r>
    <n v="354"/>
    <n v="39"/>
    <s v="male"/>
    <x v="129"/>
    <n v="91"/>
    <s v="No"/>
    <n v="1"/>
    <x v="0"/>
    <s v="northwest"/>
    <n v="4894.75"/>
    <x v="4"/>
    <n v="0"/>
    <n v="0"/>
    <n v="0"/>
    <n v="1"/>
    <n v="0.2041583013559366"/>
    <n v="0"/>
    <n v="0"/>
    <n v="0"/>
    <n v="7148.4100000000008"/>
    <n v="-2253.6600000000008"/>
  </r>
  <r>
    <n v="355"/>
    <n v="48"/>
    <s v="female"/>
    <x v="113"/>
    <n v="97"/>
    <s v="No"/>
    <n v="2"/>
    <x v="0"/>
    <s v="northwest"/>
    <n v="4906.41"/>
    <x v="0"/>
    <n v="0"/>
    <n v="0"/>
    <n v="0"/>
    <n v="1"/>
    <n v="0.31192707833483291"/>
    <n v="0"/>
    <n v="0"/>
    <n v="1"/>
    <n v="8841.57"/>
    <n v="-3935.16"/>
  </r>
  <r>
    <n v="356"/>
    <n v="38"/>
    <s v="male"/>
    <x v="1"/>
    <n v="87"/>
    <s v="No"/>
    <n v="5"/>
    <x v="0"/>
    <s v="southeast"/>
    <n v="4915.0600000000004"/>
    <x v="1"/>
    <n v="0"/>
    <n v="1"/>
    <n v="0"/>
    <n v="0"/>
    <n v="0.38652465405631387"/>
    <n v="0"/>
    <n v="0"/>
    <n v="0"/>
    <n v="9178"/>
    <n v="-4262.9399999999996"/>
  </r>
  <r>
    <n v="357"/>
    <n v="40"/>
    <s v="female"/>
    <x v="80"/>
    <n v="95"/>
    <s v="Yes"/>
    <n v="2"/>
    <x v="0"/>
    <s v="northwest"/>
    <n v="4922.92"/>
    <x v="1"/>
    <n v="0"/>
    <n v="0"/>
    <n v="0"/>
    <n v="1"/>
    <n v="0.66562529596595921"/>
    <n v="0"/>
    <n v="1"/>
    <n v="1"/>
    <n v="9481.0200000000023"/>
    <n v="-4558.1000000000022"/>
  </r>
  <r>
    <n v="358"/>
    <n v="31"/>
    <s v="female"/>
    <x v="179"/>
    <n v="95"/>
    <s v="No"/>
    <n v="2"/>
    <x v="0"/>
    <s v="southwest"/>
    <n v="4931.6499999999996"/>
    <x v="0"/>
    <n v="0"/>
    <n v="0"/>
    <n v="1"/>
    <n v="0"/>
    <n v="0.10241060055760098"/>
    <n v="0"/>
    <n v="0"/>
    <n v="1"/>
    <n v="8826.7800000000007"/>
    <n v="-3895.130000000001"/>
  </r>
  <r>
    <n v="359"/>
    <n v="25"/>
    <s v="female"/>
    <x v="74"/>
    <n v="97"/>
    <s v="Yes"/>
    <n v="2"/>
    <x v="0"/>
    <s v="southwest"/>
    <n v="4934.71"/>
    <x v="4"/>
    <n v="0"/>
    <n v="0"/>
    <n v="1"/>
    <n v="0"/>
    <n v="0.84664614932479099"/>
    <n v="0"/>
    <n v="1"/>
    <n v="1"/>
    <n v="9272.68"/>
    <n v="-4337.97"/>
  </r>
  <r>
    <n v="360"/>
    <n v="46"/>
    <s v="female"/>
    <x v="86"/>
    <n v="84"/>
    <s v="Yes"/>
    <n v="2"/>
    <x v="0"/>
    <s v="southeast"/>
    <n v="4949.76"/>
    <x v="2"/>
    <n v="0"/>
    <n v="1"/>
    <n v="0"/>
    <n v="0"/>
    <n v="0.45664679233616801"/>
    <n v="0"/>
    <n v="1"/>
    <n v="1"/>
    <n v="7405.91"/>
    <n v="-2456.1499999999996"/>
  </r>
  <r>
    <n v="361"/>
    <n v="29"/>
    <s v="female"/>
    <x v="179"/>
    <n v="87"/>
    <s v="Yes"/>
    <n v="0"/>
    <x v="0"/>
    <s v="southeast"/>
    <n v="4992.38"/>
    <x v="0"/>
    <n v="0"/>
    <n v="1"/>
    <n v="0"/>
    <n v="0"/>
    <n v="0.82895740317714572"/>
    <n v="0"/>
    <n v="1"/>
    <n v="1"/>
    <n v="5318.4599999999991"/>
    <n v="-326.07999999999902"/>
  </r>
  <r>
    <n v="362"/>
    <n v="27"/>
    <s v="female"/>
    <x v="21"/>
    <n v="99"/>
    <s v="No"/>
    <n v="1"/>
    <x v="0"/>
    <s v="southeast"/>
    <n v="5002.78"/>
    <x v="4"/>
    <n v="0"/>
    <n v="1"/>
    <n v="0"/>
    <n v="0"/>
    <n v="0.53093094201236735"/>
    <n v="0"/>
    <n v="0"/>
    <n v="1"/>
    <n v="8308.4500000000007"/>
    <n v="-3305.670000000001"/>
  </r>
  <r>
    <n v="363"/>
    <n v="40"/>
    <s v="female"/>
    <x v="180"/>
    <n v="98"/>
    <s v="Yes"/>
    <n v="1"/>
    <x v="0"/>
    <s v="southwest"/>
    <n v="5003.8500000000004"/>
    <x v="4"/>
    <n v="0"/>
    <n v="0"/>
    <n v="1"/>
    <n v="0"/>
    <n v="0.4762743948849526"/>
    <n v="0"/>
    <n v="1"/>
    <n v="1"/>
    <n v="8820.18"/>
    <n v="-3816.33"/>
  </r>
  <r>
    <n v="364"/>
    <n v="25"/>
    <s v="female"/>
    <x v="3"/>
    <n v="95"/>
    <s v="No"/>
    <n v="1"/>
    <x v="0"/>
    <s v="southwest"/>
    <n v="5012.47"/>
    <x v="1"/>
    <n v="0"/>
    <n v="0"/>
    <n v="1"/>
    <n v="0"/>
    <n v="0.79282920650833788"/>
    <n v="0"/>
    <n v="0"/>
    <n v="1"/>
    <n v="8959.77"/>
    <n v="-3947.3"/>
  </r>
  <r>
    <n v="365"/>
    <n v="35"/>
    <s v="male"/>
    <x v="66"/>
    <n v="94"/>
    <s v="Yes"/>
    <n v="0"/>
    <x v="0"/>
    <s v="northwest"/>
    <n v="5028.1499999999996"/>
    <x v="4"/>
    <n v="0"/>
    <n v="0"/>
    <n v="0"/>
    <n v="1"/>
    <n v="0.95024129372781496"/>
    <n v="0"/>
    <n v="1"/>
    <n v="0"/>
    <n v="7192.65"/>
    <n v="-2164.5"/>
  </r>
  <r>
    <n v="366"/>
    <n v="35"/>
    <s v="male"/>
    <x v="13"/>
    <n v="100"/>
    <s v="No"/>
    <n v="2"/>
    <x v="0"/>
    <s v="southeast"/>
    <n v="5031.2700000000004"/>
    <x v="4"/>
    <n v="0"/>
    <n v="1"/>
    <n v="0"/>
    <n v="0"/>
    <n v="0.38434193133638739"/>
    <n v="0"/>
    <n v="0"/>
    <n v="0"/>
    <n v="8828.0400000000009"/>
    <n v="-3796.7700000000004"/>
  </r>
  <r>
    <n v="367"/>
    <n v="24"/>
    <s v="male"/>
    <x v="181"/>
    <n v="84"/>
    <s v="No"/>
    <n v="5"/>
    <x v="0"/>
    <s v="southwest"/>
    <n v="5080.1000000000004"/>
    <x v="0"/>
    <n v="0"/>
    <n v="0"/>
    <n v="1"/>
    <n v="0"/>
    <n v="0.43800058161054278"/>
    <n v="0"/>
    <n v="0"/>
    <n v="0"/>
    <n v="8875.6699999999983"/>
    <n v="-3795.5699999999979"/>
  </r>
  <r>
    <n v="368"/>
    <n v="19"/>
    <s v="male"/>
    <x v="182"/>
    <n v="90"/>
    <s v="No"/>
    <n v="1"/>
    <x v="0"/>
    <s v="northwest"/>
    <n v="5116.5"/>
    <x v="3"/>
    <n v="0"/>
    <n v="0"/>
    <n v="0"/>
    <n v="1"/>
    <n v="0.73024495363203823"/>
    <n v="0"/>
    <n v="0"/>
    <n v="0"/>
    <n v="6381.72"/>
    <n v="-1265.2200000000003"/>
  </r>
  <r>
    <n v="369"/>
    <n v="39"/>
    <s v="male"/>
    <x v="139"/>
    <n v="100"/>
    <s v="No"/>
    <n v="2"/>
    <x v="0"/>
    <s v="southeast"/>
    <n v="5124.1899999999996"/>
    <x v="2"/>
    <n v="0"/>
    <n v="1"/>
    <n v="0"/>
    <n v="0"/>
    <n v="0.685969964739785"/>
    <n v="0"/>
    <n v="0"/>
    <n v="0"/>
    <n v="10062.67"/>
    <n v="-4938.4800000000005"/>
  </r>
  <r>
    <n v="370"/>
    <n v="31"/>
    <s v="male"/>
    <x v="97"/>
    <n v="88"/>
    <s v="Yes"/>
    <n v="1"/>
    <x v="0"/>
    <s v="northwest"/>
    <n v="5125.22"/>
    <x v="0"/>
    <n v="0"/>
    <n v="0"/>
    <n v="0"/>
    <n v="1"/>
    <n v="8.8088385400261981E-2"/>
    <n v="0"/>
    <n v="1"/>
    <n v="0"/>
    <n v="6508.2199999999993"/>
    <n v="-1382.9999999999991"/>
  </r>
  <r>
    <n v="371"/>
    <n v="55"/>
    <s v="female"/>
    <x v="183"/>
    <n v="86"/>
    <s v="No"/>
    <n v="3"/>
    <x v="0"/>
    <s v="southeast"/>
    <n v="5138.26"/>
    <x v="2"/>
    <n v="0"/>
    <n v="1"/>
    <n v="0"/>
    <n v="0"/>
    <n v="0.54911916937221683"/>
    <n v="0"/>
    <n v="0"/>
    <n v="1"/>
    <n v="8708.9700000000012"/>
    <n v="-3570.7100000000009"/>
  </r>
  <r>
    <n v="372"/>
    <n v="33"/>
    <s v="female"/>
    <x v="67"/>
    <n v="86"/>
    <s v="No"/>
    <n v="1"/>
    <x v="0"/>
    <s v="southeast"/>
    <n v="5148.55"/>
    <x v="1"/>
    <n v="0"/>
    <n v="1"/>
    <n v="0"/>
    <n v="0"/>
    <n v="0.76458524337709488"/>
    <n v="0"/>
    <n v="0"/>
    <n v="1"/>
    <n v="6636.4999999999991"/>
    <n v="-1487.9499999999989"/>
  </r>
  <r>
    <n v="373"/>
    <n v="34"/>
    <s v="female"/>
    <x v="56"/>
    <n v="100"/>
    <s v="Yes"/>
    <n v="2"/>
    <x v="0"/>
    <s v="southwest"/>
    <n v="5152.13"/>
    <x v="4"/>
    <n v="0"/>
    <n v="0"/>
    <n v="1"/>
    <n v="0"/>
    <n v="0.66851888594891451"/>
    <n v="0"/>
    <n v="1"/>
    <n v="1"/>
    <n v="10081.93"/>
    <n v="-4929.8"/>
  </r>
  <r>
    <n v="374"/>
    <n v="32"/>
    <s v="male"/>
    <x v="84"/>
    <n v="93"/>
    <s v="No"/>
    <n v="3"/>
    <x v="0"/>
    <s v="southeast"/>
    <n v="5209.58"/>
    <x v="0"/>
    <n v="0"/>
    <n v="1"/>
    <n v="0"/>
    <n v="0"/>
    <n v="0.30501916668656937"/>
    <n v="0"/>
    <n v="0"/>
    <n v="0"/>
    <n v="8016.9400000000023"/>
    <n v="-2807.3600000000024"/>
  </r>
  <r>
    <n v="375"/>
    <n v="38"/>
    <s v="female"/>
    <x v="45"/>
    <n v="81"/>
    <s v="Yes"/>
    <n v="0"/>
    <x v="0"/>
    <s v="southeast"/>
    <n v="5227.99"/>
    <x v="4"/>
    <n v="0"/>
    <n v="1"/>
    <n v="0"/>
    <n v="0"/>
    <n v="0.33216565532989184"/>
    <n v="0"/>
    <n v="1"/>
    <n v="1"/>
    <n v="4563.1499999999996"/>
    <n v="664.84000000000015"/>
  </r>
  <r>
    <n v="376"/>
    <n v="46"/>
    <s v="female"/>
    <x v="184"/>
    <n v="84"/>
    <s v="No"/>
    <n v="1"/>
    <x v="0"/>
    <s v="southwest"/>
    <n v="5240.7700000000004"/>
    <x v="1"/>
    <n v="0"/>
    <n v="0"/>
    <n v="1"/>
    <n v="0"/>
    <n v="0.29056181126276182"/>
    <n v="0"/>
    <n v="0"/>
    <n v="1"/>
    <n v="6946.5499999999984"/>
    <n v="-1705.7799999999979"/>
  </r>
  <r>
    <n v="377"/>
    <n v="57"/>
    <s v="female"/>
    <x v="154"/>
    <n v="93"/>
    <s v="Yes"/>
    <n v="1"/>
    <x v="0"/>
    <s v="southeast"/>
    <n v="5245.23"/>
    <x v="1"/>
    <n v="0"/>
    <n v="1"/>
    <n v="0"/>
    <n v="0"/>
    <n v="0.36144745838923853"/>
    <n v="0"/>
    <n v="1"/>
    <n v="1"/>
    <n v="7884.7000000000007"/>
    <n v="-2639.4700000000012"/>
  </r>
  <r>
    <n v="378"/>
    <n v="57"/>
    <s v="female"/>
    <x v="145"/>
    <n v="96"/>
    <s v="No"/>
    <n v="1"/>
    <x v="0"/>
    <s v="southwest"/>
    <n v="5246.05"/>
    <x v="1"/>
    <n v="0"/>
    <n v="0"/>
    <n v="1"/>
    <n v="0"/>
    <n v="0.40371303470340536"/>
    <n v="0"/>
    <n v="0"/>
    <n v="1"/>
    <n v="9172.4499999999989"/>
    <n v="-3926.3999999999987"/>
  </r>
  <r>
    <n v="379"/>
    <n v="23"/>
    <s v="male"/>
    <x v="169"/>
    <n v="89"/>
    <s v="Yes"/>
    <n v="3"/>
    <x v="0"/>
    <s v="southwest"/>
    <n v="5253.52"/>
    <x v="1"/>
    <n v="0"/>
    <n v="0"/>
    <n v="1"/>
    <n v="0"/>
    <n v="0.46053377919364558"/>
    <n v="0"/>
    <n v="1"/>
    <n v="0"/>
    <n v="8719.31"/>
    <n v="-3465.7899999999991"/>
  </r>
  <r>
    <n v="380"/>
    <n v="20"/>
    <s v="male"/>
    <x v="63"/>
    <n v="92"/>
    <s v="No"/>
    <n v="2"/>
    <x v="0"/>
    <s v="northwest"/>
    <n v="5257.51"/>
    <x v="0"/>
    <n v="0"/>
    <n v="0"/>
    <n v="0"/>
    <n v="1"/>
    <n v="0.33549873657816021"/>
    <n v="0"/>
    <n v="0"/>
    <n v="0"/>
    <n v="8010.71"/>
    <n v="-2753.2"/>
  </r>
  <r>
    <n v="381"/>
    <n v="19"/>
    <s v="male"/>
    <x v="180"/>
    <n v="83"/>
    <s v="No"/>
    <n v="2"/>
    <x v="0"/>
    <s v="northwest"/>
    <n v="5261.47"/>
    <x v="4"/>
    <n v="0"/>
    <n v="0"/>
    <n v="0"/>
    <n v="1"/>
    <n v="0.20326108573903034"/>
    <n v="0"/>
    <n v="0"/>
    <n v="0"/>
    <n v="6823.6300000000019"/>
    <n v="-1562.1600000000017"/>
  </r>
  <r>
    <n v="382"/>
    <n v="44"/>
    <s v="female"/>
    <x v="74"/>
    <n v="90"/>
    <s v="No"/>
    <n v="0"/>
    <x v="0"/>
    <s v="northwest"/>
    <n v="5266.37"/>
    <x v="4"/>
    <n v="0"/>
    <n v="0"/>
    <n v="0"/>
    <n v="1"/>
    <n v="0.40625435592952608"/>
    <n v="0"/>
    <n v="0"/>
    <n v="1"/>
    <n v="6731.880000000001"/>
    <n v="-1465.5100000000011"/>
  </r>
  <r>
    <n v="383"/>
    <n v="52"/>
    <s v="female"/>
    <x v="161"/>
    <n v="96"/>
    <s v="No"/>
    <n v="0"/>
    <x v="0"/>
    <s v="northwest"/>
    <n v="5267.82"/>
    <x v="4"/>
    <n v="0"/>
    <n v="0"/>
    <n v="0"/>
    <n v="1"/>
    <n v="0.328866896502925"/>
    <n v="0"/>
    <n v="0"/>
    <n v="1"/>
    <n v="7773.23"/>
    <n v="-2505.41"/>
  </r>
  <r>
    <n v="384"/>
    <n v="32"/>
    <s v="female"/>
    <x v="49"/>
    <n v="88"/>
    <s v="Yes"/>
    <n v="0"/>
    <x v="0"/>
    <s v="northwest"/>
    <n v="5272.18"/>
    <x v="1"/>
    <n v="0"/>
    <n v="0"/>
    <n v="0"/>
    <n v="1"/>
    <n v="0.43482571101866185"/>
    <n v="0"/>
    <n v="1"/>
    <n v="1"/>
    <n v="6718.0999999999995"/>
    <n v="-1445.9199999999992"/>
  </r>
  <r>
    <n v="385"/>
    <n v="41"/>
    <s v="female"/>
    <x v="95"/>
    <n v="82"/>
    <s v="Yes"/>
    <n v="3"/>
    <x v="0"/>
    <s v="northwest"/>
    <n v="5312.17"/>
    <x v="4"/>
    <n v="0"/>
    <n v="0"/>
    <n v="0"/>
    <n v="1"/>
    <n v="0.64032161710023916"/>
    <n v="0"/>
    <n v="1"/>
    <n v="1"/>
    <n v="7647.4100000000008"/>
    <n v="-2335.2400000000007"/>
  </r>
  <r>
    <n v="386"/>
    <n v="49"/>
    <s v="female"/>
    <x v="131"/>
    <n v="90"/>
    <s v="Yes"/>
    <n v="3"/>
    <x v="0"/>
    <s v="southwest"/>
    <n v="5325.65"/>
    <x v="1"/>
    <n v="0"/>
    <n v="0"/>
    <n v="1"/>
    <n v="0"/>
    <n v="0.28528952812556085"/>
    <n v="0"/>
    <n v="1"/>
    <n v="1"/>
    <n v="9299.1200000000008"/>
    <n v="-3973.4700000000012"/>
  </r>
  <r>
    <n v="387"/>
    <n v="25"/>
    <s v="female"/>
    <x v="185"/>
    <n v="81"/>
    <s v="No"/>
    <n v="2"/>
    <x v="0"/>
    <s v="northwest"/>
    <n v="5327.4"/>
    <x v="1"/>
    <n v="0"/>
    <n v="0"/>
    <n v="0"/>
    <n v="1"/>
    <n v="0.47019009140637114"/>
    <n v="0"/>
    <n v="0"/>
    <n v="1"/>
    <n v="7394.8700000000008"/>
    <n v="-2067.4700000000012"/>
  </r>
  <r>
    <n v="388"/>
    <n v="31"/>
    <s v="female"/>
    <x v="115"/>
    <n v="97"/>
    <s v="Yes"/>
    <n v="1"/>
    <x v="0"/>
    <s v="southeast"/>
    <n v="5354.07"/>
    <x v="0"/>
    <n v="0"/>
    <n v="1"/>
    <n v="0"/>
    <n v="0"/>
    <n v="0.48658238914476004"/>
    <n v="0"/>
    <n v="1"/>
    <n v="1"/>
    <n v="7521.7899999999991"/>
    <n v="-2167.7199999999993"/>
  </r>
  <r>
    <n v="389"/>
    <n v="32"/>
    <s v="male"/>
    <x v="131"/>
    <n v="91"/>
    <s v="No"/>
    <n v="1"/>
    <x v="0"/>
    <s v="northwest"/>
    <n v="5373.36"/>
    <x v="1"/>
    <n v="0"/>
    <n v="0"/>
    <n v="0"/>
    <n v="1"/>
    <n v="0.22296065887194472"/>
    <n v="0"/>
    <n v="0"/>
    <n v="0"/>
    <n v="7636.1699999999992"/>
    <n v="-2262.8099999999995"/>
  </r>
  <r>
    <n v="390"/>
    <n v="54"/>
    <s v="female"/>
    <x v="57"/>
    <n v="91"/>
    <s v="Yes"/>
    <n v="2"/>
    <x v="0"/>
    <s v="southwest"/>
    <n v="5375.04"/>
    <x v="1"/>
    <n v="0"/>
    <n v="0"/>
    <n v="1"/>
    <n v="0"/>
    <n v="0.47253183299719526"/>
    <n v="0"/>
    <n v="1"/>
    <n v="1"/>
    <n v="8885.0700000000015"/>
    <n v="-3510.0300000000016"/>
  </r>
  <r>
    <n v="391"/>
    <n v="44"/>
    <s v="male"/>
    <x v="37"/>
    <n v="96"/>
    <s v="No"/>
    <n v="1"/>
    <x v="0"/>
    <s v="northwest"/>
    <n v="5377.46"/>
    <x v="1"/>
    <n v="0"/>
    <n v="0"/>
    <n v="0"/>
    <n v="1"/>
    <n v="0.64893373393965703"/>
    <n v="0"/>
    <n v="0"/>
    <n v="0"/>
    <n v="8666.7099999999991"/>
    <n v="-3289.2499999999991"/>
  </r>
  <r>
    <n v="392"/>
    <n v="40"/>
    <s v="female"/>
    <x v="13"/>
    <n v="92"/>
    <s v="Yes"/>
    <n v="0"/>
    <x v="0"/>
    <s v="southwest"/>
    <n v="5383.54"/>
    <x v="4"/>
    <n v="0"/>
    <n v="0"/>
    <n v="1"/>
    <n v="0"/>
    <n v="0.18285842204129232"/>
    <n v="0"/>
    <n v="1"/>
    <n v="1"/>
    <n v="7132.9500000000007"/>
    <n v="-1749.4100000000008"/>
  </r>
  <r>
    <n v="393"/>
    <n v="58"/>
    <s v="female"/>
    <x v="116"/>
    <n v="88"/>
    <s v="Yes"/>
    <n v="1"/>
    <x v="0"/>
    <s v="northwest"/>
    <n v="5385.34"/>
    <x v="4"/>
    <n v="0"/>
    <n v="0"/>
    <n v="0"/>
    <n v="1"/>
    <n v="0.70573092592036268"/>
    <n v="0"/>
    <n v="1"/>
    <n v="1"/>
    <n v="7115.2599999999993"/>
    <n v="-1729.9199999999992"/>
  </r>
  <r>
    <n v="394"/>
    <n v="32"/>
    <s v="female"/>
    <x v="186"/>
    <n v="96"/>
    <s v="No"/>
    <n v="0"/>
    <x v="0"/>
    <s v="southeast"/>
    <n v="5397.62"/>
    <x v="2"/>
    <n v="0"/>
    <n v="1"/>
    <n v="0"/>
    <n v="0"/>
    <n v="0.12210334910951492"/>
    <n v="0"/>
    <n v="0"/>
    <n v="1"/>
    <n v="8025.54"/>
    <n v="-2627.92"/>
  </r>
  <r>
    <n v="395"/>
    <n v="29"/>
    <s v="female"/>
    <x v="102"/>
    <n v="85"/>
    <s v="Yes"/>
    <n v="0"/>
    <x v="0"/>
    <s v="southeast"/>
    <n v="5400.98"/>
    <x v="2"/>
    <n v="0"/>
    <n v="1"/>
    <n v="0"/>
    <n v="0"/>
    <n v="0.15421929542071056"/>
    <n v="0"/>
    <n v="1"/>
    <n v="1"/>
    <n v="6418.58"/>
    <n v="-1017.6000000000004"/>
  </r>
  <r>
    <n v="396"/>
    <n v="30"/>
    <s v="male"/>
    <x v="94"/>
    <n v="100"/>
    <s v="Yes"/>
    <n v="0"/>
    <x v="0"/>
    <s v="southeast"/>
    <n v="5415.66"/>
    <x v="4"/>
    <n v="0"/>
    <n v="1"/>
    <n v="0"/>
    <n v="0"/>
    <n v="0.90404319436533065"/>
    <n v="0"/>
    <n v="1"/>
    <n v="0"/>
    <n v="7075.1500000000005"/>
    <n v="-1659.4900000000007"/>
  </r>
  <r>
    <n v="397"/>
    <n v="41"/>
    <s v="male"/>
    <x v="17"/>
    <n v="86"/>
    <s v="Yes"/>
    <n v="3"/>
    <x v="0"/>
    <s v="northwest"/>
    <n v="5425.02"/>
    <x v="1"/>
    <n v="0"/>
    <n v="0"/>
    <n v="0"/>
    <n v="1"/>
    <n v="0.27017089269747263"/>
    <n v="0"/>
    <n v="1"/>
    <n v="0"/>
    <n v="8251.2199999999993"/>
    <n v="-2826.1999999999989"/>
  </r>
  <r>
    <n v="398"/>
    <n v="27"/>
    <s v="male"/>
    <x v="88"/>
    <n v="83"/>
    <s v="No"/>
    <n v="3"/>
    <x v="0"/>
    <s v="southeast"/>
    <n v="5428.73"/>
    <x v="2"/>
    <n v="0"/>
    <n v="1"/>
    <n v="0"/>
    <n v="0"/>
    <n v="0.65894168170609946"/>
    <n v="0"/>
    <n v="0"/>
    <n v="0"/>
    <n v="7701.3900000000012"/>
    <n v="-2272.6600000000017"/>
  </r>
  <r>
    <n v="399"/>
    <n v="29"/>
    <s v="male"/>
    <x v="187"/>
    <n v="86"/>
    <s v="Yes"/>
    <n v="0"/>
    <x v="0"/>
    <s v="southeast"/>
    <n v="5438.75"/>
    <x v="2"/>
    <n v="0"/>
    <n v="1"/>
    <n v="0"/>
    <n v="0"/>
    <n v="0.93799359967518314"/>
    <n v="0"/>
    <n v="1"/>
    <n v="0"/>
    <n v="6261.47"/>
    <n v="-822.72000000000025"/>
  </r>
  <r>
    <n v="400"/>
    <n v="27"/>
    <s v="female"/>
    <x v="188"/>
    <n v="81"/>
    <s v="No"/>
    <n v="0"/>
    <x v="0"/>
    <s v="southeast"/>
    <n v="5458.05"/>
    <x v="3"/>
    <n v="0"/>
    <n v="1"/>
    <n v="0"/>
    <n v="0"/>
    <n v="0.20693166176044309"/>
    <n v="0"/>
    <n v="0"/>
    <n v="1"/>
    <n v="4116.1900000000005"/>
    <n v="1341.8599999999997"/>
  </r>
  <r>
    <n v="401"/>
    <n v="57"/>
    <s v="female"/>
    <x v="110"/>
    <n v="97"/>
    <s v="Yes"/>
    <n v="0"/>
    <x v="0"/>
    <s v="southeast"/>
    <n v="5469.01"/>
    <x v="4"/>
    <n v="0"/>
    <n v="1"/>
    <n v="0"/>
    <n v="0"/>
    <n v="0.90527709711017468"/>
    <n v="0"/>
    <n v="1"/>
    <n v="1"/>
    <n v="7229.07"/>
    <n v="-1760.0599999999995"/>
  </r>
  <r>
    <n v="402"/>
    <n v="43"/>
    <s v="female"/>
    <x v="142"/>
    <n v="99"/>
    <s v="No"/>
    <n v="1"/>
    <x v="0"/>
    <s v="southwest"/>
    <n v="5472.45"/>
    <x v="4"/>
    <n v="0"/>
    <n v="0"/>
    <n v="1"/>
    <n v="0"/>
    <n v="0.6113937825891248"/>
    <n v="0"/>
    <n v="0"/>
    <n v="1"/>
    <n v="8908.1899999999987"/>
    <n v="-3435.7399999999989"/>
  </r>
  <r>
    <n v="403"/>
    <n v="55"/>
    <s v="female"/>
    <x v="123"/>
    <n v="89"/>
    <s v="No"/>
    <n v="1"/>
    <x v="0"/>
    <s v="southeast"/>
    <n v="5478.04"/>
    <x v="4"/>
    <n v="0"/>
    <n v="1"/>
    <n v="0"/>
    <n v="0"/>
    <n v="0.57442563859432694"/>
    <n v="0"/>
    <n v="0"/>
    <n v="1"/>
    <n v="6950.31"/>
    <n v="-1472.2700000000004"/>
  </r>
  <r>
    <n v="404"/>
    <n v="47"/>
    <s v="male"/>
    <x v="117"/>
    <n v="91"/>
    <s v="Yes"/>
    <n v="1"/>
    <x v="0"/>
    <s v="southeast"/>
    <n v="5484.47"/>
    <x v="4"/>
    <n v="0"/>
    <n v="1"/>
    <n v="0"/>
    <n v="0"/>
    <n v="0.96402894070114364"/>
    <n v="0"/>
    <n v="1"/>
    <n v="0"/>
    <n v="6628.920000000001"/>
    <n v="-1144.4500000000007"/>
  </r>
  <r>
    <n v="405"/>
    <n v="23"/>
    <s v="male"/>
    <x v="184"/>
    <n v="90"/>
    <s v="No"/>
    <n v="1"/>
    <x v="0"/>
    <s v="southwest"/>
    <n v="5488.26"/>
    <x v="1"/>
    <n v="0"/>
    <n v="0"/>
    <n v="1"/>
    <n v="0"/>
    <n v="1.69081768793371E-2"/>
    <n v="0"/>
    <n v="0"/>
    <n v="0"/>
    <n v="7488.58"/>
    <n v="-2000.3199999999997"/>
  </r>
  <r>
    <n v="406"/>
    <n v="20"/>
    <s v="male"/>
    <x v="5"/>
    <n v="93"/>
    <s v="No"/>
    <n v="2"/>
    <x v="0"/>
    <s v="southeast"/>
    <n v="5584.31"/>
    <x v="1"/>
    <n v="0"/>
    <n v="1"/>
    <n v="0"/>
    <n v="0"/>
    <n v="0.98335695698542891"/>
    <n v="0"/>
    <n v="0"/>
    <n v="0"/>
    <n v="8311.51"/>
    <n v="-2727.2"/>
  </r>
  <r>
    <n v="407"/>
    <n v="43"/>
    <s v="female"/>
    <x v="2"/>
    <n v="94"/>
    <s v="Yes"/>
    <n v="1"/>
    <x v="0"/>
    <s v="southeast"/>
    <n v="5594.85"/>
    <x v="1"/>
    <n v="0"/>
    <n v="1"/>
    <n v="0"/>
    <n v="0"/>
    <n v="0.38653019604457151"/>
    <n v="0"/>
    <n v="1"/>
    <n v="1"/>
    <n v="7985.26"/>
    <n v="-2390.41"/>
  </r>
  <r>
    <n v="408"/>
    <n v="31"/>
    <s v="male"/>
    <x v="89"/>
    <n v="83"/>
    <s v="Yes"/>
    <n v="5"/>
    <x v="0"/>
    <s v="southwest"/>
    <n v="5615.37"/>
    <x v="0"/>
    <n v="0"/>
    <n v="0"/>
    <n v="1"/>
    <n v="0"/>
    <n v="0.87094706636674968"/>
    <n v="0"/>
    <n v="1"/>
    <n v="0"/>
    <n v="8672.26"/>
    <n v="-3056.8900000000003"/>
  </r>
  <r>
    <n v="409"/>
    <n v="57"/>
    <s v="female"/>
    <x v="159"/>
    <n v="85"/>
    <s v="Yes"/>
    <n v="1"/>
    <x v="0"/>
    <s v="northwest"/>
    <n v="5630.46"/>
    <x v="2"/>
    <n v="0"/>
    <n v="0"/>
    <n v="0"/>
    <n v="1"/>
    <n v="0.23213002496768265"/>
    <n v="0"/>
    <n v="1"/>
    <n v="1"/>
    <n v="7441.4699999999984"/>
    <n v="-1811.0099999999984"/>
  </r>
  <r>
    <n v="410"/>
    <n v="54"/>
    <s v="female"/>
    <x v="185"/>
    <n v="86"/>
    <s v="Yes"/>
    <n v="0"/>
    <x v="0"/>
    <s v="southwest"/>
    <n v="5649.72"/>
    <x v="1"/>
    <n v="0"/>
    <n v="0"/>
    <n v="1"/>
    <n v="0"/>
    <n v="2.1349953403279498E-2"/>
    <n v="0"/>
    <n v="1"/>
    <n v="1"/>
    <n v="6602.0899999999983"/>
    <n v="-952.36999999999807"/>
  </r>
  <r>
    <n v="411"/>
    <n v="25"/>
    <s v="female"/>
    <x v="189"/>
    <n v="95"/>
    <s v="Yes"/>
    <n v="0"/>
    <x v="0"/>
    <s v="southeast"/>
    <n v="5662.23"/>
    <x v="2"/>
    <n v="0"/>
    <n v="1"/>
    <n v="0"/>
    <n v="0"/>
    <n v="0.27773764879903762"/>
    <n v="0"/>
    <n v="1"/>
    <n v="1"/>
    <n v="8156.4000000000015"/>
    <n v="-2494.1700000000019"/>
  </r>
  <r>
    <n v="412"/>
    <n v="26"/>
    <s v="female"/>
    <x v="157"/>
    <n v="94"/>
    <s v="Yes"/>
    <n v="3"/>
    <x v="0"/>
    <s v="northwest"/>
    <n v="5693.43"/>
    <x v="0"/>
    <n v="0"/>
    <n v="0"/>
    <n v="0"/>
    <n v="1"/>
    <n v="0.31785834701317217"/>
    <n v="0"/>
    <n v="1"/>
    <n v="1"/>
    <n v="9043.0400000000027"/>
    <n v="-3349.6100000000024"/>
  </r>
  <r>
    <n v="413"/>
    <n v="38"/>
    <s v="male"/>
    <x v="149"/>
    <n v="100"/>
    <s v="Yes"/>
    <n v="0"/>
    <x v="0"/>
    <s v="southeast"/>
    <n v="5699.84"/>
    <x v="1"/>
    <n v="0"/>
    <n v="1"/>
    <n v="0"/>
    <n v="0"/>
    <n v="0.57154677937297071"/>
    <n v="0"/>
    <n v="1"/>
    <n v="0"/>
    <n v="7791.6600000000008"/>
    <n v="-2091.8200000000006"/>
  </r>
  <r>
    <n v="414"/>
    <n v="43"/>
    <s v="female"/>
    <x v="30"/>
    <n v="82"/>
    <s v="No"/>
    <n v="4"/>
    <x v="0"/>
    <s v="southwest"/>
    <n v="5708.87"/>
    <x v="4"/>
    <n v="0"/>
    <n v="0"/>
    <n v="1"/>
    <n v="0"/>
    <n v="0.42689698679767585"/>
    <n v="0"/>
    <n v="0"/>
    <n v="1"/>
    <n v="8384.2300000000014"/>
    <n v="-2675.3600000000015"/>
  </r>
  <r>
    <n v="415"/>
    <n v="20"/>
    <s v="male"/>
    <x v="33"/>
    <n v="81"/>
    <s v="Yes"/>
    <n v="0"/>
    <x v="0"/>
    <s v="southeast"/>
    <n v="5709.16"/>
    <x v="2"/>
    <n v="0"/>
    <n v="1"/>
    <n v="0"/>
    <n v="0"/>
    <n v="0.43960280479459068"/>
    <n v="0"/>
    <n v="1"/>
    <n v="0"/>
    <n v="5355.3400000000011"/>
    <n v="353.8199999999988"/>
  </r>
  <r>
    <n v="416"/>
    <n v="22"/>
    <s v="male"/>
    <x v="145"/>
    <n v="89"/>
    <s v="No"/>
    <n v="2"/>
    <x v="0"/>
    <s v="northwest"/>
    <n v="5729.01"/>
    <x v="1"/>
    <n v="0"/>
    <n v="0"/>
    <n v="0"/>
    <n v="1"/>
    <n v="9.6189288766858394E-2"/>
    <n v="0"/>
    <n v="0"/>
    <n v="0"/>
    <n v="8401.48"/>
    <n v="-2672.4699999999993"/>
  </r>
  <r>
    <n v="417"/>
    <n v="23"/>
    <s v="male"/>
    <x v="190"/>
    <n v="82"/>
    <s v="No"/>
    <n v="0"/>
    <x v="0"/>
    <s v="southeast"/>
    <n v="5757.41"/>
    <x v="2"/>
    <n v="0"/>
    <n v="1"/>
    <n v="0"/>
    <n v="0"/>
    <n v="0.49500821608968493"/>
    <n v="0"/>
    <n v="0"/>
    <n v="0"/>
    <n v="5785.3500000000022"/>
    <n v="-27.940000000002328"/>
  </r>
  <r>
    <n v="418"/>
    <n v="41"/>
    <s v="female"/>
    <x v="77"/>
    <n v="82"/>
    <s v="No"/>
    <n v="2"/>
    <x v="0"/>
    <s v="southeast"/>
    <n v="5836.52"/>
    <x v="2"/>
    <n v="0"/>
    <n v="1"/>
    <n v="0"/>
    <n v="0"/>
    <n v="0.13813917208605897"/>
    <n v="0"/>
    <n v="0"/>
    <n v="1"/>
    <n v="7102.3400000000011"/>
    <n v="-1265.8200000000006"/>
  </r>
  <r>
    <n v="419"/>
    <n v="28"/>
    <s v="female"/>
    <x v="191"/>
    <n v="90"/>
    <s v="No"/>
    <n v="2"/>
    <x v="0"/>
    <s v="southeast"/>
    <n v="5846.92"/>
    <x v="2"/>
    <n v="0"/>
    <n v="1"/>
    <n v="0"/>
    <n v="0"/>
    <n v="0.7119280375985434"/>
    <n v="0"/>
    <n v="0"/>
    <n v="1"/>
    <n v="9028.4000000000015"/>
    <n v="-3181.4800000000014"/>
  </r>
  <r>
    <n v="420"/>
    <n v="37"/>
    <s v="male"/>
    <x v="157"/>
    <n v="91"/>
    <s v="No"/>
    <n v="1"/>
    <x v="0"/>
    <s v="northwest"/>
    <n v="5855.9"/>
    <x v="0"/>
    <n v="0"/>
    <n v="0"/>
    <n v="0"/>
    <n v="1"/>
    <n v="0.61052208560893684"/>
    <n v="0"/>
    <n v="0"/>
    <n v="0"/>
    <n v="6697.8200000000006"/>
    <n v="-841.92000000000098"/>
  </r>
  <r>
    <n v="421"/>
    <n v="58"/>
    <s v="female"/>
    <x v="66"/>
    <n v="95"/>
    <s v="Yes"/>
    <n v="0"/>
    <x v="0"/>
    <s v="southwest"/>
    <n v="5910.94"/>
    <x v="4"/>
    <n v="0"/>
    <n v="0"/>
    <n v="1"/>
    <n v="0"/>
    <n v="0.74112250831772186"/>
    <n v="0"/>
    <n v="1"/>
    <n v="1"/>
    <n v="7759.68"/>
    <n v="-1848.7400000000007"/>
  </r>
  <r>
    <n v="422"/>
    <n v="51"/>
    <s v="female"/>
    <x v="192"/>
    <n v="90"/>
    <s v="Yes"/>
    <n v="0"/>
    <x v="0"/>
    <s v="southeast"/>
    <n v="5920.1"/>
    <x v="2"/>
    <n v="0"/>
    <n v="1"/>
    <n v="0"/>
    <n v="0"/>
    <n v="0.82242060389062177"/>
    <n v="0"/>
    <n v="1"/>
    <n v="1"/>
    <n v="6846.3700000000008"/>
    <n v="-926.27000000000044"/>
  </r>
  <r>
    <n v="423"/>
    <n v="27"/>
    <s v="male"/>
    <x v="55"/>
    <n v="94"/>
    <s v="Yes"/>
    <n v="3"/>
    <x v="0"/>
    <s v="southwest"/>
    <n v="5926.85"/>
    <x v="4"/>
    <n v="0"/>
    <n v="0"/>
    <n v="1"/>
    <n v="0"/>
    <n v="1.5174240051458288E-2"/>
    <n v="0"/>
    <n v="1"/>
    <n v="0"/>
    <n v="9349.69"/>
    <n v="-3422.84"/>
  </r>
  <r>
    <n v="424"/>
    <n v="46"/>
    <s v="male"/>
    <x v="193"/>
    <n v="89"/>
    <s v="Yes"/>
    <n v="3"/>
    <x v="0"/>
    <s v="southeast"/>
    <n v="5934.38"/>
    <x v="1"/>
    <n v="0"/>
    <n v="1"/>
    <n v="0"/>
    <n v="0"/>
    <n v="0.49223196892400023"/>
    <n v="0"/>
    <n v="1"/>
    <n v="0"/>
    <n v="8300.5000000000018"/>
    <n v="-2366.1200000000017"/>
  </r>
  <r>
    <n v="425"/>
    <n v="25"/>
    <s v="male"/>
    <x v="194"/>
    <n v="94"/>
    <s v="No"/>
    <n v="0"/>
    <x v="0"/>
    <s v="southeast"/>
    <n v="5966.89"/>
    <x v="0"/>
    <n v="0"/>
    <n v="1"/>
    <n v="0"/>
    <n v="0"/>
    <n v="0.85052365609516334"/>
    <n v="0"/>
    <n v="0"/>
    <n v="0"/>
    <n v="6175.9700000000012"/>
    <n v="-209.08000000000084"/>
  </r>
  <r>
    <n v="426"/>
    <n v="46"/>
    <s v="male"/>
    <x v="161"/>
    <n v="90"/>
    <s v="No"/>
    <n v="0"/>
    <x v="0"/>
    <s v="southwest"/>
    <n v="5969.72"/>
    <x v="4"/>
    <n v="0"/>
    <n v="0"/>
    <n v="1"/>
    <n v="0"/>
    <n v="0.91831514673310233"/>
    <n v="0"/>
    <n v="0"/>
    <n v="0"/>
    <n v="6370.3499999999985"/>
    <n v="-400.62999999999829"/>
  </r>
  <r>
    <n v="427"/>
    <n v="40"/>
    <s v="female"/>
    <x v="146"/>
    <n v="100"/>
    <s v="Yes"/>
    <n v="3"/>
    <x v="0"/>
    <s v="southwest"/>
    <n v="5972.38"/>
    <x v="2"/>
    <n v="0"/>
    <n v="0"/>
    <n v="1"/>
    <n v="0"/>
    <n v="0.13819995567389565"/>
    <n v="0"/>
    <n v="1"/>
    <n v="1"/>
    <n v="11590.54"/>
    <n v="-5618.1600000000008"/>
  </r>
  <r>
    <n v="428"/>
    <n v="35"/>
    <s v="female"/>
    <x v="55"/>
    <n v="97"/>
    <s v="Yes"/>
    <n v="1"/>
    <x v="0"/>
    <s v="southeast"/>
    <n v="5974.38"/>
    <x v="4"/>
    <n v="0"/>
    <n v="1"/>
    <n v="0"/>
    <n v="0"/>
    <n v="0.77667272983902091"/>
    <n v="0"/>
    <n v="1"/>
    <n v="1"/>
    <n v="8098.07"/>
    <n v="-2123.6899999999996"/>
  </r>
  <r>
    <n v="429"/>
    <n v="34"/>
    <s v="female"/>
    <x v="195"/>
    <n v="90"/>
    <s v="No"/>
    <n v="1"/>
    <x v="0"/>
    <s v="southeast"/>
    <n v="5976.83"/>
    <x v="1"/>
    <n v="0"/>
    <n v="1"/>
    <n v="0"/>
    <n v="0"/>
    <n v="0.37014002525149392"/>
    <n v="0"/>
    <n v="0"/>
    <n v="1"/>
    <n v="7205.1799999999994"/>
    <n v="-1228.3499999999995"/>
  </r>
  <r>
    <n v="430"/>
    <n v="38"/>
    <s v="male"/>
    <x v="4"/>
    <n v="90"/>
    <s v="No"/>
    <n v="0"/>
    <x v="0"/>
    <s v="southwest"/>
    <n v="5979.73"/>
    <x v="1"/>
    <n v="0"/>
    <n v="0"/>
    <n v="1"/>
    <n v="0"/>
    <n v="0.47196005777648364"/>
    <n v="0"/>
    <n v="0"/>
    <n v="0"/>
    <n v="6996.1899999999987"/>
    <n v="-1016.4599999999991"/>
  </r>
  <r>
    <n v="431"/>
    <n v="33"/>
    <s v="female"/>
    <x v="6"/>
    <n v="95"/>
    <s v="Yes"/>
    <n v="2"/>
    <x v="0"/>
    <s v="northwest"/>
    <n v="5989.52"/>
    <x v="2"/>
    <n v="0"/>
    <n v="0"/>
    <n v="0"/>
    <n v="1"/>
    <n v="4.7565718229589327E-2"/>
    <n v="0"/>
    <n v="1"/>
    <n v="1"/>
    <n v="9934.5800000000036"/>
    <n v="-3945.0600000000031"/>
  </r>
  <r>
    <n v="432"/>
    <n v="38"/>
    <s v="male"/>
    <x v="48"/>
    <n v="96"/>
    <s v="No"/>
    <n v="4"/>
    <x v="0"/>
    <s v="southwest"/>
    <n v="6059.17"/>
    <x v="4"/>
    <n v="0"/>
    <n v="0"/>
    <n v="1"/>
    <n v="0"/>
    <n v="0.27428084062006963"/>
    <n v="0"/>
    <n v="0"/>
    <n v="0"/>
    <n v="10504.839999999998"/>
    <n v="-4445.6699999999983"/>
  </r>
  <r>
    <n v="433"/>
    <n v="26"/>
    <s v="male"/>
    <x v="196"/>
    <n v="100"/>
    <s v="No"/>
    <n v="1"/>
    <x v="0"/>
    <s v="southeast"/>
    <n v="6067.13"/>
    <x v="4"/>
    <n v="0"/>
    <n v="1"/>
    <n v="0"/>
    <n v="0"/>
    <n v="0.4511619274426858"/>
    <n v="0"/>
    <n v="0"/>
    <n v="0"/>
    <n v="8135.52"/>
    <n v="-2068.3900000000003"/>
  </r>
  <r>
    <n v="434"/>
    <n v="36"/>
    <s v="male"/>
    <x v="140"/>
    <n v="88"/>
    <s v="No"/>
    <n v="1"/>
    <x v="0"/>
    <s v="southeast"/>
    <n v="6079.67"/>
    <x v="2"/>
    <n v="0"/>
    <n v="1"/>
    <n v="0"/>
    <n v="0"/>
    <n v="0.24909488696284821"/>
    <n v="0"/>
    <n v="0"/>
    <n v="0"/>
    <n v="6985.6900000000005"/>
    <n v="-906.02000000000044"/>
  </r>
  <r>
    <n v="435"/>
    <n v="42"/>
    <s v="male"/>
    <x v="165"/>
    <n v="97"/>
    <s v="Yes"/>
    <n v="2"/>
    <x v="0"/>
    <s v="southwest"/>
    <n v="6082.41"/>
    <x v="1"/>
    <n v="0"/>
    <n v="0"/>
    <n v="1"/>
    <n v="0"/>
    <n v="0.66677591646073786"/>
    <n v="0"/>
    <n v="1"/>
    <n v="0"/>
    <n v="9566.92"/>
    <n v="-3484.51"/>
  </r>
  <r>
    <n v="436"/>
    <n v="38"/>
    <s v="female"/>
    <x v="4"/>
    <n v="93"/>
    <s v="No"/>
    <n v="1"/>
    <x v="0"/>
    <s v="northwest"/>
    <n v="6112.35"/>
    <x v="1"/>
    <n v="0"/>
    <n v="0"/>
    <n v="0"/>
    <n v="1"/>
    <n v="0.81276215367249927"/>
    <n v="0"/>
    <n v="0"/>
    <n v="1"/>
    <n v="8666.2200000000012"/>
    <n v="-2553.8700000000008"/>
  </r>
  <r>
    <n v="437"/>
    <n v="28"/>
    <s v="female"/>
    <x v="85"/>
    <n v="82"/>
    <s v="Yes"/>
    <n v="3"/>
    <x v="0"/>
    <s v="southeast"/>
    <n v="6113.23"/>
    <x v="1"/>
    <n v="0"/>
    <n v="1"/>
    <n v="0"/>
    <n v="0"/>
    <n v="7.8320890056571835E-2"/>
    <n v="0"/>
    <n v="1"/>
    <n v="1"/>
    <n v="7326.4600000000009"/>
    <n v="-1213.2300000000014"/>
  </r>
  <r>
    <n v="438"/>
    <n v="29"/>
    <s v="male"/>
    <x v="136"/>
    <n v="91"/>
    <s v="Yes"/>
    <n v="1"/>
    <x v="0"/>
    <s v="northwest"/>
    <n v="6117.49"/>
    <x v="0"/>
    <n v="0"/>
    <n v="0"/>
    <n v="0"/>
    <n v="1"/>
    <n v="0.11439769267766953"/>
    <n v="0"/>
    <n v="1"/>
    <n v="0"/>
    <n v="6801.4499999999989"/>
    <n v="-683.95999999999913"/>
  </r>
  <r>
    <n v="439"/>
    <n v="46"/>
    <s v="male"/>
    <x v="104"/>
    <n v="84"/>
    <s v="Yes"/>
    <n v="1"/>
    <x v="0"/>
    <s v="northwest"/>
    <n v="6123.57"/>
    <x v="4"/>
    <n v="0"/>
    <n v="0"/>
    <n v="0"/>
    <n v="1"/>
    <n v="0.54274124572756444"/>
    <n v="0"/>
    <n v="1"/>
    <n v="0"/>
    <n v="6030.2099999999991"/>
    <n v="93.360000000000582"/>
  </r>
  <r>
    <n v="440"/>
    <n v="55"/>
    <s v="female"/>
    <x v="100"/>
    <n v="89"/>
    <s v="Yes"/>
    <n v="3"/>
    <x v="0"/>
    <s v="northwest"/>
    <n v="6128.8"/>
    <x v="1"/>
    <n v="0"/>
    <n v="0"/>
    <n v="0"/>
    <n v="1"/>
    <n v="0.98030332748858073"/>
    <n v="0"/>
    <n v="1"/>
    <n v="1"/>
    <n v="9336.5700000000015"/>
    <n v="-3207.7700000000013"/>
  </r>
  <r>
    <n v="441"/>
    <n v="42"/>
    <s v="female"/>
    <x v="75"/>
    <n v="84"/>
    <s v="No"/>
    <n v="3"/>
    <x v="0"/>
    <s v="southeast"/>
    <n v="6184.3"/>
    <x v="4"/>
    <n v="0"/>
    <n v="1"/>
    <n v="0"/>
    <n v="0"/>
    <n v="0.97263787686662539"/>
    <n v="0"/>
    <n v="0"/>
    <n v="1"/>
    <n v="7594.1799999999994"/>
    <n v="-1409.8799999999992"/>
  </r>
  <r>
    <n v="442"/>
    <n v="39"/>
    <s v="female"/>
    <x v="184"/>
    <n v="97"/>
    <s v="No"/>
    <n v="0"/>
    <x v="0"/>
    <s v="southeast"/>
    <n v="6185.32"/>
    <x v="1"/>
    <n v="0"/>
    <n v="1"/>
    <n v="0"/>
    <n v="0"/>
    <n v="0.52121460567208378"/>
    <n v="0"/>
    <n v="0"/>
    <n v="1"/>
    <n v="7603.3199999999988"/>
    <n v="-1417.9999999999991"/>
  </r>
  <r>
    <n v="443"/>
    <n v="32"/>
    <s v="female"/>
    <x v="178"/>
    <n v="91"/>
    <s v="Yes"/>
    <n v="0"/>
    <x v="0"/>
    <s v="southwest"/>
    <n v="6186.13"/>
    <x v="1"/>
    <n v="0"/>
    <n v="0"/>
    <n v="1"/>
    <n v="0"/>
    <n v="0.1093015630405697"/>
    <n v="0"/>
    <n v="1"/>
    <n v="1"/>
    <n v="7325.5999999999985"/>
    <n v="-1139.4699999999984"/>
  </r>
  <r>
    <n v="444"/>
    <n v="32"/>
    <s v="female"/>
    <x v="197"/>
    <n v="92"/>
    <s v="No"/>
    <n v="3"/>
    <x v="0"/>
    <s v="southwest"/>
    <n v="6196.45"/>
    <x v="2"/>
    <n v="0"/>
    <n v="0"/>
    <n v="1"/>
    <n v="0"/>
    <n v="0.96001651901624585"/>
    <n v="0"/>
    <n v="0"/>
    <n v="1"/>
    <n v="10316.170000000002"/>
    <n v="-4119.7200000000021"/>
  </r>
  <r>
    <n v="445"/>
    <n v="27"/>
    <s v="male"/>
    <x v="89"/>
    <n v="82"/>
    <s v="No"/>
    <n v="2"/>
    <x v="0"/>
    <s v="northwest"/>
    <n v="6198.75"/>
    <x v="0"/>
    <n v="0"/>
    <n v="0"/>
    <n v="0"/>
    <n v="1"/>
    <n v="0.72599397205536464"/>
    <n v="0"/>
    <n v="0"/>
    <n v="0"/>
    <n v="6380.2"/>
    <n v="-181.44999999999982"/>
  </r>
  <r>
    <n v="446"/>
    <n v="33"/>
    <s v="male"/>
    <x v="196"/>
    <n v="93"/>
    <s v="No"/>
    <n v="2"/>
    <x v="0"/>
    <s v="northwest"/>
    <n v="6203.9"/>
    <x v="4"/>
    <n v="0"/>
    <n v="0"/>
    <n v="0"/>
    <n v="1"/>
    <n v="0.20697535842207537"/>
    <n v="0"/>
    <n v="0"/>
    <n v="0"/>
    <n v="8444.36"/>
    <n v="-2240.4600000000009"/>
  </r>
  <r>
    <n v="447"/>
    <n v="25"/>
    <s v="female"/>
    <x v="147"/>
    <n v="100"/>
    <s v="No"/>
    <n v="1"/>
    <x v="0"/>
    <s v="southwest"/>
    <n v="6238.3"/>
    <x v="1"/>
    <n v="0"/>
    <n v="0"/>
    <n v="1"/>
    <n v="0"/>
    <n v="0.10914896085618742"/>
    <n v="0"/>
    <n v="0"/>
    <n v="1"/>
    <n v="9655.119999999999"/>
    <n v="-3416.8199999999988"/>
  </r>
  <r>
    <n v="448"/>
    <n v="45"/>
    <s v="male"/>
    <x v="0"/>
    <n v="92"/>
    <s v="No"/>
    <n v="0"/>
    <x v="0"/>
    <s v="southwest"/>
    <n v="6250.44"/>
    <x v="0"/>
    <n v="0"/>
    <n v="0"/>
    <n v="1"/>
    <n v="0"/>
    <n v="5.6537752639202687E-2"/>
    <n v="0"/>
    <n v="0"/>
    <n v="0"/>
    <n v="6374.4599999999991"/>
    <n v="-124.01999999999953"/>
  </r>
  <r>
    <n v="449"/>
    <n v="24"/>
    <s v="male"/>
    <x v="25"/>
    <n v="83"/>
    <s v="Yes"/>
    <n v="1"/>
    <x v="0"/>
    <s v="southeast"/>
    <n v="6272.48"/>
    <x v="0"/>
    <n v="0"/>
    <n v="1"/>
    <n v="0"/>
    <n v="0"/>
    <n v="0.28443668046403703"/>
    <n v="0"/>
    <n v="1"/>
    <n v="0"/>
    <n v="4825.8900000000003"/>
    <n v="1446.5899999999992"/>
  </r>
  <r>
    <n v="450"/>
    <n v="43"/>
    <s v="male"/>
    <x v="92"/>
    <n v="93"/>
    <s v="No"/>
    <n v="1"/>
    <x v="0"/>
    <s v="southwest"/>
    <n v="6282.24"/>
    <x v="4"/>
    <n v="0"/>
    <n v="0"/>
    <n v="1"/>
    <n v="0"/>
    <n v="0.44889032807178653"/>
    <n v="0"/>
    <n v="0"/>
    <n v="0"/>
    <n v="7753.65"/>
    <n v="-1471.4099999999999"/>
  </r>
  <r>
    <n v="451"/>
    <n v="20"/>
    <s v="male"/>
    <x v="154"/>
    <n v="89"/>
    <s v="Yes"/>
    <n v="1"/>
    <x v="0"/>
    <s v="southeast"/>
    <n v="6289.75"/>
    <x v="1"/>
    <n v="0"/>
    <n v="1"/>
    <n v="0"/>
    <n v="0"/>
    <n v="8.3036358670259602E-2"/>
    <n v="0"/>
    <n v="1"/>
    <n v="0"/>
    <n v="6848.7500000000009"/>
    <n v="-559.00000000000091"/>
  </r>
  <r>
    <n v="452"/>
    <n v="48"/>
    <s v="female"/>
    <x v="125"/>
    <n v="95"/>
    <s v="No"/>
    <n v="2"/>
    <x v="0"/>
    <s v="southwest"/>
    <n v="6311.95"/>
    <x v="4"/>
    <n v="0"/>
    <n v="0"/>
    <n v="1"/>
    <n v="0"/>
    <n v="0.92523353570448807"/>
    <n v="0"/>
    <n v="0"/>
    <n v="1"/>
    <n v="9309.4700000000012"/>
    <n v="-2997.5200000000013"/>
  </r>
  <r>
    <n v="453"/>
    <n v="56"/>
    <s v="female"/>
    <x v="169"/>
    <n v="92"/>
    <s v="Yes"/>
    <n v="2"/>
    <x v="0"/>
    <s v="southeast"/>
    <n v="6313.76"/>
    <x v="1"/>
    <n v="0"/>
    <n v="1"/>
    <n v="0"/>
    <n v="0"/>
    <n v="7.1514378718320448E-2"/>
    <n v="0"/>
    <n v="1"/>
    <n v="1"/>
    <n v="8173.93"/>
    <n v="-1860.17"/>
  </r>
  <r>
    <n v="454"/>
    <n v="58"/>
    <s v="female"/>
    <x v="140"/>
    <n v="97"/>
    <s v="No"/>
    <n v="3"/>
    <x v="0"/>
    <s v="southeast"/>
    <n v="6334.34"/>
    <x v="2"/>
    <n v="0"/>
    <n v="1"/>
    <n v="0"/>
    <n v="0"/>
    <n v="0.50603602916804269"/>
    <n v="0"/>
    <n v="0"/>
    <n v="1"/>
    <n v="10315.27"/>
    <n v="-3980.9300000000003"/>
  </r>
  <r>
    <n v="455"/>
    <n v="24"/>
    <s v="male"/>
    <x v="198"/>
    <n v="92"/>
    <s v="Yes"/>
    <n v="2"/>
    <x v="0"/>
    <s v="southeast"/>
    <n v="6338.08"/>
    <x v="1"/>
    <n v="0"/>
    <n v="1"/>
    <n v="0"/>
    <n v="0"/>
    <n v="0.32579835420920134"/>
    <n v="0"/>
    <n v="1"/>
    <n v="0"/>
    <n v="7898.19"/>
    <n v="-1560.1099999999997"/>
  </r>
  <r>
    <n v="456"/>
    <n v="40"/>
    <s v="male"/>
    <x v="199"/>
    <n v="91"/>
    <s v="No"/>
    <n v="2"/>
    <x v="0"/>
    <s v="southeast"/>
    <n v="6356.27"/>
    <x v="2"/>
    <n v="0"/>
    <n v="1"/>
    <n v="0"/>
    <n v="0"/>
    <n v="0.27786509575024199"/>
    <n v="0"/>
    <n v="0"/>
    <n v="0"/>
    <n v="8907.2300000000014"/>
    <n v="-2550.9600000000009"/>
  </r>
  <r>
    <n v="457"/>
    <n v="28"/>
    <s v="male"/>
    <x v="70"/>
    <n v="91"/>
    <s v="No"/>
    <n v="0"/>
    <x v="0"/>
    <s v="northwest"/>
    <n v="6358.78"/>
    <x v="1"/>
    <n v="0"/>
    <n v="0"/>
    <n v="0"/>
    <n v="1"/>
    <n v="0.4626795920716712"/>
    <n v="0"/>
    <n v="0"/>
    <n v="0"/>
    <n v="6937.2500000000009"/>
    <n v="-578.47000000000116"/>
  </r>
  <r>
    <n v="458"/>
    <n v="50"/>
    <s v="female"/>
    <x v="166"/>
    <n v="98"/>
    <s v="No"/>
    <n v="3"/>
    <x v="0"/>
    <s v="northwest"/>
    <n v="6360.99"/>
    <x v="2"/>
    <n v="0"/>
    <n v="0"/>
    <n v="0"/>
    <n v="1"/>
    <n v="0.53066896521349627"/>
    <n v="0"/>
    <n v="0"/>
    <n v="1"/>
    <n v="11677.689999999999"/>
    <n v="-5316.6999999999989"/>
  </r>
  <r>
    <n v="459"/>
    <n v="34"/>
    <s v="female"/>
    <x v="200"/>
    <n v="98"/>
    <s v="No"/>
    <n v="1"/>
    <x v="0"/>
    <s v="northwest"/>
    <n v="6373.56"/>
    <x v="2"/>
    <n v="0"/>
    <n v="0"/>
    <n v="0"/>
    <n v="1"/>
    <n v="0.8071114504515885"/>
    <n v="0"/>
    <n v="0"/>
    <n v="1"/>
    <n v="10025.040000000001"/>
    <n v="-3651.4800000000005"/>
  </r>
  <r>
    <n v="460"/>
    <n v="21"/>
    <s v="male"/>
    <x v="95"/>
    <n v="85"/>
    <s v="Yes"/>
    <n v="1"/>
    <x v="0"/>
    <s v="northwest"/>
    <n v="6389.38"/>
    <x v="4"/>
    <n v="0"/>
    <n v="0"/>
    <n v="0"/>
    <n v="1"/>
    <n v="0.74802069045987152"/>
    <n v="0"/>
    <n v="1"/>
    <n v="0"/>
    <n v="6230.3499999999985"/>
    <n v="159.03000000000156"/>
  </r>
  <r>
    <n v="461"/>
    <n v="31"/>
    <s v="male"/>
    <x v="48"/>
    <n v="99"/>
    <s v="No"/>
    <n v="1"/>
    <x v="0"/>
    <s v="northwest"/>
    <n v="6393.6"/>
    <x v="4"/>
    <n v="0"/>
    <n v="0"/>
    <n v="0"/>
    <n v="1"/>
    <n v="0.38748269193738216"/>
    <n v="0"/>
    <n v="0"/>
    <n v="0"/>
    <n v="8785.9199999999983"/>
    <n v="-2392.3199999999979"/>
  </r>
  <r>
    <n v="462"/>
    <n v="42"/>
    <s v="female"/>
    <x v="137"/>
    <n v="94"/>
    <s v="No"/>
    <n v="2"/>
    <x v="0"/>
    <s v="southeast"/>
    <n v="6402.29"/>
    <x v="0"/>
    <n v="0"/>
    <n v="1"/>
    <n v="0"/>
    <n v="0"/>
    <n v="0.40396672478853735"/>
    <n v="0"/>
    <n v="0"/>
    <n v="1"/>
    <n v="7955.9400000000014"/>
    <n v="-1553.6500000000015"/>
  </r>
  <r>
    <n v="463"/>
    <n v="18"/>
    <s v="male"/>
    <x v="56"/>
    <n v="97"/>
    <s v="No"/>
    <n v="2"/>
    <x v="0"/>
    <s v="southeast"/>
    <n v="6406.41"/>
    <x v="4"/>
    <n v="0"/>
    <n v="1"/>
    <n v="0"/>
    <n v="0"/>
    <n v="0.64100566027040984"/>
    <n v="0"/>
    <n v="0"/>
    <n v="0"/>
    <n v="8559.1299999999992"/>
    <n v="-2152.7199999999993"/>
  </r>
  <r>
    <n v="464"/>
    <n v="51"/>
    <s v="female"/>
    <x v="110"/>
    <n v="81"/>
    <s v="No"/>
    <n v="3"/>
    <x v="0"/>
    <s v="southwest"/>
    <n v="6414.18"/>
    <x v="4"/>
    <n v="0"/>
    <n v="0"/>
    <n v="1"/>
    <n v="0"/>
    <n v="0.34107501028659759"/>
    <n v="0"/>
    <n v="0"/>
    <n v="1"/>
    <n v="7655.7100000000019"/>
    <n v="-1241.5300000000016"/>
  </r>
  <r>
    <n v="465"/>
    <n v="20"/>
    <s v="male"/>
    <x v="127"/>
    <n v="89"/>
    <s v="No"/>
    <n v="3"/>
    <x v="0"/>
    <s v="southeast"/>
    <n v="6435.62"/>
    <x v="2"/>
    <n v="0"/>
    <n v="1"/>
    <n v="0"/>
    <n v="0"/>
    <n v="0.31116141109369544"/>
    <n v="0"/>
    <n v="0"/>
    <n v="0"/>
    <n v="9445.94"/>
    <n v="-3010.3200000000006"/>
  </r>
  <r>
    <n v="466"/>
    <n v="28"/>
    <s v="male"/>
    <x v="34"/>
    <n v="93"/>
    <s v="Yes"/>
    <n v="2"/>
    <x v="0"/>
    <s v="northwest"/>
    <n v="6455.86"/>
    <x v="4"/>
    <n v="0"/>
    <n v="0"/>
    <n v="0"/>
    <n v="1"/>
    <n v="0.32275373599914314"/>
    <n v="0"/>
    <n v="1"/>
    <n v="0"/>
    <n v="8364.6"/>
    <n v="-1908.7400000000007"/>
  </r>
  <r>
    <n v="467"/>
    <n v="24"/>
    <s v="male"/>
    <x v="75"/>
    <n v="93"/>
    <s v="No"/>
    <n v="2"/>
    <x v="0"/>
    <s v="northwest"/>
    <n v="6457.84"/>
    <x v="4"/>
    <n v="0"/>
    <n v="0"/>
    <n v="0"/>
    <n v="1"/>
    <n v="0.81863376619388128"/>
    <n v="0"/>
    <n v="0"/>
    <n v="0"/>
    <n v="8567.0299999999988"/>
    <n v="-2109.1899999999987"/>
  </r>
  <r>
    <n v="468"/>
    <n v="59"/>
    <s v="female"/>
    <x v="201"/>
    <n v="91"/>
    <s v="No"/>
    <n v="0"/>
    <x v="0"/>
    <s v="southwest"/>
    <n v="6474.01"/>
    <x v="2"/>
    <n v="0"/>
    <n v="0"/>
    <n v="1"/>
    <n v="0"/>
    <n v="0.14346504213610356"/>
    <n v="0"/>
    <n v="0"/>
    <n v="1"/>
    <n v="7898.7499999999991"/>
    <n v="-1424.7399999999989"/>
  </r>
  <r>
    <n v="469"/>
    <n v="38"/>
    <s v="female"/>
    <x v="83"/>
    <n v="81"/>
    <s v="No"/>
    <n v="1"/>
    <x v="0"/>
    <s v="southwest"/>
    <n v="6496.89"/>
    <x v="4"/>
    <n v="0"/>
    <n v="0"/>
    <n v="1"/>
    <n v="0"/>
    <n v="0.12012421384861038"/>
    <n v="0"/>
    <n v="0"/>
    <n v="1"/>
    <n v="6170.22"/>
    <n v="326.67000000000007"/>
  </r>
  <r>
    <n v="470"/>
    <n v="53"/>
    <s v="female"/>
    <x v="56"/>
    <n v="99"/>
    <s v="No"/>
    <n v="1"/>
    <x v="0"/>
    <s v="southeast"/>
    <n v="6500.24"/>
    <x v="4"/>
    <n v="0"/>
    <n v="1"/>
    <n v="0"/>
    <n v="0"/>
    <n v="5.7326483088550373E-2"/>
    <n v="0"/>
    <n v="0"/>
    <n v="1"/>
    <n v="8540.2200000000012"/>
    <n v="-2039.9800000000014"/>
  </r>
  <r>
    <n v="471"/>
    <n v="42"/>
    <s v="male"/>
    <x v="138"/>
    <n v="85"/>
    <s v="Yes"/>
    <n v="3"/>
    <x v="0"/>
    <s v="northwest"/>
    <n v="6548.2"/>
    <x v="4"/>
    <n v="0"/>
    <n v="0"/>
    <n v="0"/>
    <n v="1"/>
    <n v="0.93494136632207203"/>
    <n v="0"/>
    <n v="1"/>
    <n v="0"/>
    <n v="7876.6"/>
    <n v="-1328.4000000000005"/>
  </r>
  <r>
    <n v="472"/>
    <n v="29"/>
    <s v="female"/>
    <x v="202"/>
    <n v="83"/>
    <s v="No"/>
    <n v="3"/>
    <x v="0"/>
    <s v="southeast"/>
    <n v="6551.75"/>
    <x v="2"/>
    <n v="0"/>
    <n v="1"/>
    <n v="0"/>
    <n v="0"/>
    <n v="0.20455083068214497"/>
    <n v="0"/>
    <n v="0"/>
    <n v="1"/>
    <n v="8049.7300000000023"/>
    <n v="-1497.9800000000023"/>
  </r>
  <r>
    <n v="473"/>
    <n v="31"/>
    <s v="female"/>
    <x v="170"/>
    <n v="86"/>
    <s v="Yes"/>
    <n v="1"/>
    <x v="0"/>
    <s v="southeast"/>
    <n v="6555.07"/>
    <x v="4"/>
    <n v="0"/>
    <n v="1"/>
    <n v="0"/>
    <n v="0"/>
    <n v="0.33495614885290725"/>
    <n v="0"/>
    <n v="1"/>
    <n v="1"/>
    <n v="6210.9"/>
    <n v="344.17000000000007"/>
  </r>
  <r>
    <n v="474"/>
    <n v="48"/>
    <s v="female"/>
    <x v="68"/>
    <n v="99"/>
    <s v="No"/>
    <n v="0"/>
    <x v="0"/>
    <s v="northwest"/>
    <n v="6571.02"/>
    <x v="1"/>
    <n v="0"/>
    <n v="0"/>
    <n v="0"/>
    <n v="1"/>
    <n v="0.62675386438055292"/>
    <n v="0"/>
    <n v="0"/>
    <n v="1"/>
    <n v="8778.6700000000019"/>
    <n v="-2207.6500000000015"/>
  </r>
  <r>
    <n v="475"/>
    <n v="55"/>
    <s v="female"/>
    <x v="145"/>
    <n v="80"/>
    <s v="Yes"/>
    <n v="2"/>
    <x v="0"/>
    <s v="southwest"/>
    <n v="6571.54"/>
    <x v="1"/>
    <n v="0"/>
    <n v="0"/>
    <n v="1"/>
    <n v="0"/>
    <n v="0.24997582071116453"/>
    <n v="0"/>
    <n v="1"/>
    <n v="1"/>
    <n v="7290.75"/>
    <n v="-719.21"/>
  </r>
  <r>
    <n v="476"/>
    <n v="46"/>
    <s v="male"/>
    <x v="203"/>
    <n v="91"/>
    <s v="No"/>
    <n v="2"/>
    <x v="0"/>
    <s v="southeast"/>
    <n v="6593.51"/>
    <x v="4"/>
    <n v="0"/>
    <n v="1"/>
    <n v="0"/>
    <n v="0"/>
    <n v="0.51491389366383988"/>
    <n v="0"/>
    <n v="0"/>
    <n v="0"/>
    <n v="7155.35"/>
    <n v="-561.84000000000015"/>
  </r>
  <r>
    <n v="477"/>
    <n v="45"/>
    <s v="male"/>
    <x v="4"/>
    <n v="96"/>
    <s v="No"/>
    <n v="1"/>
    <x v="0"/>
    <s v="southeast"/>
    <n v="6600.21"/>
    <x v="1"/>
    <n v="0"/>
    <n v="1"/>
    <n v="0"/>
    <n v="0"/>
    <n v="0.71945222897485506"/>
    <n v="0"/>
    <n v="0"/>
    <n v="0"/>
    <n v="7994.3899999999994"/>
    <n v="-1394.1799999999994"/>
  </r>
  <r>
    <n v="478"/>
    <n v="31"/>
    <s v="male"/>
    <x v="123"/>
    <n v="99"/>
    <s v="Yes"/>
    <n v="2"/>
    <x v="0"/>
    <s v="southwest"/>
    <n v="6600.36"/>
    <x v="4"/>
    <n v="0"/>
    <n v="0"/>
    <n v="1"/>
    <n v="0"/>
    <n v="0.75289495590841915"/>
    <n v="0"/>
    <n v="1"/>
    <n v="0"/>
    <n v="9489.7799999999988"/>
    <n v="-2889.4199999999992"/>
  </r>
  <r>
    <n v="479"/>
    <n v="38"/>
    <s v="male"/>
    <x v="204"/>
    <n v="81"/>
    <s v="Yes"/>
    <n v="1"/>
    <x v="0"/>
    <s v="southeast"/>
    <n v="6610.11"/>
    <x v="2"/>
    <n v="0"/>
    <n v="1"/>
    <n v="0"/>
    <n v="0"/>
    <n v="0.5307872056201669"/>
    <n v="0"/>
    <n v="1"/>
    <n v="0"/>
    <n v="6147.4900000000007"/>
    <n v="462.61999999999898"/>
  </r>
  <r>
    <n v="480"/>
    <n v="35"/>
    <s v="male"/>
    <x v="132"/>
    <n v="98"/>
    <s v="No"/>
    <n v="2"/>
    <x v="0"/>
    <s v="southeast"/>
    <n v="6640.54"/>
    <x v="3"/>
    <n v="0"/>
    <n v="1"/>
    <n v="0"/>
    <n v="0"/>
    <n v="0.17816289141078967"/>
    <n v="0"/>
    <n v="0"/>
    <n v="0"/>
    <n v="7585.4599999999991"/>
    <n v="-944.91999999999916"/>
  </r>
  <r>
    <n v="481"/>
    <n v="48"/>
    <s v="male"/>
    <x v="205"/>
    <n v="82"/>
    <s v="No"/>
    <n v="3"/>
    <x v="0"/>
    <s v="southeast"/>
    <n v="6652.53"/>
    <x v="0"/>
    <n v="0"/>
    <n v="1"/>
    <n v="0"/>
    <n v="0"/>
    <n v="0.94977640654623896"/>
    <n v="0"/>
    <n v="0"/>
    <n v="0"/>
    <n v="6121.2700000000023"/>
    <n v="531.25999999999749"/>
  </r>
  <r>
    <n v="482"/>
    <n v="20"/>
    <s v="male"/>
    <x v="134"/>
    <n v="89"/>
    <s v="Yes"/>
    <n v="5"/>
    <x v="0"/>
    <s v="southeast"/>
    <n v="6653.79"/>
    <x v="1"/>
    <n v="0"/>
    <n v="1"/>
    <n v="0"/>
    <n v="0"/>
    <n v="0.79773651261170064"/>
    <n v="0"/>
    <n v="1"/>
    <n v="0"/>
    <n v="9733.31"/>
    <n v="-3079.5199999999995"/>
  </r>
  <r>
    <n v="483"/>
    <n v="29"/>
    <s v="male"/>
    <x v="65"/>
    <n v="87"/>
    <s v="No"/>
    <n v="1"/>
    <x v="0"/>
    <s v="northwest"/>
    <n v="6664.69"/>
    <x v="4"/>
    <n v="0"/>
    <n v="0"/>
    <n v="0"/>
    <n v="1"/>
    <n v="3.0497679054314553E-2"/>
    <n v="0"/>
    <n v="0"/>
    <n v="0"/>
    <n v="6787.8999999999987"/>
    <n v="-123.20999999999913"/>
  </r>
  <r>
    <n v="484"/>
    <n v="48"/>
    <s v="male"/>
    <x v="144"/>
    <n v="92"/>
    <s v="Yes"/>
    <n v="5"/>
    <x v="0"/>
    <s v="southwest"/>
    <n v="6666.24"/>
    <x v="2"/>
    <n v="0"/>
    <n v="0"/>
    <n v="1"/>
    <n v="0"/>
    <n v="0.89397907053487424"/>
    <n v="0"/>
    <n v="1"/>
    <n v="0"/>
    <n v="11634.36"/>
    <n v="-4968.1200000000008"/>
  </r>
  <r>
    <n v="485"/>
    <n v="55"/>
    <s v="female"/>
    <x v="73"/>
    <n v="85"/>
    <s v="Yes"/>
    <n v="2"/>
    <x v="0"/>
    <s v="northwest"/>
    <n v="6686.43"/>
    <x v="0"/>
    <n v="0"/>
    <n v="0"/>
    <n v="0"/>
    <n v="1"/>
    <n v="0.34155336774940759"/>
    <n v="0"/>
    <n v="1"/>
    <n v="1"/>
    <n v="7122.0699999999988"/>
    <n v="-435.63999999999851"/>
  </r>
  <r>
    <n v="486"/>
    <n v="37"/>
    <s v="male"/>
    <x v="107"/>
    <n v="86"/>
    <s v="No"/>
    <n v="2"/>
    <x v="0"/>
    <s v="northwest"/>
    <n v="6710.19"/>
    <x v="0"/>
    <n v="0"/>
    <n v="0"/>
    <n v="0"/>
    <n v="1"/>
    <n v="0.74737940583068008"/>
    <n v="0"/>
    <n v="0"/>
    <n v="0"/>
    <n v="7022.86"/>
    <n v="-312.67000000000007"/>
  </r>
  <r>
    <n v="487"/>
    <n v="48"/>
    <s v="male"/>
    <x v="13"/>
    <n v="90"/>
    <s v="Yes"/>
    <n v="3"/>
    <x v="0"/>
    <s v="southeast"/>
    <n v="6746.74"/>
    <x v="4"/>
    <n v="0"/>
    <n v="1"/>
    <n v="0"/>
    <n v="0"/>
    <n v="0.72495403229730404"/>
    <n v="0"/>
    <n v="1"/>
    <n v="0"/>
    <n v="7884.6800000000012"/>
    <n v="-1137.9400000000014"/>
  </r>
  <r>
    <n v="488"/>
    <n v="37"/>
    <s v="male"/>
    <x v="55"/>
    <n v="91"/>
    <s v="No"/>
    <n v="3"/>
    <x v="0"/>
    <s v="southeast"/>
    <n v="6748.59"/>
    <x v="4"/>
    <n v="0"/>
    <n v="1"/>
    <n v="0"/>
    <n v="0"/>
    <n v="0.19044322092017929"/>
    <n v="0"/>
    <n v="0"/>
    <n v="0"/>
    <n v="8238.5600000000013"/>
    <n v="-1489.9700000000012"/>
  </r>
  <r>
    <n v="489"/>
    <n v="54"/>
    <s v="female"/>
    <x v="206"/>
    <n v="84"/>
    <s v="Yes"/>
    <n v="3"/>
    <x v="0"/>
    <s v="southeast"/>
    <n v="6753.04"/>
    <x v="3"/>
    <n v="0"/>
    <n v="1"/>
    <n v="0"/>
    <n v="0"/>
    <n v="0.36365870930526867"/>
    <n v="0"/>
    <n v="1"/>
    <n v="1"/>
    <n v="6629.1100000000006"/>
    <n v="123.92999999999938"/>
  </r>
  <r>
    <n v="490"/>
    <n v="48"/>
    <s v="female"/>
    <x v="91"/>
    <n v="95"/>
    <s v="Yes"/>
    <n v="1"/>
    <x v="0"/>
    <s v="southeast"/>
    <n v="6770.19"/>
    <x v="4"/>
    <n v="0"/>
    <n v="1"/>
    <n v="0"/>
    <n v="0"/>
    <n v="0.52295258491137042"/>
    <n v="0"/>
    <n v="1"/>
    <n v="1"/>
    <n v="7693.8500000000022"/>
    <n v="-923.66000000000258"/>
  </r>
  <r>
    <n v="491"/>
    <n v="54"/>
    <s v="female"/>
    <x v="207"/>
    <n v="89"/>
    <s v="No"/>
    <n v="1"/>
    <x v="0"/>
    <s v="southwest"/>
    <n v="6775.96"/>
    <x v="1"/>
    <n v="0"/>
    <n v="0"/>
    <n v="1"/>
    <n v="0"/>
    <n v="0.80817497797053151"/>
    <n v="0"/>
    <n v="0"/>
    <n v="1"/>
    <n v="7836.86"/>
    <n v="-1060.8999999999996"/>
  </r>
  <r>
    <n v="492"/>
    <n v="40"/>
    <s v="female"/>
    <x v="208"/>
    <n v="80"/>
    <s v="No"/>
    <n v="1"/>
    <x v="0"/>
    <s v="southeast"/>
    <n v="6781.35"/>
    <x v="2"/>
    <n v="0"/>
    <n v="1"/>
    <n v="0"/>
    <n v="0"/>
    <n v="0.3869130536244858"/>
    <n v="0"/>
    <n v="0"/>
    <n v="1"/>
    <n v="6063.300000000002"/>
    <n v="718.04999999999836"/>
  </r>
  <r>
    <n v="493"/>
    <n v="27"/>
    <s v="male"/>
    <x v="131"/>
    <n v="91"/>
    <s v="No"/>
    <n v="3"/>
    <x v="0"/>
    <s v="northwest"/>
    <n v="6796.86"/>
    <x v="1"/>
    <n v="0"/>
    <n v="0"/>
    <n v="0"/>
    <n v="1"/>
    <n v="0.60537824966019327"/>
    <n v="0"/>
    <n v="0"/>
    <n v="0"/>
    <n v="9119.0499999999993"/>
    <n v="-2322.1899999999996"/>
  </r>
  <r>
    <n v="494"/>
    <n v="37"/>
    <s v="male"/>
    <x v="47"/>
    <n v="81"/>
    <s v="No"/>
    <n v="5"/>
    <x v="0"/>
    <s v="southeast"/>
    <n v="6799.46"/>
    <x v="4"/>
    <n v="0"/>
    <n v="1"/>
    <n v="0"/>
    <n v="0"/>
    <n v="0.24748272166063157"/>
    <n v="0"/>
    <n v="0"/>
    <n v="0"/>
    <n v="8084.9400000000023"/>
    <n v="-1285.4800000000023"/>
  </r>
  <r>
    <n v="495"/>
    <n v="32"/>
    <s v="male"/>
    <x v="81"/>
    <n v="90"/>
    <s v="No"/>
    <n v="0"/>
    <x v="0"/>
    <s v="southeast"/>
    <n v="6837.37"/>
    <x v="4"/>
    <n v="0"/>
    <n v="1"/>
    <n v="0"/>
    <n v="0"/>
    <n v="3.6796588372383088E-2"/>
    <n v="0"/>
    <n v="0"/>
    <n v="0"/>
    <n v="5622.7000000000007"/>
    <n v="1214.6699999999992"/>
  </r>
  <r>
    <n v="496"/>
    <n v="46"/>
    <s v="male"/>
    <x v="1"/>
    <n v="85"/>
    <s v="Yes"/>
    <n v="1"/>
    <x v="0"/>
    <s v="southwest"/>
    <n v="6849.03"/>
    <x v="1"/>
    <n v="0"/>
    <n v="0"/>
    <n v="1"/>
    <n v="0"/>
    <n v="0.98133972447584994"/>
    <n v="0"/>
    <n v="1"/>
    <n v="0"/>
    <n v="6515.1799999999976"/>
    <n v="333.85000000000218"/>
  </r>
  <r>
    <n v="497"/>
    <n v="29"/>
    <s v="male"/>
    <x v="181"/>
    <n v="84"/>
    <s v="Yes"/>
    <n v="1"/>
    <x v="0"/>
    <s v="southeast"/>
    <n v="6858.48"/>
    <x v="0"/>
    <n v="0"/>
    <n v="1"/>
    <n v="0"/>
    <n v="0"/>
    <n v="0.39869002709606383"/>
    <n v="0"/>
    <n v="1"/>
    <n v="0"/>
    <n v="5158.6299999999983"/>
    <n v="1699.8500000000013"/>
  </r>
  <r>
    <n v="498"/>
    <n v="45"/>
    <s v="male"/>
    <x v="207"/>
    <n v="100"/>
    <s v="Yes"/>
    <n v="2"/>
    <x v="0"/>
    <s v="southwest"/>
    <n v="6875.96"/>
    <x v="1"/>
    <n v="0"/>
    <n v="0"/>
    <n v="1"/>
    <n v="0"/>
    <n v="6.4236286906985796E-2"/>
    <n v="0"/>
    <n v="1"/>
    <n v="0"/>
    <n v="9828.1"/>
    <n v="-2952.1400000000003"/>
  </r>
  <r>
    <n v="499"/>
    <n v="31"/>
    <s v="female"/>
    <x v="151"/>
    <n v="100"/>
    <s v="No"/>
    <n v="2"/>
    <x v="0"/>
    <s v="southeast"/>
    <n v="6877.98"/>
    <x v="3"/>
    <n v="0"/>
    <n v="1"/>
    <n v="0"/>
    <n v="0"/>
    <n v="0.67962678159737822"/>
    <n v="0"/>
    <n v="0"/>
    <n v="1"/>
    <n v="8397.4600000000009"/>
    <n v="-1519.4800000000014"/>
  </r>
  <r>
    <n v="500"/>
    <n v="60"/>
    <s v="female"/>
    <x v="209"/>
    <n v="95"/>
    <s v="No"/>
    <n v="2"/>
    <x v="0"/>
    <s v="northwest"/>
    <n v="6933.24"/>
    <x v="3"/>
    <n v="0"/>
    <n v="0"/>
    <n v="0"/>
    <n v="1"/>
    <n v="0.69347762094044352"/>
    <n v="0"/>
    <n v="0"/>
    <n v="1"/>
    <n v="8447.18"/>
    <n v="-1513.9400000000005"/>
  </r>
  <r>
    <n v="501"/>
    <n v="39"/>
    <s v="male"/>
    <x v="95"/>
    <n v="97"/>
    <s v="No"/>
    <n v="1"/>
    <x v="0"/>
    <s v="northwest"/>
    <n v="6940.91"/>
    <x v="4"/>
    <n v="0"/>
    <n v="0"/>
    <n v="0"/>
    <n v="1"/>
    <n v="0.44117181984677045"/>
    <n v="0"/>
    <n v="0"/>
    <n v="0"/>
    <n v="8191.45"/>
    <n v="-1250.54"/>
  </r>
  <r>
    <n v="502"/>
    <n v="40"/>
    <s v="male"/>
    <x v="38"/>
    <n v="88"/>
    <s v="No"/>
    <n v="0"/>
    <x v="0"/>
    <s v="northwest"/>
    <n v="6948.7"/>
    <x v="2"/>
    <n v="0"/>
    <n v="0"/>
    <n v="0"/>
    <n v="1"/>
    <n v="0.33959514388721646"/>
    <n v="0"/>
    <n v="0"/>
    <n v="0"/>
    <n v="7144.22"/>
    <n v="-195.52000000000044"/>
  </r>
  <r>
    <n v="503"/>
    <n v="19"/>
    <s v="male"/>
    <x v="210"/>
    <n v="82"/>
    <s v="No"/>
    <n v="3"/>
    <x v="0"/>
    <s v="southeast"/>
    <n v="6985.51"/>
    <x v="0"/>
    <n v="0"/>
    <n v="1"/>
    <n v="0"/>
    <n v="0"/>
    <n v="0.11519802126368794"/>
    <n v="0"/>
    <n v="0"/>
    <n v="0"/>
    <n v="6295.1900000000023"/>
    <n v="690.31999999999789"/>
  </r>
  <r>
    <n v="504"/>
    <n v="40"/>
    <s v="male"/>
    <x v="198"/>
    <n v="87"/>
    <s v="Yes"/>
    <n v="2"/>
    <x v="0"/>
    <s v="northwest"/>
    <n v="6986.7"/>
    <x v="1"/>
    <n v="0"/>
    <n v="0"/>
    <n v="0"/>
    <n v="1"/>
    <n v="0.68290451655571205"/>
    <n v="0"/>
    <n v="1"/>
    <n v="0"/>
    <n v="7776.4499999999989"/>
    <n v="-789.74999999999909"/>
  </r>
  <r>
    <n v="505"/>
    <n v="55"/>
    <s v="female"/>
    <x v="129"/>
    <n v="91"/>
    <s v="Yes"/>
    <n v="1"/>
    <x v="0"/>
    <s v="southwest"/>
    <n v="7045.5"/>
    <x v="4"/>
    <n v="0"/>
    <n v="0"/>
    <n v="1"/>
    <n v="0"/>
    <n v="0.99553098134686024"/>
    <n v="0"/>
    <n v="1"/>
    <n v="1"/>
    <n v="7495.75"/>
    <n v="-450.25"/>
  </r>
  <r>
    <n v="506"/>
    <n v="34"/>
    <s v="female"/>
    <x v="104"/>
    <n v="88"/>
    <s v="Yes"/>
    <n v="1"/>
    <x v="0"/>
    <s v="southeast"/>
    <n v="7046.72"/>
    <x v="4"/>
    <n v="0"/>
    <n v="1"/>
    <n v="0"/>
    <n v="0"/>
    <n v="0.70349055107478697"/>
    <n v="0"/>
    <n v="1"/>
    <n v="1"/>
    <n v="6432.1899999999987"/>
    <n v="614.53000000000156"/>
  </r>
  <r>
    <n v="507"/>
    <n v="56"/>
    <s v="female"/>
    <x v="57"/>
    <n v="84"/>
    <s v="Yes"/>
    <n v="0"/>
    <x v="0"/>
    <s v="southeast"/>
    <n v="7050.02"/>
    <x v="1"/>
    <n v="0"/>
    <n v="1"/>
    <n v="0"/>
    <n v="0"/>
    <n v="0.76176901457968449"/>
    <n v="0"/>
    <n v="1"/>
    <n v="1"/>
    <n v="5600.2799999999988"/>
    <n v="1449.7400000000016"/>
  </r>
  <r>
    <n v="508"/>
    <n v="26"/>
    <s v="female"/>
    <x v="69"/>
    <n v="93"/>
    <s v="No"/>
    <n v="1"/>
    <x v="0"/>
    <s v="southwest"/>
    <n v="7050.64"/>
    <x v="4"/>
    <n v="0"/>
    <n v="0"/>
    <n v="1"/>
    <n v="0"/>
    <n v="0.98145927759097573"/>
    <n v="0"/>
    <n v="0"/>
    <n v="1"/>
    <n v="8237.4600000000009"/>
    <n v="-1186.8200000000006"/>
  </r>
  <r>
    <n v="509"/>
    <n v="33"/>
    <s v="female"/>
    <x v="44"/>
    <n v="87"/>
    <s v="No"/>
    <n v="1"/>
    <x v="0"/>
    <s v="southeast"/>
    <n v="7077.19"/>
    <x v="4"/>
    <n v="0"/>
    <n v="1"/>
    <n v="0"/>
    <n v="0"/>
    <n v="0.45175413878373416"/>
    <n v="0"/>
    <n v="0"/>
    <n v="1"/>
    <n v="6283.0899999999992"/>
    <n v="794.10000000000036"/>
  </r>
  <r>
    <n v="510"/>
    <n v="50"/>
    <s v="female"/>
    <x v="157"/>
    <n v="89"/>
    <s v="Yes"/>
    <n v="2"/>
    <x v="0"/>
    <s v="southeast"/>
    <n v="7133.9"/>
    <x v="0"/>
    <n v="0"/>
    <n v="1"/>
    <n v="0"/>
    <n v="0"/>
    <n v="0.49951026903169116"/>
    <n v="0"/>
    <n v="1"/>
    <n v="1"/>
    <n v="6779.4400000000005"/>
    <n v="354.45999999999913"/>
  </r>
  <r>
    <n v="511"/>
    <n v="55"/>
    <s v="female"/>
    <x v="34"/>
    <n v="80"/>
    <s v="Yes"/>
    <n v="2"/>
    <x v="0"/>
    <s v="southeast"/>
    <n v="7144.86"/>
    <x v="4"/>
    <n v="0"/>
    <n v="1"/>
    <n v="0"/>
    <n v="0"/>
    <n v="0.90321515677309083"/>
    <n v="0"/>
    <n v="1"/>
    <n v="1"/>
    <n v="6003.630000000001"/>
    <n v="1141.2299999999987"/>
  </r>
  <r>
    <n v="512"/>
    <n v="19"/>
    <s v="male"/>
    <x v="82"/>
    <n v="81"/>
    <s v="No"/>
    <n v="0"/>
    <x v="0"/>
    <s v="southwest"/>
    <n v="7147.11"/>
    <x v="0"/>
    <n v="0"/>
    <n v="0"/>
    <n v="1"/>
    <n v="0"/>
    <n v="0.15435781839716989"/>
    <n v="0"/>
    <n v="0"/>
    <n v="0"/>
    <n v="4575.3000000000011"/>
    <n v="2571.8099999999986"/>
  </r>
  <r>
    <n v="513"/>
    <n v="46"/>
    <s v="male"/>
    <x v="193"/>
    <n v="89"/>
    <s v="No"/>
    <n v="1"/>
    <x v="0"/>
    <s v="southeast"/>
    <n v="7147.47"/>
    <x v="1"/>
    <n v="0"/>
    <n v="1"/>
    <n v="0"/>
    <n v="0"/>
    <n v="0.7668539572574814"/>
    <n v="0"/>
    <n v="0"/>
    <n v="0"/>
    <n v="6893.08"/>
    <n v="254.39000000000033"/>
  </r>
  <r>
    <n v="514"/>
    <n v="49"/>
    <s v="female"/>
    <x v="196"/>
    <n v="92"/>
    <s v="No"/>
    <n v="3"/>
    <x v="0"/>
    <s v="southwest"/>
    <n v="7151.09"/>
    <x v="4"/>
    <n v="0"/>
    <n v="0"/>
    <n v="1"/>
    <n v="0"/>
    <n v="0.65826965039503493"/>
    <n v="0"/>
    <n v="0"/>
    <n v="1"/>
    <n v="9439.41"/>
    <n v="-2288.3199999999997"/>
  </r>
  <r>
    <n v="515"/>
    <n v="40"/>
    <s v="male"/>
    <x v="119"/>
    <n v="91"/>
    <s v="No"/>
    <n v="1"/>
    <x v="0"/>
    <s v="southeast"/>
    <n v="7152.67"/>
    <x v="2"/>
    <n v="0"/>
    <n v="1"/>
    <n v="0"/>
    <n v="0"/>
    <n v="0.55112786231939004"/>
    <n v="0"/>
    <n v="0"/>
    <n v="0"/>
    <n v="7544.84"/>
    <n v="-392.17000000000007"/>
  </r>
  <r>
    <n v="516"/>
    <n v="27"/>
    <s v="female"/>
    <x v="117"/>
    <n v="88"/>
    <s v="No"/>
    <n v="1"/>
    <x v="0"/>
    <s v="northwest"/>
    <n v="7153.55"/>
    <x v="4"/>
    <n v="0"/>
    <n v="0"/>
    <n v="0"/>
    <n v="1"/>
    <n v="0.41620412260715423"/>
    <n v="0"/>
    <n v="0"/>
    <n v="1"/>
    <n v="7386.4499999999989"/>
    <n v="-232.89999999999873"/>
  </r>
  <r>
    <n v="517"/>
    <n v="48"/>
    <s v="male"/>
    <x v="159"/>
    <n v="82"/>
    <s v="Yes"/>
    <n v="2"/>
    <x v="0"/>
    <s v="southwest"/>
    <n v="7160.09"/>
    <x v="2"/>
    <n v="0"/>
    <n v="0"/>
    <n v="1"/>
    <n v="0"/>
    <n v="0.72392498374103509"/>
    <n v="0"/>
    <n v="1"/>
    <n v="0"/>
    <n v="7259.44"/>
    <n v="-99.349999999999454"/>
  </r>
  <r>
    <n v="518"/>
    <n v="18"/>
    <s v="male"/>
    <x v="93"/>
    <n v="93"/>
    <s v="No"/>
    <n v="2"/>
    <x v="0"/>
    <s v="southeast"/>
    <n v="7160.33"/>
    <x v="2"/>
    <n v="0"/>
    <n v="1"/>
    <n v="0"/>
    <n v="0"/>
    <n v="0.18244944607020319"/>
    <n v="0"/>
    <n v="0"/>
    <n v="0"/>
    <n v="8450.8700000000008"/>
    <n v="-1290.5400000000009"/>
  </r>
  <r>
    <n v="519"/>
    <n v="19"/>
    <s v="male"/>
    <x v="171"/>
    <n v="96"/>
    <s v="Yes"/>
    <n v="2"/>
    <x v="0"/>
    <s v="southeast"/>
    <n v="7162.01"/>
    <x v="2"/>
    <n v="0"/>
    <n v="1"/>
    <n v="0"/>
    <n v="0"/>
    <n v="2.2179350299485701E-2"/>
    <n v="0"/>
    <n v="1"/>
    <n v="0"/>
    <n v="8961.9000000000015"/>
    <n v="-1799.8900000000012"/>
  </r>
  <r>
    <n v="520"/>
    <n v="24"/>
    <s v="male"/>
    <x v="210"/>
    <n v="88"/>
    <s v="Yes"/>
    <n v="2"/>
    <x v="0"/>
    <s v="southeast"/>
    <n v="7173.36"/>
    <x v="0"/>
    <n v="0"/>
    <n v="1"/>
    <n v="0"/>
    <n v="0"/>
    <n v="0.77406312051874615"/>
    <n v="0"/>
    <n v="1"/>
    <n v="0"/>
    <n v="6439.03"/>
    <n v="734.32999999999993"/>
  </r>
  <r>
    <n v="521"/>
    <n v="21"/>
    <s v="male"/>
    <x v="211"/>
    <n v="96"/>
    <s v="No"/>
    <n v="3"/>
    <x v="0"/>
    <s v="southwest"/>
    <n v="7196.87"/>
    <x v="2"/>
    <n v="0"/>
    <n v="0"/>
    <n v="1"/>
    <n v="0"/>
    <n v="0.44061343531627517"/>
    <n v="0"/>
    <n v="0"/>
    <n v="0"/>
    <n v="10292.809999999998"/>
    <n v="-3095.9399999999978"/>
  </r>
  <r>
    <n v="522"/>
    <n v="54"/>
    <s v="female"/>
    <x v="95"/>
    <n v="89"/>
    <s v="No"/>
    <n v="2"/>
    <x v="0"/>
    <s v="northwest"/>
    <n v="7201.7"/>
    <x v="4"/>
    <n v="0"/>
    <n v="0"/>
    <n v="0"/>
    <n v="1"/>
    <n v="0.22610264150050519"/>
    <n v="0"/>
    <n v="0"/>
    <n v="1"/>
    <n v="8078.7199999999993"/>
    <n v="-877.01999999999953"/>
  </r>
  <r>
    <n v="523"/>
    <n v="34"/>
    <s v="female"/>
    <x v="99"/>
    <n v="94"/>
    <s v="No"/>
    <n v="2"/>
    <x v="0"/>
    <s v="northwest"/>
    <n v="7209.49"/>
    <x v="1"/>
    <n v="0"/>
    <n v="0"/>
    <n v="0"/>
    <n v="1"/>
    <n v="0.66362451344200768"/>
    <n v="0"/>
    <n v="0"/>
    <n v="1"/>
    <n v="9381.07"/>
    <n v="-2171.58"/>
  </r>
  <r>
    <n v="524"/>
    <n v="43"/>
    <s v="male"/>
    <x v="164"/>
    <n v="88"/>
    <s v="No"/>
    <n v="0"/>
    <x v="0"/>
    <s v="northwest"/>
    <n v="7222.79"/>
    <x v="0"/>
    <n v="0"/>
    <n v="0"/>
    <n v="0"/>
    <n v="1"/>
    <n v="4.1294957663242426E-2"/>
    <n v="0"/>
    <n v="0"/>
    <n v="0"/>
    <n v="5592.829999999999"/>
    <n v="1629.9600000000009"/>
  </r>
  <r>
    <n v="525"/>
    <n v="29"/>
    <s v="female"/>
    <x v="115"/>
    <n v="83"/>
    <s v="Yes"/>
    <n v="3"/>
    <x v="0"/>
    <s v="southeast"/>
    <n v="7228.22"/>
    <x v="0"/>
    <n v="0"/>
    <n v="1"/>
    <n v="0"/>
    <n v="0"/>
    <n v="0.92338893574195591"/>
    <n v="0"/>
    <n v="1"/>
    <n v="1"/>
    <n v="6766.5700000000015"/>
    <n v="461.64999999999873"/>
  </r>
  <r>
    <n v="526"/>
    <n v="55"/>
    <s v="female"/>
    <x v="69"/>
    <n v="84"/>
    <s v="Yes"/>
    <n v="4"/>
    <x v="0"/>
    <s v="southeast"/>
    <n v="7243.81"/>
    <x v="4"/>
    <n v="0"/>
    <n v="1"/>
    <n v="0"/>
    <n v="0"/>
    <n v="0.90617458010841245"/>
    <n v="0"/>
    <n v="1"/>
    <n v="1"/>
    <n v="8221.07"/>
    <n v="-977.25999999999931"/>
  </r>
  <r>
    <n v="527"/>
    <n v="20"/>
    <s v="male"/>
    <x v="35"/>
    <n v="90"/>
    <s v="No"/>
    <n v="2"/>
    <x v="0"/>
    <s v="northwest"/>
    <n v="7256.72"/>
    <x v="1"/>
    <n v="0"/>
    <n v="0"/>
    <n v="0"/>
    <n v="1"/>
    <n v="0.97849826431895137"/>
    <n v="0"/>
    <n v="0"/>
    <n v="0"/>
    <n v="8204.5299999999988"/>
    <n v="-947.80999999999858"/>
  </r>
  <r>
    <n v="528"/>
    <n v="39"/>
    <s v="male"/>
    <x v="154"/>
    <n v="81"/>
    <s v="Yes"/>
    <n v="2"/>
    <x v="0"/>
    <s v="northwest"/>
    <n v="7261.74"/>
    <x v="1"/>
    <n v="0"/>
    <n v="0"/>
    <n v="0"/>
    <n v="1"/>
    <n v="0.58363286724333363"/>
    <n v="0"/>
    <n v="1"/>
    <n v="0"/>
    <n v="6982.6400000000012"/>
    <n v="279.09999999999854"/>
  </r>
  <r>
    <n v="529"/>
    <n v="48"/>
    <s v="male"/>
    <x v="140"/>
    <n v="81"/>
    <s v="Yes"/>
    <n v="2"/>
    <x v="0"/>
    <s v="northwest"/>
    <n v="7265.7"/>
    <x v="2"/>
    <n v="0"/>
    <n v="0"/>
    <n v="0"/>
    <n v="1"/>
    <n v="0.38592253371442031"/>
    <n v="0"/>
    <n v="1"/>
    <n v="0"/>
    <n v="7219.0700000000015"/>
    <n v="46.62999999999829"/>
  </r>
  <r>
    <n v="530"/>
    <n v="46"/>
    <s v="female"/>
    <x v="110"/>
    <n v="83"/>
    <s v="No"/>
    <n v="3"/>
    <x v="0"/>
    <s v="northwest"/>
    <n v="7281.51"/>
    <x v="4"/>
    <n v="0"/>
    <n v="0"/>
    <n v="0"/>
    <n v="1"/>
    <n v="0.9349617466510235"/>
    <n v="0"/>
    <n v="0"/>
    <n v="1"/>
    <n v="7989.3600000000006"/>
    <n v="-707.85000000000036"/>
  </r>
  <r>
    <n v="531"/>
    <n v="37"/>
    <s v="female"/>
    <x v="126"/>
    <n v="92"/>
    <s v="No"/>
    <n v="0"/>
    <x v="0"/>
    <s v="southeast"/>
    <n v="7323.73"/>
    <x v="4"/>
    <n v="0"/>
    <n v="1"/>
    <n v="0"/>
    <n v="0"/>
    <n v="0.62100321930181579"/>
    <n v="0"/>
    <n v="0"/>
    <n v="1"/>
    <n v="6654.0300000000016"/>
    <n v="669.699999999998"/>
  </r>
  <r>
    <n v="532"/>
    <n v="25"/>
    <s v="female"/>
    <x v="94"/>
    <n v="94"/>
    <s v="Yes"/>
    <n v="0"/>
    <x v="0"/>
    <s v="southeast"/>
    <n v="7325.05"/>
    <x v="4"/>
    <n v="0"/>
    <n v="1"/>
    <n v="0"/>
    <n v="0"/>
    <n v="3.0791905266557951E-2"/>
    <n v="0"/>
    <n v="1"/>
    <n v="1"/>
    <n v="6568.9600000000009"/>
    <n v="756.08999999999924"/>
  </r>
  <r>
    <n v="533"/>
    <n v="56"/>
    <s v="female"/>
    <x v="123"/>
    <n v="81"/>
    <s v="Yes"/>
    <n v="1"/>
    <x v="0"/>
    <s v="southwest"/>
    <n v="7337.75"/>
    <x v="4"/>
    <n v="0"/>
    <n v="0"/>
    <n v="1"/>
    <n v="0"/>
    <n v="0.7888938898775949"/>
    <n v="0"/>
    <n v="1"/>
    <n v="1"/>
    <n v="6291.869999999999"/>
    <n v="1045.880000000001"/>
  </r>
  <r>
    <n v="534"/>
    <n v="32"/>
    <s v="female"/>
    <x v="133"/>
    <n v="94"/>
    <s v="Yes"/>
    <n v="0"/>
    <x v="0"/>
    <s v="southwest"/>
    <n v="7345.08"/>
    <x v="1"/>
    <n v="0"/>
    <n v="0"/>
    <n v="1"/>
    <n v="0"/>
    <n v="0.92728852940786755"/>
    <n v="0"/>
    <n v="1"/>
    <n v="1"/>
    <n v="7932.619999999999"/>
    <n v="-587.53999999999905"/>
  </r>
  <r>
    <n v="535"/>
    <n v="60"/>
    <s v="female"/>
    <x v="101"/>
    <n v="80"/>
    <s v="No"/>
    <n v="1"/>
    <x v="0"/>
    <s v="southeast"/>
    <n v="7345.73"/>
    <x v="2"/>
    <n v="0"/>
    <n v="1"/>
    <n v="0"/>
    <n v="0"/>
    <n v="0.25550640828618509"/>
    <n v="0"/>
    <n v="0"/>
    <n v="1"/>
    <n v="5994.95"/>
    <n v="1350.7799999999997"/>
  </r>
  <r>
    <n v="536"/>
    <n v="37"/>
    <s v="female"/>
    <x v="211"/>
    <n v="100"/>
    <s v="No"/>
    <n v="0"/>
    <x v="0"/>
    <s v="southwest"/>
    <n v="7348.14"/>
    <x v="2"/>
    <n v="0"/>
    <n v="0"/>
    <n v="1"/>
    <n v="0"/>
    <n v="0.7085130717392325"/>
    <n v="0"/>
    <n v="0"/>
    <n v="1"/>
    <n v="9140.92"/>
    <n v="-1792.7799999999997"/>
  </r>
  <r>
    <n v="537"/>
    <n v="55"/>
    <s v="female"/>
    <x v="178"/>
    <n v="91"/>
    <s v="No"/>
    <n v="1"/>
    <x v="0"/>
    <s v="southeast"/>
    <n v="7358.18"/>
    <x v="1"/>
    <n v="0"/>
    <n v="1"/>
    <n v="0"/>
    <n v="0"/>
    <n v="0.55674520250840531"/>
    <n v="0"/>
    <n v="0"/>
    <n v="1"/>
    <n v="7414.8400000000011"/>
    <n v="-56.660000000000764"/>
  </r>
  <r>
    <n v="538"/>
    <n v="26"/>
    <s v="female"/>
    <x v="140"/>
    <n v="88"/>
    <s v="No"/>
    <n v="2"/>
    <x v="0"/>
    <s v="southwest"/>
    <n v="7371.77"/>
    <x v="2"/>
    <n v="0"/>
    <n v="0"/>
    <n v="1"/>
    <n v="0"/>
    <n v="7.909760238094965E-2"/>
    <n v="0"/>
    <n v="0"/>
    <n v="1"/>
    <n v="8870.3000000000011"/>
    <n v="-1498.5300000000007"/>
  </r>
  <r>
    <n v="539"/>
    <n v="49"/>
    <s v="female"/>
    <x v="4"/>
    <n v="82"/>
    <s v="No"/>
    <n v="3"/>
    <x v="0"/>
    <s v="southwest"/>
    <n v="7418.52"/>
    <x v="1"/>
    <n v="0"/>
    <n v="0"/>
    <n v="1"/>
    <n v="0"/>
    <n v="0.39480178348864592"/>
    <n v="0"/>
    <n v="0"/>
    <n v="1"/>
    <n v="8365.0600000000013"/>
    <n v="-946.54000000000087"/>
  </r>
  <r>
    <n v="540"/>
    <n v="51"/>
    <s v="female"/>
    <x v="116"/>
    <n v="97"/>
    <s v="No"/>
    <n v="0"/>
    <x v="0"/>
    <s v="northwest"/>
    <n v="7419.48"/>
    <x v="4"/>
    <n v="0"/>
    <n v="0"/>
    <n v="0"/>
    <n v="1"/>
    <n v="0.83818559342443399"/>
    <n v="0"/>
    <n v="0"/>
    <n v="1"/>
    <n v="7891.3499999999985"/>
    <n v="-471.86999999999898"/>
  </r>
  <r>
    <n v="541"/>
    <n v="55"/>
    <s v="female"/>
    <x v="13"/>
    <n v="89"/>
    <s v="No"/>
    <n v="0"/>
    <x v="0"/>
    <s v="northwest"/>
    <n v="7421.19"/>
    <x v="4"/>
    <n v="0"/>
    <n v="0"/>
    <n v="0"/>
    <n v="1"/>
    <n v="0.9222833805036087"/>
    <n v="0"/>
    <n v="0"/>
    <n v="1"/>
    <n v="6712.1100000000006"/>
    <n v="709.07999999999902"/>
  </r>
  <r>
    <n v="542"/>
    <n v="46"/>
    <s v="male"/>
    <x v="168"/>
    <n v="80"/>
    <s v="No"/>
    <n v="1"/>
    <x v="0"/>
    <s v="southwest"/>
    <n v="7441.05"/>
    <x v="1"/>
    <n v="0"/>
    <n v="0"/>
    <n v="1"/>
    <n v="0"/>
    <n v="0.61524955197125941"/>
    <n v="0"/>
    <n v="0"/>
    <n v="0"/>
    <n v="5794.84"/>
    <n v="1646.21"/>
  </r>
  <r>
    <n v="543"/>
    <n v="19"/>
    <s v="male"/>
    <x v="61"/>
    <n v="94"/>
    <s v="Yes"/>
    <n v="2"/>
    <x v="0"/>
    <s v="southwest"/>
    <n v="7441.5"/>
    <x v="1"/>
    <n v="0"/>
    <n v="0"/>
    <n v="1"/>
    <n v="0"/>
    <n v="0.90782986793589415"/>
    <n v="0"/>
    <n v="1"/>
    <n v="0"/>
    <n v="8938.0400000000009"/>
    <n v="-1496.5400000000009"/>
  </r>
  <r>
    <n v="544"/>
    <n v="31"/>
    <s v="female"/>
    <x v="192"/>
    <n v="96"/>
    <s v="No"/>
    <n v="1"/>
    <x v="0"/>
    <s v="northwest"/>
    <n v="7443.64"/>
    <x v="2"/>
    <n v="0"/>
    <n v="0"/>
    <n v="0"/>
    <n v="1"/>
    <n v="0.6538098985453118"/>
    <n v="0"/>
    <n v="0"/>
    <n v="1"/>
    <n v="9333.5"/>
    <n v="-1889.8599999999997"/>
  </r>
  <r>
    <n v="545"/>
    <n v="26"/>
    <s v="male"/>
    <x v="3"/>
    <n v="92"/>
    <s v="No"/>
    <n v="1"/>
    <x v="0"/>
    <s v="southwest"/>
    <n v="7445.92"/>
    <x v="1"/>
    <n v="0"/>
    <n v="0"/>
    <n v="1"/>
    <n v="0"/>
    <n v="0.96835580709577118"/>
    <n v="0"/>
    <n v="0"/>
    <n v="0"/>
    <n v="8034.77"/>
    <n v="-588.85000000000036"/>
  </r>
  <r>
    <n v="546"/>
    <n v="28"/>
    <s v="male"/>
    <x v="32"/>
    <n v="88"/>
    <s v="No"/>
    <n v="0"/>
    <x v="0"/>
    <s v="southeast"/>
    <n v="7448.4"/>
    <x v="2"/>
    <n v="0"/>
    <n v="1"/>
    <n v="0"/>
    <n v="0"/>
    <n v="0.7233185446470578"/>
    <n v="0"/>
    <n v="0"/>
    <n v="0"/>
    <n v="6488.5400000000009"/>
    <n v="959.85999999999876"/>
  </r>
  <r>
    <n v="547"/>
    <n v="31"/>
    <s v="male"/>
    <x v="66"/>
    <n v="85"/>
    <s v="No"/>
    <n v="4"/>
    <x v="0"/>
    <s v="southwest"/>
    <n v="7512.27"/>
    <x v="4"/>
    <n v="0"/>
    <n v="0"/>
    <n v="1"/>
    <n v="0"/>
    <n v="7.6526099770181655E-2"/>
    <n v="0"/>
    <n v="0"/>
    <n v="0"/>
    <n v="8775.41"/>
    <n v="-1263.1399999999994"/>
  </r>
  <r>
    <n v="548"/>
    <n v="46"/>
    <s v="male"/>
    <x v="212"/>
    <n v="98"/>
    <s v="No"/>
    <n v="1"/>
    <x v="0"/>
    <s v="northwest"/>
    <n v="7518.03"/>
    <x v="4"/>
    <n v="0"/>
    <n v="0"/>
    <n v="0"/>
    <n v="1"/>
    <n v="9.3600859185008267E-2"/>
    <n v="0"/>
    <n v="0"/>
    <n v="0"/>
    <n v="8265.1299999999974"/>
    <n v="-747.09999999999764"/>
  </r>
  <r>
    <n v="549"/>
    <n v="33"/>
    <s v="male"/>
    <x v="188"/>
    <n v="95"/>
    <s v="No"/>
    <n v="0"/>
    <x v="0"/>
    <s v="northwest"/>
    <n v="7526.71"/>
    <x v="3"/>
    <n v="0"/>
    <n v="0"/>
    <n v="0"/>
    <n v="1"/>
    <n v="0.17727904618896029"/>
    <n v="0"/>
    <n v="0"/>
    <n v="0"/>
    <n v="6594.5100000000011"/>
    <n v="932.19999999999891"/>
  </r>
  <r>
    <n v="550"/>
    <n v="31"/>
    <s v="female"/>
    <x v="168"/>
    <n v="95"/>
    <s v="No"/>
    <n v="3"/>
    <x v="0"/>
    <s v="northwest"/>
    <n v="7537.16"/>
    <x v="1"/>
    <n v="0"/>
    <n v="0"/>
    <n v="0"/>
    <n v="1"/>
    <n v="0.11977988026865416"/>
    <n v="0"/>
    <n v="0"/>
    <n v="1"/>
    <n v="10137.39"/>
    <n v="-2600.2299999999996"/>
  </r>
  <r>
    <n v="551"/>
    <n v="28"/>
    <s v="female"/>
    <x v="203"/>
    <n v="97"/>
    <s v="No"/>
    <n v="1"/>
    <x v="0"/>
    <s v="southwest"/>
    <n v="7623.52"/>
    <x v="4"/>
    <n v="0"/>
    <n v="0"/>
    <n v="1"/>
    <n v="0"/>
    <n v="0.20754235495656348"/>
    <n v="0"/>
    <n v="0"/>
    <n v="1"/>
    <n v="8531.2599999999984"/>
    <n v="-907.73999999999796"/>
  </r>
  <r>
    <n v="552"/>
    <n v="37"/>
    <s v="female"/>
    <x v="74"/>
    <n v="87"/>
    <s v="No"/>
    <n v="1"/>
    <x v="0"/>
    <s v="southwest"/>
    <n v="7624.63"/>
    <x v="4"/>
    <n v="0"/>
    <n v="0"/>
    <n v="1"/>
    <n v="0"/>
    <n v="0.94907809358510919"/>
    <n v="0"/>
    <n v="0"/>
    <n v="1"/>
    <n v="6992.2399999999989"/>
    <n v="632.39000000000124"/>
  </r>
  <r>
    <n v="553"/>
    <n v="34"/>
    <s v="female"/>
    <x v="180"/>
    <n v="96"/>
    <s v="Yes"/>
    <n v="1"/>
    <x v="0"/>
    <s v="southwest"/>
    <n v="7626.99"/>
    <x v="4"/>
    <n v="0"/>
    <n v="0"/>
    <n v="1"/>
    <n v="0"/>
    <n v="0.90388424316796789"/>
    <n v="0"/>
    <n v="1"/>
    <n v="1"/>
    <n v="8508.6799999999967"/>
    <n v="-881.68999999999687"/>
  </r>
  <r>
    <n v="554"/>
    <n v="56"/>
    <s v="female"/>
    <x v="198"/>
    <n v="99"/>
    <s v="Yes"/>
    <n v="1"/>
    <x v="0"/>
    <s v="southeast"/>
    <n v="7633.72"/>
    <x v="1"/>
    <n v="0"/>
    <n v="1"/>
    <n v="0"/>
    <n v="0"/>
    <n v="0.52011676779466265"/>
    <n v="0"/>
    <n v="1"/>
    <n v="1"/>
    <n v="8681.0700000000015"/>
    <n v="-1047.3500000000013"/>
  </r>
  <r>
    <n v="555"/>
    <n v="34"/>
    <s v="female"/>
    <x v="100"/>
    <n v="83"/>
    <s v="No"/>
    <n v="1"/>
    <x v="0"/>
    <s v="southeast"/>
    <n v="7639.42"/>
    <x v="1"/>
    <n v="0"/>
    <n v="1"/>
    <n v="0"/>
    <n v="0"/>
    <n v="0.34874038733057777"/>
    <n v="0"/>
    <n v="0"/>
    <n v="1"/>
    <n v="6301.800000000002"/>
    <n v="1337.6199999999981"/>
  </r>
  <r>
    <n v="556"/>
    <n v="55"/>
    <s v="female"/>
    <x v="125"/>
    <n v="81"/>
    <s v="No"/>
    <n v="2"/>
    <x v="0"/>
    <s v="southeast"/>
    <n v="7640.31"/>
    <x v="4"/>
    <n v="0"/>
    <n v="1"/>
    <n v="0"/>
    <n v="0"/>
    <n v="0.23221926997408315"/>
    <n v="0"/>
    <n v="0"/>
    <n v="1"/>
    <n v="6377.6300000000019"/>
    <n v="1262.6799999999985"/>
  </r>
  <r>
    <n v="557"/>
    <n v="52"/>
    <s v="female"/>
    <x v="213"/>
    <n v="95"/>
    <s v="No"/>
    <n v="1"/>
    <x v="0"/>
    <s v="southeast"/>
    <n v="7650.77"/>
    <x v="2"/>
    <n v="0"/>
    <n v="1"/>
    <n v="0"/>
    <n v="0"/>
    <n v="0.33690411755254868"/>
    <n v="0"/>
    <n v="0"/>
    <n v="1"/>
    <n v="8886.3900000000012"/>
    <n v="-1235.6200000000008"/>
  </r>
  <r>
    <n v="558"/>
    <n v="45"/>
    <s v="female"/>
    <x v="68"/>
    <n v="87"/>
    <s v="No"/>
    <n v="3"/>
    <x v="0"/>
    <s v="southeast"/>
    <n v="7682.67"/>
    <x v="1"/>
    <n v="0"/>
    <n v="1"/>
    <n v="0"/>
    <n v="0"/>
    <n v="0.25731442785498726"/>
    <n v="0"/>
    <n v="0"/>
    <n v="1"/>
    <n v="8385.4600000000009"/>
    <n v="-702.79000000000087"/>
  </r>
  <r>
    <n v="559"/>
    <n v="46"/>
    <s v="male"/>
    <x v="83"/>
    <n v="88"/>
    <s v="No"/>
    <n v="2"/>
    <x v="0"/>
    <s v="southwest"/>
    <n v="7726.85"/>
    <x v="4"/>
    <n v="0"/>
    <n v="0"/>
    <n v="1"/>
    <n v="0"/>
    <n v="0.85574610471492984"/>
    <n v="0"/>
    <n v="0"/>
    <n v="0"/>
    <n v="7570.4"/>
    <n v="156.45000000000073"/>
  </r>
  <r>
    <n v="560"/>
    <n v="54"/>
    <s v="female"/>
    <x v="78"/>
    <n v="83"/>
    <s v="No"/>
    <n v="1"/>
    <x v="0"/>
    <s v="northwest"/>
    <n v="7727.25"/>
    <x v="1"/>
    <n v="0"/>
    <n v="0"/>
    <n v="0"/>
    <n v="1"/>
    <n v="0.3888047625654204"/>
    <n v="0"/>
    <n v="0"/>
    <n v="1"/>
    <n v="7092.59"/>
    <n v="634.65999999999985"/>
  </r>
  <r>
    <n v="561"/>
    <n v="50"/>
    <s v="male"/>
    <x v="45"/>
    <n v="96"/>
    <s v="Yes"/>
    <n v="2"/>
    <x v="0"/>
    <s v="southeast"/>
    <n v="7729.65"/>
    <x v="4"/>
    <n v="0"/>
    <n v="1"/>
    <n v="0"/>
    <n v="0"/>
    <n v="0.40376865320885202"/>
    <n v="0"/>
    <n v="1"/>
    <n v="0"/>
    <n v="7973.1699999999992"/>
    <n v="-243.51999999999953"/>
  </r>
  <r>
    <n v="562"/>
    <n v="48"/>
    <s v="male"/>
    <x v="195"/>
    <n v="84"/>
    <s v="No"/>
    <n v="2"/>
    <x v="0"/>
    <s v="southeast"/>
    <n v="7731.43"/>
    <x v="1"/>
    <n v="0"/>
    <n v="1"/>
    <n v="0"/>
    <n v="0"/>
    <n v="0.54957682292219945"/>
    <n v="0"/>
    <n v="0"/>
    <n v="0"/>
    <n v="6523.01"/>
    <n v="1208.42"/>
  </r>
  <r>
    <n v="563"/>
    <n v="26"/>
    <s v="female"/>
    <x v="159"/>
    <n v="100"/>
    <s v="Yes"/>
    <n v="0"/>
    <x v="0"/>
    <s v="northwest"/>
    <n v="7731.86"/>
    <x v="2"/>
    <n v="0"/>
    <n v="0"/>
    <n v="0"/>
    <n v="1"/>
    <n v="0.4667484295596761"/>
    <n v="0"/>
    <n v="1"/>
    <n v="1"/>
    <n v="9136.76"/>
    <n v="-1404.9000000000005"/>
  </r>
  <r>
    <n v="564"/>
    <n v="36"/>
    <s v="male"/>
    <x v="140"/>
    <n v="90"/>
    <s v="No"/>
    <n v="2"/>
    <x v="0"/>
    <s v="southwest"/>
    <n v="7740.34"/>
    <x v="2"/>
    <n v="0"/>
    <n v="0"/>
    <n v="1"/>
    <n v="0"/>
    <n v="0.98810520784794331"/>
    <n v="0"/>
    <n v="0"/>
    <n v="0"/>
    <n v="8731.73"/>
    <n v="-991.38999999999942"/>
  </r>
  <r>
    <n v="565"/>
    <n v="18"/>
    <s v="male"/>
    <x v="130"/>
    <n v="95"/>
    <s v="No"/>
    <n v="1"/>
    <x v="0"/>
    <s v="southeast"/>
    <n v="7742.11"/>
    <x v="4"/>
    <n v="0"/>
    <n v="1"/>
    <n v="0"/>
    <n v="0"/>
    <n v="0.26392853726927812"/>
    <n v="0"/>
    <n v="0"/>
    <n v="0"/>
    <n v="7228.1100000000006"/>
    <n v="513.99999999999909"/>
  </r>
  <r>
    <n v="566"/>
    <n v="56"/>
    <s v="female"/>
    <x v="133"/>
    <n v="91"/>
    <s v="No"/>
    <n v="2"/>
    <x v="0"/>
    <s v="northwest"/>
    <n v="7749.16"/>
    <x v="1"/>
    <n v="0"/>
    <n v="0"/>
    <n v="0"/>
    <n v="1"/>
    <n v="0.48244526880140148"/>
    <n v="0"/>
    <n v="0"/>
    <n v="1"/>
    <n v="8976.7400000000016"/>
    <n v="-1227.5800000000017"/>
  </r>
  <r>
    <n v="567"/>
    <n v="29"/>
    <s v="male"/>
    <x v="59"/>
    <n v="100"/>
    <s v="Yes"/>
    <n v="0"/>
    <x v="0"/>
    <s v="southeast"/>
    <n v="7789.64"/>
    <x v="4"/>
    <n v="0"/>
    <n v="1"/>
    <n v="0"/>
    <n v="0"/>
    <n v="0.10878151547567116"/>
    <n v="0"/>
    <n v="1"/>
    <n v="0"/>
    <n v="7469.7300000000005"/>
    <n v="319.90999999999985"/>
  </r>
  <r>
    <n v="568"/>
    <n v="50"/>
    <s v="male"/>
    <x v="102"/>
    <n v="91"/>
    <s v="Yes"/>
    <n v="0"/>
    <x v="0"/>
    <s v="southeast"/>
    <n v="7804.16"/>
    <x v="2"/>
    <n v="0"/>
    <n v="1"/>
    <n v="0"/>
    <n v="0"/>
    <n v="0.5377851312903339"/>
    <n v="0"/>
    <n v="1"/>
    <n v="0"/>
    <n v="6904.2900000000018"/>
    <n v="899.86999999999807"/>
  </r>
  <r>
    <n v="569"/>
    <n v="58"/>
    <s v="female"/>
    <x v="28"/>
    <n v="87"/>
    <s v="Yes"/>
    <n v="0"/>
    <x v="0"/>
    <s v="northeast"/>
    <n v="7935.29"/>
    <x v="2"/>
    <n v="0"/>
    <n v="0"/>
    <n v="0"/>
    <n v="0"/>
    <n v="7.8233956006534933E-2"/>
    <n v="0"/>
    <n v="1"/>
    <n v="1"/>
    <n v="10182.92"/>
    <n v="-2247.63"/>
  </r>
  <r>
    <n v="570"/>
    <n v="49"/>
    <s v="female"/>
    <x v="61"/>
    <n v="97"/>
    <s v="No"/>
    <n v="3"/>
    <x v="0"/>
    <s v="southwest"/>
    <n v="7954.52"/>
    <x v="1"/>
    <n v="0"/>
    <n v="0"/>
    <n v="1"/>
    <n v="0"/>
    <n v="0.82162293017781163"/>
    <n v="0"/>
    <n v="0"/>
    <n v="1"/>
    <n v="10630.66"/>
    <n v="-2676.1399999999994"/>
  </r>
  <r>
    <n v="571"/>
    <n v="51"/>
    <s v="female"/>
    <x v="214"/>
    <n v="86"/>
    <s v="Yes"/>
    <n v="3"/>
    <x v="0"/>
    <s v="northeast"/>
    <n v="7985.82"/>
    <x v="0"/>
    <n v="0"/>
    <n v="0"/>
    <n v="0"/>
    <n v="0"/>
    <n v="0.42231114977886985"/>
    <n v="0"/>
    <n v="1"/>
    <n v="1"/>
    <n v="10921.76"/>
    <n v="-2935.9400000000005"/>
  </r>
  <r>
    <n v="572"/>
    <n v="60"/>
    <s v="female"/>
    <x v="46"/>
    <n v="87"/>
    <s v="Yes"/>
    <n v="3"/>
    <x v="0"/>
    <s v="northeast"/>
    <n v="7986.48"/>
    <x v="0"/>
    <n v="0"/>
    <n v="0"/>
    <n v="0"/>
    <n v="0"/>
    <n v="0.50641616998697236"/>
    <n v="0"/>
    <n v="1"/>
    <n v="1"/>
    <n v="11112.58"/>
    <n v="-3126.1000000000004"/>
  </r>
  <r>
    <n v="573"/>
    <n v="54"/>
    <s v="female"/>
    <x v="203"/>
    <n v="81"/>
    <s v="Yes"/>
    <n v="2"/>
    <x v="0"/>
    <s v="northwest"/>
    <n v="8017.06"/>
    <x v="4"/>
    <n v="0"/>
    <n v="0"/>
    <n v="0"/>
    <n v="1"/>
    <n v="0.56894383308711904"/>
    <n v="0"/>
    <n v="1"/>
    <n v="1"/>
    <n v="6621.79"/>
    <n v="1395.2700000000004"/>
  </r>
  <r>
    <n v="574"/>
    <n v="42"/>
    <s v="female"/>
    <x v="177"/>
    <n v="80"/>
    <s v="No"/>
    <n v="1"/>
    <x v="0"/>
    <s v="northwest"/>
    <n v="8023.14"/>
    <x v="2"/>
    <n v="0"/>
    <n v="0"/>
    <n v="0"/>
    <n v="1"/>
    <n v="0.76955053593122247"/>
    <n v="0"/>
    <n v="0"/>
    <n v="1"/>
    <n v="6834.380000000001"/>
    <n v="1188.7599999999993"/>
  </r>
  <r>
    <n v="575"/>
    <n v="53"/>
    <s v="female"/>
    <x v="110"/>
    <n v="88"/>
    <s v="Yes"/>
    <n v="0"/>
    <x v="0"/>
    <s v="northwest"/>
    <n v="8026.67"/>
    <x v="4"/>
    <n v="0"/>
    <n v="0"/>
    <n v="0"/>
    <n v="1"/>
    <n v="0.63123975497974028"/>
    <n v="0"/>
    <n v="1"/>
    <n v="1"/>
    <n v="6494.5699999999988"/>
    <n v="1532.1000000000013"/>
  </r>
  <r>
    <n v="576"/>
    <n v="42"/>
    <s v="male"/>
    <x v="14"/>
    <n v="88"/>
    <s v="No"/>
    <n v="2"/>
    <x v="0"/>
    <s v="southwest"/>
    <n v="8027.97"/>
    <x v="4"/>
    <n v="0"/>
    <n v="0"/>
    <n v="1"/>
    <n v="0"/>
    <n v="5.9458200824989316E-2"/>
    <n v="0"/>
    <n v="0"/>
    <n v="0"/>
    <n v="7686.6699999999983"/>
    <n v="341.300000000002"/>
  </r>
  <r>
    <n v="577"/>
    <n v="44"/>
    <s v="female"/>
    <x v="14"/>
    <n v="88"/>
    <s v="No"/>
    <n v="3"/>
    <x v="0"/>
    <s v="northwest"/>
    <n v="8059.68"/>
    <x v="4"/>
    <n v="0"/>
    <n v="0"/>
    <n v="0"/>
    <n v="1"/>
    <n v="0.33932227653689184"/>
    <n v="0"/>
    <n v="0"/>
    <n v="1"/>
    <n v="8875.369999999999"/>
    <n v="-815.68999999999869"/>
  </r>
  <r>
    <n v="578"/>
    <n v="25"/>
    <s v="male"/>
    <x v="198"/>
    <n v="98"/>
    <s v="No"/>
    <n v="1"/>
    <x v="0"/>
    <s v="southwest"/>
    <n v="8062.76"/>
    <x v="1"/>
    <n v="0"/>
    <n v="0"/>
    <n v="1"/>
    <n v="0"/>
    <n v="0.5597065363487076"/>
    <n v="0"/>
    <n v="0"/>
    <n v="0"/>
    <n v="8873.89"/>
    <n v="-811.1299999999992"/>
  </r>
  <r>
    <n v="579"/>
    <n v="22"/>
    <s v="male"/>
    <x v="192"/>
    <n v="100"/>
    <s v="Yes"/>
    <n v="1"/>
    <x v="0"/>
    <s v="southwest"/>
    <n v="8068.19"/>
    <x v="2"/>
    <n v="0"/>
    <n v="0"/>
    <n v="1"/>
    <n v="0"/>
    <n v="0.36421205017985836"/>
    <n v="0"/>
    <n v="1"/>
    <n v="0"/>
    <n v="9461.3000000000011"/>
    <n v="-1393.1100000000015"/>
  </r>
  <r>
    <n v="580"/>
    <n v="25"/>
    <s v="male"/>
    <x v="215"/>
    <n v="84"/>
    <s v="Yes"/>
    <n v="1"/>
    <x v="0"/>
    <s v="southeast"/>
    <n v="8083.92"/>
    <x v="2"/>
    <n v="0"/>
    <n v="1"/>
    <n v="0"/>
    <n v="0"/>
    <n v="0.87550682806085256"/>
    <n v="0"/>
    <n v="1"/>
    <n v="0"/>
    <n v="7181.55"/>
    <n v="902.36999999999989"/>
  </r>
  <r>
    <n v="581"/>
    <n v="18"/>
    <s v="male"/>
    <x v="76"/>
    <n v="81"/>
    <s v="Yes"/>
    <n v="2"/>
    <x v="0"/>
    <s v="northwest"/>
    <n v="8116.27"/>
    <x v="1"/>
    <n v="0"/>
    <n v="0"/>
    <n v="0"/>
    <n v="1"/>
    <n v="0.44371410279416545"/>
    <n v="0"/>
    <n v="1"/>
    <n v="0"/>
    <n v="6821.42"/>
    <n v="1294.8500000000004"/>
  </r>
  <r>
    <n v="582"/>
    <n v="40"/>
    <s v="male"/>
    <x v="98"/>
    <n v="83"/>
    <s v="Yes"/>
    <n v="0"/>
    <x v="0"/>
    <s v="southwest"/>
    <n v="8116.68"/>
    <x v="1"/>
    <n v="0"/>
    <n v="0"/>
    <n v="1"/>
    <n v="0"/>
    <n v="0.89702367165996744"/>
    <n v="0"/>
    <n v="1"/>
    <n v="0"/>
    <n v="5482.54"/>
    <n v="2634.1400000000003"/>
  </r>
  <r>
    <n v="583"/>
    <n v="27"/>
    <s v="male"/>
    <x v="77"/>
    <n v="90"/>
    <s v="No"/>
    <n v="0"/>
    <x v="0"/>
    <s v="southeast"/>
    <n v="8124.41"/>
    <x v="2"/>
    <n v="0"/>
    <n v="1"/>
    <n v="0"/>
    <n v="0"/>
    <n v="0.39522568659934265"/>
    <n v="0"/>
    <n v="0"/>
    <n v="0"/>
    <n v="6475.5499999999993"/>
    <n v="1648.8600000000006"/>
  </r>
  <r>
    <n v="584"/>
    <n v="44"/>
    <s v="male"/>
    <x v="19"/>
    <n v="94"/>
    <s v="No"/>
    <n v="0"/>
    <x v="0"/>
    <s v="southeast"/>
    <n v="8125.78"/>
    <x v="2"/>
    <n v="0"/>
    <n v="1"/>
    <n v="0"/>
    <n v="0"/>
    <n v="0.84705905272168125"/>
    <n v="0"/>
    <n v="0"/>
    <n v="0"/>
    <n v="7177.6500000000015"/>
    <n v="948.12999999999829"/>
  </r>
  <r>
    <n v="585"/>
    <n v="29"/>
    <s v="male"/>
    <x v="131"/>
    <n v="89"/>
    <s v="Yes"/>
    <n v="4"/>
    <x v="0"/>
    <s v="northwest"/>
    <n v="8162.72"/>
    <x v="1"/>
    <n v="0"/>
    <n v="0"/>
    <n v="0"/>
    <n v="1"/>
    <n v="0.33155251833741506"/>
    <n v="0"/>
    <n v="1"/>
    <n v="0"/>
    <n v="9466.49"/>
    <n v="-1303.7699999999995"/>
  </r>
  <r>
    <n v="586"/>
    <n v="29"/>
    <s v="female"/>
    <x v="216"/>
    <n v="92"/>
    <s v="No"/>
    <n v="2"/>
    <x v="0"/>
    <s v="southeast"/>
    <n v="8211.1"/>
    <x v="0"/>
    <n v="0"/>
    <n v="1"/>
    <n v="0"/>
    <n v="0"/>
    <n v="0.4127000168451016"/>
    <n v="0"/>
    <n v="0"/>
    <n v="1"/>
    <n v="7696.1500000000005"/>
    <n v="514.94999999999982"/>
  </r>
  <r>
    <n v="587"/>
    <n v="26"/>
    <s v="female"/>
    <x v="56"/>
    <n v="84"/>
    <s v="No"/>
    <n v="2"/>
    <x v="0"/>
    <s v="southeast"/>
    <n v="8219.2000000000007"/>
    <x v="4"/>
    <n v="0"/>
    <n v="1"/>
    <n v="0"/>
    <n v="0"/>
    <n v="8.2943722981550283E-2"/>
    <n v="0"/>
    <n v="0"/>
    <n v="1"/>
    <n v="6919.1699999999992"/>
    <n v="1300.0300000000016"/>
  </r>
  <r>
    <n v="588"/>
    <n v="54"/>
    <s v="female"/>
    <x v="110"/>
    <n v="100"/>
    <s v="No"/>
    <n v="1"/>
    <x v="0"/>
    <s v="southeast"/>
    <n v="8232.64"/>
    <x v="4"/>
    <n v="0"/>
    <n v="1"/>
    <n v="0"/>
    <n v="0"/>
    <n v="0.22703937639628868"/>
    <n v="0"/>
    <n v="0"/>
    <n v="1"/>
    <n v="8518.9800000000014"/>
    <n v="-286.34000000000196"/>
  </r>
  <r>
    <n v="589"/>
    <n v="33"/>
    <s v="female"/>
    <x v="91"/>
    <n v="92"/>
    <s v="No"/>
    <n v="1"/>
    <x v="0"/>
    <s v="southeast"/>
    <n v="8233.1"/>
    <x v="4"/>
    <n v="0"/>
    <n v="1"/>
    <n v="0"/>
    <n v="0"/>
    <n v="0.75897332469825407"/>
    <n v="0"/>
    <n v="0"/>
    <n v="1"/>
    <n v="7303.3400000000011"/>
    <n v="929.75999999999931"/>
  </r>
  <r>
    <n v="590"/>
    <n v="37"/>
    <s v="female"/>
    <x v="134"/>
    <n v="100"/>
    <s v="No"/>
    <n v="1"/>
    <x v="0"/>
    <s v="southeast"/>
    <n v="8240.59"/>
    <x v="1"/>
    <n v="0"/>
    <n v="1"/>
    <n v="0"/>
    <n v="0"/>
    <n v="0.3723024842263073"/>
    <n v="0"/>
    <n v="0"/>
    <n v="1"/>
    <n v="9028.09"/>
    <n v="-787.5"/>
  </r>
  <r>
    <n v="591"/>
    <n v="38"/>
    <s v="female"/>
    <x v="73"/>
    <n v="96"/>
    <s v="Yes"/>
    <n v="3"/>
    <x v="0"/>
    <s v="northeast"/>
    <n v="8252.2800000000007"/>
    <x v="0"/>
    <n v="0"/>
    <n v="0"/>
    <n v="0"/>
    <n v="0"/>
    <n v="0.14017203726905181"/>
    <n v="0"/>
    <n v="1"/>
    <n v="1"/>
    <n v="12585.6"/>
    <n v="-4333.32"/>
  </r>
  <r>
    <n v="592"/>
    <n v="31"/>
    <s v="female"/>
    <x v="214"/>
    <n v="82"/>
    <s v="Yes"/>
    <n v="0"/>
    <x v="0"/>
    <s v="southwest"/>
    <n v="8269.0400000000009"/>
    <x v="0"/>
    <n v="0"/>
    <n v="0"/>
    <n v="1"/>
    <n v="0"/>
    <n v="0.45773229311140307"/>
    <n v="0"/>
    <n v="1"/>
    <n v="1"/>
    <n v="5138.17"/>
    <n v="3130.8700000000008"/>
  </r>
  <r>
    <n v="593"/>
    <n v="41"/>
    <s v="female"/>
    <x v="55"/>
    <n v="80"/>
    <s v="Yes"/>
    <n v="0"/>
    <x v="0"/>
    <s v="southwest"/>
    <n v="8277.52"/>
    <x v="4"/>
    <n v="0"/>
    <n v="0"/>
    <n v="1"/>
    <n v="0"/>
    <n v="0.92683455554124428"/>
    <n v="0"/>
    <n v="1"/>
    <n v="1"/>
    <n v="5327.74"/>
    <n v="2949.7800000000007"/>
  </r>
  <r>
    <n v="594"/>
    <n v="41"/>
    <s v="female"/>
    <x v="17"/>
    <n v="93"/>
    <s v="No"/>
    <n v="0"/>
    <x v="0"/>
    <s v="southeast"/>
    <n v="8280.6200000000008"/>
    <x v="1"/>
    <n v="0"/>
    <n v="1"/>
    <n v="0"/>
    <n v="0"/>
    <n v="0.95485399429069628"/>
    <n v="0"/>
    <n v="0"/>
    <n v="1"/>
    <n v="6970.9500000000016"/>
    <n v="1309.6699999999992"/>
  </r>
  <r>
    <n v="595"/>
    <n v="33"/>
    <s v="female"/>
    <x v="2"/>
    <n v="93"/>
    <s v="Yes"/>
    <n v="0"/>
    <x v="0"/>
    <s v="southeast"/>
    <n v="8283.68"/>
    <x v="1"/>
    <n v="0"/>
    <n v="1"/>
    <n v="0"/>
    <n v="0"/>
    <n v="4.5932397742736275E-2"/>
    <n v="0"/>
    <n v="1"/>
    <n v="1"/>
    <n v="7100.23"/>
    <n v="1183.4500000000007"/>
  </r>
  <r>
    <n v="596"/>
    <n v="27"/>
    <s v="male"/>
    <x v="115"/>
    <n v="81"/>
    <s v="No"/>
    <n v="2"/>
    <x v="0"/>
    <s v="northeast"/>
    <n v="8302.5400000000009"/>
    <x v="0"/>
    <n v="0"/>
    <n v="0"/>
    <n v="0"/>
    <n v="0"/>
    <n v="0.34651771884892102"/>
    <n v="0"/>
    <n v="0"/>
    <n v="0"/>
    <n v="8980.5500000000011"/>
    <n v="-678.01000000000022"/>
  </r>
  <r>
    <n v="597"/>
    <n v="38"/>
    <s v="female"/>
    <x v="195"/>
    <n v="92"/>
    <s v="Yes"/>
    <n v="2"/>
    <x v="0"/>
    <s v="northwest"/>
    <n v="8310.84"/>
    <x v="1"/>
    <n v="0"/>
    <n v="0"/>
    <n v="0"/>
    <n v="1"/>
    <n v="0.69625005920235128"/>
    <n v="0"/>
    <n v="1"/>
    <n v="1"/>
    <n v="8885.1100000000024"/>
    <n v="-574.27000000000226"/>
  </r>
  <r>
    <n v="598"/>
    <n v="20"/>
    <s v="male"/>
    <x v="2"/>
    <n v="93"/>
    <s v="Yes"/>
    <n v="1"/>
    <x v="0"/>
    <s v="northeast"/>
    <n v="8334.4599999999991"/>
    <x v="1"/>
    <n v="0"/>
    <n v="0"/>
    <n v="0"/>
    <n v="0"/>
    <n v="0.78957751072989424"/>
    <n v="0"/>
    <n v="1"/>
    <n v="0"/>
    <n v="11054.890000000001"/>
    <n v="-2720.4300000000021"/>
  </r>
  <r>
    <n v="599"/>
    <n v="40"/>
    <s v="male"/>
    <x v="134"/>
    <n v="94"/>
    <s v="No"/>
    <n v="1"/>
    <x v="0"/>
    <s v="northeast"/>
    <n v="8334.59"/>
    <x v="1"/>
    <n v="0"/>
    <n v="0"/>
    <n v="0"/>
    <n v="0"/>
    <n v="1.0911074073535088E-2"/>
    <n v="0"/>
    <n v="0"/>
    <n v="0"/>
    <n v="11266.490000000002"/>
    <n v="-2931.9000000000015"/>
  </r>
  <r>
    <n v="600"/>
    <n v="34"/>
    <s v="male"/>
    <x v="217"/>
    <n v="94"/>
    <s v="Yes"/>
    <n v="1"/>
    <x v="0"/>
    <s v="northeast"/>
    <n v="8342.91"/>
    <x v="2"/>
    <n v="0"/>
    <n v="0"/>
    <n v="0"/>
    <n v="0"/>
    <n v="0.77422443837874266"/>
    <n v="0"/>
    <n v="1"/>
    <n v="0"/>
    <n v="11718.11"/>
    <n v="-3375.2000000000007"/>
  </r>
  <r>
    <n v="601"/>
    <n v="48"/>
    <s v="male"/>
    <x v="27"/>
    <n v="81"/>
    <s v="Yes"/>
    <n v="2"/>
    <x v="0"/>
    <s v="southeast"/>
    <n v="8347.16"/>
    <x v="2"/>
    <n v="0"/>
    <n v="1"/>
    <n v="0"/>
    <n v="0"/>
    <n v="0.14310717298499942"/>
    <n v="0"/>
    <n v="1"/>
    <n v="0"/>
    <n v="6616.4300000000012"/>
    <n v="1730.7299999999987"/>
  </r>
  <r>
    <n v="602"/>
    <n v="44"/>
    <s v="male"/>
    <x v="1"/>
    <n v="86"/>
    <s v="No"/>
    <n v="3"/>
    <x v="0"/>
    <s v="northwest"/>
    <n v="8410.0499999999993"/>
    <x v="1"/>
    <n v="0"/>
    <n v="0"/>
    <n v="0"/>
    <n v="1"/>
    <n v="7.1260735617203141E-2"/>
    <n v="0"/>
    <n v="0"/>
    <n v="0"/>
    <n v="8230.9399999999987"/>
    <n v="179.11000000000058"/>
  </r>
  <r>
    <n v="603"/>
    <n v="30"/>
    <s v="male"/>
    <x v="85"/>
    <n v="87"/>
    <s v="Yes"/>
    <n v="2"/>
    <x v="0"/>
    <s v="northwest"/>
    <n v="8413.4599999999991"/>
    <x v="1"/>
    <n v="0"/>
    <n v="0"/>
    <n v="0"/>
    <n v="1"/>
    <n v="0.48053186078887522"/>
    <n v="0"/>
    <n v="1"/>
    <n v="0"/>
    <n v="7635.35"/>
    <n v="778.10999999999876"/>
  </r>
  <r>
    <n v="604"/>
    <n v="39"/>
    <s v="male"/>
    <x v="218"/>
    <n v="91"/>
    <s v="Yes"/>
    <n v="1"/>
    <x v="0"/>
    <s v="northwest"/>
    <n v="8428.07"/>
    <x v="3"/>
    <n v="0"/>
    <n v="0"/>
    <n v="0"/>
    <n v="1"/>
    <n v="0.8975380599763344"/>
    <n v="0"/>
    <n v="1"/>
    <n v="0"/>
    <n v="6592"/>
    <n v="1836.0699999999997"/>
  </r>
  <r>
    <n v="605"/>
    <n v="34"/>
    <s v="male"/>
    <x v="129"/>
    <n v="100"/>
    <s v="No"/>
    <n v="0"/>
    <x v="0"/>
    <s v="southeast"/>
    <n v="8442.67"/>
    <x v="4"/>
    <n v="0"/>
    <n v="1"/>
    <n v="0"/>
    <n v="0"/>
    <n v="5.0214013282908865E-2"/>
    <n v="0"/>
    <n v="0"/>
    <n v="0"/>
    <n v="7156.1900000000005"/>
    <n v="1286.4799999999996"/>
  </r>
  <r>
    <n v="606"/>
    <n v="45"/>
    <s v="male"/>
    <x v="130"/>
    <n v="99"/>
    <s v="No"/>
    <n v="0"/>
    <x v="0"/>
    <s v="southwest"/>
    <n v="8444.4699999999993"/>
    <x v="4"/>
    <n v="0"/>
    <n v="0"/>
    <n v="1"/>
    <n v="0"/>
    <n v="0.66054915023676719"/>
    <n v="0"/>
    <n v="0"/>
    <n v="0"/>
    <n v="7782.2899999999991"/>
    <n v="662.18000000000029"/>
  </r>
  <r>
    <n v="607"/>
    <n v="46"/>
    <s v="male"/>
    <x v="192"/>
    <n v="85"/>
    <s v="No"/>
    <n v="0"/>
    <x v="0"/>
    <s v="southwest"/>
    <n v="8457.82"/>
    <x v="2"/>
    <n v="0"/>
    <n v="0"/>
    <n v="1"/>
    <n v="0"/>
    <n v="0.12818614430948871"/>
    <n v="0"/>
    <n v="0"/>
    <n v="0"/>
    <n v="6367.5499999999993"/>
    <n v="2090.2700000000004"/>
  </r>
  <r>
    <n v="608"/>
    <n v="50"/>
    <s v="female"/>
    <x v="34"/>
    <n v="80"/>
    <s v="No"/>
    <n v="2"/>
    <x v="0"/>
    <s v="southeast"/>
    <n v="8515.76"/>
    <x v="4"/>
    <n v="0"/>
    <n v="1"/>
    <n v="0"/>
    <n v="0"/>
    <n v="0.43299659821455772"/>
    <n v="0"/>
    <n v="0"/>
    <n v="1"/>
    <n v="6079.0900000000011"/>
    <n v="2436.6699999999992"/>
  </r>
  <r>
    <n v="609"/>
    <n v="59"/>
    <s v="female"/>
    <x v="138"/>
    <n v="80"/>
    <s v="Yes"/>
    <n v="2"/>
    <x v="0"/>
    <s v="southeast"/>
    <n v="8516.83"/>
    <x v="4"/>
    <n v="0"/>
    <n v="1"/>
    <n v="0"/>
    <n v="0"/>
    <n v="0.38286602178461027"/>
    <n v="0"/>
    <n v="1"/>
    <n v="1"/>
    <n v="6066.91"/>
    <n v="2449.92"/>
  </r>
  <r>
    <n v="610"/>
    <n v="44"/>
    <s v="female"/>
    <x v="131"/>
    <n v="80"/>
    <s v="Yes"/>
    <n v="2"/>
    <x v="0"/>
    <s v="southwest"/>
    <n v="8520.0300000000007"/>
    <x v="1"/>
    <n v="0"/>
    <n v="0"/>
    <n v="1"/>
    <n v="0"/>
    <n v="4.9067316157160978E-2"/>
    <n v="0"/>
    <n v="1"/>
    <n v="1"/>
    <n v="6971.3799999999992"/>
    <n v="1548.6500000000015"/>
  </r>
  <r>
    <n v="611"/>
    <n v="27"/>
    <s v="female"/>
    <x v="5"/>
    <n v="85"/>
    <s v="No"/>
    <n v="3"/>
    <x v="0"/>
    <s v="southwest"/>
    <n v="8522"/>
    <x v="1"/>
    <n v="0"/>
    <n v="0"/>
    <n v="1"/>
    <n v="0"/>
    <n v="0.23410701831756464"/>
    <n v="0"/>
    <n v="0"/>
    <n v="1"/>
    <n v="8897.64"/>
    <n v="-375.63999999999942"/>
  </r>
  <r>
    <n v="612"/>
    <n v="29"/>
    <s v="female"/>
    <x v="202"/>
    <n v="91"/>
    <s v="Yes"/>
    <n v="2"/>
    <x v="0"/>
    <s v="southeast"/>
    <n v="8527.5300000000007"/>
    <x v="2"/>
    <n v="0"/>
    <n v="1"/>
    <n v="0"/>
    <n v="0"/>
    <n v="0.53130294066580375"/>
    <n v="0"/>
    <n v="1"/>
    <n v="1"/>
    <n v="8519.15"/>
    <n v="8.3800000000010186"/>
  </r>
  <r>
    <n v="613"/>
    <n v="28"/>
    <s v="female"/>
    <x v="89"/>
    <n v="93"/>
    <s v="Yes"/>
    <n v="0"/>
    <x v="0"/>
    <s v="northeast"/>
    <n v="8534.67"/>
    <x v="0"/>
    <n v="0"/>
    <n v="0"/>
    <n v="0"/>
    <n v="0"/>
    <n v="0.46618079380097144"/>
    <n v="0"/>
    <n v="1"/>
    <n v="1"/>
    <n v="9981.8600000000024"/>
    <n v="-1447.1900000000023"/>
  </r>
  <r>
    <n v="614"/>
    <n v="36"/>
    <s v="female"/>
    <x v="100"/>
    <n v="98"/>
    <s v="No"/>
    <n v="3"/>
    <x v="0"/>
    <s v="northeast"/>
    <n v="8538.2900000000009"/>
    <x v="1"/>
    <n v="0"/>
    <n v="0"/>
    <n v="0"/>
    <n v="0"/>
    <n v="0.9149026718972133"/>
    <n v="0"/>
    <n v="0"/>
    <n v="1"/>
    <n v="13814.300000000001"/>
    <n v="-5276.01"/>
  </r>
  <r>
    <n v="615"/>
    <n v="26"/>
    <s v="female"/>
    <x v="179"/>
    <n v="92"/>
    <s v="Yes"/>
    <n v="1"/>
    <x v="0"/>
    <s v="southwest"/>
    <n v="8539.67"/>
    <x v="0"/>
    <n v="0"/>
    <n v="0"/>
    <n v="1"/>
    <n v="0"/>
    <n v="9.7481890761236256E-3"/>
    <n v="0"/>
    <n v="1"/>
    <n v="1"/>
    <n v="7547.1100000000006"/>
    <n v="992.55999999999949"/>
  </r>
  <r>
    <n v="616"/>
    <n v="54"/>
    <s v="female"/>
    <x v="48"/>
    <n v="96"/>
    <s v="Yes"/>
    <n v="1"/>
    <x v="0"/>
    <s v="southeast"/>
    <n v="8547.69"/>
    <x v="4"/>
    <n v="0"/>
    <n v="1"/>
    <n v="0"/>
    <n v="0"/>
    <n v="0.6775727261768334"/>
    <n v="0"/>
    <n v="1"/>
    <n v="1"/>
    <n v="7956.91"/>
    <n v="590.78000000000065"/>
  </r>
  <r>
    <n v="617"/>
    <n v="36"/>
    <s v="female"/>
    <x v="76"/>
    <n v="81"/>
    <s v="No"/>
    <n v="1"/>
    <x v="0"/>
    <s v="southwest"/>
    <n v="8551.35"/>
    <x v="1"/>
    <n v="0"/>
    <n v="0"/>
    <n v="1"/>
    <n v="0"/>
    <n v="0.58291244298768108"/>
    <n v="0"/>
    <n v="0"/>
    <n v="1"/>
    <n v="6566.0800000000008"/>
    <n v="1985.2699999999995"/>
  </r>
  <r>
    <n v="618"/>
    <n v="60"/>
    <s v="female"/>
    <x v="93"/>
    <n v="90"/>
    <s v="No"/>
    <n v="1"/>
    <x v="0"/>
    <s v="southwest"/>
    <n v="8556.91"/>
    <x v="2"/>
    <n v="0"/>
    <n v="0"/>
    <n v="1"/>
    <n v="0"/>
    <n v="0.36014743129060656"/>
    <n v="0"/>
    <n v="0"/>
    <n v="1"/>
    <n v="8313.67"/>
    <n v="243.23999999999978"/>
  </r>
  <r>
    <n v="619"/>
    <n v="36"/>
    <s v="female"/>
    <x v="219"/>
    <n v="96"/>
    <s v="Yes"/>
    <n v="1"/>
    <x v="0"/>
    <s v="southeast"/>
    <n v="8569.86"/>
    <x v="2"/>
    <n v="0"/>
    <n v="1"/>
    <n v="0"/>
    <n v="0"/>
    <n v="0.45093606625833527"/>
    <n v="0"/>
    <n v="1"/>
    <n v="1"/>
    <n v="9339.4"/>
    <n v="-769.53999999999905"/>
  </r>
  <r>
    <n v="620"/>
    <n v="46"/>
    <s v="female"/>
    <x v="181"/>
    <n v="96"/>
    <s v="No"/>
    <n v="5"/>
    <x v="0"/>
    <s v="southeast"/>
    <n v="8582.2999999999993"/>
    <x v="0"/>
    <n v="0"/>
    <n v="1"/>
    <n v="0"/>
    <n v="0"/>
    <n v="3.2663433188898638E-3"/>
    <n v="0"/>
    <n v="0"/>
    <n v="1"/>
    <n v="10518.92"/>
    <n v="-1936.6200000000008"/>
  </r>
  <r>
    <n v="621"/>
    <n v="43"/>
    <s v="female"/>
    <x v="193"/>
    <n v="96"/>
    <s v="No"/>
    <n v="5"/>
    <x v="0"/>
    <s v="southeast"/>
    <n v="8596.83"/>
    <x v="1"/>
    <n v="0"/>
    <n v="1"/>
    <n v="0"/>
    <n v="0"/>
    <n v="0.37832933572546779"/>
    <n v="0"/>
    <n v="0"/>
    <n v="1"/>
    <n v="11411.96"/>
    <n v="-2815.1299999999992"/>
  </r>
  <r>
    <n v="622"/>
    <n v="39"/>
    <s v="female"/>
    <x v="124"/>
    <n v="95"/>
    <s v="Yes"/>
    <n v="0"/>
    <x v="0"/>
    <s v="southeast"/>
    <n v="8601.33"/>
    <x v="4"/>
    <n v="0"/>
    <n v="1"/>
    <n v="0"/>
    <n v="0"/>
    <n v="0.23875479028379987"/>
    <n v="0"/>
    <n v="1"/>
    <n v="1"/>
    <n v="6890.18"/>
    <n v="1711.1499999999996"/>
  </r>
  <r>
    <n v="623"/>
    <n v="36"/>
    <s v="male"/>
    <x v="179"/>
    <n v="86"/>
    <s v="No"/>
    <n v="2"/>
    <x v="0"/>
    <s v="northeast"/>
    <n v="8603.82"/>
    <x v="0"/>
    <n v="0"/>
    <n v="0"/>
    <n v="0"/>
    <n v="0"/>
    <n v="0.28194304924452906"/>
    <n v="0"/>
    <n v="0"/>
    <n v="0"/>
    <n v="9895.23"/>
    <n v="-1291.4099999999999"/>
  </r>
  <r>
    <n v="624"/>
    <n v="28"/>
    <s v="male"/>
    <x v="216"/>
    <n v="94"/>
    <s v="Yes"/>
    <n v="2"/>
    <x v="0"/>
    <s v="northeast"/>
    <n v="8604.48"/>
    <x v="0"/>
    <n v="0"/>
    <n v="0"/>
    <n v="0"/>
    <n v="0"/>
    <n v="0.5072994251474009"/>
    <n v="0"/>
    <n v="1"/>
    <n v="0"/>
    <n v="11147.330000000002"/>
    <n v="-2542.8500000000022"/>
  </r>
  <r>
    <n v="625"/>
    <n v="42"/>
    <s v="male"/>
    <x v="24"/>
    <n v="97"/>
    <s v="No"/>
    <n v="3"/>
    <x v="0"/>
    <s v="southeast"/>
    <n v="8605.36"/>
    <x v="0"/>
    <n v="0"/>
    <n v="1"/>
    <n v="0"/>
    <n v="0"/>
    <n v="0.42267832449339471"/>
    <n v="0"/>
    <n v="0"/>
    <n v="0"/>
    <n v="8462.9500000000007"/>
    <n v="142.40999999999985"/>
  </r>
  <r>
    <n v="626"/>
    <n v="26"/>
    <s v="male"/>
    <x v="83"/>
    <n v="92"/>
    <s v="No"/>
    <n v="3"/>
    <x v="0"/>
    <s v="northeast"/>
    <n v="8606.2199999999993"/>
    <x v="4"/>
    <n v="0"/>
    <n v="0"/>
    <n v="0"/>
    <n v="0"/>
    <n v="0.34799482288025041"/>
    <n v="0"/>
    <n v="0"/>
    <n v="0"/>
    <n v="11928.710000000001"/>
    <n v="-3322.4900000000016"/>
  </r>
  <r>
    <n v="627"/>
    <n v="23"/>
    <s v="male"/>
    <x v="180"/>
    <n v="97"/>
    <s v="No"/>
    <n v="3"/>
    <x v="0"/>
    <s v="southwest"/>
    <n v="8615.2999999999993"/>
    <x v="4"/>
    <n v="0"/>
    <n v="0"/>
    <n v="1"/>
    <n v="0"/>
    <n v="0.95884019239343254"/>
    <n v="0"/>
    <n v="0"/>
    <n v="0"/>
    <n v="9782.9399999999987"/>
    <n v="-1167.6399999999994"/>
  </r>
  <r>
    <n v="628"/>
    <n v="43"/>
    <s v="male"/>
    <x v="220"/>
    <n v="99"/>
    <s v="Yes"/>
    <n v="1"/>
    <x v="0"/>
    <s v="northeast"/>
    <n v="8627.5400000000009"/>
    <x v="3"/>
    <n v="0"/>
    <n v="0"/>
    <n v="0"/>
    <n v="0"/>
    <n v="8.2772035655211962E-3"/>
    <n v="0"/>
    <n v="1"/>
    <n v="0"/>
    <n v="10777.44"/>
    <n v="-2149.8999999999996"/>
  </r>
  <r>
    <n v="629"/>
    <n v="56"/>
    <s v="female"/>
    <x v="86"/>
    <n v="100"/>
    <s v="No"/>
    <n v="0"/>
    <x v="0"/>
    <s v="northwest"/>
    <n v="8671.19"/>
    <x v="2"/>
    <n v="0"/>
    <n v="0"/>
    <n v="0"/>
    <n v="1"/>
    <n v="0.48757817308341678"/>
    <n v="0"/>
    <n v="0"/>
    <n v="1"/>
    <n v="9235.82"/>
    <n v="-564.6299999999992"/>
  </r>
  <r>
    <n v="630"/>
    <n v="30"/>
    <s v="male"/>
    <x v="84"/>
    <n v="97"/>
    <s v="Yes"/>
    <n v="0"/>
    <x v="0"/>
    <s v="northeast"/>
    <n v="8688.86"/>
    <x v="0"/>
    <n v="0"/>
    <n v="0"/>
    <n v="0"/>
    <n v="0"/>
    <n v="0.38104264198268378"/>
    <n v="0"/>
    <n v="1"/>
    <n v="0"/>
    <n v="10018.81"/>
    <n v="-1329.9499999999989"/>
  </r>
  <r>
    <n v="631"/>
    <n v="26"/>
    <s v="male"/>
    <x v="14"/>
    <n v="93"/>
    <s v="No"/>
    <n v="1"/>
    <x v="0"/>
    <s v="southwest"/>
    <n v="8703.4599999999991"/>
    <x v="4"/>
    <n v="0"/>
    <n v="0"/>
    <n v="1"/>
    <n v="0"/>
    <n v="0.45968416262965994"/>
    <n v="0"/>
    <n v="0"/>
    <n v="0"/>
    <n v="7766.8600000000006"/>
    <n v="936.59999999999854"/>
  </r>
  <r>
    <n v="632"/>
    <n v="21"/>
    <s v="male"/>
    <x v="221"/>
    <n v="98"/>
    <s v="No"/>
    <n v="2"/>
    <x v="0"/>
    <s v="northwest"/>
    <n v="8733.23"/>
    <x v="2"/>
    <n v="0"/>
    <n v="0"/>
    <n v="0"/>
    <n v="1"/>
    <n v="0.24733370035961244"/>
    <n v="0"/>
    <n v="0"/>
    <n v="0"/>
    <n v="10317.869999999999"/>
    <n v="-1584.6399999999994"/>
  </r>
  <r>
    <n v="633"/>
    <n v="18"/>
    <s v="male"/>
    <x v="198"/>
    <n v="98"/>
    <s v="Yes"/>
    <n v="1"/>
    <x v="0"/>
    <s v="northwest"/>
    <n v="8765.25"/>
    <x v="1"/>
    <n v="0"/>
    <n v="0"/>
    <n v="0"/>
    <n v="1"/>
    <n v="0.77994957274391286"/>
    <n v="0"/>
    <n v="1"/>
    <n v="0"/>
    <n v="8821.8599999999988"/>
    <n v="-56.609999999998763"/>
  </r>
  <r>
    <n v="634"/>
    <n v="29"/>
    <s v="male"/>
    <x v="212"/>
    <n v="87"/>
    <s v="Yes"/>
    <n v="0"/>
    <x v="0"/>
    <s v="southwest"/>
    <n v="8782.4699999999993"/>
    <x v="4"/>
    <n v="0"/>
    <n v="0"/>
    <n v="1"/>
    <n v="0"/>
    <n v="0.92997129747313412"/>
    <n v="0"/>
    <n v="1"/>
    <n v="0"/>
    <n v="5716.03"/>
    <n v="3066.4399999999996"/>
  </r>
  <r>
    <n v="635"/>
    <n v="29"/>
    <s v="male"/>
    <x v="177"/>
    <n v="84"/>
    <s v="Yes"/>
    <n v="0"/>
    <x v="0"/>
    <s v="southwest"/>
    <n v="8798.59"/>
    <x v="2"/>
    <n v="0"/>
    <n v="0"/>
    <n v="1"/>
    <n v="0"/>
    <n v="0.65643706139598945"/>
    <n v="0"/>
    <n v="1"/>
    <n v="0"/>
    <n v="6229.0599999999986"/>
    <n v="2569.5300000000016"/>
  </r>
  <r>
    <n v="636"/>
    <n v="43"/>
    <s v="female"/>
    <x v="55"/>
    <n v="95"/>
    <s v="No"/>
    <n v="2"/>
    <x v="0"/>
    <s v="southwest"/>
    <n v="8823.2800000000007"/>
    <x v="4"/>
    <n v="0"/>
    <n v="0"/>
    <n v="1"/>
    <n v="0"/>
    <n v="0.89833572041823129"/>
    <n v="0"/>
    <n v="0"/>
    <n v="1"/>
    <n v="9264.5700000000015"/>
    <n v="-441.29000000000087"/>
  </r>
  <r>
    <n v="637"/>
    <n v="33"/>
    <s v="female"/>
    <x v="3"/>
    <n v="81"/>
    <s v="Yes"/>
    <n v="1"/>
    <x v="0"/>
    <s v="northeast"/>
    <n v="8823.99"/>
    <x v="1"/>
    <n v="0"/>
    <n v="0"/>
    <n v="0"/>
    <n v="0"/>
    <n v="0.67541109209441574"/>
    <n v="0"/>
    <n v="1"/>
    <n v="1"/>
    <n v="9602.3200000000015"/>
    <n v="-778.33000000000175"/>
  </r>
  <r>
    <n v="638"/>
    <n v="46"/>
    <s v="female"/>
    <x v="168"/>
    <n v="99"/>
    <s v="Yes"/>
    <n v="2"/>
    <x v="0"/>
    <s v="southwest"/>
    <n v="8825.09"/>
    <x v="1"/>
    <n v="0"/>
    <n v="0"/>
    <n v="1"/>
    <n v="0"/>
    <n v="0.18406172389725439"/>
    <n v="0"/>
    <n v="1"/>
    <n v="1"/>
    <n v="9941.18"/>
    <n v="-1116.0900000000001"/>
  </r>
  <r>
    <n v="639"/>
    <n v="31"/>
    <s v="male"/>
    <x v="116"/>
    <n v="100"/>
    <s v="Yes"/>
    <n v="0"/>
    <x v="0"/>
    <s v="northwest"/>
    <n v="8827.2099999999991"/>
    <x v="4"/>
    <n v="0"/>
    <n v="0"/>
    <n v="0"/>
    <n v="1"/>
    <n v="2.7181771742407879E-2"/>
    <n v="0"/>
    <n v="1"/>
    <n v="0"/>
    <n v="7881.7099999999991"/>
    <n v="945.5"/>
  </r>
  <r>
    <n v="640"/>
    <n v="22"/>
    <s v="male"/>
    <x v="207"/>
    <n v="95"/>
    <s v="Yes"/>
    <n v="0"/>
    <x v="0"/>
    <s v="northwest"/>
    <n v="8835.26"/>
    <x v="1"/>
    <n v="0"/>
    <n v="0"/>
    <n v="0"/>
    <n v="1"/>
    <n v="0.64356346150812438"/>
    <n v="0"/>
    <n v="1"/>
    <n v="0"/>
    <n v="7591.1800000000021"/>
    <n v="1244.0799999999981"/>
  </r>
  <r>
    <n v="641"/>
    <n v="34"/>
    <s v="female"/>
    <x v="207"/>
    <n v="96"/>
    <s v="Yes"/>
    <n v="1"/>
    <x v="0"/>
    <s v="southeast"/>
    <n v="8871.15"/>
    <x v="1"/>
    <n v="0"/>
    <n v="1"/>
    <n v="0"/>
    <n v="0"/>
    <n v="0.45398029789004379"/>
    <n v="0"/>
    <n v="1"/>
    <n v="1"/>
    <n v="8221.91"/>
    <n v="649.23999999999978"/>
  </r>
  <r>
    <n v="642"/>
    <n v="35"/>
    <s v="male"/>
    <x v="136"/>
    <n v="99"/>
    <s v="No"/>
    <n v="3"/>
    <x v="0"/>
    <s v="northeast"/>
    <n v="8891.14"/>
    <x v="0"/>
    <n v="0"/>
    <n v="0"/>
    <n v="0"/>
    <n v="0"/>
    <n v="0.618280606688971"/>
    <n v="0"/>
    <n v="0"/>
    <n v="0"/>
    <n v="12564.07"/>
    <n v="-3672.9300000000003"/>
  </r>
  <r>
    <n v="643"/>
    <n v="54"/>
    <s v="female"/>
    <x v="125"/>
    <n v="99"/>
    <s v="No"/>
    <n v="1"/>
    <x v="0"/>
    <s v="northwest"/>
    <n v="8930.93"/>
    <x v="4"/>
    <n v="0"/>
    <n v="0"/>
    <n v="0"/>
    <n v="1"/>
    <n v="0.70819470097400417"/>
    <n v="0"/>
    <n v="0"/>
    <n v="1"/>
    <n v="9209.98"/>
    <n v="-279.04999999999927"/>
  </r>
  <r>
    <n v="644"/>
    <n v="43"/>
    <s v="female"/>
    <x v="30"/>
    <n v="100"/>
    <s v="Yes"/>
    <n v="0"/>
    <x v="0"/>
    <s v="southwest"/>
    <n v="8932.08"/>
    <x v="4"/>
    <n v="0"/>
    <n v="0"/>
    <n v="1"/>
    <n v="0"/>
    <n v="0.60527463196061659"/>
    <n v="0"/>
    <n v="1"/>
    <n v="1"/>
    <n v="8234.8299999999981"/>
    <n v="697.25000000000182"/>
  </r>
  <r>
    <n v="645"/>
    <n v="43"/>
    <s v="male"/>
    <x v="222"/>
    <n v="89"/>
    <s v="Yes"/>
    <n v="3"/>
    <x v="0"/>
    <s v="southeast"/>
    <n v="8944.1200000000008"/>
    <x v="2"/>
    <n v="0"/>
    <n v="1"/>
    <n v="0"/>
    <n v="0"/>
    <n v="0.46293394788031328"/>
    <n v="0"/>
    <n v="1"/>
    <n v="0"/>
    <n v="9125.1400000000012"/>
    <n v="-181.02000000000044"/>
  </r>
  <r>
    <n v="646"/>
    <n v="38"/>
    <s v="male"/>
    <x v="23"/>
    <n v="98"/>
    <s v="Yes"/>
    <n v="1"/>
    <x v="0"/>
    <s v="northeast"/>
    <n v="8964.06"/>
    <x v="1"/>
    <n v="0"/>
    <n v="0"/>
    <n v="0"/>
    <n v="0"/>
    <n v="0.2760674702098832"/>
    <n v="0"/>
    <n v="1"/>
    <n v="0"/>
    <n v="11667.35"/>
    <n v="-2703.2900000000009"/>
  </r>
  <r>
    <n v="647"/>
    <n v="45"/>
    <s v="female"/>
    <x v="122"/>
    <n v="98"/>
    <s v="No"/>
    <n v="5"/>
    <x v="0"/>
    <s v="northwest"/>
    <n v="8965.7999999999993"/>
    <x v="0"/>
    <n v="0"/>
    <n v="0"/>
    <n v="0"/>
    <n v="1"/>
    <n v="0.6390149958128869"/>
    <n v="0"/>
    <n v="0"/>
    <n v="1"/>
    <n v="11561.719999999998"/>
    <n v="-2595.9199999999983"/>
  </r>
  <r>
    <n v="648"/>
    <n v="23"/>
    <s v="male"/>
    <x v="168"/>
    <n v="95"/>
    <s v="No"/>
    <n v="2"/>
    <x v="0"/>
    <s v="southwest"/>
    <n v="8968.33"/>
    <x v="1"/>
    <n v="0"/>
    <n v="0"/>
    <n v="1"/>
    <n v="0"/>
    <n v="0.70071338724993071"/>
    <n v="0"/>
    <n v="0"/>
    <n v="0"/>
    <n v="8956.3700000000008"/>
    <n v="11.959999999999127"/>
  </r>
  <r>
    <n v="649"/>
    <n v="32"/>
    <s v="male"/>
    <x v="6"/>
    <n v="85"/>
    <s v="No"/>
    <n v="2"/>
    <x v="0"/>
    <s v="southeast"/>
    <n v="8978.19"/>
    <x v="2"/>
    <n v="0"/>
    <n v="1"/>
    <n v="0"/>
    <n v="0"/>
    <n v="0.89525416545145431"/>
    <n v="0"/>
    <n v="0"/>
    <n v="0"/>
    <n v="7267.3799999999992"/>
    <n v="1710.8100000000013"/>
  </r>
  <r>
    <n v="650"/>
    <n v="37"/>
    <s v="female"/>
    <x v="123"/>
    <n v="85"/>
    <s v="No"/>
    <n v="0"/>
    <x v="0"/>
    <s v="northwest"/>
    <n v="8988.16"/>
    <x v="4"/>
    <n v="0"/>
    <n v="0"/>
    <n v="0"/>
    <n v="1"/>
    <n v="5.8329128937483654E-2"/>
    <n v="0"/>
    <n v="0"/>
    <n v="1"/>
    <n v="6293.4399999999987"/>
    <n v="2694.7200000000012"/>
  </r>
  <r>
    <n v="651"/>
    <n v="50"/>
    <s v="male"/>
    <x v="140"/>
    <n v="96"/>
    <s v="No"/>
    <n v="1"/>
    <x v="0"/>
    <s v="southeast"/>
    <n v="9048.0300000000007"/>
    <x v="2"/>
    <n v="0"/>
    <n v="1"/>
    <n v="0"/>
    <n v="0"/>
    <n v="0.39774049593591831"/>
    <n v="0"/>
    <n v="0"/>
    <n v="0"/>
    <n v="8244.49"/>
    <n v="803.54000000000087"/>
  </r>
  <r>
    <n v="652"/>
    <n v="22"/>
    <s v="male"/>
    <x v="223"/>
    <n v="92"/>
    <s v="Yes"/>
    <n v="1"/>
    <x v="0"/>
    <s v="southeast"/>
    <n v="9058.73"/>
    <x v="2"/>
    <n v="0"/>
    <n v="1"/>
    <n v="0"/>
    <n v="0"/>
    <n v="0.16023368377461356"/>
    <n v="0"/>
    <n v="1"/>
    <n v="0"/>
    <n v="8231.26"/>
    <n v="827.46999999999935"/>
  </r>
  <r>
    <n v="653"/>
    <n v="55"/>
    <s v="female"/>
    <x v="29"/>
    <n v="81"/>
    <s v="Yes"/>
    <n v="2"/>
    <x v="0"/>
    <s v="northeast"/>
    <n v="9095.07"/>
    <x v="4"/>
    <n v="0"/>
    <n v="0"/>
    <n v="0"/>
    <n v="0"/>
    <n v="0.88209811408012906"/>
    <n v="0"/>
    <n v="1"/>
    <n v="1"/>
    <n v="9585.6500000000015"/>
    <n v="-490.58000000000175"/>
  </r>
  <r>
    <n v="654"/>
    <n v="48"/>
    <s v="female"/>
    <x v="87"/>
    <n v="93"/>
    <s v="No"/>
    <n v="3"/>
    <x v="0"/>
    <s v="southwest"/>
    <n v="9101.7999999999993"/>
    <x v="4"/>
    <n v="0"/>
    <n v="0"/>
    <n v="1"/>
    <n v="0"/>
    <n v="0.59410304901528144"/>
    <n v="0"/>
    <n v="0"/>
    <n v="1"/>
    <n v="9403.630000000001"/>
    <n v="-301.83000000000175"/>
  </r>
  <r>
    <n v="655"/>
    <n v="43"/>
    <s v="male"/>
    <x v="4"/>
    <n v="89"/>
    <s v="Yes"/>
    <n v="0"/>
    <x v="0"/>
    <s v="southeast"/>
    <n v="9140.9500000000007"/>
    <x v="1"/>
    <n v="0"/>
    <n v="1"/>
    <n v="0"/>
    <n v="0"/>
    <n v="0.78489081627799429"/>
    <n v="0"/>
    <n v="1"/>
    <n v="0"/>
    <n v="6072.5200000000013"/>
    <n v="3068.4299999999994"/>
  </r>
  <r>
    <n v="656"/>
    <n v="34"/>
    <s v="male"/>
    <x v="224"/>
    <n v="92"/>
    <s v="No"/>
    <n v="0"/>
    <x v="0"/>
    <s v="southwest"/>
    <n v="9144.57"/>
    <x v="2"/>
    <n v="0"/>
    <n v="0"/>
    <n v="1"/>
    <n v="0"/>
    <n v="0.31505026712788842"/>
    <n v="0"/>
    <n v="0"/>
    <n v="0"/>
    <n v="7542.7900000000009"/>
    <n v="1601.7799999999988"/>
  </r>
  <r>
    <n v="657"/>
    <n v="46"/>
    <s v="male"/>
    <x v="178"/>
    <n v="91"/>
    <s v="No"/>
    <n v="0"/>
    <x v="0"/>
    <s v="northwest"/>
    <n v="9174.14"/>
    <x v="1"/>
    <n v="0"/>
    <n v="0"/>
    <n v="0"/>
    <n v="1"/>
    <n v="0.34806360968648165"/>
    <n v="0"/>
    <n v="0"/>
    <n v="0"/>
    <n v="6939.8600000000015"/>
    <n v="2234.2799999999979"/>
  </r>
  <r>
    <n v="658"/>
    <n v="56"/>
    <s v="female"/>
    <x v="158"/>
    <n v="100"/>
    <s v="No"/>
    <n v="1"/>
    <x v="0"/>
    <s v="southwest"/>
    <n v="9182.17"/>
    <x v="0"/>
    <n v="0"/>
    <n v="0"/>
    <n v="1"/>
    <n v="0"/>
    <n v="0.39658033875187282"/>
    <n v="0"/>
    <n v="0"/>
    <n v="1"/>
    <n v="8657.84"/>
    <n v="524.32999999999993"/>
  </r>
  <r>
    <n v="659"/>
    <n v="34"/>
    <s v="female"/>
    <x v="157"/>
    <n v="91"/>
    <s v="Yes"/>
    <n v="2"/>
    <x v="0"/>
    <s v="northwest"/>
    <n v="9193.84"/>
    <x v="0"/>
    <n v="0"/>
    <n v="0"/>
    <n v="0"/>
    <n v="1"/>
    <n v="0.92451792180075298"/>
    <n v="0"/>
    <n v="1"/>
    <n v="1"/>
    <n v="7815.79"/>
    <n v="1378.0500000000002"/>
  </r>
  <r>
    <n v="660"/>
    <n v="19"/>
    <s v="male"/>
    <x v="66"/>
    <n v="94"/>
    <s v="No"/>
    <n v="5"/>
    <x v="0"/>
    <s v="northeast"/>
    <n v="9222.4"/>
    <x v="4"/>
    <n v="0"/>
    <n v="0"/>
    <n v="0"/>
    <n v="0"/>
    <n v="0.68939835866104948"/>
    <n v="0"/>
    <n v="0"/>
    <n v="0"/>
    <n v="13921.43"/>
    <n v="-4699.0300000000007"/>
  </r>
  <r>
    <n v="661"/>
    <n v="50"/>
    <s v="male"/>
    <x v="44"/>
    <n v="86"/>
    <s v="Yes"/>
    <n v="2"/>
    <x v="0"/>
    <s v="northeast"/>
    <n v="9225.26"/>
    <x v="4"/>
    <n v="0"/>
    <n v="0"/>
    <n v="0"/>
    <n v="0"/>
    <n v="7.5157098895204166E-2"/>
    <n v="0"/>
    <n v="1"/>
    <n v="0"/>
    <n v="9970.7000000000007"/>
    <n v="-745.44000000000051"/>
  </r>
  <r>
    <n v="662"/>
    <n v="43"/>
    <s v="female"/>
    <x v="55"/>
    <n v="84"/>
    <s v="Yes"/>
    <n v="1"/>
    <x v="0"/>
    <s v="northwest"/>
    <n v="9249.5"/>
    <x v="4"/>
    <n v="0"/>
    <n v="0"/>
    <n v="0"/>
    <n v="1"/>
    <n v="0.13247047623806396"/>
    <n v="0"/>
    <n v="1"/>
    <n v="1"/>
    <n v="6709.8499999999995"/>
    <n v="2539.6500000000005"/>
  </r>
  <r>
    <n v="663"/>
    <n v="57"/>
    <s v="female"/>
    <x v="53"/>
    <n v="98"/>
    <s v="No"/>
    <n v="0"/>
    <x v="0"/>
    <s v="southwest"/>
    <n v="9264.7999999999993"/>
    <x v="0"/>
    <n v="0"/>
    <n v="0"/>
    <n v="1"/>
    <n v="0"/>
    <n v="0.9482124078348344"/>
    <n v="0"/>
    <n v="0"/>
    <n v="1"/>
    <n v="7539.29"/>
    <n v="1725.5099999999993"/>
  </r>
  <r>
    <n v="664"/>
    <n v="23"/>
    <s v="male"/>
    <x v="74"/>
    <n v="88"/>
    <s v="Yes"/>
    <n v="1"/>
    <x v="0"/>
    <s v="northeast"/>
    <n v="9282.48"/>
    <x v="4"/>
    <n v="0"/>
    <n v="0"/>
    <n v="0"/>
    <n v="0"/>
    <n v="0.30255982010414262"/>
    <n v="0"/>
    <n v="1"/>
    <n v="0"/>
    <n v="9611.85"/>
    <n v="-329.3700000000008"/>
  </r>
  <r>
    <n v="665"/>
    <n v="43"/>
    <s v="female"/>
    <x v="4"/>
    <n v="81"/>
    <s v="No"/>
    <n v="0"/>
    <x v="0"/>
    <s v="southeast"/>
    <n v="9283.56"/>
    <x v="1"/>
    <n v="0"/>
    <n v="1"/>
    <n v="0"/>
    <n v="0"/>
    <n v="0.54211741068031327"/>
    <n v="0"/>
    <n v="0"/>
    <n v="1"/>
    <n v="5309.81"/>
    <n v="3973.7499999999991"/>
  </r>
  <r>
    <n v="666"/>
    <n v="44"/>
    <s v="male"/>
    <x v="56"/>
    <n v="82"/>
    <s v="Yes"/>
    <n v="1"/>
    <x v="0"/>
    <s v="northeast"/>
    <n v="9288.0300000000007"/>
    <x v="4"/>
    <n v="0"/>
    <n v="0"/>
    <n v="0"/>
    <n v="0"/>
    <n v="0.42176002573464333"/>
    <n v="0"/>
    <n v="1"/>
    <n v="0"/>
    <n v="8969.4300000000021"/>
    <n v="318.59999999999854"/>
  </r>
  <r>
    <n v="667"/>
    <n v="23"/>
    <s v="male"/>
    <x v="23"/>
    <n v="94"/>
    <s v="Yes"/>
    <n v="1"/>
    <x v="0"/>
    <s v="northeast"/>
    <n v="9290.14"/>
    <x v="1"/>
    <n v="0"/>
    <n v="0"/>
    <n v="0"/>
    <n v="0"/>
    <n v="8.0700042251689585E-2"/>
    <n v="0"/>
    <n v="1"/>
    <n v="0"/>
    <n v="11048.19"/>
    <n v="-1758.0500000000011"/>
  </r>
  <r>
    <n v="668"/>
    <n v="33"/>
    <s v="male"/>
    <x v="87"/>
    <n v="80"/>
    <s v="No"/>
    <n v="3"/>
    <x v="0"/>
    <s v="northwest"/>
    <n v="9301.89"/>
    <x v="4"/>
    <n v="0"/>
    <n v="0"/>
    <n v="0"/>
    <n v="1"/>
    <n v="0.12292974907134246"/>
    <n v="0"/>
    <n v="0"/>
    <n v="0"/>
    <n v="6911.28"/>
    <n v="2390.6099999999997"/>
  </r>
  <r>
    <n v="669"/>
    <n v="39"/>
    <s v="male"/>
    <x v="225"/>
    <n v="90"/>
    <s v="Yes"/>
    <n v="2"/>
    <x v="0"/>
    <s v="southeast"/>
    <n v="9304.7000000000007"/>
    <x v="2"/>
    <n v="0"/>
    <n v="1"/>
    <n v="0"/>
    <n v="0"/>
    <n v="0.34570918809360496"/>
    <n v="0"/>
    <n v="1"/>
    <n v="0"/>
    <n v="8004.4100000000008"/>
    <n v="1300.29"/>
  </r>
  <r>
    <n v="670"/>
    <n v="45"/>
    <s v="male"/>
    <x v="226"/>
    <n v="83"/>
    <s v="Yes"/>
    <n v="0"/>
    <x v="0"/>
    <s v="northeast"/>
    <n v="9361.33"/>
    <x v="0"/>
    <n v="0"/>
    <n v="0"/>
    <n v="0"/>
    <n v="0"/>
    <n v="0.64240441930678471"/>
    <n v="0"/>
    <n v="1"/>
    <n v="0"/>
    <n v="7756.8"/>
    <n v="1604.5299999999997"/>
  </r>
  <r>
    <n v="671"/>
    <n v="37"/>
    <s v="male"/>
    <x v="49"/>
    <n v="95"/>
    <s v="No"/>
    <n v="1"/>
    <x v="0"/>
    <s v="southeast"/>
    <n v="9377.9"/>
    <x v="1"/>
    <n v="0"/>
    <n v="1"/>
    <n v="0"/>
    <n v="0"/>
    <n v="0.85793486782177919"/>
    <n v="0"/>
    <n v="0"/>
    <n v="0"/>
    <n v="7494.4900000000016"/>
    <n v="1883.409999999998"/>
  </r>
  <r>
    <n v="672"/>
    <n v="34"/>
    <s v="male"/>
    <x v="93"/>
    <n v="100"/>
    <s v="Yes"/>
    <n v="1"/>
    <x v="0"/>
    <s v="southeast"/>
    <n v="9386.16"/>
    <x v="2"/>
    <n v="0"/>
    <n v="1"/>
    <n v="0"/>
    <n v="0"/>
    <n v="0.70284782727132888"/>
    <n v="0"/>
    <n v="1"/>
    <n v="0"/>
    <n v="8740.2199999999993"/>
    <n v="645.94000000000051"/>
  </r>
  <r>
    <n v="673"/>
    <n v="20"/>
    <s v="male"/>
    <x v="227"/>
    <n v="90"/>
    <s v="No"/>
    <n v="1"/>
    <x v="0"/>
    <s v="southwest"/>
    <n v="9391.35"/>
    <x v="2"/>
    <n v="0"/>
    <n v="0"/>
    <n v="1"/>
    <n v="0"/>
    <n v="0.11372389596201649"/>
    <n v="0"/>
    <n v="0"/>
    <n v="0"/>
    <n v="8236.27"/>
    <n v="1155.08"/>
  </r>
  <r>
    <n v="674"/>
    <n v="31"/>
    <s v="female"/>
    <x v="198"/>
    <n v="82"/>
    <s v="Yes"/>
    <n v="2"/>
    <x v="0"/>
    <s v="northeast"/>
    <n v="9411.01"/>
    <x v="1"/>
    <n v="0"/>
    <n v="0"/>
    <n v="0"/>
    <n v="0"/>
    <n v="0.93894876240639602"/>
    <n v="0"/>
    <n v="1"/>
    <n v="1"/>
    <n v="10383.010000000002"/>
    <n v="-972.00000000000182"/>
  </r>
  <r>
    <n v="675"/>
    <n v="58"/>
    <s v="female"/>
    <x v="169"/>
    <n v="93"/>
    <s v="No"/>
    <n v="3"/>
    <x v="0"/>
    <s v="southwest"/>
    <n v="9414.92"/>
    <x v="1"/>
    <n v="0"/>
    <n v="0"/>
    <n v="1"/>
    <n v="0"/>
    <n v="0.82965324948588337"/>
    <n v="0"/>
    <n v="0"/>
    <n v="1"/>
    <n v="9826.880000000001"/>
    <n v="-411.96000000000095"/>
  </r>
  <r>
    <n v="676"/>
    <n v="49"/>
    <s v="female"/>
    <x v="228"/>
    <n v="81"/>
    <s v="Yes"/>
    <n v="2"/>
    <x v="0"/>
    <s v="northeast"/>
    <n v="9432.93"/>
    <x v="2"/>
    <n v="0"/>
    <n v="0"/>
    <n v="0"/>
    <n v="0"/>
    <n v="0.48144491731397132"/>
    <n v="0"/>
    <n v="1"/>
    <n v="1"/>
    <n v="11551.280000000002"/>
    <n v="-2118.3500000000022"/>
  </r>
  <r>
    <n v="677"/>
    <n v="40"/>
    <s v="female"/>
    <x v="170"/>
    <n v="100"/>
    <s v="No"/>
    <n v="1"/>
    <x v="0"/>
    <s v="northeast"/>
    <n v="9447.25"/>
    <x v="4"/>
    <n v="0"/>
    <n v="0"/>
    <n v="0"/>
    <n v="0"/>
    <n v="0.75160538843720748"/>
    <n v="0"/>
    <n v="0"/>
    <n v="1"/>
    <n v="12147.43"/>
    <n v="-2700.1800000000003"/>
  </r>
  <r>
    <n v="678"/>
    <n v="41"/>
    <s v="female"/>
    <x v="83"/>
    <n v="86"/>
    <s v="No"/>
    <n v="1"/>
    <x v="0"/>
    <s v="northeast"/>
    <n v="9447.3799999999992"/>
    <x v="4"/>
    <n v="0"/>
    <n v="0"/>
    <n v="0"/>
    <n v="0"/>
    <n v="0.18109389278278598"/>
    <n v="0"/>
    <n v="0"/>
    <n v="1"/>
    <n v="9920.44"/>
    <n v="-473.06000000000131"/>
  </r>
  <r>
    <n v="679"/>
    <n v="39"/>
    <s v="male"/>
    <x v="125"/>
    <n v="98"/>
    <s v="No"/>
    <n v="0"/>
    <x v="0"/>
    <s v="southeast"/>
    <n v="9487.64"/>
    <x v="4"/>
    <n v="0"/>
    <n v="1"/>
    <n v="0"/>
    <n v="0"/>
    <n v="0.67780371899797731"/>
    <n v="0"/>
    <n v="0"/>
    <n v="0"/>
    <n v="7189.7099999999991"/>
    <n v="2297.9300000000003"/>
  </r>
  <r>
    <n v="680"/>
    <n v="37"/>
    <s v="male"/>
    <x v="229"/>
    <n v="85"/>
    <s v="No"/>
    <n v="3"/>
    <x v="0"/>
    <s v="northeast"/>
    <n v="9500.57"/>
    <x v="0"/>
    <n v="0"/>
    <n v="0"/>
    <n v="0"/>
    <n v="0"/>
    <n v="0.16400853084015465"/>
    <n v="0"/>
    <n v="0"/>
    <n v="0"/>
    <n v="10575.2"/>
    <n v="-1074.630000000001"/>
  </r>
  <r>
    <n v="681"/>
    <n v="43"/>
    <s v="male"/>
    <x v="230"/>
    <n v="82"/>
    <s v="No"/>
    <n v="0"/>
    <x v="0"/>
    <s v="southeast"/>
    <n v="9504.31"/>
    <x v="2"/>
    <n v="0"/>
    <n v="1"/>
    <n v="0"/>
    <n v="0"/>
    <n v="0.28796114049733157"/>
    <n v="0"/>
    <n v="0"/>
    <n v="0"/>
    <n v="5657.1500000000015"/>
    <n v="3847.159999999998"/>
  </r>
  <r>
    <n v="682"/>
    <n v="27"/>
    <s v="female"/>
    <x v="231"/>
    <n v="98"/>
    <s v="No"/>
    <n v="0"/>
    <x v="0"/>
    <s v="northeast"/>
    <n v="9541.7000000000007"/>
    <x v="2"/>
    <n v="0"/>
    <n v="0"/>
    <n v="0"/>
    <n v="0"/>
    <n v="0.49907748737217228"/>
    <n v="0"/>
    <n v="0"/>
    <n v="1"/>
    <n v="12594.35"/>
    <n v="-3052.6499999999996"/>
  </r>
  <r>
    <n v="683"/>
    <n v="27"/>
    <s v="female"/>
    <x v="232"/>
    <n v="106"/>
    <s v="No"/>
    <n v="1"/>
    <x v="0"/>
    <s v="southeast"/>
    <n v="9549.57"/>
    <x v="2"/>
    <n v="0"/>
    <n v="1"/>
    <n v="0"/>
    <n v="0"/>
    <n v="0.86046443184109178"/>
    <n v="0"/>
    <n v="0"/>
    <n v="1"/>
    <n v="11084.280000000002"/>
    <n v="-1534.7100000000028"/>
  </r>
  <r>
    <n v="684"/>
    <n v="34"/>
    <s v="male"/>
    <x v="193"/>
    <n v="105"/>
    <s v="No"/>
    <n v="3"/>
    <x v="0"/>
    <s v="southwest"/>
    <n v="9563.0300000000007"/>
    <x v="1"/>
    <n v="0"/>
    <n v="0"/>
    <n v="1"/>
    <n v="0"/>
    <n v="0.44507287311179966"/>
    <n v="0"/>
    <n v="0"/>
    <n v="0"/>
    <n v="11626.98"/>
    <n v="-2063.9499999999989"/>
  </r>
  <r>
    <n v="685"/>
    <n v="56"/>
    <s v="female"/>
    <x v="26"/>
    <n v="97"/>
    <s v="No"/>
    <n v="1"/>
    <x v="0"/>
    <s v="northwest"/>
    <n v="9566.99"/>
    <x v="0"/>
    <n v="0"/>
    <n v="0"/>
    <n v="0"/>
    <n v="1"/>
    <n v="0.35137717723944484"/>
    <n v="0"/>
    <n v="0"/>
    <n v="1"/>
    <n v="8298.2899999999991"/>
    <n v="1268.7000000000007"/>
  </r>
  <r>
    <n v="686"/>
    <n v="57"/>
    <s v="female"/>
    <x v="145"/>
    <n v="87"/>
    <s v="No"/>
    <n v="1"/>
    <x v="0"/>
    <s v="northwest"/>
    <n v="9583.89"/>
    <x v="1"/>
    <n v="0"/>
    <n v="0"/>
    <n v="0"/>
    <n v="1"/>
    <n v="0.77824239042012322"/>
    <n v="0"/>
    <n v="0"/>
    <n v="1"/>
    <n v="7744.2099999999991"/>
    <n v="1839.6800000000003"/>
  </r>
  <r>
    <n v="687"/>
    <n v="40"/>
    <s v="male"/>
    <x v="180"/>
    <n v="81"/>
    <s v="Yes"/>
    <n v="1"/>
    <x v="0"/>
    <s v="northeast"/>
    <n v="9617.66"/>
    <x v="4"/>
    <n v="0"/>
    <n v="0"/>
    <n v="0"/>
    <n v="0"/>
    <n v="0.33785954385444783"/>
    <n v="0"/>
    <n v="1"/>
    <n v="0"/>
    <n v="8618.3100000000013"/>
    <n v="999.34999999999854"/>
  </r>
  <r>
    <n v="688"/>
    <n v="50"/>
    <s v="male"/>
    <x v="56"/>
    <n v="86"/>
    <s v="Yes"/>
    <n v="3"/>
    <x v="0"/>
    <s v="northwest"/>
    <n v="9620.33"/>
    <x v="4"/>
    <n v="0"/>
    <n v="0"/>
    <n v="0"/>
    <n v="1"/>
    <n v="0.74187613824325238"/>
    <n v="0"/>
    <n v="1"/>
    <n v="0"/>
    <n v="8128.55"/>
    <n v="1491.7799999999997"/>
  </r>
  <r>
    <n v="689"/>
    <n v="60"/>
    <s v="female"/>
    <x v="155"/>
    <n v="88"/>
    <s v="Yes"/>
    <n v="0"/>
    <x v="0"/>
    <s v="southwest"/>
    <n v="9625.92"/>
    <x v="1"/>
    <n v="0"/>
    <n v="0"/>
    <n v="1"/>
    <n v="0"/>
    <n v="0.74962431743759272"/>
    <n v="0"/>
    <n v="1"/>
    <n v="1"/>
    <n v="6776.7899999999991"/>
    <n v="2849.130000000001"/>
  </r>
  <r>
    <n v="690"/>
    <n v="48"/>
    <s v="male"/>
    <x v="198"/>
    <n v="88"/>
    <s v="Yes"/>
    <n v="2"/>
    <x v="0"/>
    <s v="southwest"/>
    <n v="9630.4"/>
    <x v="1"/>
    <n v="0"/>
    <n v="0"/>
    <n v="1"/>
    <n v="0"/>
    <n v="0.11947120339822981"/>
    <n v="0"/>
    <n v="1"/>
    <n v="0"/>
    <n v="7917.7299999999987"/>
    <n v="1712.670000000001"/>
  </r>
  <r>
    <n v="691"/>
    <n v="26"/>
    <s v="female"/>
    <x v="88"/>
    <n v="103"/>
    <s v="Yes"/>
    <n v="0"/>
    <x v="0"/>
    <s v="southwest"/>
    <n v="9634.5400000000009"/>
    <x v="2"/>
    <n v="0"/>
    <n v="0"/>
    <n v="1"/>
    <n v="0"/>
    <n v="0.69206442874217078"/>
    <n v="0"/>
    <n v="1"/>
    <n v="1"/>
    <n v="9744.26"/>
    <n v="-109.71999999999935"/>
  </r>
  <r>
    <n v="692"/>
    <n v="42"/>
    <s v="female"/>
    <x v="233"/>
    <n v="84"/>
    <s v="Yes"/>
    <n v="0"/>
    <x v="0"/>
    <s v="northwest"/>
    <n v="9644.25"/>
    <x v="3"/>
    <n v="0"/>
    <n v="0"/>
    <n v="0"/>
    <n v="1"/>
    <n v="0.40824312508459548"/>
    <n v="0"/>
    <n v="1"/>
    <n v="1"/>
    <n v="5049.4899999999989"/>
    <n v="4594.7600000000011"/>
  </r>
  <r>
    <n v="693"/>
    <n v="44"/>
    <s v="female"/>
    <x v="234"/>
    <n v="96"/>
    <s v="No"/>
    <n v="3"/>
    <x v="0"/>
    <s v="northeast"/>
    <n v="9704.67"/>
    <x v="2"/>
    <n v="0"/>
    <n v="0"/>
    <n v="0"/>
    <n v="0"/>
    <n v="0.83772999656683622"/>
    <n v="0"/>
    <n v="0"/>
    <n v="1"/>
    <n v="14066.28"/>
    <n v="-4361.6100000000006"/>
  </r>
  <r>
    <n v="694"/>
    <n v="59"/>
    <s v="female"/>
    <x v="130"/>
    <n v="83"/>
    <s v="No"/>
    <n v="2"/>
    <x v="0"/>
    <s v="northeast"/>
    <n v="9715.84"/>
    <x v="4"/>
    <n v="0"/>
    <n v="0"/>
    <n v="0"/>
    <n v="0"/>
    <n v="0.87100904648106336"/>
    <n v="0"/>
    <n v="0"/>
    <n v="1"/>
    <n v="10088.470000000001"/>
    <n v="-372.63000000000102"/>
  </r>
  <r>
    <n v="695"/>
    <n v="32"/>
    <s v="male"/>
    <x v="2"/>
    <n v="102"/>
    <s v="Yes"/>
    <n v="0"/>
    <x v="0"/>
    <s v="northeast"/>
    <n v="9722.77"/>
    <x v="1"/>
    <n v="0"/>
    <n v="0"/>
    <n v="0"/>
    <n v="0"/>
    <n v="0.43660924039553428"/>
    <n v="0"/>
    <n v="1"/>
    <n v="0"/>
    <n v="11737.6"/>
    <n v="-2014.83"/>
  </r>
  <r>
    <n v="696"/>
    <n v="26"/>
    <s v="male"/>
    <x v="168"/>
    <n v="99"/>
    <s v="No"/>
    <n v="1"/>
    <x v="0"/>
    <s v="southwest"/>
    <n v="9724.5300000000007"/>
    <x v="1"/>
    <n v="0"/>
    <n v="0"/>
    <n v="1"/>
    <n v="0"/>
    <n v="0.19975312756734398"/>
    <n v="0"/>
    <n v="0"/>
    <n v="0"/>
    <n v="8852.65"/>
    <n v="871.88000000000102"/>
  </r>
  <r>
    <n v="697"/>
    <n v="49"/>
    <s v="male"/>
    <x v="235"/>
    <n v="88"/>
    <s v="No"/>
    <n v="1"/>
    <x v="0"/>
    <s v="southeast"/>
    <n v="9748.91"/>
    <x v="2"/>
    <n v="0"/>
    <n v="1"/>
    <n v="0"/>
    <n v="0"/>
    <n v="0.48497200577371424"/>
    <n v="0"/>
    <n v="0"/>
    <n v="0"/>
    <n v="7875.35"/>
    <n v="1873.5599999999995"/>
  </r>
  <r>
    <n v="698"/>
    <n v="53"/>
    <s v="female"/>
    <x v="169"/>
    <n v="105"/>
    <s v="No"/>
    <n v="1"/>
    <x v="0"/>
    <s v="northeast"/>
    <n v="9778.35"/>
    <x v="1"/>
    <n v="0"/>
    <n v="0"/>
    <n v="0"/>
    <n v="0"/>
    <n v="0.65025957542812629"/>
    <n v="0"/>
    <n v="0"/>
    <n v="1"/>
    <n v="13227.990000000002"/>
    <n v="-3449.6400000000012"/>
  </r>
  <r>
    <n v="699"/>
    <n v="25"/>
    <s v="male"/>
    <x v="89"/>
    <n v="89"/>
    <s v="No"/>
    <n v="5"/>
    <x v="0"/>
    <s v="southeast"/>
    <n v="9788.8700000000008"/>
    <x v="0"/>
    <n v="0"/>
    <n v="1"/>
    <n v="0"/>
    <n v="0"/>
    <n v="1.3696809634826668E-2"/>
    <n v="0"/>
    <n v="0"/>
    <n v="0"/>
    <n v="9017.9200000000019"/>
    <n v="770.94999999999891"/>
  </r>
  <r>
    <n v="700"/>
    <n v="41"/>
    <s v="female"/>
    <x v="190"/>
    <n v="105"/>
    <s v="No"/>
    <n v="2"/>
    <x v="0"/>
    <s v="southeast"/>
    <n v="9800.89"/>
    <x v="2"/>
    <n v="0"/>
    <n v="1"/>
    <n v="0"/>
    <n v="0"/>
    <n v="0.86509092682598598"/>
    <n v="0"/>
    <n v="0"/>
    <n v="1"/>
    <n v="11354.310000000003"/>
    <n v="-1553.4200000000037"/>
  </r>
  <r>
    <n v="701"/>
    <n v="46"/>
    <s v="male"/>
    <x v="178"/>
    <n v="106"/>
    <s v="No"/>
    <n v="0"/>
    <x v="0"/>
    <s v="southwest"/>
    <n v="9850.43"/>
    <x v="1"/>
    <n v="0"/>
    <n v="0"/>
    <n v="1"/>
    <n v="0"/>
    <n v="0.865841431675208"/>
    <n v="0"/>
    <n v="0"/>
    <n v="0"/>
    <n v="9325.64"/>
    <n v="524.79000000000087"/>
  </r>
  <r>
    <n v="702"/>
    <n v="36"/>
    <s v="female"/>
    <x v="236"/>
    <n v="109"/>
    <s v="Yes"/>
    <n v="1"/>
    <x v="0"/>
    <s v="southeast"/>
    <n v="9855.1299999999992"/>
    <x v="0"/>
    <n v="0"/>
    <n v="1"/>
    <n v="0"/>
    <n v="0"/>
    <n v="0.96548604237628277"/>
    <n v="0"/>
    <n v="1"/>
    <n v="1"/>
    <n v="9387.720000000003"/>
    <n v="467.40999999999622"/>
  </r>
  <r>
    <n v="703"/>
    <n v="26"/>
    <s v="female"/>
    <x v="74"/>
    <n v="110"/>
    <s v="No"/>
    <n v="1"/>
    <x v="0"/>
    <s v="southwest"/>
    <n v="9861.0300000000007"/>
    <x v="4"/>
    <n v="0"/>
    <n v="0"/>
    <n v="1"/>
    <n v="0"/>
    <n v="0.48241942673428639"/>
    <n v="0"/>
    <n v="0"/>
    <n v="1"/>
    <n v="10676.890000000001"/>
    <n v="-815.86000000000058"/>
  </r>
  <r>
    <n v="704"/>
    <n v="19"/>
    <s v="male"/>
    <x v="89"/>
    <n v="89"/>
    <s v="Yes"/>
    <n v="0"/>
    <x v="0"/>
    <s v="northwest"/>
    <n v="9863.4699999999993"/>
    <x v="0"/>
    <n v="0"/>
    <n v="0"/>
    <n v="0"/>
    <n v="1"/>
    <n v="0.44234644127671041"/>
    <n v="0"/>
    <n v="1"/>
    <n v="0"/>
    <n v="5962.0300000000007"/>
    <n v="3901.4399999999987"/>
  </r>
  <r>
    <n v="705"/>
    <n v="34"/>
    <s v="female"/>
    <x v="141"/>
    <n v="84"/>
    <s v="No"/>
    <n v="0"/>
    <x v="0"/>
    <s v="northeast"/>
    <n v="9866.2999999999993"/>
    <x v="1"/>
    <n v="0"/>
    <n v="0"/>
    <n v="0"/>
    <n v="0"/>
    <n v="0.58070359650294301"/>
    <n v="0"/>
    <n v="0"/>
    <n v="1"/>
    <n v="9427.73"/>
    <n v="438.56999999999971"/>
  </r>
  <r>
    <n v="706"/>
    <n v="39"/>
    <s v="male"/>
    <x v="55"/>
    <n v="82"/>
    <s v="Yes"/>
    <n v="0"/>
    <x v="0"/>
    <s v="northwest"/>
    <n v="9869.81"/>
    <x v="4"/>
    <n v="0"/>
    <n v="0"/>
    <n v="0"/>
    <n v="1"/>
    <n v="0.45681323089141279"/>
    <n v="0"/>
    <n v="1"/>
    <n v="0"/>
    <n v="5212.6000000000004"/>
    <n v="4657.2099999999991"/>
  </r>
  <r>
    <n v="707"/>
    <n v="28"/>
    <s v="female"/>
    <x v="154"/>
    <n v="86"/>
    <s v="No"/>
    <n v="1"/>
    <x v="0"/>
    <s v="southwest"/>
    <n v="9872.7000000000007"/>
    <x v="1"/>
    <n v="0"/>
    <n v="0"/>
    <n v="1"/>
    <n v="0"/>
    <n v="0.71753132056989744"/>
    <n v="0"/>
    <n v="0"/>
    <n v="1"/>
    <n v="7562.3699999999981"/>
    <n v="2310.3300000000027"/>
  </r>
  <r>
    <n v="708"/>
    <n v="27"/>
    <s v="female"/>
    <x v="237"/>
    <n v="100"/>
    <s v="No"/>
    <n v="0"/>
    <x v="0"/>
    <s v="northeast"/>
    <n v="9875.68"/>
    <x v="2"/>
    <n v="0"/>
    <n v="0"/>
    <n v="0"/>
    <n v="0"/>
    <n v="0.3150077402409831"/>
    <n v="0"/>
    <n v="0"/>
    <n v="1"/>
    <n v="12571.53"/>
    <n v="-2695.8500000000004"/>
  </r>
  <r>
    <n v="709"/>
    <n v="30"/>
    <s v="female"/>
    <x v="186"/>
    <n v="80"/>
    <s v="No"/>
    <n v="1"/>
    <x v="0"/>
    <s v="southeast"/>
    <n v="9877.61"/>
    <x v="2"/>
    <n v="0"/>
    <n v="1"/>
    <n v="0"/>
    <n v="0"/>
    <n v="0.35903863405017178"/>
    <n v="0"/>
    <n v="0"/>
    <n v="1"/>
    <n v="6212.9000000000005"/>
    <n v="3664.71"/>
  </r>
  <r>
    <n v="710"/>
    <n v="27"/>
    <s v="female"/>
    <x v="38"/>
    <n v="90"/>
    <s v="No"/>
    <n v="1"/>
    <x v="0"/>
    <s v="southwest"/>
    <n v="9880.07"/>
    <x v="2"/>
    <n v="0"/>
    <n v="0"/>
    <n v="1"/>
    <n v="0"/>
    <n v="8.2997690482469522E-2"/>
    <n v="0"/>
    <n v="0"/>
    <n v="1"/>
    <n v="8655.16"/>
    <n v="1224.9099999999999"/>
  </r>
  <r>
    <n v="711"/>
    <n v="49"/>
    <s v="female"/>
    <x v="1"/>
    <n v="100"/>
    <s v="Yes"/>
    <n v="1"/>
    <x v="0"/>
    <s v="northwest"/>
    <n v="9910.36"/>
    <x v="1"/>
    <n v="0"/>
    <n v="0"/>
    <n v="0"/>
    <n v="1"/>
    <n v="0.69091994227608722"/>
    <n v="0"/>
    <n v="1"/>
    <n v="1"/>
    <n v="9358.2100000000009"/>
    <n v="552.14999999999964"/>
  </r>
  <r>
    <n v="712"/>
    <n v="24"/>
    <s v="male"/>
    <x v="110"/>
    <n v="109"/>
    <s v="Yes"/>
    <n v="1"/>
    <x v="0"/>
    <s v="northeast"/>
    <n v="9957.7199999999993"/>
    <x v="4"/>
    <n v="0"/>
    <n v="0"/>
    <n v="0"/>
    <n v="0"/>
    <n v="0.1928638803395758"/>
    <n v="0"/>
    <n v="1"/>
    <n v="0"/>
    <n v="13124.410000000002"/>
    <n v="-3166.6900000000023"/>
  </r>
  <r>
    <n v="713"/>
    <n v="24"/>
    <s v="male"/>
    <x v="198"/>
    <n v="105"/>
    <s v="No"/>
    <n v="1"/>
    <x v="0"/>
    <s v="northeast"/>
    <n v="9964.06"/>
    <x v="1"/>
    <n v="0"/>
    <n v="0"/>
    <n v="0"/>
    <n v="0"/>
    <n v="0.68370544020820434"/>
    <n v="0"/>
    <n v="0"/>
    <n v="0"/>
    <n v="12948.41"/>
    <n v="-2984.3500000000004"/>
  </r>
  <r>
    <n v="714"/>
    <n v="45"/>
    <s v="female"/>
    <x v="238"/>
    <n v="105"/>
    <s v="No"/>
    <n v="0"/>
    <x v="0"/>
    <s v="northwest"/>
    <n v="9991.0400000000009"/>
    <x v="3"/>
    <n v="0"/>
    <n v="0"/>
    <n v="0"/>
    <n v="1"/>
    <n v="0.54317724838549875"/>
    <n v="0"/>
    <n v="0"/>
    <n v="1"/>
    <n v="8483.2000000000007"/>
    <n v="1507.8400000000001"/>
  </r>
  <r>
    <n v="715"/>
    <n v="42"/>
    <s v="female"/>
    <x v="198"/>
    <n v="101"/>
    <s v="Yes"/>
    <n v="2"/>
    <x v="0"/>
    <s v="northeast"/>
    <n v="10043.25"/>
    <x v="1"/>
    <n v="0"/>
    <n v="0"/>
    <n v="0"/>
    <n v="0"/>
    <n v="0.53647620604391011"/>
    <n v="0"/>
    <n v="1"/>
    <n v="1"/>
    <n v="13401.140000000001"/>
    <n v="-3357.8900000000012"/>
  </r>
  <r>
    <n v="716"/>
    <n v="42"/>
    <s v="male"/>
    <x v="164"/>
    <n v="104"/>
    <s v="No"/>
    <n v="1"/>
    <x v="0"/>
    <s v="southwest"/>
    <n v="10065.41"/>
    <x v="0"/>
    <n v="0"/>
    <n v="0"/>
    <n v="1"/>
    <n v="0"/>
    <n v="0.64566874639045202"/>
    <n v="0"/>
    <n v="0"/>
    <n v="0"/>
    <n v="8877.7199999999993"/>
    <n v="1187.6900000000005"/>
  </r>
  <r>
    <n v="717"/>
    <n v="40"/>
    <s v="male"/>
    <x v="85"/>
    <n v="91"/>
    <s v="No"/>
    <n v="0"/>
    <x v="0"/>
    <s v="northeast"/>
    <n v="10072.06"/>
    <x v="1"/>
    <n v="0"/>
    <n v="0"/>
    <n v="0"/>
    <n v="0"/>
    <n v="0.2887211434907434"/>
    <n v="0"/>
    <n v="0"/>
    <n v="0"/>
    <n v="9801.5300000000007"/>
    <n v="270.52999999999884"/>
  </r>
  <r>
    <n v="718"/>
    <n v="27"/>
    <s v="male"/>
    <x v="208"/>
    <n v="104"/>
    <s v="Yes"/>
    <n v="1"/>
    <x v="0"/>
    <s v="southwest"/>
    <n v="10085.85"/>
    <x v="2"/>
    <n v="0"/>
    <n v="0"/>
    <n v="1"/>
    <n v="0"/>
    <n v="0.62677323049168687"/>
    <n v="0"/>
    <n v="1"/>
    <n v="0"/>
    <n v="10084.710000000001"/>
    <n v="1.1399999999994179"/>
  </r>
  <r>
    <n v="719"/>
    <n v="34"/>
    <s v="male"/>
    <x v="74"/>
    <n v="100"/>
    <s v="Yes"/>
    <n v="5"/>
    <x v="0"/>
    <s v="southwest"/>
    <n v="10096.969999999999"/>
    <x v="4"/>
    <n v="0"/>
    <n v="0"/>
    <n v="1"/>
    <n v="0"/>
    <n v="0.89186260411444129"/>
    <n v="0"/>
    <n v="1"/>
    <n v="0"/>
    <n v="11509.699999999999"/>
    <n v="-1412.7299999999996"/>
  </r>
  <r>
    <n v="720"/>
    <n v="27"/>
    <s v="female"/>
    <x v="90"/>
    <n v="103"/>
    <s v="No"/>
    <n v="1"/>
    <x v="0"/>
    <s v="northeast"/>
    <n v="10106.129999999999"/>
    <x v="4"/>
    <n v="0"/>
    <n v="0"/>
    <n v="0"/>
    <n v="0"/>
    <n v="1.2306170761926749E-2"/>
    <n v="0"/>
    <n v="0"/>
    <n v="1"/>
    <n v="12625.740000000002"/>
    <n v="-2519.6100000000024"/>
  </r>
  <r>
    <n v="721"/>
    <n v="52"/>
    <s v="female"/>
    <x v="137"/>
    <n v="93"/>
    <s v="No"/>
    <n v="2"/>
    <x v="0"/>
    <s v="southeast"/>
    <n v="10107.219999999999"/>
    <x v="0"/>
    <n v="0"/>
    <n v="1"/>
    <n v="0"/>
    <n v="0"/>
    <n v="0.7501341013440449"/>
    <n v="0"/>
    <n v="0"/>
    <n v="1"/>
    <n v="7783.55"/>
    <n v="2323.6699999999992"/>
  </r>
  <r>
    <n v="722"/>
    <n v="44"/>
    <s v="female"/>
    <x v="141"/>
    <n v="100"/>
    <s v="Yes"/>
    <n v="3"/>
    <x v="0"/>
    <s v="northwest"/>
    <n v="10115.01"/>
    <x v="1"/>
    <n v="0"/>
    <n v="0"/>
    <n v="0"/>
    <n v="1"/>
    <n v="0.11011024020410565"/>
    <n v="0"/>
    <n v="1"/>
    <n v="1"/>
    <n v="11165.99"/>
    <n v="-1050.9799999999996"/>
  </r>
  <r>
    <n v="723"/>
    <n v="36"/>
    <s v="female"/>
    <x v="178"/>
    <n v="99"/>
    <s v="No"/>
    <n v="2"/>
    <x v="0"/>
    <s v="southwest"/>
    <n v="10118.42"/>
    <x v="1"/>
    <n v="0"/>
    <n v="0"/>
    <n v="1"/>
    <n v="0"/>
    <n v="0.41777836976460681"/>
    <n v="0"/>
    <n v="0"/>
    <n v="1"/>
    <n v="10142.74"/>
    <n v="-24.319999999999709"/>
  </r>
  <r>
    <n v="724"/>
    <n v="18"/>
    <s v="male"/>
    <x v="169"/>
    <n v="94"/>
    <s v="No"/>
    <n v="3"/>
    <x v="0"/>
    <s v="northeast"/>
    <n v="10141.14"/>
    <x v="1"/>
    <n v="0"/>
    <n v="0"/>
    <n v="0"/>
    <n v="0"/>
    <n v="0.72731566936265069"/>
    <n v="0"/>
    <n v="0"/>
    <n v="0"/>
    <n v="12548.830000000002"/>
    <n v="-2407.6900000000023"/>
  </r>
  <r>
    <n v="725"/>
    <n v="29"/>
    <s v="female"/>
    <x v="0"/>
    <n v="109"/>
    <s v="No"/>
    <n v="2"/>
    <x v="0"/>
    <s v="northwest"/>
    <n v="10156.780000000001"/>
    <x v="0"/>
    <n v="0"/>
    <n v="0"/>
    <n v="0"/>
    <n v="1"/>
    <n v="0.49913194681437467"/>
    <n v="0"/>
    <n v="0"/>
    <n v="1"/>
    <n v="11037.470000000001"/>
    <n v="-880.69000000000051"/>
  </r>
  <r>
    <n v="726"/>
    <n v="36"/>
    <s v="female"/>
    <x v="0"/>
    <n v="104"/>
    <s v="Yes"/>
    <n v="0"/>
    <x v="0"/>
    <s v="northeast"/>
    <n v="10197.77"/>
    <x v="0"/>
    <n v="0"/>
    <n v="0"/>
    <n v="0"/>
    <n v="0"/>
    <n v="0.94388798045703848"/>
    <n v="0"/>
    <n v="1"/>
    <n v="1"/>
    <n v="11633.060000000001"/>
    <n v="-1435.2900000000009"/>
  </r>
  <r>
    <n v="727"/>
    <n v="30"/>
    <s v="male"/>
    <x v="123"/>
    <n v="90"/>
    <s v="No"/>
    <n v="0"/>
    <x v="0"/>
    <s v="southwest"/>
    <n v="10214.64"/>
    <x v="4"/>
    <n v="0"/>
    <n v="0"/>
    <n v="1"/>
    <n v="0"/>
    <n v="0.29323070166135745"/>
    <n v="0"/>
    <n v="0"/>
    <n v="0"/>
    <n v="6647.33"/>
    <n v="3567.3099999999995"/>
  </r>
  <r>
    <n v="728"/>
    <n v="32"/>
    <s v="male"/>
    <x v="28"/>
    <n v="92"/>
    <s v="Yes"/>
    <n v="0"/>
    <x v="0"/>
    <s v="southeast"/>
    <n v="10226.280000000001"/>
    <x v="2"/>
    <n v="0"/>
    <n v="1"/>
    <n v="0"/>
    <n v="0"/>
    <n v="0.71957204955242271"/>
    <n v="0"/>
    <n v="1"/>
    <n v="0"/>
    <n v="6924.47"/>
    <n v="3301.8100000000004"/>
  </r>
  <r>
    <n v="729"/>
    <n v="45"/>
    <s v="male"/>
    <x v="168"/>
    <n v="89"/>
    <s v="No"/>
    <n v="0"/>
    <x v="0"/>
    <s v="northwest"/>
    <n v="10231.5"/>
    <x v="1"/>
    <n v="0"/>
    <n v="0"/>
    <n v="0"/>
    <n v="1"/>
    <n v="0.51866572755307339"/>
    <n v="0"/>
    <n v="0"/>
    <n v="0"/>
    <n v="6502.2599999999993"/>
    <n v="3729.2400000000007"/>
  </r>
  <r>
    <n v="730"/>
    <n v="31"/>
    <s v="male"/>
    <x v="14"/>
    <n v="107"/>
    <s v="Yes"/>
    <n v="3"/>
    <x v="0"/>
    <s v="northwest"/>
    <n v="10264.44"/>
    <x v="4"/>
    <n v="0"/>
    <n v="0"/>
    <n v="0"/>
    <n v="1"/>
    <n v="0.78092869964257672"/>
    <n v="0"/>
    <n v="1"/>
    <n v="0"/>
    <n v="11410.210000000001"/>
    <n v="-1145.7700000000004"/>
  </r>
  <r>
    <n v="731"/>
    <n v="19"/>
    <s v="male"/>
    <x v="198"/>
    <n v="93"/>
    <s v="Yes"/>
    <n v="3"/>
    <x v="0"/>
    <s v="northwest"/>
    <n v="10269.459999999999"/>
    <x v="1"/>
    <n v="0"/>
    <n v="0"/>
    <n v="0"/>
    <n v="1"/>
    <n v="0.19473976838906903"/>
    <n v="0"/>
    <n v="1"/>
    <n v="0"/>
    <n v="9499.1100000000024"/>
    <n v="770.34999999999673"/>
  </r>
  <r>
    <n v="732"/>
    <n v="29"/>
    <s v="male"/>
    <x v="174"/>
    <n v="82"/>
    <s v="Yes"/>
    <n v="2"/>
    <x v="0"/>
    <s v="southwest"/>
    <n v="10325.209999999999"/>
    <x v="2"/>
    <n v="0"/>
    <n v="0"/>
    <n v="1"/>
    <n v="0"/>
    <n v="0.4340310564076858"/>
    <n v="0"/>
    <n v="1"/>
    <n v="0"/>
    <n v="7523.1600000000008"/>
    <n v="2802.0499999999984"/>
  </r>
  <r>
    <n v="733"/>
    <n v="53"/>
    <s v="female"/>
    <x v="155"/>
    <n v="86"/>
    <s v="Yes"/>
    <n v="0"/>
    <x v="0"/>
    <s v="southeast"/>
    <n v="10338.93"/>
    <x v="1"/>
    <n v="0"/>
    <n v="1"/>
    <n v="0"/>
    <n v="0"/>
    <n v="0.91486798990350171"/>
    <n v="0"/>
    <n v="1"/>
    <n v="1"/>
    <n v="5777.9499999999989"/>
    <n v="4560.9800000000014"/>
  </r>
  <r>
    <n v="734"/>
    <n v="29"/>
    <s v="female"/>
    <x v="130"/>
    <n v="105"/>
    <s v="Yes"/>
    <n v="0"/>
    <x v="0"/>
    <s v="northwest"/>
    <n v="10355.64"/>
    <x v="4"/>
    <n v="0"/>
    <n v="0"/>
    <n v="0"/>
    <n v="1"/>
    <n v="0.8968308816702194"/>
    <n v="0"/>
    <n v="1"/>
    <n v="1"/>
    <n v="9144.2700000000023"/>
    <n v="1211.3699999999972"/>
  </r>
  <r>
    <n v="735"/>
    <n v="25"/>
    <s v="female"/>
    <x v="2"/>
    <n v="80"/>
    <s v="Yes"/>
    <n v="2"/>
    <x v="0"/>
    <s v="northeast"/>
    <n v="10370.91"/>
    <x v="1"/>
    <n v="0"/>
    <n v="0"/>
    <n v="0"/>
    <n v="0"/>
    <n v="0.59875334057463847"/>
    <n v="0"/>
    <n v="1"/>
    <n v="1"/>
    <n v="10157.010000000002"/>
    <n v="213.89999999999782"/>
  </r>
  <r>
    <n v="736"/>
    <n v="51"/>
    <s v="female"/>
    <x v="86"/>
    <n v="104"/>
    <s v="No"/>
    <n v="3"/>
    <x v="0"/>
    <s v="southeast"/>
    <n v="10381.48"/>
    <x v="2"/>
    <n v="0"/>
    <n v="1"/>
    <n v="0"/>
    <n v="0"/>
    <n v="0.97338445483188019"/>
    <n v="0"/>
    <n v="0"/>
    <n v="1"/>
    <n v="11398.610000000002"/>
    <n v="-1017.1300000000028"/>
  </r>
  <r>
    <n v="737"/>
    <n v="23"/>
    <s v="male"/>
    <x v="96"/>
    <n v="95"/>
    <s v="No"/>
    <n v="4"/>
    <x v="0"/>
    <s v="northeast"/>
    <n v="10407.09"/>
    <x v="4"/>
    <n v="0"/>
    <n v="0"/>
    <n v="0"/>
    <n v="0"/>
    <n v="0.52380882999252965"/>
    <n v="0"/>
    <n v="0"/>
    <n v="0"/>
    <n v="13217.960000000003"/>
    <n v="-2810.8700000000026"/>
  </r>
  <r>
    <n v="738"/>
    <n v="30"/>
    <s v="male"/>
    <x v="216"/>
    <n v="86"/>
    <s v="No"/>
    <n v="0"/>
    <x v="0"/>
    <s v="northeast"/>
    <n v="10422.92"/>
    <x v="0"/>
    <n v="0"/>
    <n v="0"/>
    <n v="0"/>
    <n v="0"/>
    <n v="0.2375561451013154"/>
    <n v="0"/>
    <n v="0"/>
    <n v="0"/>
    <n v="8460.630000000001"/>
    <n v="1962.2899999999991"/>
  </r>
  <r>
    <n v="739"/>
    <n v="27"/>
    <s v="male"/>
    <x v="185"/>
    <n v="86"/>
    <s v="No"/>
    <n v="0"/>
    <x v="0"/>
    <s v="northeast"/>
    <n v="10435.07"/>
    <x v="1"/>
    <n v="0"/>
    <n v="0"/>
    <n v="0"/>
    <n v="0"/>
    <n v="0.17339352910690053"/>
    <n v="0"/>
    <n v="0"/>
    <n v="0"/>
    <n v="9216.869999999999"/>
    <n v="1218.2000000000007"/>
  </r>
  <r>
    <n v="740"/>
    <n v="37"/>
    <s v="male"/>
    <x v="126"/>
    <n v="109"/>
    <s v="No"/>
    <n v="1"/>
    <x v="0"/>
    <s v="southwest"/>
    <n v="10436.1"/>
    <x v="4"/>
    <n v="0"/>
    <n v="0"/>
    <n v="1"/>
    <n v="0"/>
    <n v="0.66833754167717752"/>
    <n v="0"/>
    <n v="0"/>
    <n v="0"/>
    <n v="10348.970000000001"/>
    <n v="87.1299999999992"/>
  </r>
  <r>
    <n v="741"/>
    <n v="27"/>
    <s v="male"/>
    <x v="121"/>
    <n v="101"/>
    <s v="Yes"/>
    <n v="1"/>
    <x v="0"/>
    <s v="southwest"/>
    <n v="10450.549999999999"/>
    <x v="2"/>
    <n v="0"/>
    <n v="0"/>
    <n v="1"/>
    <n v="0"/>
    <n v="0.35323868365273792"/>
    <n v="0"/>
    <n v="1"/>
    <n v="0"/>
    <n v="9905.19"/>
    <n v="545.35999999999876"/>
  </r>
  <r>
    <n v="742"/>
    <n v="19"/>
    <s v="male"/>
    <x v="155"/>
    <n v="98"/>
    <s v="No"/>
    <n v="1"/>
    <x v="0"/>
    <s v="northwest"/>
    <n v="10461.98"/>
    <x v="1"/>
    <n v="0"/>
    <n v="0"/>
    <n v="0"/>
    <n v="1"/>
    <n v="0.44132524779019733"/>
    <n v="0"/>
    <n v="0"/>
    <n v="0"/>
    <n v="8795.59"/>
    <n v="1666.3899999999994"/>
  </r>
  <r>
    <n v="743"/>
    <n v="35"/>
    <s v="female"/>
    <x v="104"/>
    <n v="109"/>
    <s v="Yes"/>
    <n v="2"/>
    <x v="0"/>
    <s v="northwest"/>
    <n v="10493.95"/>
    <x v="4"/>
    <n v="0"/>
    <n v="0"/>
    <n v="0"/>
    <n v="1"/>
    <n v="0.22505687572905664"/>
    <n v="0"/>
    <n v="1"/>
    <n v="1"/>
    <n v="11217.230000000001"/>
    <n v="-723.28000000000065"/>
  </r>
  <r>
    <n v="744"/>
    <n v="42"/>
    <s v="male"/>
    <x v="2"/>
    <n v="101"/>
    <s v="Yes"/>
    <n v="3"/>
    <x v="0"/>
    <s v="southeast"/>
    <n v="10560.49"/>
    <x v="1"/>
    <n v="0"/>
    <n v="1"/>
    <n v="0"/>
    <n v="0"/>
    <n v="0.14206094334203656"/>
    <n v="0"/>
    <n v="1"/>
    <n v="0"/>
    <n v="10135.200000000001"/>
    <n v="425.28999999999905"/>
  </r>
  <r>
    <n v="745"/>
    <n v="56"/>
    <s v="female"/>
    <x v="2"/>
    <n v="81"/>
    <s v="Yes"/>
    <n v="0"/>
    <x v="0"/>
    <s v="northeast"/>
    <n v="10564.88"/>
    <x v="1"/>
    <n v="0"/>
    <n v="0"/>
    <n v="0"/>
    <n v="0"/>
    <n v="0.51295089594626264"/>
    <n v="0"/>
    <n v="1"/>
    <n v="1"/>
    <n v="8800.44"/>
    <n v="1764.4399999999987"/>
  </r>
  <r>
    <n v="746"/>
    <n v="40"/>
    <s v="male"/>
    <x v="115"/>
    <n v="83"/>
    <s v="Yes"/>
    <n v="0"/>
    <x v="0"/>
    <s v="southwest"/>
    <n v="10577.09"/>
    <x v="0"/>
    <n v="0"/>
    <n v="0"/>
    <n v="1"/>
    <n v="0"/>
    <n v="0.82730958714325809"/>
    <n v="0"/>
    <n v="1"/>
    <n v="0"/>
    <n v="4781.4400000000014"/>
    <n v="5795.6499999999987"/>
  </r>
  <r>
    <n v="747"/>
    <n v="55"/>
    <s v="female"/>
    <x v="121"/>
    <n v="91"/>
    <s v="No"/>
    <n v="1"/>
    <x v="0"/>
    <s v="southeast"/>
    <n v="10579.71"/>
    <x v="2"/>
    <n v="0"/>
    <n v="1"/>
    <n v="0"/>
    <n v="0"/>
    <n v="3.0128125380075033E-2"/>
    <n v="0"/>
    <n v="0"/>
    <n v="1"/>
    <n v="8098.8400000000011"/>
    <n v="2480.8699999999981"/>
  </r>
  <r>
    <n v="748"/>
    <n v="34"/>
    <s v="male"/>
    <x v="5"/>
    <n v="106"/>
    <s v="No"/>
    <n v="0"/>
    <x v="0"/>
    <s v="southeast"/>
    <n v="10594.23"/>
    <x v="1"/>
    <n v="0"/>
    <n v="1"/>
    <n v="0"/>
    <n v="0"/>
    <n v="0.10586038796340635"/>
    <n v="0"/>
    <n v="0"/>
    <n v="0"/>
    <n v="8891.7800000000007"/>
    <n v="1702.4499999999989"/>
  </r>
  <r>
    <n v="749"/>
    <n v="25"/>
    <s v="male"/>
    <x v="13"/>
    <n v="110"/>
    <s v="Yes"/>
    <n v="0"/>
    <x v="0"/>
    <s v="northwest"/>
    <n v="10594.5"/>
    <x v="4"/>
    <n v="0"/>
    <n v="0"/>
    <n v="0"/>
    <n v="1"/>
    <n v="5.6156448295787476E-2"/>
    <n v="0"/>
    <n v="1"/>
    <n v="0"/>
    <n v="9587.8900000000012"/>
    <n v="1006.6099999999988"/>
  </r>
  <r>
    <n v="750"/>
    <n v="40"/>
    <s v="male"/>
    <x v="184"/>
    <n v="100"/>
    <s v="No"/>
    <n v="3"/>
    <x v="0"/>
    <s v="northwest"/>
    <n v="10600.55"/>
    <x v="1"/>
    <n v="0"/>
    <n v="0"/>
    <n v="0"/>
    <n v="1"/>
    <n v="0.78790637879287062"/>
    <n v="0"/>
    <n v="0"/>
    <n v="0"/>
    <n v="10547.27"/>
    <n v="53.279999999998836"/>
  </r>
  <r>
    <n v="751"/>
    <n v="29"/>
    <s v="male"/>
    <x v="121"/>
    <n v="92"/>
    <s v="No"/>
    <n v="0"/>
    <x v="0"/>
    <s v="southwest"/>
    <n v="10601.41"/>
    <x v="2"/>
    <n v="0"/>
    <n v="0"/>
    <n v="1"/>
    <n v="0"/>
    <n v="0.6025881454608486"/>
    <n v="0"/>
    <n v="0"/>
    <n v="0"/>
    <n v="7797.1399999999994"/>
    <n v="2804.2700000000004"/>
  </r>
  <r>
    <n v="752"/>
    <n v="49"/>
    <s v="male"/>
    <x v="185"/>
    <n v="89"/>
    <s v="No"/>
    <n v="0"/>
    <x v="0"/>
    <s v="northwest"/>
    <n v="10601.63"/>
    <x v="1"/>
    <n v="0"/>
    <n v="0"/>
    <n v="0"/>
    <n v="1"/>
    <n v="0.4033827961195251"/>
    <n v="0"/>
    <n v="0"/>
    <n v="0"/>
    <n v="6719.44"/>
    <n v="3882.1899999999996"/>
  </r>
  <r>
    <n v="753"/>
    <n v="40"/>
    <s v="male"/>
    <x v="33"/>
    <n v="96"/>
    <s v="No"/>
    <n v="0"/>
    <x v="0"/>
    <s v="southwest"/>
    <n v="10602.39"/>
    <x v="2"/>
    <n v="0"/>
    <n v="0"/>
    <n v="1"/>
    <n v="0"/>
    <n v="0.77951808016284563"/>
    <n v="0"/>
    <n v="0"/>
    <n v="0"/>
    <n v="8481.2699999999986"/>
    <n v="2121.1200000000008"/>
  </r>
  <r>
    <n v="754"/>
    <n v="38"/>
    <s v="female"/>
    <x v="96"/>
    <n v="86"/>
    <s v="No"/>
    <n v="3"/>
    <x v="0"/>
    <s v="southeast"/>
    <n v="10702.64"/>
    <x v="4"/>
    <n v="0"/>
    <n v="1"/>
    <n v="0"/>
    <n v="0"/>
    <n v="0.4680161282893639"/>
    <n v="0"/>
    <n v="0"/>
    <n v="1"/>
    <n v="7824.4299999999994"/>
    <n v="2878.21"/>
  </r>
  <r>
    <n v="755"/>
    <n v="59"/>
    <s v="female"/>
    <x v="85"/>
    <n v="82"/>
    <s v="No"/>
    <n v="0"/>
    <x v="0"/>
    <s v="southwest"/>
    <n v="10704.47"/>
    <x v="1"/>
    <n v="0"/>
    <n v="0"/>
    <n v="1"/>
    <n v="0"/>
    <n v="0.6169077043314003"/>
    <n v="0"/>
    <n v="0"/>
    <n v="1"/>
    <n v="5829.7400000000007"/>
    <n v="4874.7299999999987"/>
  </r>
  <r>
    <n v="756"/>
    <n v="47"/>
    <s v="female"/>
    <x v="140"/>
    <n v="101"/>
    <s v="Yes"/>
    <n v="0"/>
    <x v="0"/>
    <s v="southwest"/>
    <n v="10713.64"/>
    <x v="2"/>
    <n v="0"/>
    <n v="0"/>
    <n v="1"/>
    <n v="0"/>
    <n v="0.8317530563108948"/>
    <n v="0"/>
    <n v="1"/>
    <n v="1"/>
    <n v="9372.5500000000011"/>
    <n v="1341.0899999999983"/>
  </r>
  <r>
    <n v="757"/>
    <n v="26"/>
    <s v="male"/>
    <x v="101"/>
    <n v="106"/>
    <s v="Yes"/>
    <n v="4"/>
    <x v="0"/>
    <s v="northeast"/>
    <n v="10736.87"/>
    <x v="2"/>
    <n v="0"/>
    <n v="0"/>
    <n v="0"/>
    <n v="0"/>
    <n v="0.47904487323914757"/>
    <n v="0"/>
    <n v="1"/>
    <n v="0"/>
    <n v="15533.250000000002"/>
    <n v="-4796.380000000001"/>
  </r>
  <r>
    <n v="758"/>
    <n v="30"/>
    <s v="male"/>
    <x v="40"/>
    <n v="87"/>
    <s v="No"/>
    <n v="1"/>
    <x v="0"/>
    <s v="southwest"/>
    <n v="10791.96"/>
    <x v="0"/>
    <n v="0"/>
    <n v="0"/>
    <n v="1"/>
    <n v="0"/>
    <n v="9.218091115385052E-2"/>
    <n v="0"/>
    <n v="0"/>
    <n v="0"/>
    <n v="6188.5999999999985"/>
    <n v="4603.3600000000006"/>
  </r>
  <r>
    <n v="759"/>
    <n v="57"/>
    <s v="female"/>
    <x v="134"/>
    <n v="84"/>
    <s v="Yes"/>
    <n v="0"/>
    <x v="0"/>
    <s v="southwest"/>
    <n v="10795.94"/>
    <x v="1"/>
    <n v="0"/>
    <n v="0"/>
    <n v="1"/>
    <n v="0"/>
    <n v="0.77686514121809558"/>
    <n v="0"/>
    <n v="1"/>
    <n v="1"/>
    <n v="6330.369999999999"/>
    <n v="4465.5700000000015"/>
  </r>
  <r>
    <n v="760"/>
    <n v="34"/>
    <s v="male"/>
    <x v="69"/>
    <n v="110"/>
    <s v="Yes"/>
    <n v="0"/>
    <x v="0"/>
    <s v="northeast"/>
    <n v="10796.35"/>
    <x v="4"/>
    <n v="0"/>
    <n v="0"/>
    <n v="0"/>
    <n v="0"/>
    <n v="0.16256965064692208"/>
    <n v="0"/>
    <n v="1"/>
    <n v="0"/>
    <n v="12644.110000000002"/>
    <n v="-1847.760000000002"/>
  </r>
  <r>
    <n v="761"/>
    <n v="43"/>
    <s v="female"/>
    <x v="169"/>
    <n v="106"/>
    <s v="Yes"/>
    <n v="1"/>
    <x v="0"/>
    <s v="northeast"/>
    <n v="10797.34"/>
    <x v="1"/>
    <n v="0"/>
    <n v="0"/>
    <n v="0"/>
    <n v="0"/>
    <n v="0.5736317037447457"/>
    <n v="0"/>
    <n v="1"/>
    <n v="1"/>
    <n v="13331.320000000002"/>
    <n v="-2533.9800000000014"/>
  </r>
  <r>
    <n v="762"/>
    <n v="42"/>
    <s v="female"/>
    <x v="2"/>
    <n v="103"/>
    <s v="Yes"/>
    <n v="2"/>
    <x v="0"/>
    <s v="southwest"/>
    <n v="10806.84"/>
    <x v="1"/>
    <n v="0"/>
    <n v="0"/>
    <n v="1"/>
    <n v="0"/>
    <n v="0.5021095095501934"/>
    <n v="0"/>
    <n v="1"/>
    <n v="1"/>
    <n v="10849.710000000001"/>
    <n v="-42.8700000000008"/>
  </r>
  <r>
    <n v="763"/>
    <n v="28"/>
    <s v="male"/>
    <x v="112"/>
    <n v="103"/>
    <s v="No"/>
    <n v="1"/>
    <x v="0"/>
    <s v="southeast"/>
    <n v="10807.49"/>
    <x v="1"/>
    <n v="0"/>
    <n v="1"/>
    <n v="0"/>
    <n v="0"/>
    <n v="3.8676449222802001E-2"/>
    <n v="0"/>
    <n v="0"/>
    <n v="0"/>
    <n v="9013.5800000000017"/>
    <n v="1793.909999999998"/>
  </r>
  <r>
    <n v="764"/>
    <n v="38"/>
    <s v="male"/>
    <x v="149"/>
    <n v="80"/>
    <s v="Yes"/>
    <n v="1"/>
    <x v="0"/>
    <s v="northwest"/>
    <n v="10825.25"/>
    <x v="1"/>
    <n v="0"/>
    <n v="0"/>
    <n v="0"/>
    <n v="1"/>
    <n v="0.18451524016383125"/>
    <n v="0"/>
    <n v="1"/>
    <n v="0"/>
    <n v="6034.7899999999991"/>
    <n v="4790.4600000000009"/>
  </r>
  <r>
    <n v="765"/>
    <n v="31"/>
    <s v="female"/>
    <x v="224"/>
    <n v="103"/>
    <s v="No"/>
    <n v="2"/>
    <x v="0"/>
    <s v="northwest"/>
    <n v="10848.13"/>
    <x v="2"/>
    <n v="0"/>
    <n v="0"/>
    <n v="0"/>
    <n v="1"/>
    <n v="0.38892978454430505"/>
    <n v="0"/>
    <n v="0"/>
    <n v="1"/>
    <n v="11231.620000000003"/>
    <n v="-383.49000000000342"/>
  </r>
  <r>
    <n v="766"/>
    <n v="26"/>
    <s v="female"/>
    <x v="112"/>
    <n v="90"/>
    <s v="Yes"/>
    <n v="0"/>
    <x v="0"/>
    <s v="northeast"/>
    <n v="10923.93"/>
    <x v="1"/>
    <n v="0"/>
    <n v="0"/>
    <n v="0"/>
    <n v="0"/>
    <n v="0.2235817581108791"/>
    <n v="0"/>
    <n v="1"/>
    <n v="1"/>
    <n v="10223.850000000002"/>
    <n v="700.07999999999811"/>
  </r>
  <r>
    <n v="767"/>
    <n v="51"/>
    <s v="female"/>
    <x v="99"/>
    <n v="102"/>
    <s v="Yes"/>
    <n v="1"/>
    <x v="0"/>
    <s v="southeast"/>
    <n v="10928.85"/>
    <x v="1"/>
    <n v="0"/>
    <n v="1"/>
    <n v="0"/>
    <n v="0"/>
    <n v="0.15939871765362457"/>
    <n v="0"/>
    <n v="1"/>
    <n v="1"/>
    <n v="9132.0400000000027"/>
    <n v="1796.8099999999977"/>
  </r>
  <r>
    <n v="768"/>
    <n v="39"/>
    <s v="female"/>
    <x v="229"/>
    <n v="89"/>
    <s v="Yes"/>
    <n v="1"/>
    <x v="0"/>
    <s v="northwest"/>
    <n v="10942.13"/>
    <x v="0"/>
    <n v="0"/>
    <n v="0"/>
    <n v="0"/>
    <n v="1"/>
    <n v="0.66532889195106071"/>
    <n v="0"/>
    <n v="1"/>
    <n v="1"/>
    <n v="7162.37"/>
    <n v="3779.7599999999993"/>
  </r>
  <r>
    <n v="769"/>
    <n v="37"/>
    <s v="male"/>
    <x v="105"/>
    <n v="91"/>
    <s v="Yes"/>
    <n v="0"/>
    <x v="0"/>
    <s v="southwest"/>
    <n v="10959.33"/>
    <x v="0"/>
    <n v="0"/>
    <n v="0"/>
    <n v="1"/>
    <n v="0"/>
    <n v="0.77162778627902784"/>
    <n v="0"/>
    <n v="1"/>
    <n v="0"/>
    <n v="6198.8"/>
    <n v="4760.53"/>
  </r>
  <r>
    <n v="770"/>
    <n v="48"/>
    <s v="female"/>
    <x v="88"/>
    <n v="80"/>
    <s v="Yes"/>
    <n v="1"/>
    <x v="0"/>
    <s v="northwest"/>
    <n v="10959.69"/>
    <x v="2"/>
    <n v="0"/>
    <n v="0"/>
    <n v="0"/>
    <n v="1"/>
    <n v="0.16527705513865543"/>
    <n v="0"/>
    <n v="1"/>
    <n v="1"/>
    <n v="6791.8400000000011"/>
    <n v="4167.8499999999995"/>
  </r>
  <r>
    <n v="771"/>
    <n v="39"/>
    <s v="male"/>
    <x v="91"/>
    <n v="106"/>
    <s v="Yes"/>
    <n v="0"/>
    <x v="0"/>
    <s v="southwest"/>
    <n v="10965.45"/>
    <x v="4"/>
    <n v="0"/>
    <n v="0"/>
    <n v="1"/>
    <n v="0"/>
    <n v="0.71491832624643648"/>
    <n v="0"/>
    <n v="1"/>
    <n v="0"/>
    <n v="8966.2900000000009"/>
    <n v="1999.1599999999999"/>
  </r>
  <r>
    <n v="772"/>
    <n v="30"/>
    <s v="male"/>
    <x v="3"/>
    <n v="103"/>
    <s v="Yes"/>
    <n v="0"/>
    <x v="0"/>
    <s v="northwest"/>
    <n v="10976.25"/>
    <x v="1"/>
    <n v="0"/>
    <n v="0"/>
    <n v="0"/>
    <n v="1"/>
    <n v="0.70910736086803383"/>
    <n v="0"/>
    <n v="1"/>
    <n v="0"/>
    <n v="8985.9100000000017"/>
    <n v="1990.3399999999983"/>
  </r>
  <r>
    <n v="773"/>
    <n v="60"/>
    <s v="female"/>
    <x v="230"/>
    <n v="85"/>
    <s v="No"/>
    <n v="4"/>
    <x v="0"/>
    <s v="southeast"/>
    <n v="10977.21"/>
    <x v="2"/>
    <n v="0"/>
    <n v="1"/>
    <n v="0"/>
    <n v="0"/>
    <n v="0.59070551040079677"/>
    <n v="0"/>
    <n v="0"/>
    <n v="1"/>
    <n v="9512.07"/>
    <n v="1465.1399999999994"/>
  </r>
  <r>
    <n v="774"/>
    <n v="24"/>
    <s v="male"/>
    <x v="221"/>
    <n v="89"/>
    <s v="Yes"/>
    <n v="0"/>
    <x v="0"/>
    <s v="southeast"/>
    <n v="10982.5"/>
    <x v="2"/>
    <n v="0"/>
    <n v="1"/>
    <n v="0"/>
    <n v="0"/>
    <n v="0.35567051256712401"/>
    <n v="0"/>
    <n v="1"/>
    <n v="0"/>
    <n v="6635.4899999999989"/>
    <n v="4347.0100000000011"/>
  </r>
  <r>
    <n v="775"/>
    <n v="45"/>
    <s v="male"/>
    <x v="239"/>
    <n v="85"/>
    <s v="Yes"/>
    <n v="2"/>
    <x v="0"/>
    <s v="southeast"/>
    <n v="11013.71"/>
    <x v="0"/>
    <n v="0"/>
    <n v="1"/>
    <n v="0"/>
    <n v="0"/>
    <n v="8.4904579674454861E-2"/>
    <n v="0"/>
    <n v="1"/>
    <n v="0"/>
    <n v="5788.03"/>
    <n v="5225.6799999999994"/>
  </r>
  <r>
    <n v="776"/>
    <n v="50"/>
    <s v="female"/>
    <x v="72"/>
    <n v="83"/>
    <s v="Yes"/>
    <n v="4"/>
    <x v="0"/>
    <s v="northwest"/>
    <n v="11015.17"/>
    <x v="4"/>
    <n v="0"/>
    <n v="0"/>
    <n v="0"/>
    <n v="1"/>
    <n v="0.75587862434747921"/>
    <n v="0"/>
    <n v="1"/>
    <n v="1"/>
    <n v="8670.5200000000023"/>
    <n v="2344.6499999999978"/>
  </r>
  <r>
    <n v="777"/>
    <n v="49"/>
    <s v="female"/>
    <x v="204"/>
    <n v="92"/>
    <s v="Yes"/>
    <n v="4"/>
    <x v="0"/>
    <s v="northwest"/>
    <n v="11033.66"/>
    <x v="2"/>
    <n v="0"/>
    <n v="0"/>
    <n v="0"/>
    <n v="1"/>
    <n v="0.83408127486997408"/>
    <n v="0"/>
    <n v="1"/>
    <n v="1"/>
    <n v="11245.26"/>
    <n v="-211.60000000000036"/>
  </r>
  <r>
    <n v="778"/>
    <n v="53"/>
    <s v="female"/>
    <x v="129"/>
    <n v="104"/>
    <s v="Yes"/>
    <n v="0"/>
    <x v="0"/>
    <s v="southwest"/>
    <n v="11070.54"/>
    <x v="4"/>
    <n v="0"/>
    <n v="0"/>
    <n v="1"/>
    <n v="0"/>
    <n v="0.794734858179443"/>
    <n v="0"/>
    <n v="1"/>
    <n v="1"/>
    <n v="8834.7400000000016"/>
    <n v="2235.7999999999993"/>
  </r>
  <r>
    <n v="779"/>
    <n v="57"/>
    <s v="female"/>
    <x v="124"/>
    <n v="90"/>
    <s v="Yes"/>
    <n v="0"/>
    <x v="0"/>
    <s v="southwest"/>
    <n v="11073.18"/>
    <x v="4"/>
    <n v="0"/>
    <n v="0"/>
    <n v="1"/>
    <n v="0"/>
    <n v="0.63422890349480432"/>
    <n v="0"/>
    <n v="1"/>
    <n v="1"/>
    <n v="6757.8099999999995"/>
    <n v="4315.3700000000008"/>
  </r>
  <r>
    <n v="780"/>
    <n v="38"/>
    <s v="female"/>
    <x v="160"/>
    <n v="84"/>
    <s v="No"/>
    <n v="0"/>
    <x v="0"/>
    <s v="northwest"/>
    <n v="11082.58"/>
    <x v="4"/>
    <n v="0"/>
    <n v="0"/>
    <n v="0"/>
    <n v="1"/>
    <n v="0.90059604757932332"/>
    <n v="0"/>
    <n v="0"/>
    <n v="1"/>
    <n v="5884.619999999999"/>
    <n v="5197.9600000000009"/>
  </r>
  <r>
    <n v="781"/>
    <n v="36"/>
    <s v="female"/>
    <x v="91"/>
    <n v="106"/>
    <s v="Yes"/>
    <n v="3"/>
    <x v="0"/>
    <s v="northwest"/>
    <n v="11085.59"/>
    <x v="4"/>
    <n v="0"/>
    <n v="0"/>
    <n v="0"/>
    <n v="1"/>
    <n v="0.36576950097696492"/>
    <n v="0"/>
    <n v="1"/>
    <n v="1"/>
    <n v="11637.87"/>
    <n v="-552.28000000000065"/>
  </r>
  <r>
    <n v="782"/>
    <n v="60"/>
    <s v="female"/>
    <x v="32"/>
    <n v="93"/>
    <s v="Yes"/>
    <n v="0"/>
    <x v="0"/>
    <s v="southeast"/>
    <n v="11090.72"/>
    <x v="2"/>
    <n v="0"/>
    <n v="1"/>
    <n v="0"/>
    <n v="0"/>
    <n v="0.66675200997274553"/>
    <n v="0"/>
    <n v="1"/>
    <n v="1"/>
    <n v="7621.42"/>
    <n v="3469.2999999999993"/>
  </r>
  <r>
    <n v="783"/>
    <n v="48"/>
    <s v="female"/>
    <x v="64"/>
    <n v="99"/>
    <s v="Yes"/>
    <n v="0"/>
    <x v="0"/>
    <s v="southeast"/>
    <n v="11093.62"/>
    <x v="2"/>
    <n v="0"/>
    <n v="1"/>
    <n v="0"/>
    <n v="0"/>
    <n v="5.7405693639549726E-2"/>
    <n v="0"/>
    <n v="1"/>
    <n v="1"/>
    <n v="8773.8700000000008"/>
    <n v="2319.75"/>
  </r>
  <r>
    <n v="784"/>
    <n v="46"/>
    <s v="female"/>
    <x v="21"/>
    <n v="102"/>
    <s v="Yes"/>
    <n v="2"/>
    <x v="0"/>
    <s v="southwest"/>
    <n v="11150.78"/>
    <x v="4"/>
    <n v="0"/>
    <n v="0"/>
    <n v="1"/>
    <n v="0"/>
    <n v="0.71803403320471126"/>
    <n v="0"/>
    <n v="1"/>
    <n v="1"/>
    <n v="10120.700000000001"/>
    <n v="1030.08"/>
  </r>
  <r>
    <n v="785"/>
    <n v="47"/>
    <s v="female"/>
    <x v="77"/>
    <n v="104"/>
    <s v="No"/>
    <n v="2"/>
    <x v="0"/>
    <s v="southwest"/>
    <n v="11163.57"/>
    <x v="2"/>
    <n v="0"/>
    <n v="0"/>
    <n v="1"/>
    <n v="0"/>
    <n v="0.86391825003572709"/>
    <n v="0"/>
    <n v="0"/>
    <n v="1"/>
    <n v="11294.26"/>
    <n v="-130.69000000000051"/>
  </r>
  <r>
    <n v="786"/>
    <n v="25"/>
    <s v="male"/>
    <x v="142"/>
    <n v="82"/>
    <s v="No"/>
    <n v="0"/>
    <x v="0"/>
    <s v="northeast"/>
    <n v="11165.42"/>
    <x v="4"/>
    <n v="0"/>
    <n v="0"/>
    <n v="0"/>
    <n v="0"/>
    <n v="0.96202719788506785"/>
    <n v="0"/>
    <n v="0"/>
    <n v="0"/>
    <n v="7991.1200000000008"/>
    <n v="3174.2999999999993"/>
  </r>
  <r>
    <n v="787"/>
    <n v="26"/>
    <s v="female"/>
    <x v="103"/>
    <n v="106"/>
    <s v="Yes"/>
    <n v="2"/>
    <x v="0"/>
    <s v="northwest"/>
    <n v="11187.66"/>
    <x v="1"/>
    <n v="0"/>
    <n v="0"/>
    <n v="0"/>
    <n v="1"/>
    <n v="0.97989015967300075"/>
    <n v="0"/>
    <n v="1"/>
    <n v="1"/>
    <n v="11220.230000000001"/>
    <n v="-32.570000000001528"/>
  </r>
  <r>
    <n v="788"/>
    <n v="47"/>
    <s v="male"/>
    <x v="116"/>
    <n v="84"/>
    <s v="No"/>
    <n v="2"/>
    <x v="0"/>
    <s v="northeast"/>
    <n v="11244.38"/>
    <x v="4"/>
    <n v="0"/>
    <n v="0"/>
    <n v="0"/>
    <n v="0"/>
    <n v="0.7702888398824308"/>
    <n v="0"/>
    <n v="0"/>
    <n v="0"/>
    <n v="9801.369999999999"/>
    <n v="1443.0100000000002"/>
  </r>
  <r>
    <n v="789"/>
    <n v="31"/>
    <s v="male"/>
    <x v="138"/>
    <n v="86"/>
    <s v="No"/>
    <n v="3"/>
    <x v="0"/>
    <s v="southwest"/>
    <n v="11253.42"/>
    <x v="4"/>
    <n v="0"/>
    <n v="0"/>
    <n v="1"/>
    <n v="0"/>
    <n v="0.22494927796945663"/>
    <n v="0"/>
    <n v="0"/>
    <n v="0"/>
    <n v="8111.2599999999984"/>
    <n v="3142.1600000000017"/>
  </r>
  <r>
    <n v="790"/>
    <n v="49"/>
    <s v="male"/>
    <x v="86"/>
    <n v="84"/>
    <s v="No"/>
    <n v="3"/>
    <x v="0"/>
    <s v="southwest"/>
    <n v="11264.54"/>
    <x v="2"/>
    <n v="0"/>
    <n v="0"/>
    <n v="1"/>
    <n v="0"/>
    <n v="0.61971213471767506"/>
    <n v="0"/>
    <n v="0"/>
    <n v="0"/>
    <n v="8453.0399999999991"/>
    <n v="2811.5000000000018"/>
  </r>
  <r>
    <n v="791"/>
    <n v="43"/>
    <s v="male"/>
    <x v="117"/>
    <n v="91"/>
    <s v="No"/>
    <n v="1"/>
    <x v="0"/>
    <s v="northeast"/>
    <n v="11272.33"/>
    <x v="4"/>
    <n v="0"/>
    <n v="0"/>
    <n v="0"/>
    <n v="0"/>
    <n v="0.13609166425939778"/>
    <n v="0"/>
    <n v="0"/>
    <n v="0"/>
    <n v="10347.83"/>
    <n v="924.5"/>
  </r>
  <r>
    <n v="792"/>
    <n v="51"/>
    <s v="female"/>
    <x v="56"/>
    <n v="101"/>
    <s v="Yes"/>
    <n v="0"/>
    <x v="0"/>
    <s v="northeast"/>
    <n v="11286.54"/>
    <x v="4"/>
    <n v="0"/>
    <n v="0"/>
    <n v="0"/>
    <n v="0"/>
    <n v="7.703750237030893E-2"/>
    <n v="0"/>
    <n v="1"/>
    <n v="1"/>
    <n v="11699.390000000001"/>
    <n v="-412.85000000000036"/>
  </r>
  <r>
    <n v="793"/>
    <n v="47"/>
    <s v="male"/>
    <x v="185"/>
    <n v="83"/>
    <s v="No"/>
    <n v="3"/>
    <x v="0"/>
    <s v="northwest"/>
    <n v="11289.11"/>
    <x v="1"/>
    <n v="0"/>
    <n v="0"/>
    <n v="0"/>
    <n v="1"/>
    <n v="0.51962255192057283"/>
    <n v="0"/>
    <n v="0"/>
    <n v="0"/>
    <n v="7979.1800000000012"/>
    <n v="3309.9299999999994"/>
  </r>
  <r>
    <n v="794"/>
    <n v="37"/>
    <s v="female"/>
    <x v="3"/>
    <n v="91"/>
    <s v="Yes"/>
    <n v="4"/>
    <x v="0"/>
    <s v="southwest"/>
    <n v="11299.34"/>
    <x v="1"/>
    <n v="0"/>
    <n v="0"/>
    <n v="1"/>
    <n v="0"/>
    <n v="0.81988693077844488"/>
    <n v="0"/>
    <n v="1"/>
    <n v="1"/>
    <n v="10451.710000000001"/>
    <n v="847.6299999999992"/>
  </r>
  <r>
    <n v="795"/>
    <n v="48"/>
    <s v="female"/>
    <x v="13"/>
    <n v="94"/>
    <s v="No"/>
    <n v="1"/>
    <x v="0"/>
    <s v="northwest"/>
    <n v="11305.93"/>
    <x v="4"/>
    <n v="0"/>
    <n v="0"/>
    <n v="0"/>
    <n v="1"/>
    <n v="0.22759044499690118"/>
    <n v="0"/>
    <n v="0"/>
    <n v="1"/>
    <n v="8257.260000000002"/>
    <n v="3048.6699999999983"/>
  </r>
  <r>
    <n v="796"/>
    <n v="47"/>
    <s v="male"/>
    <x v="240"/>
    <n v="96"/>
    <s v="No"/>
    <n v="1"/>
    <x v="0"/>
    <s v="southeast"/>
    <n v="11326.71"/>
    <x v="2"/>
    <n v="0"/>
    <n v="1"/>
    <n v="0"/>
    <n v="0"/>
    <n v="0.88272544009839093"/>
    <n v="0"/>
    <n v="0"/>
    <n v="0"/>
    <n v="8710.0299999999988"/>
    <n v="2616.6800000000003"/>
  </r>
  <r>
    <n v="797"/>
    <n v="38"/>
    <s v="male"/>
    <x v="46"/>
    <n v="98"/>
    <s v="No"/>
    <n v="0"/>
    <x v="0"/>
    <s v="southwest"/>
    <n v="11345.52"/>
    <x v="0"/>
    <n v="0"/>
    <n v="0"/>
    <n v="1"/>
    <n v="0"/>
    <n v="0.91263165590332795"/>
    <n v="0"/>
    <n v="0"/>
    <n v="0"/>
    <n v="7349.5099999999984"/>
    <n v="3996.010000000002"/>
  </r>
  <r>
    <n v="798"/>
    <n v="33"/>
    <s v="male"/>
    <x v="67"/>
    <n v="108"/>
    <s v="No"/>
    <n v="0"/>
    <x v="0"/>
    <s v="northwest"/>
    <n v="11353.23"/>
    <x v="1"/>
    <n v="0"/>
    <n v="0"/>
    <n v="0"/>
    <n v="1"/>
    <n v="0.32820899331689846"/>
    <n v="0"/>
    <n v="0"/>
    <n v="0"/>
    <n v="9660.98"/>
    <n v="1692.25"/>
  </r>
  <r>
    <n v="799"/>
    <n v="47"/>
    <s v="male"/>
    <x v="111"/>
    <n v="105"/>
    <s v="No"/>
    <n v="0"/>
    <x v="0"/>
    <s v="northwest"/>
    <n v="11356.66"/>
    <x v="1"/>
    <n v="0"/>
    <n v="0"/>
    <n v="0"/>
    <n v="1"/>
    <n v="0.57303670082248193"/>
    <n v="0"/>
    <n v="0"/>
    <n v="0"/>
    <n v="9378.0400000000009"/>
    <n v="1978.619999999999"/>
  </r>
  <r>
    <n v="800"/>
    <n v="30"/>
    <s v="male"/>
    <x v="108"/>
    <n v="91"/>
    <s v="No"/>
    <n v="0"/>
    <x v="0"/>
    <s v="southwest"/>
    <n v="11362.76"/>
    <x v="2"/>
    <n v="0"/>
    <n v="0"/>
    <n v="1"/>
    <n v="0"/>
    <n v="0.97650034434700905"/>
    <n v="0"/>
    <n v="0"/>
    <n v="0"/>
    <n v="7302.82"/>
    <n v="4059.9400000000005"/>
  </r>
  <r>
    <n v="801"/>
    <n v="32"/>
    <s v="male"/>
    <x v="208"/>
    <n v="80"/>
    <s v="No"/>
    <n v="0"/>
    <x v="0"/>
    <s v="southeast"/>
    <n v="11363.28"/>
    <x v="2"/>
    <n v="0"/>
    <n v="1"/>
    <n v="0"/>
    <n v="0"/>
    <n v="0.2024860397245416"/>
    <n v="0"/>
    <n v="0"/>
    <n v="0"/>
    <n v="4890.3500000000022"/>
    <n v="6472.9299999999985"/>
  </r>
  <r>
    <n v="802"/>
    <n v="43"/>
    <s v="male"/>
    <x v="197"/>
    <n v="109"/>
    <s v="Yes"/>
    <n v="0"/>
    <x v="0"/>
    <s v="southwest"/>
    <n v="11365.95"/>
    <x v="2"/>
    <n v="0"/>
    <n v="0"/>
    <n v="1"/>
    <n v="0"/>
    <n v="0.95395810591399699"/>
    <n v="0"/>
    <n v="1"/>
    <n v="0"/>
    <n v="10286.390000000001"/>
    <n v="1079.5599999999995"/>
  </r>
  <r>
    <n v="803"/>
    <n v="42"/>
    <s v="male"/>
    <x v="241"/>
    <n v="109"/>
    <s v="Yes"/>
    <n v="0"/>
    <x v="0"/>
    <s v="southeast"/>
    <n v="11381.33"/>
    <x v="2"/>
    <n v="0"/>
    <n v="1"/>
    <n v="0"/>
    <n v="0"/>
    <n v="9.6578464906307504E-2"/>
    <n v="0"/>
    <n v="1"/>
    <n v="0"/>
    <n v="10548.100000000002"/>
    <n v="833.22999999999774"/>
  </r>
  <r>
    <n v="804"/>
    <n v="20"/>
    <s v="male"/>
    <x v="50"/>
    <n v="92"/>
    <s v="No"/>
    <n v="1"/>
    <x v="0"/>
    <s v="northeast"/>
    <n v="11394.07"/>
    <x v="2"/>
    <n v="0"/>
    <n v="0"/>
    <n v="0"/>
    <n v="0"/>
    <n v="0.21572255815341612"/>
    <n v="0"/>
    <n v="0"/>
    <n v="0"/>
    <n v="11126.810000000001"/>
    <n v="267.2599999999984"/>
  </r>
  <r>
    <n v="805"/>
    <n v="36"/>
    <s v="female"/>
    <x v="162"/>
    <n v="98"/>
    <s v="Yes"/>
    <n v="2"/>
    <x v="0"/>
    <s v="northeast"/>
    <n v="11396.9"/>
    <x v="2"/>
    <n v="0"/>
    <n v="0"/>
    <n v="0"/>
    <n v="0"/>
    <n v="0.49761163394417285"/>
    <n v="0"/>
    <n v="1"/>
    <n v="1"/>
    <n v="13451.6"/>
    <n v="-2054.7000000000007"/>
  </r>
  <r>
    <n v="806"/>
    <n v="37"/>
    <s v="female"/>
    <x v="231"/>
    <n v="81"/>
    <s v="No"/>
    <n v="3"/>
    <x v="0"/>
    <s v="southwest"/>
    <n v="11411.69"/>
    <x v="2"/>
    <n v="0"/>
    <n v="0"/>
    <n v="1"/>
    <n v="0"/>
    <n v="0.62871994153180433"/>
    <n v="0"/>
    <n v="0"/>
    <n v="1"/>
    <n v="9127.130000000001"/>
    <n v="2284.5599999999995"/>
  </r>
  <r>
    <n v="807"/>
    <n v="59"/>
    <s v="female"/>
    <x v="242"/>
    <n v="91"/>
    <s v="No"/>
    <n v="3"/>
    <x v="0"/>
    <s v="northwest"/>
    <n v="11436.74"/>
    <x v="2"/>
    <n v="0"/>
    <n v="0"/>
    <n v="0"/>
    <n v="1"/>
    <n v="0.3310421898115351"/>
    <n v="0"/>
    <n v="0"/>
    <n v="1"/>
    <n v="9993.2900000000009"/>
    <n v="1443.4499999999989"/>
  </r>
  <r>
    <n v="808"/>
    <n v="51"/>
    <s v="female"/>
    <x v="87"/>
    <n v="83"/>
    <s v="Yes"/>
    <n v="0"/>
    <x v="0"/>
    <s v="northwest"/>
    <n v="11454.02"/>
    <x v="4"/>
    <n v="0"/>
    <n v="0"/>
    <n v="0"/>
    <n v="1"/>
    <n v="0.18058985283186679"/>
    <n v="0"/>
    <n v="1"/>
    <n v="1"/>
    <n v="5528.1800000000012"/>
    <n v="5925.8399999999992"/>
  </r>
  <r>
    <n v="809"/>
    <n v="44"/>
    <s v="female"/>
    <x v="14"/>
    <n v="95"/>
    <s v="No"/>
    <n v="0"/>
    <x v="0"/>
    <s v="southwest"/>
    <n v="11455.28"/>
    <x v="4"/>
    <n v="0"/>
    <n v="0"/>
    <n v="1"/>
    <n v="0"/>
    <n v="0.53088270103969792"/>
    <n v="0"/>
    <n v="0"/>
    <n v="1"/>
    <n v="7769.71"/>
    <n v="3685.5700000000006"/>
  </r>
  <r>
    <n v="810"/>
    <n v="40"/>
    <s v="female"/>
    <x v="141"/>
    <n v="93"/>
    <s v="Yes"/>
    <n v="0"/>
    <x v="0"/>
    <s v="southeast"/>
    <n v="11482.63"/>
    <x v="1"/>
    <n v="0"/>
    <n v="1"/>
    <n v="0"/>
    <n v="0"/>
    <n v="0.53774028880080649"/>
    <n v="0"/>
    <n v="1"/>
    <n v="1"/>
    <n v="7142.57"/>
    <n v="4340.0599999999995"/>
  </r>
  <r>
    <n v="811"/>
    <n v="33"/>
    <s v="male"/>
    <x v="207"/>
    <n v="85"/>
    <s v="No"/>
    <n v="3"/>
    <x v="0"/>
    <s v="northeast"/>
    <n v="11488.32"/>
    <x v="1"/>
    <n v="0"/>
    <n v="0"/>
    <n v="0"/>
    <n v="0"/>
    <n v="0.54650377271916628"/>
    <n v="0"/>
    <n v="0"/>
    <n v="0"/>
    <n v="11213.02"/>
    <n v="275.29999999999927"/>
  </r>
  <r>
    <n v="812"/>
    <n v="59"/>
    <s v="female"/>
    <x v="198"/>
    <n v="97"/>
    <s v="Yes"/>
    <n v="1"/>
    <x v="0"/>
    <s v="northeast"/>
    <n v="11512.41"/>
    <x v="1"/>
    <n v="0"/>
    <n v="0"/>
    <n v="0"/>
    <n v="0"/>
    <n v="0.2397500590002507"/>
    <n v="0"/>
    <n v="1"/>
    <n v="1"/>
    <n v="12002.78"/>
    <n v="-490.3700000000008"/>
  </r>
  <r>
    <n v="813"/>
    <n v="45"/>
    <s v="male"/>
    <x v="243"/>
    <n v="103"/>
    <s v="Yes"/>
    <n v="4"/>
    <x v="0"/>
    <s v="northwest"/>
    <n v="11520.1"/>
    <x v="0"/>
    <n v="0"/>
    <n v="0"/>
    <n v="0"/>
    <n v="1"/>
    <n v="0.33341748070936883"/>
    <n v="0"/>
    <n v="1"/>
    <n v="0"/>
    <n v="11124.519999999999"/>
    <n v="395.58000000000175"/>
  </r>
  <r>
    <n v="814"/>
    <n v="35"/>
    <s v="male"/>
    <x v="238"/>
    <n v="95"/>
    <s v="No"/>
    <n v="0"/>
    <x v="0"/>
    <s v="northeast"/>
    <n v="11534.87"/>
    <x v="3"/>
    <n v="0"/>
    <n v="0"/>
    <n v="0"/>
    <n v="0"/>
    <n v="0.7251150111807334"/>
    <n v="0"/>
    <n v="0"/>
    <n v="0"/>
    <n v="9403.19"/>
    <n v="2131.6800000000003"/>
  </r>
  <r>
    <n v="815"/>
    <n v="57"/>
    <s v="female"/>
    <x v="244"/>
    <n v="101"/>
    <s v="Yes"/>
    <n v="2"/>
    <x v="0"/>
    <s v="southwest"/>
    <n v="11538.42"/>
    <x v="2"/>
    <n v="0"/>
    <n v="0"/>
    <n v="1"/>
    <n v="0"/>
    <n v="0.26283983379003661"/>
    <n v="0"/>
    <n v="1"/>
    <n v="1"/>
    <n v="11657.03"/>
    <n v="-118.61000000000058"/>
  </r>
  <r>
    <n v="816"/>
    <n v="29"/>
    <s v="female"/>
    <x v="99"/>
    <n v="90"/>
    <s v="Yes"/>
    <n v="5"/>
    <x v="0"/>
    <s v="southwest"/>
    <n v="11552.9"/>
    <x v="1"/>
    <n v="0"/>
    <n v="0"/>
    <n v="1"/>
    <n v="0"/>
    <n v="0.89212046651995469"/>
    <n v="0"/>
    <n v="1"/>
    <n v="1"/>
    <n v="10886.7"/>
    <n v="666.19999999999891"/>
  </r>
  <r>
    <n v="817"/>
    <n v="26"/>
    <s v="male"/>
    <x v="72"/>
    <n v="97"/>
    <s v="Yes"/>
    <n v="1"/>
    <x v="0"/>
    <s v="southeast"/>
    <n v="11554.22"/>
    <x v="4"/>
    <n v="0"/>
    <n v="1"/>
    <n v="0"/>
    <n v="0"/>
    <n v="0.94914151336853136"/>
    <n v="0"/>
    <n v="1"/>
    <n v="0"/>
    <n v="7579.14"/>
    <n v="3975.079999999999"/>
  </r>
  <r>
    <n v="818"/>
    <n v="35"/>
    <s v="male"/>
    <x v="245"/>
    <n v="80"/>
    <s v="Yes"/>
    <n v="0"/>
    <x v="0"/>
    <s v="northeast"/>
    <n v="11566.3"/>
    <x v="2"/>
    <n v="0"/>
    <n v="0"/>
    <n v="0"/>
    <n v="0"/>
    <n v="0.9963228490295124"/>
    <n v="0"/>
    <n v="1"/>
    <n v="0"/>
    <n v="8872.58"/>
    <n v="2693.7199999999993"/>
  </r>
  <r>
    <n v="819"/>
    <n v="18"/>
    <s v="male"/>
    <x v="246"/>
    <n v="101"/>
    <s v="No"/>
    <n v="1"/>
    <x v="0"/>
    <s v="southwest"/>
    <n v="11576.13"/>
    <x v="2"/>
    <n v="0"/>
    <n v="0"/>
    <n v="1"/>
    <n v="0"/>
    <n v="0.18657789017243809"/>
    <n v="0"/>
    <n v="0"/>
    <n v="0"/>
    <n v="10336.32"/>
    <n v="1239.8099999999995"/>
  </r>
  <r>
    <n v="820"/>
    <n v="42"/>
    <s v="female"/>
    <x v="117"/>
    <n v="85"/>
    <s v="No"/>
    <n v="0"/>
    <x v="0"/>
    <s v="northeast"/>
    <n v="11657.72"/>
    <x v="4"/>
    <n v="0"/>
    <n v="0"/>
    <n v="0"/>
    <n v="0"/>
    <n v="0.13210929458499399"/>
    <n v="0"/>
    <n v="0"/>
    <n v="1"/>
    <n v="9098.2800000000007"/>
    <n v="2559.4399999999987"/>
  </r>
  <r>
    <n v="821"/>
    <n v="43"/>
    <s v="female"/>
    <x v="138"/>
    <n v="110"/>
    <s v="No"/>
    <n v="0"/>
    <x v="0"/>
    <s v="northeast"/>
    <n v="11658.12"/>
    <x v="4"/>
    <n v="0"/>
    <n v="0"/>
    <n v="0"/>
    <n v="0"/>
    <n v="0.14628717128333468"/>
    <n v="0"/>
    <n v="0"/>
    <n v="1"/>
    <n v="13112.400000000001"/>
    <n v="-1454.2800000000007"/>
  </r>
  <r>
    <n v="822"/>
    <n v="40"/>
    <s v="female"/>
    <x v="92"/>
    <n v="83"/>
    <s v="No"/>
    <n v="0"/>
    <x v="0"/>
    <s v="northeast"/>
    <n v="11658.38"/>
    <x v="4"/>
    <n v="0"/>
    <n v="0"/>
    <n v="0"/>
    <n v="0"/>
    <n v="0.49551162209454103"/>
    <n v="0"/>
    <n v="0"/>
    <n v="1"/>
    <n v="8824.4100000000017"/>
    <n v="2833.9699999999975"/>
  </r>
  <r>
    <n v="823"/>
    <n v="31"/>
    <s v="female"/>
    <x v="159"/>
    <n v="109"/>
    <s v="No"/>
    <n v="1"/>
    <x v="0"/>
    <s v="southwest"/>
    <n v="11674.13"/>
    <x v="2"/>
    <n v="0"/>
    <n v="0"/>
    <n v="1"/>
    <n v="0"/>
    <n v="0.5628844491494881"/>
    <n v="0"/>
    <n v="0"/>
    <n v="1"/>
    <n v="11365.900000000001"/>
    <n v="308.22999999999774"/>
  </r>
  <r>
    <n v="824"/>
    <n v="50"/>
    <s v="female"/>
    <x v="43"/>
    <n v="100"/>
    <s v="No"/>
    <n v="2"/>
    <x v="0"/>
    <s v="northeast"/>
    <n v="11729.68"/>
    <x v="0"/>
    <n v="0"/>
    <n v="0"/>
    <n v="0"/>
    <n v="0"/>
    <n v="0.83956335314093178"/>
    <n v="0"/>
    <n v="0"/>
    <n v="1"/>
    <n v="12573.62"/>
    <n v="-843.94000000000051"/>
  </r>
  <r>
    <n v="825"/>
    <n v="29"/>
    <s v="male"/>
    <x v="138"/>
    <n v="85"/>
    <s v="Yes"/>
    <n v="0"/>
    <x v="0"/>
    <s v="northwest"/>
    <n v="11735.88"/>
    <x v="4"/>
    <n v="0"/>
    <n v="0"/>
    <n v="0"/>
    <n v="1"/>
    <n v="0.57444973324013915"/>
    <n v="0"/>
    <n v="1"/>
    <n v="0"/>
    <n v="5678.5199999999986"/>
    <n v="6057.3600000000006"/>
  </r>
  <r>
    <n v="826"/>
    <n v="37"/>
    <s v="male"/>
    <x v="160"/>
    <n v="83"/>
    <s v="Yes"/>
    <n v="2"/>
    <x v="0"/>
    <s v="southwest"/>
    <n v="11737.85"/>
    <x v="4"/>
    <n v="0"/>
    <n v="0"/>
    <n v="1"/>
    <n v="0"/>
    <n v="0.91207600084373963"/>
    <n v="0"/>
    <n v="1"/>
    <n v="0"/>
    <n v="6680.71"/>
    <n v="5057.1400000000003"/>
  </r>
  <r>
    <n v="827"/>
    <n v="54"/>
    <s v="female"/>
    <x v="91"/>
    <n v="83"/>
    <s v="No"/>
    <n v="3"/>
    <x v="0"/>
    <s v="southwest"/>
    <n v="11741.73"/>
    <x v="4"/>
    <n v="0"/>
    <n v="0"/>
    <n v="1"/>
    <n v="0"/>
    <n v="4.421839569185082E-2"/>
    <n v="0"/>
    <n v="0"/>
    <n v="1"/>
    <n v="8005.2500000000009"/>
    <n v="3736.4799999999987"/>
  </r>
  <r>
    <n v="828"/>
    <n v="34"/>
    <s v="male"/>
    <x v="116"/>
    <n v="105"/>
    <s v="Yes"/>
    <n v="0"/>
    <x v="0"/>
    <s v="southeast"/>
    <n v="11743.3"/>
    <x v="4"/>
    <n v="0"/>
    <n v="1"/>
    <n v="0"/>
    <n v="0"/>
    <n v="0.92809352767902875"/>
    <n v="0"/>
    <n v="1"/>
    <n v="0"/>
    <n v="7979.13"/>
    <n v="3764.1699999999992"/>
  </r>
  <r>
    <n v="829"/>
    <n v="29"/>
    <s v="male"/>
    <x v="5"/>
    <n v="108"/>
    <s v="No"/>
    <n v="0"/>
    <x v="0"/>
    <s v="northwest"/>
    <n v="11743.93"/>
    <x v="1"/>
    <n v="0"/>
    <n v="0"/>
    <n v="0"/>
    <n v="1"/>
    <n v="0.26638851871434288"/>
    <n v="0"/>
    <n v="0"/>
    <n v="0"/>
    <n v="9914.0499999999993"/>
    <n v="1829.880000000001"/>
  </r>
  <r>
    <n v="830"/>
    <n v="25"/>
    <s v="male"/>
    <x v="80"/>
    <n v="97"/>
    <s v="Yes"/>
    <n v="1"/>
    <x v="0"/>
    <s v="northeast"/>
    <n v="11763"/>
    <x v="1"/>
    <n v="0"/>
    <n v="0"/>
    <n v="0"/>
    <n v="0"/>
    <n v="0.77529545144822154"/>
    <n v="0"/>
    <n v="1"/>
    <n v="0"/>
    <n v="11584.25"/>
    <n v="178.75"/>
  </r>
  <r>
    <n v="831"/>
    <n v="50"/>
    <s v="female"/>
    <x v="0"/>
    <n v="89"/>
    <s v="No"/>
    <n v="0"/>
    <x v="0"/>
    <s v="northwest"/>
    <n v="11830.61"/>
    <x v="0"/>
    <n v="0"/>
    <n v="0"/>
    <n v="0"/>
    <n v="1"/>
    <n v="0.77303622085016255"/>
    <n v="0"/>
    <n v="0"/>
    <n v="1"/>
    <n v="6342.3099999999995"/>
    <n v="5488.3000000000011"/>
  </r>
  <r>
    <n v="832"/>
    <n v="37"/>
    <s v="female"/>
    <x v="214"/>
    <n v="97"/>
    <s v="Yes"/>
    <n v="0"/>
    <x v="0"/>
    <s v="southeast"/>
    <n v="11833.78"/>
    <x v="0"/>
    <n v="0"/>
    <n v="1"/>
    <n v="0"/>
    <n v="0"/>
    <n v="0.94885096139156611"/>
    <n v="0"/>
    <n v="1"/>
    <n v="1"/>
    <n v="6835.7199999999993"/>
    <n v="4998.0600000000013"/>
  </r>
  <r>
    <n v="833"/>
    <n v="43"/>
    <s v="female"/>
    <x v="29"/>
    <n v="91"/>
    <s v="Yes"/>
    <n v="0"/>
    <x v="0"/>
    <s v="southwest"/>
    <n v="11837.16"/>
    <x v="4"/>
    <n v="0"/>
    <n v="0"/>
    <n v="1"/>
    <n v="0"/>
    <n v="0.20807210882960347"/>
    <n v="0"/>
    <n v="1"/>
    <n v="1"/>
    <n v="6764.32"/>
    <n v="5072.84"/>
  </r>
  <r>
    <n v="834"/>
    <n v="25"/>
    <s v="female"/>
    <x v="85"/>
    <n v="110"/>
    <s v="No"/>
    <n v="0"/>
    <x v="0"/>
    <s v="northwest"/>
    <n v="11840.78"/>
    <x v="1"/>
    <n v="0"/>
    <n v="0"/>
    <n v="0"/>
    <n v="1"/>
    <n v="0.21079696279415605"/>
    <n v="0"/>
    <n v="0"/>
    <n v="1"/>
    <n v="10349.850000000002"/>
    <n v="1490.9299999999985"/>
  </r>
  <r>
    <n v="835"/>
    <n v="45"/>
    <s v="female"/>
    <x v="69"/>
    <n v="87"/>
    <s v="No"/>
    <n v="0"/>
    <x v="0"/>
    <s v="southwest"/>
    <n v="11842.44"/>
    <x v="4"/>
    <n v="0"/>
    <n v="0"/>
    <n v="1"/>
    <n v="0"/>
    <n v="0.7727896237712234"/>
    <n v="0"/>
    <n v="0"/>
    <n v="1"/>
    <n v="6517.36"/>
    <n v="5325.0800000000008"/>
  </r>
  <r>
    <n v="836"/>
    <n v="33"/>
    <s v="female"/>
    <x v="120"/>
    <n v="95"/>
    <s v="No"/>
    <n v="0"/>
    <x v="0"/>
    <s v="northwest"/>
    <n v="11842.62"/>
    <x v="1"/>
    <n v="0"/>
    <n v="0"/>
    <n v="0"/>
    <n v="1"/>
    <n v="0.26231032396717391"/>
    <n v="0"/>
    <n v="0"/>
    <n v="1"/>
    <n v="8056.9100000000017"/>
    <n v="3785.7099999999991"/>
  </r>
  <r>
    <n v="837"/>
    <n v="26"/>
    <s v="female"/>
    <x v="133"/>
    <n v="110"/>
    <s v="No"/>
    <n v="0"/>
    <x v="0"/>
    <s v="southwest"/>
    <n v="11848.14"/>
    <x v="1"/>
    <n v="0"/>
    <n v="0"/>
    <n v="1"/>
    <n v="0"/>
    <n v="0.44491105691042165"/>
    <n v="0"/>
    <n v="0"/>
    <n v="1"/>
    <n v="10562.800000000003"/>
    <n v="1285.3399999999965"/>
  </r>
  <r>
    <n v="838"/>
    <n v="50"/>
    <s v="female"/>
    <x v="247"/>
    <n v="100"/>
    <s v="No"/>
    <n v="0"/>
    <x v="0"/>
    <s v="southeast"/>
    <n v="11856.41"/>
    <x v="2"/>
    <n v="0"/>
    <n v="1"/>
    <n v="0"/>
    <n v="0"/>
    <n v="0.2700266392382088"/>
    <n v="0"/>
    <n v="0"/>
    <n v="1"/>
    <n v="8760.5600000000013"/>
    <n v="3095.8499999999985"/>
  </r>
  <r>
    <n v="839"/>
    <n v="52"/>
    <s v="female"/>
    <x v="106"/>
    <n v="83"/>
    <s v="No"/>
    <n v="1"/>
    <x v="0"/>
    <s v="northeast"/>
    <n v="11879.1"/>
    <x v="1"/>
    <n v="0"/>
    <n v="0"/>
    <n v="0"/>
    <n v="0"/>
    <n v="0.88439249136102382"/>
    <n v="0"/>
    <n v="0"/>
    <n v="1"/>
    <n v="9855.09"/>
    <n v="2024.0100000000002"/>
  </r>
  <r>
    <n v="840"/>
    <n v="39"/>
    <s v="female"/>
    <x v="59"/>
    <n v="103"/>
    <s v="No"/>
    <n v="2"/>
    <x v="0"/>
    <s v="southwest"/>
    <n v="11881.36"/>
    <x v="4"/>
    <n v="0"/>
    <n v="0"/>
    <n v="1"/>
    <n v="0"/>
    <n v="0.27557332865669548"/>
    <n v="0"/>
    <n v="0"/>
    <n v="1"/>
    <n v="10614.81"/>
    <n v="1266.5500000000011"/>
  </r>
  <r>
    <n v="841"/>
    <n v="38"/>
    <s v="female"/>
    <x v="1"/>
    <n v="92"/>
    <s v="Yes"/>
    <n v="2"/>
    <x v="0"/>
    <s v="southeast"/>
    <n v="11881.97"/>
    <x v="1"/>
    <n v="0"/>
    <n v="1"/>
    <n v="0"/>
    <n v="0"/>
    <n v="0.3881577502987722"/>
    <n v="0"/>
    <n v="1"/>
    <n v="1"/>
    <n v="8137.1200000000008"/>
    <n v="3744.8499999999985"/>
  </r>
  <r>
    <n v="842"/>
    <n v="23"/>
    <s v="male"/>
    <x v="25"/>
    <n v="92"/>
    <s v="No"/>
    <n v="2"/>
    <x v="0"/>
    <s v="southeast"/>
    <n v="11884.05"/>
    <x v="0"/>
    <n v="0"/>
    <n v="1"/>
    <n v="0"/>
    <n v="0"/>
    <n v="0.67149050501760665"/>
    <n v="0"/>
    <n v="0"/>
    <n v="0"/>
    <n v="7070.7800000000007"/>
    <n v="4813.2699999999986"/>
  </r>
  <r>
    <n v="843"/>
    <n v="41"/>
    <s v="male"/>
    <x v="29"/>
    <n v="101"/>
    <s v="No"/>
    <n v="0"/>
    <x v="0"/>
    <s v="northeast"/>
    <n v="11931.13"/>
    <x v="4"/>
    <n v="0"/>
    <n v="0"/>
    <n v="0"/>
    <n v="0"/>
    <n v="0.36712993877098166"/>
    <n v="0"/>
    <n v="0"/>
    <n v="0"/>
    <n v="10943"/>
    <n v="988.1299999999992"/>
  </r>
  <r>
    <n v="844"/>
    <n v="44"/>
    <s v="male"/>
    <x v="98"/>
    <n v="102"/>
    <s v="Yes"/>
    <n v="0"/>
    <x v="0"/>
    <s v="northeast"/>
    <n v="11938.26"/>
    <x v="1"/>
    <n v="0"/>
    <n v="0"/>
    <n v="0"/>
    <n v="0"/>
    <n v="2.9130316921158861E-2"/>
    <n v="0"/>
    <n v="1"/>
    <n v="0"/>
    <n v="11465.740000000002"/>
    <n v="472.51999999999862"/>
  </r>
  <r>
    <n v="845"/>
    <n v="36"/>
    <s v="male"/>
    <x v="79"/>
    <n v="88"/>
    <s v="Yes"/>
    <n v="0"/>
    <x v="0"/>
    <s v="northeast"/>
    <n v="11944.59"/>
    <x v="1"/>
    <n v="0"/>
    <n v="0"/>
    <n v="0"/>
    <n v="0"/>
    <n v="0.3730136636609277"/>
    <n v="0"/>
    <n v="1"/>
    <n v="0"/>
    <n v="9635.02"/>
    <n v="2309.5699999999997"/>
  </r>
  <r>
    <n v="846"/>
    <n v="48"/>
    <s v="male"/>
    <x v="149"/>
    <n v="97"/>
    <s v="No"/>
    <n v="1"/>
    <x v="0"/>
    <s v="northwest"/>
    <n v="11945.13"/>
    <x v="1"/>
    <n v="0"/>
    <n v="0"/>
    <n v="0"/>
    <n v="1"/>
    <n v="3.5615093317259983E-2"/>
    <n v="0"/>
    <n v="0"/>
    <n v="0"/>
    <n v="8804.0799999999981"/>
    <n v="3141.0500000000011"/>
  </r>
  <r>
    <n v="847"/>
    <n v="45"/>
    <s v="male"/>
    <x v="76"/>
    <n v="83"/>
    <s v="No"/>
    <n v="1"/>
    <x v="0"/>
    <s v="southeast"/>
    <n v="11946.63"/>
    <x v="1"/>
    <n v="0"/>
    <n v="1"/>
    <n v="0"/>
    <n v="0"/>
    <n v="0.51623565520566395"/>
    <n v="0"/>
    <n v="0"/>
    <n v="0"/>
    <n v="5740.1700000000019"/>
    <n v="6206.4599999999973"/>
  </r>
  <r>
    <n v="848"/>
    <n v="24"/>
    <s v="male"/>
    <x v="141"/>
    <n v="81"/>
    <s v="Yes"/>
    <n v="3"/>
    <x v="0"/>
    <s v="southeast"/>
    <n v="11987.17"/>
    <x v="1"/>
    <n v="0"/>
    <n v="1"/>
    <n v="0"/>
    <n v="0"/>
    <n v="0.23467734328852707"/>
    <n v="0"/>
    <n v="1"/>
    <n v="0"/>
    <n v="7017.7400000000007"/>
    <n v="4969.4299999999994"/>
  </r>
  <r>
    <n v="849"/>
    <n v="42"/>
    <s v="female"/>
    <x v="135"/>
    <n v="99"/>
    <s v="Yes"/>
    <n v="0"/>
    <x v="0"/>
    <s v="northeast"/>
    <n v="12029.29"/>
    <x v="0"/>
    <n v="0"/>
    <n v="0"/>
    <n v="0"/>
    <n v="0"/>
    <n v="0.15631290630435757"/>
    <n v="0"/>
    <n v="1"/>
    <n v="1"/>
    <n v="10741.93"/>
    <n v="1287.3600000000006"/>
  </r>
  <r>
    <n v="850"/>
    <n v="47"/>
    <s v="female"/>
    <x v="248"/>
    <n v="99"/>
    <s v="No"/>
    <n v="1"/>
    <x v="0"/>
    <s v="southwest"/>
    <n v="12032.33"/>
    <x v="0"/>
    <n v="0"/>
    <n v="0"/>
    <n v="1"/>
    <n v="0"/>
    <n v="0.56981931243964423"/>
    <n v="0"/>
    <n v="0"/>
    <n v="1"/>
    <n v="8407.17"/>
    <n v="3625.16"/>
  </r>
  <r>
    <n v="851"/>
    <n v="31"/>
    <s v="female"/>
    <x v="130"/>
    <n v="90"/>
    <s v="Yes"/>
    <n v="1"/>
    <x v="0"/>
    <s v="northwest"/>
    <n v="12044.34"/>
    <x v="4"/>
    <n v="0"/>
    <n v="0"/>
    <n v="0"/>
    <n v="1"/>
    <n v="0.66655743491704089"/>
    <n v="0"/>
    <n v="1"/>
    <n v="1"/>
    <n v="7486.0999999999995"/>
    <n v="4558.2400000000007"/>
  </r>
  <r>
    <n v="852"/>
    <n v="42"/>
    <s v="female"/>
    <x v="41"/>
    <n v="80"/>
    <s v="Yes"/>
    <n v="3"/>
    <x v="0"/>
    <s v="southwest"/>
    <n v="12094.48"/>
    <x v="0"/>
    <n v="0"/>
    <n v="0"/>
    <n v="1"/>
    <n v="0"/>
    <n v="0.1758370926414411"/>
    <n v="0"/>
    <n v="1"/>
    <n v="1"/>
    <n v="7036.73"/>
    <n v="5057.75"/>
  </r>
  <r>
    <n v="853"/>
    <n v="30"/>
    <s v="female"/>
    <x v="55"/>
    <n v="94"/>
    <s v="No"/>
    <n v="2"/>
    <x v="0"/>
    <s v="northeast"/>
    <n v="12096.65"/>
    <x v="4"/>
    <n v="0"/>
    <n v="0"/>
    <n v="0"/>
    <n v="0"/>
    <n v="0.6208808958386387"/>
    <n v="0"/>
    <n v="0"/>
    <n v="1"/>
    <n v="12077.730000000001"/>
    <n v="18.919999999998254"/>
  </r>
  <r>
    <n v="854"/>
    <n v="27"/>
    <s v="female"/>
    <x v="169"/>
    <n v="97"/>
    <s v="Yes"/>
    <n v="3"/>
    <x v="0"/>
    <s v="southwest"/>
    <n v="12105.32"/>
    <x v="1"/>
    <n v="0"/>
    <n v="0"/>
    <n v="1"/>
    <n v="0"/>
    <n v="0.76064745322936422"/>
    <n v="0"/>
    <n v="1"/>
    <n v="1"/>
    <n v="10435.859999999999"/>
    <n v="1669.4600000000009"/>
  </r>
  <r>
    <n v="855"/>
    <n v="50"/>
    <s v="male"/>
    <x v="44"/>
    <n v="87"/>
    <s v="No"/>
    <n v="0"/>
    <x v="0"/>
    <s v="northwest"/>
    <n v="12124.99"/>
    <x v="4"/>
    <n v="0"/>
    <n v="0"/>
    <n v="0"/>
    <n v="1"/>
    <n v="0.85484743707684219"/>
    <n v="0"/>
    <n v="0"/>
    <n v="0"/>
    <n v="5774.829999999999"/>
    <n v="6350.1600000000008"/>
  </r>
  <r>
    <n v="856"/>
    <n v="23"/>
    <s v="male"/>
    <x v="92"/>
    <n v="86"/>
    <s v="No"/>
    <n v="0"/>
    <x v="0"/>
    <s v="northwest"/>
    <n v="12129.61"/>
    <x v="4"/>
    <n v="0"/>
    <n v="0"/>
    <n v="0"/>
    <n v="1"/>
    <n v="0.11407035821626643"/>
    <n v="0"/>
    <n v="0"/>
    <n v="0"/>
    <n v="5931.95"/>
    <n v="6197.6600000000008"/>
  </r>
  <r>
    <n v="857"/>
    <n v="35"/>
    <s v="male"/>
    <x v="87"/>
    <n v="90"/>
    <s v="Yes"/>
    <n v="0"/>
    <x v="0"/>
    <s v="southeast"/>
    <n v="12142.58"/>
    <x v="4"/>
    <n v="0"/>
    <n v="1"/>
    <n v="0"/>
    <n v="0"/>
    <n v="0.81184949935381856"/>
    <n v="0"/>
    <n v="1"/>
    <n v="0"/>
    <n v="5524.1500000000005"/>
    <n v="6618.4299999999994"/>
  </r>
  <r>
    <n v="858"/>
    <n v="23"/>
    <s v="male"/>
    <x v="55"/>
    <n v="83"/>
    <s v="Yes"/>
    <n v="0"/>
    <x v="0"/>
    <s v="southwest"/>
    <n v="12146.97"/>
    <x v="4"/>
    <n v="0"/>
    <n v="0"/>
    <n v="1"/>
    <n v="0"/>
    <n v="0.38622751220598472"/>
    <n v="0"/>
    <n v="1"/>
    <n v="0"/>
    <n v="5384.5999999999995"/>
    <n v="6762.37"/>
  </r>
  <r>
    <n v="859"/>
    <n v="34"/>
    <s v="female"/>
    <x v="124"/>
    <n v="96"/>
    <s v="No"/>
    <n v="0"/>
    <x v="0"/>
    <s v="northwest"/>
    <n v="12222.9"/>
    <x v="4"/>
    <n v="0"/>
    <n v="0"/>
    <n v="0"/>
    <n v="1"/>
    <n v="0.21457985102107824"/>
    <n v="0"/>
    <n v="0"/>
    <n v="1"/>
    <n v="7821.9199999999983"/>
    <n v="4400.9800000000014"/>
  </r>
  <r>
    <n v="860"/>
    <n v="33"/>
    <s v="female"/>
    <x v="96"/>
    <n v="96"/>
    <s v="Yes"/>
    <n v="0"/>
    <x v="0"/>
    <s v="northwest"/>
    <n v="12224.35"/>
    <x v="4"/>
    <n v="0"/>
    <n v="0"/>
    <n v="0"/>
    <n v="1"/>
    <n v="0.63242664423716777"/>
    <n v="0"/>
    <n v="1"/>
    <n v="1"/>
    <n v="7839.6399999999985"/>
    <n v="4384.7100000000019"/>
  </r>
  <r>
    <n v="861"/>
    <n v="37"/>
    <s v="female"/>
    <x v="134"/>
    <n v="84"/>
    <s v="Yes"/>
    <n v="0"/>
    <x v="0"/>
    <s v="northwest"/>
    <n v="12231.61"/>
    <x v="1"/>
    <n v="0"/>
    <n v="0"/>
    <n v="0"/>
    <n v="1"/>
    <n v="0.23851134087283621"/>
    <n v="0"/>
    <n v="1"/>
    <n v="1"/>
    <n v="6364.0399999999981"/>
    <n v="5867.5700000000024"/>
  </r>
  <r>
    <n v="862"/>
    <n v="44"/>
    <s v="female"/>
    <x v="180"/>
    <n v="86"/>
    <s v="Yes"/>
    <n v="0"/>
    <x v="0"/>
    <s v="southwest"/>
    <n v="12233.83"/>
    <x v="4"/>
    <n v="0"/>
    <n v="0"/>
    <n v="1"/>
    <n v="0"/>
    <n v="0.68592280372071901"/>
    <n v="0"/>
    <n v="1"/>
    <n v="1"/>
    <n v="6161.739999999998"/>
    <n v="6072.090000000002"/>
  </r>
  <r>
    <n v="863"/>
    <n v="26"/>
    <s v="female"/>
    <x v="249"/>
    <n v="80"/>
    <s v="Yes"/>
    <n v="0"/>
    <x v="0"/>
    <s v="northwest"/>
    <n v="12235.84"/>
    <x v="2"/>
    <n v="0"/>
    <n v="0"/>
    <n v="0"/>
    <n v="1"/>
    <n v="0.65672582269177926"/>
    <n v="0"/>
    <n v="1"/>
    <n v="1"/>
    <n v="6004.81"/>
    <n v="6231.03"/>
  </r>
  <r>
    <n v="864"/>
    <n v="27"/>
    <s v="female"/>
    <x v="50"/>
    <n v="83"/>
    <s v="Yes"/>
    <n v="0"/>
    <x v="0"/>
    <s v="southeast"/>
    <n v="12244.53"/>
    <x v="2"/>
    <n v="0"/>
    <n v="1"/>
    <n v="0"/>
    <n v="0"/>
    <n v="0.56601709960830304"/>
    <n v="0"/>
    <n v="1"/>
    <n v="1"/>
    <n v="5674.4600000000009"/>
    <n v="6570.07"/>
  </r>
  <r>
    <n v="865"/>
    <n v="60"/>
    <s v="female"/>
    <x v="225"/>
    <n v="97"/>
    <s v="Yes"/>
    <n v="2"/>
    <x v="0"/>
    <s v="southeast"/>
    <n v="12265.51"/>
    <x v="2"/>
    <n v="0"/>
    <n v="1"/>
    <n v="0"/>
    <n v="0"/>
    <n v="0.48267147559319312"/>
    <n v="0"/>
    <n v="1"/>
    <n v="1"/>
    <n v="9539.61"/>
    <n v="2725.8999999999996"/>
  </r>
  <r>
    <n v="866"/>
    <n v="50"/>
    <s v="female"/>
    <x v="185"/>
    <n v="86"/>
    <s v="No"/>
    <n v="2"/>
    <x v="0"/>
    <s v="northwest"/>
    <n v="12268.63"/>
    <x v="1"/>
    <n v="0"/>
    <n v="0"/>
    <n v="0"/>
    <n v="1"/>
    <n v="0.78786584708017149"/>
    <n v="0"/>
    <n v="0"/>
    <n v="1"/>
    <n v="8160.82"/>
    <n v="4107.8099999999995"/>
  </r>
  <r>
    <n v="867"/>
    <n v="59"/>
    <s v="female"/>
    <x v="250"/>
    <n v="97"/>
    <s v="No"/>
    <n v="2"/>
    <x v="0"/>
    <s v="northwest"/>
    <n v="12269.69"/>
    <x v="1"/>
    <n v="0"/>
    <n v="0"/>
    <n v="0"/>
    <n v="1"/>
    <n v="0.62647776818268586"/>
    <n v="0"/>
    <n v="0"/>
    <n v="1"/>
    <n v="9964.64"/>
    <n v="2305.0500000000011"/>
  </r>
  <r>
    <n v="868"/>
    <n v="46"/>
    <s v="male"/>
    <x v="54"/>
    <n v="84"/>
    <s v="No"/>
    <n v="0"/>
    <x v="0"/>
    <s v="northeast"/>
    <n v="12323.94"/>
    <x v="0"/>
    <n v="0"/>
    <n v="0"/>
    <n v="0"/>
    <n v="0"/>
    <n v="3.265508440635756E-2"/>
    <n v="0"/>
    <n v="0"/>
    <n v="0"/>
    <n v="8180.82"/>
    <n v="4143.1200000000008"/>
  </r>
  <r>
    <n v="869"/>
    <n v="44"/>
    <s v="male"/>
    <x v="180"/>
    <n v="104"/>
    <s v="Yes"/>
    <n v="1"/>
    <x v="0"/>
    <s v="southwest"/>
    <n v="12333.83"/>
    <x v="4"/>
    <n v="0"/>
    <n v="0"/>
    <n v="1"/>
    <n v="0"/>
    <n v="0.60774070942799052"/>
    <n v="0"/>
    <n v="1"/>
    <n v="0"/>
    <n v="9327.65"/>
    <n v="3006.1800000000003"/>
  </r>
  <r>
    <n v="870"/>
    <n v="40"/>
    <s v="male"/>
    <x v="140"/>
    <n v="84"/>
    <s v="Yes"/>
    <n v="1"/>
    <x v="0"/>
    <s v="southwest"/>
    <n v="12347.17"/>
    <x v="2"/>
    <n v="0"/>
    <n v="0"/>
    <n v="1"/>
    <n v="0"/>
    <n v="0.76945603752192837"/>
    <n v="0"/>
    <n v="1"/>
    <n v="0"/>
    <n v="6961.7699999999977"/>
    <n v="5385.4000000000024"/>
  </r>
  <r>
    <n v="871"/>
    <n v="33"/>
    <s v="male"/>
    <x v="208"/>
    <n v="80"/>
    <s v="Yes"/>
    <n v="3"/>
    <x v="0"/>
    <s v="southwest"/>
    <n v="12363.55"/>
    <x v="2"/>
    <n v="0"/>
    <n v="0"/>
    <n v="1"/>
    <n v="0"/>
    <n v="0.94902349723455848"/>
    <n v="0"/>
    <n v="1"/>
    <n v="0"/>
    <n v="7723.3499999999995"/>
    <n v="4640.2"/>
  </r>
  <r>
    <n v="872"/>
    <n v="43"/>
    <s v="male"/>
    <x v="50"/>
    <n v="107"/>
    <s v="Yes"/>
    <n v="0"/>
    <x v="0"/>
    <s v="northeast"/>
    <n v="12404.88"/>
    <x v="2"/>
    <n v="0"/>
    <n v="0"/>
    <n v="0"/>
    <n v="0"/>
    <n v="1.0232969757868471E-2"/>
    <n v="0"/>
    <n v="1"/>
    <n v="0"/>
    <n v="12683.920000000002"/>
    <n v="-279.04000000000269"/>
  </r>
  <r>
    <n v="873"/>
    <n v="36"/>
    <s v="female"/>
    <x v="68"/>
    <n v="82"/>
    <s v="Yes"/>
    <n v="0"/>
    <x v="0"/>
    <s v="northeast"/>
    <n v="12430.95"/>
    <x v="1"/>
    <n v="0"/>
    <n v="0"/>
    <n v="0"/>
    <n v="0"/>
    <n v="4.8256743821399328E-2"/>
    <n v="0"/>
    <n v="1"/>
    <n v="1"/>
    <n v="8959.9800000000014"/>
    <n v="3470.9699999999993"/>
  </r>
  <r>
    <n v="874"/>
    <n v="39"/>
    <s v="female"/>
    <x v="40"/>
    <n v="86"/>
    <s v="No"/>
    <n v="3"/>
    <x v="0"/>
    <s v="northwest"/>
    <n v="12475.35"/>
    <x v="0"/>
    <n v="0"/>
    <n v="0"/>
    <n v="0"/>
    <n v="1"/>
    <n v="0.29132089246621695"/>
    <n v="0"/>
    <n v="0"/>
    <n v="1"/>
    <n v="7946.99"/>
    <n v="4528.3600000000006"/>
  </r>
  <r>
    <n v="875"/>
    <n v="25"/>
    <s v="female"/>
    <x v="63"/>
    <n v="80"/>
    <s v="Yes"/>
    <n v="3"/>
    <x v="0"/>
    <s v="northwest"/>
    <n v="12479.71"/>
    <x v="0"/>
    <n v="0"/>
    <n v="0"/>
    <n v="0"/>
    <n v="1"/>
    <n v="0.6097265872908969"/>
    <n v="0"/>
    <n v="1"/>
    <n v="1"/>
    <n v="7203.3600000000015"/>
    <n v="5276.3499999999976"/>
  </r>
  <r>
    <n v="876"/>
    <n v="28"/>
    <s v="female"/>
    <x v="251"/>
    <n v="87"/>
    <s v="Yes"/>
    <n v="3"/>
    <x v="0"/>
    <s v="southeast"/>
    <n v="12485.8"/>
    <x v="2"/>
    <n v="0"/>
    <n v="1"/>
    <n v="0"/>
    <n v="0"/>
    <n v="0.33684331514223842"/>
    <n v="0"/>
    <n v="1"/>
    <n v="1"/>
    <n v="9005.0600000000013"/>
    <n v="3480.739999999998"/>
  </r>
  <r>
    <n v="877"/>
    <n v="33"/>
    <s v="female"/>
    <x v="159"/>
    <n v="109"/>
    <s v="No"/>
    <n v="3"/>
    <x v="0"/>
    <s v="northwest"/>
    <n v="12495.29"/>
    <x v="2"/>
    <n v="0"/>
    <n v="0"/>
    <n v="0"/>
    <n v="1"/>
    <n v="0.65014616581629514"/>
    <n v="0"/>
    <n v="0"/>
    <n v="1"/>
    <n v="12847.890000000003"/>
    <n v="-352.60000000000218"/>
  </r>
  <r>
    <n v="878"/>
    <n v="27"/>
    <s v="male"/>
    <x v="89"/>
    <n v="102"/>
    <s v="Yes"/>
    <n v="0"/>
    <x v="0"/>
    <s v="northwest"/>
    <n v="12523.6"/>
    <x v="0"/>
    <n v="0"/>
    <n v="0"/>
    <n v="0"/>
    <n v="1"/>
    <n v="0.66684184324557194"/>
    <n v="0"/>
    <n v="1"/>
    <n v="0"/>
    <n v="8026.4599999999991"/>
    <n v="4497.1400000000012"/>
  </r>
  <r>
    <n v="879"/>
    <n v="35"/>
    <s v="male"/>
    <x v="178"/>
    <n v="89"/>
    <s v="Yes"/>
    <n v="0"/>
    <x v="0"/>
    <s v="southeast"/>
    <n v="12557.61"/>
    <x v="1"/>
    <n v="0"/>
    <n v="1"/>
    <n v="0"/>
    <n v="0"/>
    <n v="0.54609929177655858"/>
    <n v="0"/>
    <n v="1"/>
    <n v="0"/>
    <n v="5869.0099999999993"/>
    <n v="6688.6000000000013"/>
  </r>
  <r>
    <n v="880"/>
    <n v="36"/>
    <s v="male"/>
    <x v="252"/>
    <n v="96"/>
    <s v="No"/>
    <n v="0"/>
    <x v="0"/>
    <s v="southwest"/>
    <n v="12574.05"/>
    <x v="2"/>
    <n v="0"/>
    <n v="0"/>
    <n v="1"/>
    <n v="0"/>
    <n v="0.28734938088017681"/>
    <n v="0"/>
    <n v="0"/>
    <n v="0"/>
    <n v="8751.4399999999987"/>
    <n v="3822.6100000000006"/>
  </r>
  <r>
    <n v="881"/>
    <n v="28"/>
    <s v="female"/>
    <x v="253"/>
    <n v="106"/>
    <s v="No"/>
    <n v="5"/>
    <x v="0"/>
    <s v="southeast"/>
    <n v="12592.53"/>
    <x v="2"/>
    <n v="0"/>
    <n v="1"/>
    <n v="0"/>
    <n v="0"/>
    <n v="0.15651143077941521"/>
    <n v="0"/>
    <n v="0"/>
    <n v="1"/>
    <n v="14095.810000000001"/>
    <n v="-1503.2800000000007"/>
  </r>
  <r>
    <n v="882"/>
    <n v="36"/>
    <s v="male"/>
    <x v="36"/>
    <n v="88"/>
    <s v="Yes"/>
    <n v="1"/>
    <x v="0"/>
    <s v="northwest"/>
    <n v="12609.89"/>
    <x v="4"/>
    <n v="0"/>
    <n v="0"/>
    <n v="0"/>
    <n v="1"/>
    <n v="0.87185986149627259"/>
    <n v="0"/>
    <n v="1"/>
    <n v="0"/>
    <n v="6732.67"/>
    <n v="5877.2199999999993"/>
  </r>
  <r>
    <n v="883"/>
    <n v="55"/>
    <s v="female"/>
    <x v="23"/>
    <n v="85"/>
    <s v="No"/>
    <n v="0"/>
    <x v="0"/>
    <s v="northwest"/>
    <n v="12622.18"/>
    <x v="1"/>
    <n v="0"/>
    <n v="0"/>
    <n v="0"/>
    <n v="1"/>
    <n v="0.83628384746608198"/>
    <n v="0"/>
    <n v="0"/>
    <n v="1"/>
    <n v="6398.65"/>
    <n v="6223.5300000000007"/>
  </r>
  <r>
    <n v="884"/>
    <n v="57"/>
    <s v="female"/>
    <x v="87"/>
    <n v="94"/>
    <s v="No"/>
    <n v="2"/>
    <x v="0"/>
    <s v="southeast"/>
    <n v="12629.17"/>
    <x v="4"/>
    <n v="0"/>
    <n v="1"/>
    <n v="0"/>
    <n v="0"/>
    <n v="0.63032729257335052"/>
    <n v="0"/>
    <n v="0"/>
    <n v="1"/>
    <n v="8124.8400000000011"/>
    <n v="4504.329999999999"/>
  </r>
  <r>
    <n v="885"/>
    <n v="57"/>
    <s v="female"/>
    <x v="107"/>
    <n v="88"/>
    <s v="Yes"/>
    <n v="0"/>
    <x v="0"/>
    <s v="southeast"/>
    <n v="12629.9"/>
    <x v="0"/>
    <n v="0"/>
    <n v="1"/>
    <n v="0"/>
    <n v="0"/>
    <n v="0.69829783954106583"/>
    <n v="0"/>
    <n v="1"/>
    <n v="1"/>
    <n v="5519.16"/>
    <n v="7110.74"/>
  </r>
  <r>
    <n v="886"/>
    <n v="28"/>
    <s v="female"/>
    <x v="85"/>
    <n v="96"/>
    <s v="No"/>
    <n v="0"/>
    <x v="0"/>
    <s v="southwest"/>
    <n v="12638.2"/>
    <x v="1"/>
    <n v="0"/>
    <n v="0"/>
    <n v="1"/>
    <n v="0"/>
    <n v="0.87423523748437371"/>
    <n v="0"/>
    <n v="0"/>
    <n v="1"/>
    <n v="8103.6799999999994"/>
    <n v="4534.5200000000013"/>
  </r>
  <r>
    <n v="887"/>
    <n v="31"/>
    <s v="female"/>
    <x v="37"/>
    <n v="86"/>
    <s v="Yes"/>
    <n v="2"/>
    <x v="0"/>
    <s v="northwest"/>
    <n v="12643.38"/>
    <x v="1"/>
    <n v="0"/>
    <n v="0"/>
    <n v="0"/>
    <n v="1"/>
    <n v="0.93124348590146011"/>
    <n v="0"/>
    <n v="1"/>
    <n v="1"/>
    <n v="8201.58"/>
    <n v="4441.7999999999993"/>
  </r>
  <r>
    <n v="888"/>
    <n v="59"/>
    <s v="female"/>
    <x v="254"/>
    <n v="84"/>
    <s v="Yes"/>
    <n v="0"/>
    <x v="0"/>
    <s v="southwest"/>
    <n v="12644.59"/>
    <x v="2"/>
    <n v="0"/>
    <n v="0"/>
    <n v="1"/>
    <n v="0"/>
    <n v="0.27101614075765446"/>
    <n v="0"/>
    <n v="1"/>
    <n v="1"/>
    <n v="6473.159999999998"/>
    <n v="6171.4300000000021"/>
  </r>
  <r>
    <n v="889"/>
    <n v="28"/>
    <s v="female"/>
    <x v="197"/>
    <n v="110"/>
    <s v="Yes"/>
    <n v="2"/>
    <x v="0"/>
    <s v="southwest"/>
    <n v="12646.21"/>
    <x v="2"/>
    <n v="0"/>
    <n v="0"/>
    <n v="1"/>
    <n v="0"/>
    <n v="0.63190453947062175"/>
    <n v="0"/>
    <n v="1"/>
    <n v="1"/>
    <n v="12386.610000000002"/>
    <n v="259.59999999999673"/>
  </r>
  <r>
    <n v="890"/>
    <n v="54"/>
    <s v="female"/>
    <x v="119"/>
    <n v="82"/>
    <s v="No"/>
    <n v="0"/>
    <x v="0"/>
    <s v="southeast"/>
    <n v="12648.7"/>
    <x v="2"/>
    <n v="0"/>
    <n v="1"/>
    <n v="0"/>
    <n v="0"/>
    <n v="0.43325474317634294"/>
    <n v="0"/>
    <n v="0"/>
    <n v="1"/>
    <n v="5797.3200000000024"/>
    <n v="6851.3799999999983"/>
  </r>
  <r>
    <n v="891"/>
    <n v="18"/>
    <s v="male"/>
    <x v="66"/>
    <n v="81"/>
    <s v="Yes"/>
    <n v="0"/>
    <x v="0"/>
    <s v="northeast"/>
    <n v="12731"/>
    <x v="4"/>
    <n v="0"/>
    <n v="0"/>
    <n v="0"/>
    <n v="0"/>
    <n v="7.4156013018717548E-2"/>
    <n v="0"/>
    <n v="1"/>
    <n v="0"/>
    <n v="8087.7800000000007"/>
    <n v="4643.2199999999993"/>
  </r>
  <r>
    <n v="892"/>
    <n v="34"/>
    <s v="male"/>
    <x v="177"/>
    <n v="92"/>
    <s v="Yes"/>
    <n v="0"/>
    <x v="0"/>
    <s v="northeast"/>
    <n v="12741.17"/>
    <x v="2"/>
    <n v="0"/>
    <n v="0"/>
    <n v="0"/>
    <n v="0"/>
    <n v="0.4584223857987898"/>
    <n v="0"/>
    <n v="1"/>
    <n v="0"/>
    <n v="10455.49"/>
    <n v="2285.6800000000003"/>
  </r>
  <r>
    <n v="893"/>
    <n v="31"/>
    <s v="female"/>
    <x v="249"/>
    <n v="99"/>
    <s v="No"/>
    <n v="0"/>
    <x v="0"/>
    <s v="northeast"/>
    <n v="12797.21"/>
    <x v="2"/>
    <n v="0"/>
    <n v="0"/>
    <n v="0"/>
    <n v="0"/>
    <n v="0.11025067952414702"/>
    <n v="0"/>
    <n v="0"/>
    <n v="1"/>
    <n v="12047.720000000001"/>
    <n v="749.48999999999796"/>
  </r>
  <r>
    <n v="894"/>
    <n v="39"/>
    <s v="female"/>
    <x v="60"/>
    <n v="94"/>
    <s v="No"/>
    <n v="0"/>
    <x v="0"/>
    <s v="northeast"/>
    <n v="12815.44"/>
    <x v="4"/>
    <n v="0"/>
    <n v="0"/>
    <n v="0"/>
    <n v="0"/>
    <n v="0.23496111797336894"/>
    <n v="0"/>
    <n v="0"/>
    <n v="1"/>
    <n v="10384.530000000002"/>
    <n v="2430.909999999998"/>
  </r>
  <r>
    <n v="895"/>
    <n v="38"/>
    <s v="male"/>
    <x v="151"/>
    <n v="82"/>
    <s v="Yes"/>
    <n v="2"/>
    <x v="1"/>
    <s v="northeast"/>
    <n v="12829.46"/>
    <x v="3"/>
    <n v="17.3"/>
    <n v="0"/>
    <n v="0"/>
    <n v="0"/>
    <n v="0.26194316172946575"/>
    <n v="1"/>
    <n v="1"/>
    <n v="0"/>
    <n v="12601.737000000003"/>
    <n v="227.72299999999632"/>
  </r>
  <r>
    <n v="896"/>
    <n v="49"/>
    <s v="male"/>
    <x v="247"/>
    <n v="102"/>
    <s v="Yes"/>
    <n v="0"/>
    <x v="0"/>
    <s v="northeast"/>
    <n v="12890.06"/>
    <x v="2"/>
    <n v="0"/>
    <n v="0"/>
    <n v="0"/>
    <n v="0"/>
    <n v="0.9652060384941652"/>
    <n v="0"/>
    <n v="1"/>
    <n v="0"/>
    <n v="12211.74"/>
    <n v="678.31999999999971"/>
  </r>
  <r>
    <n v="897"/>
    <n v="36"/>
    <s v="male"/>
    <x v="44"/>
    <n v="85"/>
    <s v="No"/>
    <n v="1"/>
    <x v="0"/>
    <s v="northeast"/>
    <n v="12913.99"/>
    <x v="4"/>
    <n v="0"/>
    <n v="0"/>
    <n v="0"/>
    <n v="0"/>
    <n v="0.12033280185023032"/>
    <n v="0"/>
    <n v="0"/>
    <n v="0"/>
    <n v="9159.8499999999985"/>
    <n v="3754.1400000000012"/>
  </r>
  <r>
    <n v="898"/>
    <n v="40"/>
    <s v="male"/>
    <x v="59"/>
    <n v="87"/>
    <s v="Yes"/>
    <n v="2"/>
    <x v="0"/>
    <s v="southeast"/>
    <n v="12925.89"/>
    <x v="4"/>
    <n v="0"/>
    <n v="1"/>
    <n v="0"/>
    <n v="0"/>
    <n v="0.30560670509688426"/>
    <n v="0"/>
    <n v="1"/>
    <n v="0"/>
    <n v="6857.46"/>
    <n v="6068.4299999999994"/>
  </r>
  <r>
    <n v="899"/>
    <n v="45"/>
    <s v="male"/>
    <x v="120"/>
    <n v="95"/>
    <s v="Yes"/>
    <n v="2"/>
    <x v="0"/>
    <s v="southeast"/>
    <n v="12928.79"/>
    <x v="1"/>
    <n v="0"/>
    <n v="1"/>
    <n v="0"/>
    <n v="0"/>
    <n v="9.3695484114280858E-2"/>
    <n v="0"/>
    <n v="1"/>
    <n v="0"/>
    <n v="8307.3300000000017"/>
    <n v="4621.4599999999991"/>
  </r>
  <r>
    <n v="900"/>
    <n v="33"/>
    <s v="male"/>
    <x v="3"/>
    <n v="98"/>
    <s v="No"/>
    <n v="4"/>
    <x v="0"/>
    <s v="southeast"/>
    <n v="12949.16"/>
    <x v="1"/>
    <n v="0"/>
    <n v="1"/>
    <n v="0"/>
    <n v="0"/>
    <n v="0.96532309120645965"/>
    <n v="0"/>
    <n v="0"/>
    <n v="0"/>
    <n v="10509.45"/>
    <n v="2439.7099999999991"/>
  </r>
  <r>
    <n v="901"/>
    <n v="40"/>
    <s v="male"/>
    <x v="162"/>
    <n v="82"/>
    <s v="No"/>
    <n v="0"/>
    <x v="0"/>
    <s v="northwest"/>
    <n v="12950.07"/>
    <x v="2"/>
    <n v="0"/>
    <n v="0"/>
    <n v="0"/>
    <n v="1"/>
    <n v="0.18407794930701193"/>
    <n v="0"/>
    <n v="0"/>
    <n v="0"/>
    <n v="6092.6300000000019"/>
    <n v="6857.4399999999978"/>
  </r>
  <r>
    <n v="902"/>
    <n v="19"/>
    <s v="male"/>
    <x v="164"/>
    <n v="85"/>
    <s v="Yes"/>
    <n v="0"/>
    <x v="0"/>
    <s v="southwest"/>
    <n v="12957.12"/>
    <x v="0"/>
    <n v="0"/>
    <n v="0"/>
    <n v="1"/>
    <n v="0"/>
    <n v="0.49534090030937328"/>
    <n v="0"/>
    <n v="1"/>
    <n v="0"/>
    <n v="5067.6499999999987"/>
    <n v="7889.4700000000021"/>
  </r>
  <r>
    <n v="903"/>
    <n v="43"/>
    <s v="male"/>
    <x v="88"/>
    <n v="81"/>
    <s v="No"/>
    <n v="0"/>
    <x v="0"/>
    <s v="southwest"/>
    <n v="12979.36"/>
    <x v="2"/>
    <n v="0"/>
    <n v="0"/>
    <n v="1"/>
    <n v="0"/>
    <n v="0.46847108415550343"/>
    <n v="0"/>
    <n v="0"/>
    <n v="0"/>
    <n v="5835.630000000001"/>
    <n v="7143.73"/>
  </r>
  <r>
    <n v="904"/>
    <n v="35"/>
    <s v="male"/>
    <x v="183"/>
    <n v="95"/>
    <s v="Yes"/>
    <n v="0"/>
    <x v="0"/>
    <s v="southeast"/>
    <n v="12981.35"/>
    <x v="2"/>
    <n v="0"/>
    <n v="1"/>
    <n v="0"/>
    <n v="0"/>
    <n v="0.23165090449093106"/>
    <n v="0"/>
    <n v="1"/>
    <n v="0"/>
    <n v="7442.1500000000005"/>
    <n v="5539.2"/>
  </r>
  <r>
    <n v="905"/>
    <n v="25"/>
    <s v="male"/>
    <x v="255"/>
    <n v="88"/>
    <s v="No"/>
    <n v="0"/>
    <x v="0"/>
    <s v="southeast"/>
    <n v="12982.87"/>
    <x v="2"/>
    <n v="0"/>
    <n v="1"/>
    <n v="0"/>
    <n v="0"/>
    <n v="0.21426170283265245"/>
    <n v="0"/>
    <n v="0"/>
    <n v="0"/>
    <n v="6500.93"/>
    <n v="6481.9400000000005"/>
  </r>
  <r>
    <n v="906"/>
    <n v="58"/>
    <s v="female"/>
    <x v="216"/>
    <n v="109"/>
    <s v="No"/>
    <n v="0"/>
    <x v="0"/>
    <s v="northwest"/>
    <n v="13012.21"/>
    <x v="0"/>
    <n v="0"/>
    <n v="0"/>
    <n v="0"/>
    <n v="1"/>
    <n v="0.71812666600129194"/>
    <n v="0"/>
    <n v="0"/>
    <n v="1"/>
    <n v="9592.27"/>
    <n v="3419.9399999999987"/>
  </r>
  <r>
    <n v="907"/>
    <n v="46"/>
    <s v="female"/>
    <x v="106"/>
    <n v="108"/>
    <s v="No"/>
    <n v="1"/>
    <x v="0"/>
    <s v="northeast"/>
    <n v="13019.16"/>
    <x v="1"/>
    <n v="0"/>
    <n v="0"/>
    <n v="0"/>
    <n v="0"/>
    <n v="0.25431175642969572"/>
    <n v="0"/>
    <n v="0"/>
    <n v="1"/>
    <n v="13852.52"/>
    <n v="-833.36000000000058"/>
  </r>
  <r>
    <n v="908"/>
    <n v="35"/>
    <s v="female"/>
    <x v="96"/>
    <n v="105"/>
    <s v="Yes"/>
    <n v="0"/>
    <x v="0"/>
    <s v="southwest"/>
    <n v="13041.92"/>
    <x v="4"/>
    <n v="0"/>
    <n v="0"/>
    <n v="1"/>
    <n v="0"/>
    <n v="0.15002031553500716"/>
    <n v="0"/>
    <n v="1"/>
    <n v="1"/>
    <n v="9265.3200000000015"/>
    <n v="3776.5999999999985"/>
  </r>
  <r>
    <n v="909"/>
    <n v="31"/>
    <s v="female"/>
    <x v="212"/>
    <n v="100"/>
    <s v="Yes"/>
    <n v="3"/>
    <x v="0"/>
    <s v="northeast"/>
    <n v="13047.33"/>
    <x v="4"/>
    <n v="0"/>
    <n v="0"/>
    <n v="0"/>
    <n v="0"/>
    <n v="0.19307596616066991"/>
    <n v="0"/>
    <n v="1"/>
    <n v="1"/>
    <n v="13403.92"/>
    <n v="-356.59000000000015"/>
  </r>
  <r>
    <n v="910"/>
    <n v="25"/>
    <s v="female"/>
    <x v="256"/>
    <n v="88"/>
    <s v="Yes"/>
    <n v="0"/>
    <x v="0"/>
    <s v="southwest"/>
    <n v="13063.88"/>
    <x v="2"/>
    <n v="0"/>
    <n v="0"/>
    <n v="1"/>
    <n v="0"/>
    <n v="0.77644822047779316"/>
    <n v="0"/>
    <n v="1"/>
    <n v="1"/>
    <n v="7915.989999999998"/>
    <n v="5147.8900000000012"/>
  </r>
  <r>
    <n v="911"/>
    <n v="23"/>
    <s v="male"/>
    <x v="89"/>
    <n v="90"/>
    <s v="No"/>
    <n v="1"/>
    <x v="0"/>
    <s v="northwest"/>
    <n v="13112.6"/>
    <x v="0"/>
    <n v="0"/>
    <n v="0"/>
    <n v="0"/>
    <n v="1"/>
    <n v="0.86519399677415587"/>
    <n v="0"/>
    <n v="0"/>
    <n v="0"/>
    <n v="6923.8"/>
    <n v="6188.8"/>
  </r>
  <r>
    <n v="912"/>
    <n v="55"/>
    <s v="female"/>
    <x v="196"/>
    <n v="105"/>
    <s v="Yes"/>
    <n v="0"/>
    <x v="0"/>
    <s v="southwest"/>
    <n v="13126.68"/>
    <x v="4"/>
    <n v="0"/>
    <n v="0"/>
    <n v="1"/>
    <n v="0"/>
    <n v="0.51517100846209429"/>
    <n v="0"/>
    <n v="1"/>
    <n v="1"/>
    <n v="9222.6200000000008"/>
    <n v="3904.0599999999995"/>
  </r>
  <r>
    <n v="913"/>
    <n v="20"/>
    <s v="male"/>
    <x v="105"/>
    <n v="89"/>
    <s v="Yes"/>
    <n v="0"/>
    <x v="0"/>
    <s v="northeast"/>
    <n v="13129.6"/>
    <x v="0"/>
    <n v="0"/>
    <n v="0"/>
    <n v="0"/>
    <n v="0"/>
    <n v="0.63677933638497053"/>
    <n v="0"/>
    <n v="1"/>
    <n v="0"/>
    <n v="8857.49"/>
    <n v="4272.1100000000006"/>
  </r>
  <r>
    <n v="914"/>
    <n v="22"/>
    <s v="male"/>
    <x v="250"/>
    <n v="101"/>
    <s v="Yes"/>
    <n v="0"/>
    <x v="0"/>
    <s v="northeast"/>
    <n v="13143.34"/>
    <x v="1"/>
    <n v="0"/>
    <n v="0"/>
    <n v="0"/>
    <n v="0"/>
    <n v="6.5971617632115342E-2"/>
    <n v="0"/>
    <n v="1"/>
    <n v="0"/>
    <n v="11607.910000000002"/>
    <n v="1535.4299999999985"/>
  </r>
  <r>
    <n v="915"/>
    <n v="19"/>
    <s v="male"/>
    <x v="141"/>
    <n v="80"/>
    <s v="Yes"/>
    <n v="0"/>
    <x v="0"/>
    <s v="northeast"/>
    <n v="13143.86"/>
    <x v="1"/>
    <n v="0"/>
    <n v="0"/>
    <n v="0"/>
    <n v="0"/>
    <n v="0.23843113837358887"/>
    <n v="0"/>
    <n v="1"/>
    <n v="0"/>
    <n v="8294.5600000000013"/>
    <n v="4849.2999999999993"/>
  </r>
  <r>
    <n v="916"/>
    <n v="49"/>
    <s v="female"/>
    <x v="238"/>
    <n v="82"/>
    <s v="Yes"/>
    <n v="0"/>
    <x v="0"/>
    <s v="northeast"/>
    <n v="13204.29"/>
    <x v="3"/>
    <n v="0"/>
    <n v="0"/>
    <n v="0"/>
    <n v="0"/>
    <n v="0.21924321541172587"/>
    <n v="0"/>
    <n v="1"/>
    <n v="1"/>
    <n v="7686.49"/>
    <n v="5517.8000000000011"/>
  </r>
  <r>
    <n v="917"/>
    <n v="43"/>
    <s v="female"/>
    <x v="13"/>
    <n v="105"/>
    <s v="Yes"/>
    <n v="0"/>
    <x v="0"/>
    <s v="northeast"/>
    <n v="13217.09"/>
    <x v="4"/>
    <n v="0"/>
    <n v="0"/>
    <n v="0"/>
    <n v="0"/>
    <n v="0.23510850089754531"/>
    <n v="0"/>
    <n v="1"/>
    <n v="1"/>
    <n v="12159.890000000001"/>
    <n v="1057.1999999999989"/>
  </r>
  <r>
    <n v="918"/>
    <n v="43"/>
    <s v="female"/>
    <x v="193"/>
    <n v="91"/>
    <s v="Yes"/>
    <n v="2"/>
    <x v="0"/>
    <s v="northeast"/>
    <n v="13224.06"/>
    <x v="1"/>
    <n v="0"/>
    <n v="0"/>
    <n v="0"/>
    <n v="0"/>
    <n v="0.53690233532140907"/>
    <n v="0"/>
    <n v="1"/>
    <n v="1"/>
    <n v="11974.960000000001"/>
    <n v="1249.0999999999985"/>
  </r>
  <r>
    <n v="919"/>
    <n v="56"/>
    <s v="female"/>
    <x v="14"/>
    <n v="95"/>
    <s v="No"/>
    <n v="1"/>
    <x v="0"/>
    <s v="southwest"/>
    <n v="13224.69"/>
    <x v="4"/>
    <n v="0"/>
    <n v="0"/>
    <n v="1"/>
    <n v="0"/>
    <n v="0.79010891190149601"/>
    <n v="0"/>
    <n v="0"/>
    <n v="1"/>
    <n v="8492.59"/>
    <n v="4732.1000000000004"/>
  </r>
  <r>
    <n v="920"/>
    <n v="48"/>
    <s v="female"/>
    <x v="93"/>
    <n v="83"/>
    <s v="No"/>
    <n v="0"/>
    <x v="0"/>
    <s v="northeast"/>
    <n v="13228.85"/>
    <x v="2"/>
    <n v="0"/>
    <n v="0"/>
    <n v="0"/>
    <n v="0"/>
    <n v="0.20169692900239011"/>
    <n v="0"/>
    <n v="0"/>
    <n v="1"/>
    <n v="9429.7700000000023"/>
    <n v="3799.0799999999981"/>
  </r>
  <r>
    <n v="921"/>
    <n v="38"/>
    <s v="male"/>
    <x v="49"/>
    <n v="110"/>
    <s v="Yes"/>
    <n v="0"/>
    <x v="0"/>
    <s v="northwest"/>
    <n v="13352.1"/>
    <x v="1"/>
    <n v="0"/>
    <n v="0"/>
    <n v="0"/>
    <n v="1"/>
    <n v="0.88106296974787812"/>
    <n v="0"/>
    <n v="1"/>
    <n v="0"/>
    <n v="9776.4500000000025"/>
    <n v="3575.6499999999978"/>
  </r>
  <r>
    <n v="922"/>
    <n v="27"/>
    <s v="male"/>
    <x v="169"/>
    <n v="98"/>
    <s v="No"/>
    <n v="0"/>
    <x v="0"/>
    <s v="southwest"/>
    <n v="13390.56"/>
    <x v="1"/>
    <n v="0"/>
    <n v="0"/>
    <n v="1"/>
    <n v="0"/>
    <n v="0.33757382996327667"/>
    <n v="0"/>
    <n v="0"/>
    <n v="0"/>
    <n v="8004.8399999999983"/>
    <n v="5385.7200000000012"/>
  </r>
  <r>
    <n v="923"/>
    <n v="28"/>
    <s v="male"/>
    <x v="133"/>
    <n v="84"/>
    <s v="No"/>
    <n v="0"/>
    <x v="0"/>
    <s v="southwest"/>
    <n v="13393.76"/>
    <x v="1"/>
    <n v="0"/>
    <n v="0"/>
    <n v="1"/>
    <n v="0"/>
    <n v="0.27281154941150765"/>
    <n v="0"/>
    <n v="0"/>
    <n v="0"/>
    <n v="5965.9499999999989"/>
    <n v="7427.8100000000013"/>
  </r>
  <r>
    <n v="924"/>
    <n v="45"/>
    <s v="male"/>
    <x v="230"/>
    <n v="103"/>
    <s v="Yes"/>
    <n v="0"/>
    <x v="0"/>
    <s v="southeast"/>
    <n v="13405.39"/>
    <x v="2"/>
    <n v="0"/>
    <n v="1"/>
    <n v="0"/>
    <n v="0"/>
    <n v="0.74609605079900654"/>
    <n v="0"/>
    <n v="1"/>
    <n v="0"/>
    <n v="8936.92"/>
    <n v="4468.4699999999993"/>
  </r>
  <r>
    <n v="925"/>
    <n v="45"/>
    <s v="female"/>
    <x v="205"/>
    <n v="94"/>
    <s v="No"/>
    <n v="0"/>
    <x v="0"/>
    <s v="northwest"/>
    <n v="13415.04"/>
    <x v="0"/>
    <n v="0"/>
    <n v="0"/>
    <n v="0"/>
    <n v="1"/>
    <n v="0.21434523709053288"/>
    <n v="0"/>
    <n v="0"/>
    <n v="1"/>
    <n v="6967.1100000000006"/>
    <n v="6447.93"/>
  </r>
  <r>
    <n v="926"/>
    <n v="42"/>
    <s v="female"/>
    <x v="155"/>
    <n v="92"/>
    <s v="Yes"/>
    <n v="0"/>
    <x v="0"/>
    <s v="northwest"/>
    <n v="13429.04"/>
    <x v="1"/>
    <n v="0"/>
    <n v="0"/>
    <n v="0"/>
    <n v="1"/>
    <n v="0.46722964356807606"/>
    <n v="0"/>
    <n v="1"/>
    <n v="1"/>
    <n v="7446.2599999999993"/>
    <n v="5982.7800000000016"/>
  </r>
  <r>
    <n v="927"/>
    <n v="51"/>
    <s v="female"/>
    <x v="198"/>
    <n v="83"/>
    <s v="Yes"/>
    <n v="3"/>
    <x v="0"/>
    <s v="northeast"/>
    <n v="13430.27"/>
    <x v="1"/>
    <n v="0"/>
    <n v="0"/>
    <n v="0"/>
    <n v="0"/>
    <n v="4.267069599429052E-2"/>
    <n v="0"/>
    <n v="1"/>
    <n v="1"/>
    <n v="11255.240000000003"/>
    <n v="2175.029999999997"/>
  </r>
  <r>
    <n v="928"/>
    <n v="31"/>
    <s v="female"/>
    <x v="203"/>
    <n v="93"/>
    <s v="Yes"/>
    <n v="0"/>
    <x v="0"/>
    <s v="southwest"/>
    <n v="13451.12"/>
    <x v="4"/>
    <n v="0"/>
    <n v="0"/>
    <n v="1"/>
    <n v="0"/>
    <n v="0.55735996650546471"/>
    <n v="0"/>
    <n v="1"/>
    <n v="1"/>
    <n v="7081.7599999999984"/>
    <n v="6369.3600000000024"/>
  </r>
  <r>
    <n v="929"/>
    <n v="53"/>
    <s v="female"/>
    <x v="123"/>
    <n v="87"/>
    <s v="No"/>
    <n v="0"/>
    <x v="0"/>
    <s v="southeast"/>
    <n v="13457.96"/>
    <x v="4"/>
    <n v="0"/>
    <n v="1"/>
    <n v="0"/>
    <n v="0"/>
    <n v="0.37506707162587316"/>
    <n v="0"/>
    <n v="0"/>
    <n v="1"/>
    <n v="5895.45"/>
    <n v="7562.5099999999993"/>
  </r>
  <r>
    <n v="930"/>
    <n v="26"/>
    <s v="female"/>
    <x v="100"/>
    <n v="106"/>
    <s v="No"/>
    <n v="0"/>
    <x v="0"/>
    <s v="southwest"/>
    <n v="13462.52"/>
    <x v="1"/>
    <n v="0"/>
    <n v="0"/>
    <n v="1"/>
    <n v="0"/>
    <n v="0.81237987847671445"/>
    <n v="0"/>
    <n v="0"/>
    <n v="1"/>
    <n v="9932.9900000000016"/>
    <n v="3529.5299999999988"/>
  </r>
  <r>
    <n v="931"/>
    <n v="32"/>
    <s v="female"/>
    <x v="31"/>
    <n v="96"/>
    <s v="Yes"/>
    <n v="0"/>
    <x v="0"/>
    <s v="southeast"/>
    <n v="13470.8"/>
    <x v="2"/>
    <n v="0"/>
    <n v="1"/>
    <n v="0"/>
    <n v="0"/>
    <n v="0.97131968098410204"/>
    <n v="0"/>
    <n v="1"/>
    <n v="1"/>
    <n v="8084.73"/>
    <n v="5386.07"/>
  </r>
  <r>
    <n v="932"/>
    <n v="40"/>
    <s v="female"/>
    <x v="31"/>
    <n v="84"/>
    <s v="No"/>
    <n v="0"/>
    <x v="0"/>
    <s v="southwest"/>
    <n v="13470.86"/>
    <x v="2"/>
    <n v="0"/>
    <n v="0"/>
    <n v="1"/>
    <n v="0"/>
    <n v="0.31516937046112858"/>
    <n v="0"/>
    <n v="0"/>
    <n v="1"/>
    <n v="6917.0899999999992"/>
    <n v="6553.7700000000013"/>
  </r>
  <r>
    <n v="933"/>
    <n v="47"/>
    <s v="male"/>
    <x v="80"/>
    <n v="91"/>
    <s v="No"/>
    <n v="0"/>
    <x v="0"/>
    <s v="northeast"/>
    <n v="13555"/>
    <x v="1"/>
    <n v="0"/>
    <n v="0"/>
    <n v="0"/>
    <n v="0"/>
    <n v="0.43655620600087919"/>
    <n v="0"/>
    <n v="0"/>
    <n v="0"/>
    <n v="9929.3700000000008"/>
    <n v="3625.6299999999992"/>
  </r>
  <r>
    <n v="934"/>
    <n v="28"/>
    <s v="female"/>
    <x v="120"/>
    <n v="110"/>
    <s v="Yes"/>
    <n v="2"/>
    <x v="0"/>
    <s v="northeast"/>
    <n v="13607.37"/>
    <x v="1"/>
    <n v="0"/>
    <n v="0"/>
    <n v="0"/>
    <n v="0"/>
    <n v="0.15893845700649212"/>
    <n v="0"/>
    <n v="1"/>
    <n v="1"/>
    <n v="14812.620000000003"/>
    <n v="-1205.2500000000018"/>
  </r>
  <r>
    <n v="935"/>
    <n v="41"/>
    <s v="female"/>
    <x v="71"/>
    <n v="89"/>
    <s v="No"/>
    <n v="0"/>
    <x v="0"/>
    <s v="northeast"/>
    <n v="13616.36"/>
    <x v="0"/>
    <n v="0"/>
    <n v="0"/>
    <n v="0"/>
    <n v="0"/>
    <n v="0.70221798288120807"/>
    <n v="0"/>
    <n v="0"/>
    <n v="1"/>
    <n v="9199.27"/>
    <n v="4417.09"/>
  </r>
  <r>
    <n v="936"/>
    <n v="59"/>
    <s v="female"/>
    <x v="77"/>
    <n v="89"/>
    <s v="No"/>
    <n v="0"/>
    <x v="0"/>
    <s v="northeast"/>
    <n v="13635.64"/>
    <x v="2"/>
    <n v="0"/>
    <n v="0"/>
    <n v="0"/>
    <n v="0"/>
    <n v="0.50868910611027074"/>
    <n v="0"/>
    <n v="0"/>
    <n v="1"/>
    <n v="10364.68"/>
    <n v="3270.9599999999991"/>
  </r>
  <r>
    <n v="937"/>
    <n v="55"/>
    <s v="female"/>
    <x v="25"/>
    <n v="93"/>
    <s v="No"/>
    <n v="1"/>
    <x v="0"/>
    <s v="northeast"/>
    <n v="13725.47"/>
    <x v="0"/>
    <n v="0"/>
    <n v="0"/>
    <n v="0"/>
    <n v="0"/>
    <n v="0.54505613814344023"/>
    <n v="0"/>
    <n v="0"/>
    <n v="1"/>
    <n v="10540.850000000002"/>
    <n v="3184.6199999999972"/>
  </r>
  <r>
    <n v="938"/>
    <n v="33"/>
    <s v="male"/>
    <x v="236"/>
    <n v="106"/>
    <s v="Yes"/>
    <n v="0"/>
    <x v="1"/>
    <s v="northeast"/>
    <n v="13747.87"/>
    <x v="0"/>
    <n v="21.6"/>
    <n v="0"/>
    <n v="0"/>
    <n v="0"/>
    <n v="0.80577768373692138"/>
    <n v="1"/>
    <n v="1"/>
    <n v="0"/>
    <n v="20743.984000000008"/>
    <n v="-6996.1140000000069"/>
  </r>
  <r>
    <n v="939"/>
    <n v="30"/>
    <s v="male"/>
    <x v="117"/>
    <n v="85"/>
    <s v="No"/>
    <n v="0"/>
    <x v="0"/>
    <s v="northwest"/>
    <n v="13770.1"/>
    <x v="4"/>
    <n v="0"/>
    <n v="0"/>
    <n v="0"/>
    <n v="1"/>
    <n v="7.7440907976642159E-2"/>
    <n v="0"/>
    <n v="0"/>
    <n v="0"/>
    <n v="5720.6500000000005"/>
    <n v="8049.45"/>
  </r>
  <r>
    <n v="940"/>
    <n v="24"/>
    <s v="male"/>
    <x v="128"/>
    <n v="95"/>
    <s v="No"/>
    <n v="0"/>
    <x v="0"/>
    <s v="southwest"/>
    <n v="13822.8"/>
    <x v="1"/>
    <n v="0"/>
    <n v="0"/>
    <n v="1"/>
    <n v="0"/>
    <n v="0.53734820507180048"/>
    <n v="0"/>
    <n v="0"/>
    <n v="0"/>
    <n v="7846.26"/>
    <n v="5976.5399999999991"/>
  </r>
  <r>
    <n v="941"/>
    <n v="43"/>
    <s v="male"/>
    <x v="58"/>
    <n v="99"/>
    <s v="Yes"/>
    <n v="0"/>
    <x v="0"/>
    <s v="southeast"/>
    <n v="13831.12"/>
    <x v="2"/>
    <n v="0"/>
    <n v="1"/>
    <n v="0"/>
    <n v="0"/>
    <n v="0.33361037022715134"/>
    <n v="0"/>
    <n v="1"/>
    <n v="0"/>
    <n v="8215.6200000000008"/>
    <n v="5615.5"/>
  </r>
  <r>
    <n v="942"/>
    <n v="52"/>
    <s v="female"/>
    <x v="257"/>
    <n v="81"/>
    <s v="Yes"/>
    <n v="0"/>
    <x v="1"/>
    <s v="southwest"/>
    <n v="13844.51"/>
    <x v="0"/>
    <n v="21.7"/>
    <n v="0"/>
    <n v="1"/>
    <n v="0"/>
    <n v="0.37052939129644424"/>
    <n v="1"/>
    <n v="1"/>
    <n v="1"/>
    <n v="14353.223"/>
    <n v="-508.71299999999974"/>
  </r>
  <r>
    <n v="943"/>
    <n v="34"/>
    <s v="female"/>
    <x v="112"/>
    <n v="110"/>
    <s v="Yes"/>
    <n v="0"/>
    <x v="0"/>
    <s v="northwest"/>
    <n v="13844.8"/>
    <x v="1"/>
    <n v="0"/>
    <n v="0"/>
    <n v="0"/>
    <n v="1"/>
    <n v="0.85519311140104637"/>
    <n v="0"/>
    <n v="1"/>
    <n v="1"/>
    <n v="10457.370000000001"/>
    <n v="3387.4299999999985"/>
  </r>
  <r>
    <n v="944"/>
    <n v="35"/>
    <s v="female"/>
    <x v="120"/>
    <n v="95"/>
    <s v="No"/>
    <n v="0"/>
    <x v="0"/>
    <s v="southwest"/>
    <n v="13880.95"/>
    <x v="1"/>
    <n v="0"/>
    <n v="0"/>
    <n v="1"/>
    <n v="0"/>
    <n v="0.5168127002072419"/>
    <n v="0"/>
    <n v="0"/>
    <n v="1"/>
    <n v="8046.28"/>
    <n v="5834.670000000001"/>
  </r>
  <r>
    <n v="945"/>
    <n v="57"/>
    <s v="female"/>
    <x v="202"/>
    <n v="98"/>
    <s v="Yes"/>
    <n v="0"/>
    <x v="0"/>
    <s v="southeast"/>
    <n v="13887.2"/>
    <x v="2"/>
    <n v="0"/>
    <n v="1"/>
    <n v="0"/>
    <n v="0"/>
    <n v="0.86529589158780673"/>
    <n v="0"/>
    <n v="1"/>
    <n v="1"/>
    <n v="8123.9599999999991"/>
    <n v="5763.2400000000016"/>
  </r>
  <r>
    <n v="946"/>
    <n v="57"/>
    <s v="female"/>
    <x v="19"/>
    <n v="88"/>
    <s v="Yes"/>
    <n v="0"/>
    <x v="0"/>
    <s v="southeast"/>
    <n v="13887.97"/>
    <x v="2"/>
    <n v="0"/>
    <n v="1"/>
    <n v="0"/>
    <n v="0"/>
    <n v="0.67523805168433026"/>
    <n v="0"/>
    <n v="1"/>
    <n v="1"/>
    <n v="6579.3600000000006"/>
    <n v="7308.6099999999988"/>
  </r>
  <r>
    <n v="947"/>
    <n v="20"/>
    <s v="male"/>
    <x v="133"/>
    <n v="99"/>
    <s v="No"/>
    <n v="3"/>
    <x v="0"/>
    <s v="southeast"/>
    <n v="13919.82"/>
    <x v="1"/>
    <n v="0"/>
    <n v="1"/>
    <n v="0"/>
    <n v="0"/>
    <n v="0.37795639960279548"/>
    <n v="0"/>
    <n v="0"/>
    <n v="0"/>
    <n v="9896.14"/>
    <n v="4023.6800000000003"/>
  </r>
  <r>
    <n v="948"/>
    <n v="33"/>
    <s v="male"/>
    <x v="13"/>
    <n v="109"/>
    <s v="No"/>
    <n v="1"/>
    <x v="0"/>
    <s v="northwest"/>
    <n v="13937.67"/>
    <x v="4"/>
    <n v="0"/>
    <n v="0"/>
    <n v="0"/>
    <n v="1"/>
    <n v="0.81285203661017447"/>
    <n v="0"/>
    <n v="0"/>
    <n v="0"/>
    <n v="10225.36"/>
    <n v="3712.3099999999995"/>
  </r>
  <r>
    <n v="949"/>
    <n v="31"/>
    <s v="male"/>
    <x v="23"/>
    <n v="82"/>
    <s v="No"/>
    <n v="0"/>
    <x v="0"/>
    <s v="northeast"/>
    <n v="13974.46"/>
    <x v="1"/>
    <n v="0"/>
    <n v="0"/>
    <n v="0"/>
    <n v="0"/>
    <n v="0.35173578195728805"/>
    <n v="0"/>
    <n v="0"/>
    <n v="0"/>
    <n v="8453.69"/>
    <n v="5520.7699999999986"/>
  </r>
  <r>
    <n v="950"/>
    <n v="43"/>
    <s v="male"/>
    <x v="258"/>
    <n v="85"/>
    <s v="No"/>
    <n v="0"/>
    <x v="0"/>
    <s v="northeast"/>
    <n v="13981.85"/>
    <x v="2"/>
    <n v="0"/>
    <n v="0"/>
    <n v="0"/>
    <n v="0"/>
    <n v="3.9566532683810496E-2"/>
    <n v="0"/>
    <n v="0"/>
    <n v="0"/>
    <n v="9378.7999999999993"/>
    <n v="4603.0500000000011"/>
  </r>
  <r>
    <n v="951"/>
    <n v="32"/>
    <s v="female"/>
    <x v="110"/>
    <n v="86"/>
    <s v="Yes"/>
    <n v="3"/>
    <x v="0"/>
    <s v="southeast"/>
    <n v="14001.13"/>
    <x v="4"/>
    <n v="0"/>
    <n v="1"/>
    <n v="0"/>
    <n v="0"/>
    <n v="0.2341916775828472"/>
    <n v="0"/>
    <n v="1"/>
    <n v="1"/>
    <n v="7720.2999999999993"/>
    <n v="6280.83"/>
  </r>
  <r>
    <n v="952"/>
    <n v="50"/>
    <s v="female"/>
    <x v="34"/>
    <n v="80"/>
    <s v="Yes"/>
    <n v="3"/>
    <x v="0"/>
    <s v="southeast"/>
    <n v="14001.29"/>
    <x v="4"/>
    <n v="0"/>
    <n v="1"/>
    <n v="0"/>
    <n v="0"/>
    <n v="0.27711184503055286"/>
    <n v="0"/>
    <n v="1"/>
    <n v="1"/>
    <n v="6748.27"/>
    <n v="7253.02"/>
  </r>
  <r>
    <n v="953"/>
    <n v="41"/>
    <s v="female"/>
    <x v="80"/>
    <n v="109"/>
    <s v="Yes"/>
    <n v="3"/>
    <x v="0"/>
    <s v="southwest"/>
    <n v="14007.22"/>
    <x v="1"/>
    <n v="0"/>
    <n v="0"/>
    <n v="1"/>
    <n v="0"/>
    <n v="0.68007771323331123"/>
    <n v="0"/>
    <n v="1"/>
    <n v="1"/>
    <n v="12444.170000000004"/>
    <n v="1563.0499999999956"/>
  </r>
  <r>
    <n v="954"/>
    <n v="42"/>
    <s v="female"/>
    <x v="103"/>
    <n v="83"/>
    <s v="No"/>
    <n v="0"/>
    <x v="0"/>
    <s v="northeast"/>
    <n v="14043.48"/>
    <x v="1"/>
    <n v="0"/>
    <n v="0"/>
    <n v="0"/>
    <n v="0"/>
    <n v="0.96626020402871127"/>
    <n v="0"/>
    <n v="0"/>
    <n v="1"/>
    <n v="9069.8000000000011"/>
    <n v="4973.6799999999985"/>
  </r>
  <r>
    <n v="955"/>
    <n v="24"/>
    <s v="male"/>
    <x v="198"/>
    <n v="97"/>
    <s v="No"/>
    <n v="2"/>
    <x v="0"/>
    <s v="northwest"/>
    <n v="14119.62"/>
    <x v="1"/>
    <n v="0"/>
    <n v="0"/>
    <n v="0"/>
    <n v="1"/>
    <n v="0.55645393721545588"/>
    <n v="0"/>
    <n v="0"/>
    <n v="0"/>
    <n v="9461.89"/>
    <n v="4657.7300000000014"/>
  </r>
  <r>
    <n v="956"/>
    <n v="30"/>
    <s v="female"/>
    <x v="28"/>
    <n v="98"/>
    <s v="No"/>
    <n v="0"/>
    <x v="0"/>
    <s v="southeast"/>
    <n v="14133.04"/>
    <x v="2"/>
    <n v="0"/>
    <n v="1"/>
    <n v="0"/>
    <n v="0"/>
    <n v="0.35514705647076883"/>
    <n v="0"/>
    <n v="0"/>
    <n v="1"/>
    <n v="8398.5800000000017"/>
    <n v="5734.4599999999991"/>
  </r>
  <r>
    <n v="957"/>
    <n v="47"/>
    <s v="male"/>
    <x v="201"/>
    <n v="103"/>
    <s v="No"/>
    <n v="0"/>
    <x v="0"/>
    <s v="northwest"/>
    <n v="14210.54"/>
    <x v="2"/>
    <n v="0"/>
    <n v="0"/>
    <n v="0"/>
    <n v="1"/>
    <n v="5.8230130808359926E-3"/>
    <n v="0"/>
    <n v="0"/>
    <n v="0"/>
    <n v="9392.3100000000013"/>
    <n v="4818.2299999999996"/>
  </r>
  <r>
    <n v="958"/>
    <n v="56"/>
    <s v="female"/>
    <x v="247"/>
    <n v="83"/>
    <s v="No"/>
    <n v="2"/>
    <x v="0"/>
    <s v="southwest"/>
    <n v="14235.07"/>
    <x v="2"/>
    <n v="0"/>
    <n v="0"/>
    <n v="1"/>
    <n v="0"/>
    <n v="0.51784336309089884"/>
    <n v="0"/>
    <n v="0"/>
    <n v="1"/>
    <n v="8204.9500000000007"/>
    <n v="6030.119999999999"/>
  </r>
  <r>
    <n v="959"/>
    <n v="28"/>
    <s v="female"/>
    <x v="94"/>
    <n v="103"/>
    <s v="No"/>
    <n v="0"/>
    <x v="0"/>
    <s v="northwest"/>
    <n v="14254.61"/>
    <x v="4"/>
    <n v="0"/>
    <n v="0"/>
    <n v="0"/>
    <n v="1"/>
    <n v="0.47051117616848548"/>
    <n v="0"/>
    <n v="0"/>
    <n v="1"/>
    <n v="8767.18"/>
    <n v="5487.43"/>
  </r>
  <r>
    <n v="960"/>
    <n v="51"/>
    <s v="female"/>
    <x v="104"/>
    <n v="106"/>
    <s v="Yes"/>
    <n v="0"/>
    <x v="0"/>
    <s v="northwest"/>
    <n v="14256.19"/>
    <x v="4"/>
    <n v="0"/>
    <n v="0"/>
    <n v="0"/>
    <n v="1"/>
    <n v="0.27221603184700416"/>
    <n v="0"/>
    <n v="1"/>
    <n v="1"/>
    <n v="9241.5000000000018"/>
    <n v="5014.6899999999987"/>
  </r>
  <r>
    <n v="961"/>
    <n v="48"/>
    <s v="female"/>
    <x v="257"/>
    <n v="90"/>
    <s v="Yes"/>
    <n v="0"/>
    <x v="1"/>
    <s v="northeast"/>
    <n v="14283.46"/>
    <x v="0"/>
    <n v="21.7"/>
    <n v="0"/>
    <n v="0"/>
    <n v="0"/>
    <n v="0.58504950578947934"/>
    <n v="1"/>
    <n v="1"/>
    <n v="1"/>
    <n v="18750.762999999999"/>
    <n v="-4467.3029999999999"/>
  </r>
  <r>
    <n v="962"/>
    <n v="38"/>
    <s v="female"/>
    <x v="93"/>
    <n v="83"/>
    <s v="No"/>
    <n v="0"/>
    <x v="0"/>
    <s v="southeast"/>
    <n v="14313.85"/>
    <x v="2"/>
    <n v="0"/>
    <n v="1"/>
    <n v="0"/>
    <n v="0"/>
    <n v="0.79324010131896083"/>
    <n v="0"/>
    <n v="0"/>
    <n v="1"/>
    <n v="5797.8400000000011"/>
    <n v="8516.0099999999984"/>
  </r>
  <r>
    <n v="963"/>
    <n v="38"/>
    <s v="female"/>
    <x v="227"/>
    <n v="98"/>
    <s v="No"/>
    <n v="0"/>
    <x v="0"/>
    <s v="southwest"/>
    <n v="14319.03"/>
    <x v="2"/>
    <n v="0"/>
    <n v="0"/>
    <n v="1"/>
    <n v="0"/>
    <n v="0.66233641844067193"/>
    <n v="0"/>
    <n v="0"/>
    <n v="1"/>
    <n v="9196.66"/>
    <n v="5122.3700000000008"/>
  </r>
  <r>
    <n v="964"/>
    <n v="40"/>
    <s v="male"/>
    <x v="257"/>
    <n v="107"/>
    <s v="Yes"/>
    <n v="1"/>
    <x v="0"/>
    <s v="northwest"/>
    <n v="14349.85"/>
    <x v="0"/>
    <n v="0"/>
    <n v="0"/>
    <n v="0"/>
    <n v="1"/>
    <n v="0.22961055517788787"/>
    <n v="0"/>
    <n v="1"/>
    <n v="0"/>
    <n v="9323.7100000000009"/>
    <n v="5026.1399999999994"/>
  </r>
  <r>
    <n v="965"/>
    <n v="44"/>
    <s v="male"/>
    <x v="185"/>
    <n v="89"/>
    <s v="Yes"/>
    <n v="1"/>
    <x v="0"/>
    <s v="southwest"/>
    <n v="14358.36"/>
    <x v="1"/>
    <n v="0"/>
    <n v="0"/>
    <n v="1"/>
    <n v="0"/>
    <n v="0.87711134035770899"/>
    <n v="0"/>
    <n v="1"/>
    <n v="0"/>
    <n v="7386.949999999998"/>
    <n v="6971.4100000000026"/>
  </r>
  <r>
    <n v="966"/>
    <n v="41"/>
    <s v="female"/>
    <x v="21"/>
    <n v="94"/>
    <s v="Yes"/>
    <n v="3"/>
    <x v="0"/>
    <s v="northwest"/>
    <n v="14382.71"/>
    <x v="4"/>
    <n v="0"/>
    <n v="0"/>
    <n v="0"/>
    <n v="1"/>
    <n v="8.1380757050708019E-2"/>
    <n v="0"/>
    <n v="1"/>
    <n v="1"/>
    <n v="9596.69"/>
    <n v="4786.0199999999986"/>
  </r>
  <r>
    <n v="967"/>
    <n v="45"/>
    <s v="female"/>
    <x v="92"/>
    <n v="101"/>
    <s v="No"/>
    <n v="4"/>
    <x v="0"/>
    <s v="northeast"/>
    <n v="14394.4"/>
    <x v="4"/>
    <n v="0"/>
    <n v="0"/>
    <n v="0"/>
    <n v="0"/>
    <n v="0.36979829112630613"/>
    <n v="0"/>
    <n v="0"/>
    <n v="1"/>
    <n v="14643.59"/>
    <n v="-249.19000000000051"/>
  </r>
  <r>
    <n v="968"/>
    <n v="45"/>
    <s v="male"/>
    <x v="116"/>
    <n v="103"/>
    <s v="Yes"/>
    <n v="0"/>
    <x v="0"/>
    <s v="northeast"/>
    <n v="14394.56"/>
    <x v="4"/>
    <n v="0"/>
    <n v="0"/>
    <n v="0"/>
    <n v="0"/>
    <n v="0.10363269303546785"/>
    <n v="0"/>
    <n v="1"/>
    <n v="0"/>
    <n v="11290.6"/>
    <n v="3103.9599999999991"/>
  </r>
  <r>
    <n v="969"/>
    <n v="37"/>
    <s v="male"/>
    <x v="27"/>
    <n v="97"/>
    <s v="Yes"/>
    <n v="0"/>
    <x v="0"/>
    <s v="northeast"/>
    <n v="14410.93"/>
    <x v="2"/>
    <n v="0"/>
    <n v="0"/>
    <n v="0"/>
    <n v="0"/>
    <n v="0.12836309872921414"/>
    <n v="0"/>
    <n v="1"/>
    <n v="0"/>
    <n v="11352.2"/>
    <n v="3058.7299999999996"/>
  </r>
  <r>
    <n v="970"/>
    <n v="31"/>
    <s v="male"/>
    <x v="31"/>
    <n v="91"/>
    <s v="No"/>
    <n v="1"/>
    <x v="0"/>
    <s v="southeast"/>
    <n v="14418.28"/>
    <x v="2"/>
    <n v="0"/>
    <n v="1"/>
    <n v="0"/>
    <n v="0"/>
    <n v="0.4083288455632359"/>
    <n v="0"/>
    <n v="0"/>
    <n v="0"/>
    <n v="7650.41"/>
    <n v="6767.8700000000008"/>
  </r>
  <r>
    <n v="971"/>
    <n v="41"/>
    <s v="female"/>
    <x v="0"/>
    <n v="98"/>
    <s v="No"/>
    <n v="2"/>
    <x v="0"/>
    <s v="northwest"/>
    <n v="14426.07"/>
    <x v="0"/>
    <n v="0"/>
    <n v="0"/>
    <n v="0"/>
    <n v="1"/>
    <n v="7.0402505201881738E-2"/>
    <n v="0"/>
    <n v="0"/>
    <n v="1"/>
    <n v="9266.619999999999"/>
    <n v="5159.4500000000007"/>
  </r>
  <r>
    <n v="972"/>
    <n v="56"/>
    <s v="female"/>
    <x v="257"/>
    <n v="89"/>
    <s v="Yes"/>
    <n v="0"/>
    <x v="0"/>
    <s v="northeast"/>
    <n v="14449.85"/>
    <x v="0"/>
    <n v="0"/>
    <n v="0"/>
    <n v="0"/>
    <n v="0"/>
    <n v="0.43321709336639269"/>
    <n v="0"/>
    <n v="1"/>
    <n v="1"/>
    <n v="9085.36"/>
    <n v="5364.49"/>
  </r>
  <r>
    <n v="973"/>
    <n v="47"/>
    <s v="female"/>
    <x v="42"/>
    <n v="92"/>
    <s v="No"/>
    <n v="0"/>
    <x v="0"/>
    <s v="northeast"/>
    <n v="14451.84"/>
    <x v="0"/>
    <n v="0"/>
    <n v="0"/>
    <n v="0"/>
    <n v="0"/>
    <n v="0.50179426103736979"/>
    <n v="0"/>
    <n v="0"/>
    <n v="1"/>
    <n v="9764.4100000000017"/>
    <n v="4687.4299999999985"/>
  </r>
  <r>
    <n v="974"/>
    <n v="52"/>
    <s v="female"/>
    <x v="259"/>
    <n v="80"/>
    <s v="Yes"/>
    <n v="2"/>
    <x v="1"/>
    <s v="northeast"/>
    <n v="14455.64"/>
    <x v="3"/>
    <n v="17.2"/>
    <n v="0"/>
    <n v="0"/>
    <n v="0"/>
    <n v="0.56713113545246385"/>
    <n v="1"/>
    <n v="1"/>
    <n v="1"/>
    <n v="12575.118000000004"/>
    <n v="1880.5219999999954"/>
  </r>
  <r>
    <n v="975"/>
    <n v="57"/>
    <s v="female"/>
    <x v="50"/>
    <n v="94"/>
    <s v="No"/>
    <n v="1"/>
    <x v="0"/>
    <s v="southeast"/>
    <n v="14474.68"/>
    <x v="2"/>
    <n v="0"/>
    <n v="1"/>
    <n v="0"/>
    <n v="0"/>
    <n v="0.91017510984048533"/>
    <n v="0"/>
    <n v="0"/>
    <n v="1"/>
    <n v="8198.8500000000022"/>
    <n v="6275.8299999999981"/>
  </r>
  <r>
    <n v="976"/>
    <n v="50"/>
    <s v="male"/>
    <x v="44"/>
    <n v="84"/>
    <s v="No"/>
    <n v="5"/>
    <x v="0"/>
    <s v="southeast"/>
    <n v="14478.33"/>
    <x v="4"/>
    <n v="0"/>
    <n v="1"/>
    <n v="0"/>
    <n v="0"/>
    <n v="0.29673962120876751"/>
    <n v="0"/>
    <n v="0"/>
    <n v="0"/>
    <n v="8290.57"/>
    <n v="6187.76"/>
  </r>
  <r>
    <n v="977"/>
    <n v="40"/>
    <s v="female"/>
    <x v="167"/>
    <n v="87"/>
    <s v="Yes"/>
    <n v="0"/>
    <x v="1"/>
    <s v="northeast"/>
    <n v="14571.89"/>
    <x v="0"/>
    <n v="20.5"/>
    <n v="0"/>
    <n v="0"/>
    <n v="0"/>
    <n v="0.93412174159186989"/>
    <n v="1"/>
    <n v="1"/>
    <n v="1"/>
    <n v="16668.605000000003"/>
    <n v="-2096.7150000000038"/>
  </r>
  <r>
    <n v="978"/>
    <n v="53"/>
    <s v="female"/>
    <x v="106"/>
    <n v="102"/>
    <s v="Yes"/>
    <n v="3"/>
    <x v="0"/>
    <s v="northeast"/>
    <n v="14590.63"/>
    <x v="1"/>
    <n v="0"/>
    <n v="0"/>
    <n v="0"/>
    <n v="0"/>
    <n v="0.91675080098654371"/>
    <n v="0"/>
    <n v="1"/>
    <n v="1"/>
    <n v="14293.44"/>
    <n v="297.18999999999869"/>
  </r>
  <r>
    <n v="979"/>
    <n v="35"/>
    <s v="female"/>
    <x v="68"/>
    <n v="105"/>
    <s v="No"/>
    <n v="0"/>
    <x v="0"/>
    <s v="northwest"/>
    <n v="14692.67"/>
    <x v="1"/>
    <n v="0"/>
    <n v="0"/>
    <n v="0"/>
    <n v="1"/>
    <n v="0.75346150499688624"/>
    <n v="0"/>
    <n v="0"/>
    <n v="1"/>
    <n v="9752.8500000000022"/>
    <n v="4939.8199999999979"/>
  </r>
  <r>
    <n v="980"/>
    <n v="26"/>
    <s v="female"/>
    <x v="226"/>
    <n v="100"/>
    <s v="Yes"/>
    <n v="0"/>
    <x v="1"/>
    <s v="northwest"/>
    <n v="14711.74"/>
    <x v="0"/>
    <n v="22.4"/>
    <n v="0"/>
    <n v="0"/>
    <n v="1"/>
    <n v="0.93519657244223764"/>
    <n v="1"/>
    <n v="1"/>
    <n v="1"/>
    <n v="18368.065999999999"/>
    <n v="-3656.3259999999991"/>
  </r>
  <r>
    <n v="981"/>
    <n v="36"/>
    <s v="female"/>
    <x v="148"/>
    <n v="82"/>
    <s v="No"/>
    <n v="0"/>
    <x v="0"/>
    <s v="northeast"/>
    <n v="14901.52"/>
    <x v="2"/>
    <n v="0"/>
    <n v="0"/>
    <n v="0"/>
    <n v="0"/>
    <n v="0.94222523699856897"/>
    <n v="0"/>
    <n v="0"/>
    <n v="1"/>
    <n v="9567.6900000000023"/>
    <n v="5333.8299999999981"/>
  </r>
  <r>
    <n v="982"/>
    <n v="21"/>
    <s v="male"/>
    <x v="30"/>
    <n v="95"/>
    <s v="No"/>
    <n v="2"/>
    <x v="0"/>
    <s v="southwest"/>
    <n v="14988.43"/>
    <x v="4"/>
    <n v="0"/>
    <n v="0"/>
    <n v="1"/>
    <n v="0"/>
    <n v="0.51872643597681878"/>
    <n v="0"/>
    <n v="0"/>
    <n v="0"/>
    <n v="8565.630000000001"/>
    <n v="6422.7999999999993"/>
  </r>
  <r>
    <n v="983"/>
    <n v="39"/>
    <s v="female"/>
    <x v="260"/>
    <n v="100"/>
    <s v="Yes"/>
    <n v="2"/>
    <x v="1"/>
    <s v="northeast"/>
    <n v="15006.58"/>
    <x v="3"/>
    <n v="18"/>
    <n v="0"/>
    <n v="0"/>
    <n v="0"/>
    <n v="6.5360108999824029E-2"/>
    <n v="1"/>
    <n v="1"/>
    <n v="1"/>
    <n v="16859.310000000005"/>
    <n v="-1852.730000000005"/>
  </r>
  <r>
    <n v="984"/>
    <n v="27"/>
    <s v="female"/>
    <x v="85"/>
    <n v="100"/>
    <s v="Yes"/>
    <n v="2"/>
    <x v="0"/>
    <s v="northwest"/>
    <n v="15019.76"/>
    <x v="1"/>
    <n v="0"/>
    <n v="0"/>
    <n v="0"/>
    <n v="1"/>
    <n v="0.98404910897397491"/>
    <n v="0"/>
    <n v="1"/>
    <n v="1"/>
    <n v="10158.81"/>
    <n v="4860.9500000000007"/>
  </r>
  <r>
    <n v="985"/>
    <n v="24"/>
    <s v="male"/>
    <x v="3"/>
    <n v="101"/>
    <s v="No"/>
    <n v="3"/>
    <x v="0"/>
    <s v="southeast"/>
    <n v="15161.53"/>
    <x v="1"/>
    <n v="0"/>
    <n v="1"/>
    <n v="0"/>
    <n v="0"/>
    <n v="0.71025673376354326"/>
    <n v="0"/>
    <n v="0"/>
    <n v="0"/>
    <n v="10261.5"/>
    <n v="4900.0300000000007"/>
  </r>
  <r>
    <n v="986"/>
    <n v="24"/>
    <s v="male"/>
    <x v="32"/>
    <n v="95"/>
    <s v="Yes"/>
    <n v="3"/>
    <x v="0"/>
    <s v="southwest"/>
    <n v="15170.07"/>
    <x v="2"/>
    <n v="0"/>
    <n v="0"/>
    <n v="1"/>
    <n v="0"/>
    <n v="0.12439653826282815"/>
    <n v="0"/>
    <n v="1"/>
    <n v="0"/>
    <n v="10445.070000000002"/>
    <n v="4724.9999999999982"/>
  </r>
  <r>
    <n v="987"/>
    <n v="55"/>
    <s v="female"/>
    <x v="119"/>
    <n v="91"/>
    <s v="No"/>
    <n v="2"/>
    <x v="0"/>
    <s v="northeast"/>
    <n v="15230.32"/>
    <x v="2"/>
    <n v="0"/>
    <n v="0"/>
    <n v="0"/>
    <n v="0"/>
    <n v="0.37933413077097322"/>
    <n v="0"/>
    <n v="0"/>
    <n v="1"/>
    <n v="12353.560000000001"/>
    <n v="2876.7599999999984"/>
  </r>
  <r>
    <n v="988"/>
    <n v="37"/>
    <s v="female"/>
    <x v="136"/>
    <n v="89"/>
    <s v="Yes"/>
    <n v="1"/>
    <x v="1"/>
    <s v="northeast"/>
    <n v="15359.1"/>
    <x v="0"/>
    <n v="21.9"/>
    <n v="0"/>
    <n v="0"/>
    <n v="0"/>
    <n v="0.5857885951275158"/>
    <n v="1"/>
    <n v="1"/>
    <n v="1"/>
    <n v="19612.431000000004"/>
    <n v="-4253.3310000000038"/>
  </r>
  <r>
    <n v="989"/>
    <n v="46"/>
    <s v="male"/>
    <x v="29"/>
    <n v="104"/>
    <s v="Yes"/>
    <n v="0"/>
    <x v="1"/>
    <s v="northeast"/>
    <n v="15518.18"/>
    <x v="4"/>
    <n v="25.2"/>
    <n v="0"/>
    <n v="0"/>
    <n v="0"/>
    <n v="0.66921242016540794"/>
    <n v="1"/>
    <n v="1"/>
    <n v="0"/>
    <n v="25249.047999999999"/>
    <n v="-9730.8679999999986"/>
  </r>
  <r>
    <n v="990"/>
    <n v="21"/>
    <s v="male"/>
    <x v="213"/>
    <n v="85"/>
    <s v="Yes"/>
    <n v="3"/>
    <x v="0"/>
    <s v="northwest"/>
    <n v="15555.19"/>
    <x v="2"/>
    <n v="0"/>
    <n v="0"/>
    <n v="0"/>
    <n v="1"/>
    <n v="0.18299863215316947"/>
    <n v="0"/>
    <n v="1"/>
    <n v="0"/>
    <n v="8989.33"/>
    <n v="6565.8600000000006"/>
  </r>
  <r>
    <n v="991"/>
    <n v="36"/>
    <s v="female"/>
    <x v="68"/>
    <n v="94"/>
    <s v="No"/>
    <n v="3"/>
    <x v="0"/>
    <s v="northwest"/>
    <n v="15612.19"/>
    <x v="1"/>
    <n v="0"/>
    <n v="0"/>
    <n v="0"/>
    <n v="1"/>
    <n v="4.3498079674023638E-2"/>
    <n v="0"/>
    <n v="0"/>
    <n v="1"/>
    <n v="10210.800000000003"/>
    <n v="5401.3899999999976"/>
  </r>
  <r>
    <n v="992"/>
    <n v="27"/>
    <s v="male"/>
    <x v="97"/>
    <n v="95"/>
    <s v="No"/>
    <n v="0"/>
    <x v="1"/>
    <s v="northwest"/>
    <n v="15817.99"/>
    <x v="0"/>
    <n v="24.1"/>
    <n v="0"/>
    <n v="0"/>
    <n v="1"/>
    <n v="0.99914309380554922"/>
    <n v="1"/>
    <n v="0"/>
    <n v="0"/>
    <n v="19478.919000000009"/>
    <n v="-3660.9290000000092"/>
  </r>
  <r>
    <n v="993"/>
    <n v="30"/>
    <s v="male"/>
    <x v="261"/>
    <n v="84"/>
    <s v="Yes"/>
    <n v="0"/>
    <x v="1"/>
    <s v="southwest"/>
    <n v="15820.7"/>
    <x v="3"/>
    <n v="19.3"/>
    <n v="0"/>
    <n v="1"/>
    <n v="0"/>
    <n v="0.38388488049750524"/>
    <n v="1"/>
    <n v="1"/>
    <n v="0"/>
    <n v="11187.947000000006"/>
    <n v="4632.7529999999952"/>
  </r>
  <r>
    <n v="994"/>
    <n v="34"/>
    <s v="female"/>
    <x v="75"/>
    <n v="87"/>
    <s v="Yes"/>
    <n v="4"/>
    <x v="0"/>
    <s v="southwest"/>
    <n v="15828.82"/>
    <x v="4"/>
    <n v="0"/>
    <n v="0"/>
    <n v="1"/>
    <n v="0"/>
    <n v="0.83826378851926897"/>
    <n v="0"/>
    <n v="1"/>
    <n v="1"/>
    <n v="9440.99"/>
    <n v="6387.83"/>
  </r>
  <r>
    <n v="995"/>
    <n v="53"/>
    <s v="female"/>
    <x v="120"/>
    <n v="96"/>
    <s v="No"/>
    <n v="2"/>
    <x v="0"/>
    <s v="northeast"/>
    <n v="16069.08"/>
    <x v="1"/>
    <n v="0"/>
    <n v="0"/>
    <n v="0"/>
    <n v="0"/>
    <n v="0.47618130901620603"/>
    <n v="0"/>
    <n v="0"/>
    <n v="1"/>
    <n v="12615.42"/>
    <n v="3453.66"/>
  </r>
  <r>
    <n v="996"/>
    <n v="55"/>
    <s v="female"/>
    <x v="247"/>
    <n v="83"/>
    <s v="Yes"/>
    <n v="3"/>
    <x v="0"/>
    <s v="southeast"/>
    <n v="16085.13"/>
    <x v="2"/>
    <n v="0"/>
    <n v="1"/>
    <n v="0"/>
    <n v="0"/>
    <n v="0.89255200455034878"/>
    <n v="0"/>
    <n v="1"/>
    <n v="1"/>
    <n v="8186.7900000000009"/>
    <n v="7898.3399999999983"/>
  </r>
  <r>
    <n v="997"/>
    <n v="29"/>
    <s v="female"/>
    <x v="136"/>
    <n v="92"/>
    <s v="Yes"/>
    <n v="0"/>
    <x v="1"/>
    <s v="northeast"/>
    <n v="16115.3"/>
    <x v="0"/>
    <n v="21.9"/>
    <n v="0"/>
    <n v="0"/>
    <n v="0"/>
    <n v="0.30369136671902763"/>
    <n v="1"/>
    <n v="1"/>
    <n v="1"/>
    <n v="19363.201000000001"/>
    <n v="-3247.9010000000017"/>
  </r>
  <r>
    <n v="998"/>
    <n v="30"/>
    <s v="male"/>
    <x v="172"/>
    <n v="108"/>
    <s v="No"/>
    <n v="0"/>
    <x v="1"/>
    <s v="northeast"/>
    <n v="16138.76"/>
    <x v="0"/>
    <n v="22.9"/>
    <n v="0"/>
    <n v="0"/>
    <n v="0"/>
    <n v="0.35881099957185791"/>
    <n v="1"/>
    <n v="0"/>
    <n v="0"/>
    <n v="22884.161"/>
    <n v="-6745.4009999999998"/>
  </r>
  <r>
    <n v="999"/>
    <n v="34"/>
    <s v="male"/>
    <x v="170"/>
    <n v="89"/>
    <s v="Yes"/>
    <n v="0"/>
    <x v="1"/>
    <s v="southwest"/>
    <n v="16232.85"/>
    <x v="4"/>
    <n v="27.3"/>
    <n v="0"/>
    <n v="1"/>
    <n v="0"/>
    <n v="0.75326501417835068"/>
    <n v="1"/>
    <n v="1"/>
    <n v="0"/>
    <n v="22738.297000000002"/>
    <n v="-6505.4470000000019"/>
  </r>
  <r>
    <n v="1000"/>
    <n v="33"/>
    <s v="male"/>
    <x v="110"/>
    <n v="94"/>
    <s v="No"/>
    <n v="0"/>
    <x v="1"/>
    <s v="southwest"/>
    <n v="16297.85"/>
    <x v="4"/>
    <n v="27.7"/>
    <n v="0"/>
    <n v="1"/>
    <n v="0"/>
    <n v="0.67904681856175653"/>
    <n v="1"/>
    <n v="0"/>
    <n v="0"/>
    <n v="24144.463000000003"/>
    <n v="-7846.613000000003"/>
  </r>
  <r>
    <n v="1001"/>
    <n v="45"/>
    <s v="female"/>
    <x v="157"/>
    <n v="91"/>
    <s v="No"/>
    <n v="3"/>
    <x v="1"/>
    <s v="northwest"/>
    <n v="16420.490000000002"/>
    <x v="0"/>
    <n v="20"/>
    <n v="0"/>
    <n v="0"/>
    <n v="1"/>
    <n v="0.86739204094356637"/>
    <n v="1"/>
    <n v="0"/>
    <n v="1"/>
    <n v="15963.960000000003"/>
    <n v="456.52999999999884"/>
  </r>
  <r>
    <n v="1002"/>
    <n v="50"/>
    <s v="male"/>
    <x v="81"/>
    <n v="81"/>
    <s v="Yes"/>
    <n v="1"/>
    <x v="1"/>
    <s v="northwest"/>
    <n v="16450.89"/>
    <x v="4"/>
    <n v="26"/>
    <n v="0"/>
    <n v="0"/>
    <n v="1"/>
    <n v="0.22953223661960587"/>
    <n v="1"/>
    <n v="1"/>
    <n v="0"/>
    <n v="20439.310000000001"/>
    <n v="-3988.4200000000019"/>
  </r>
  <r>
    <n v="1003"/>
    <n v="44"/>
    <s v="female"/>
    <x v="1"/>
    <n v="105"/>
    <s v="Yes"/>
    <n v="3"/>
    <x v="0"/>
    <s v="northwest"/>
    <n v="16455.71"/>
    <x v="1"/>
    <n v="0"/>
    <n v="0"/>
    <n v="0"/>
    <n v="1"/>
    <n v="0.99983047274615822"/>
    <n v="0"/>
    <n v="1"/>
    <n v="1"/>
    <n v="11639.040000000003"/>
    <n v="4816.6699999999964"/>
  </r>
  <r>
    <n v="1004"/>
    <n v="42"/>
    <s v="female"/>
    <x v="229"/>
    <n v="83"/>
    <s v="No"/>
    <n v="0"/>
    <x v="1"/>
    <s v="southeast"/>
    <n v="16577.78"/>
    <x v="0"/>
    <n v="24.8"/>
    <n v="1"/>
    <n v="0"/>
    <n v="0"/>
    <n v="0.19506160233523329"/>
    <n v="1"/>
    <n v="0"/>
    <n v="1"/>
    <n v="18234.182000000004"/>
    <n v="-1656.4020000000055"/>
  </r>
  <r>
    <n v="1005"/>
    <n v="44"/>
    <s v="male"/>
    <x v="184"/>
    <n v="88"/>
    <s v="No"/>
    <n v="0"/>
    <x v="0"/>
    <s v="southeast"/>
    <n v="16586.5"/>
    <x v="1"/>
    <n v="0"/>
    <n v="1"/>
    <n v="0"/>
    <n v="0"/>
    <n v="0.24792950367926714"/>
    <n v="0"/>
    <n v="0"/>
    <n v="0"/>
    <n v="5715.66"/>
    <n v="10870.84"/>
  </r>
  <r>
    <n v="1006"/>
    <n v="56"/>
    <s v="female"/>
    <x v="25"/>
    <n v="105"/>
    <s v="No"/>
    <n v="1"/>
    <x v="1"/>
    <s v="northeast"/>
    <n v="16657.72"/>
    <x v="0"/>
    <n v="21.8"/>
    <n v="0"/>
    <n v="0"/>
    <n v="0"/>
    <n v="0.82497971090388478"/>
    <n v="1"/>
    <n v="0"/>
    <n v="1"/>
    <n v="22076.142000000003"/>
    <n v="-5418.4220000000023"/>
  </r>
  <r>
    <n v="1007"/>
    <n v="50"/>
    <s v="female"/>
    <x v="262"/>
    <n v="108"/>
    <s v="No"/>
    <n v="2"/>
    <x v="1"/>
    <s v="northeast"/>
    <n v="16776.3"/>
    <x v="3"/>
    <n v="19.100000000000001"/>
    <n v="0"/>
    <n v="0"/>
    <n v="0"/>
    <n v="0.51601032222732923"/>
    <n v="1"/>
    <n v="0"/>
    <n v="1"/>
    <n v="19670.169000000005"/>
    <n v="-2893.8690000000061"/>
  </r>
  <r>
    <n v="1008"/>
    <n v="45"/>
    <s v="female"/>
    <x v="35"/>
    <n v="85"/>
    <s v="No"/>
    <n v="1"/>
    <x v="0"/>
    <s v="northeast"/>
    <n v="16796.41"/>
    <x v="1"/>
    <n v="0"/>
    <n v="0"/>
    <n v="0"/>
    <n v="0"/>
    <n v="0.8873551918000141"/>
    <n v="0"/>
    <n v="0"/>
    <n v="1"/>
    <n v="10029.33"/>
    <n v="6767.08"/>
  </r>
  <r>
    <n v="1009"/>
    <n v="60"/>
    <s v="female"/>
    <x v="72"/>
    <n v="97"/>
    <s v="No"/>
    <n v="0"/>
    <x v="1"/>
    <s v="southwest"/>
    <n v="16884.919999999998"/>
    <x v="4"/>
    <n v="27.9"/>
    <n v="0"/>
    <n v="1"/>
    <n v="0"/>
    <n v="0.94199678381619856"/>
    <n v="1"/>
    <n v="0"/>
    <n v="1"/>
    <n v="25302.560999999998"/>
    <n v="-8417.6409999999996"/>
  </r>
  <r>
    <n v="1010"/>
    <n v="22"/>
    <s v="male"/>
    <x v="90"/>
    <n v="86"/>
    <s v="Yes"/>
    <n v="0"/>
    <x v="1"/>
    <s v="southeast"/>
    <n v="17043.34"/>
    <x v="4"/>
    <n v="27.1"/>
    <n v="1"/>
    <n v="0"/>
    <n v="0"/>
    <n v="0.4978538954715519"/>
    <n v="1"/>
    <n v="1"/>
    <n v="0"/>
    <n v="21317.329000000002"/>
    <n v="-4273.9890000000014"/>
  </r>
  <r>
    <n v="1011"/>
    <n v="25"/>
    <s v="female"/>
    <x v="117"/>
    <n v="107"/>
    <s v="Yes"/>
    <n v="0"/>
    <x v="1"/>
    <s v="southwest"/>
    <n v="17081.080000000002"/>
    <x v="4"/>
    <n v="28.3"/>
    <n v="0"/>
    <n v="1"/>
    <n v="0"/>
    <n v="0.64680572510200673"/>
    <n v="1"/>
    <n v="1"/>
    <n v="1"/>
    <n v="27412.077000000005"/>
    <n v="-10330.997000000003"/>
  </r>
  <r>
    <n v="1012"/>
    <n v="32"/>
    <s v="female"/>
    <x v="36"/>
    <n v="109"/>
    <s v="No"/>
    <n v="1"/>
    <x v="1"/>
    <s v="southeast"/>
    <n v="17085.27"/>
    <x v="4"/>
    <n v="26.8"/>
    <n v="1"/>
    <n v="0"/>
    <n v="0"/>
    <n v="0.56369165662743059"/>
    <n v="1"/>
    <n v="0"/>
    <n v="1"/>
    <n v="25823.941999999999"/>
    <n v="-8738.6719999999987"/>
  </r>
  <r>
    <n v="1013"/>
    <n v="35"/>
    <s v="male"/>
    <x v="149"/>
    <n v="90"/>
    <s v="Yes"/>
    <n v="4"/>
    <x v="0"/>
    <s v="northeast"/>
    <n v="17128.43"/>
    <x v="1"/>
    <n v="0"/>
    <n v="0"/>
    <n v="0"/>
    <n v="0"/>
    <n v="0.21797305498016462"/>
    <n v="0"/>
    <n v="1"/>
    <n v="0"/>
    <n v="12797.29"/>
    <n v="4331.1399999999994"/>
  </r>
  <r>
    <n v="1014"/>
    <n v="45"/>
    <s v="male"/>
    <x v="83"/>
    <n v="83"/>
    <s v="No"/>
    <n v="1"/>
    <x v="1"/>
    <s v="northeast"/>
    <n v="17178.68"/>
    <x v="4"/>
    <n v="27.4"/>
    <n v="0"/>
    <n v="0"/>
    <n v="0"/>
    <n v="0.62943859902763788"/>
    <n v="1"/>
    <n v="0"/>
    <n v="0"/>
    <n v="25664.555999999997"/>
    <n v="-8485.8759999999966"/>
  </r>
  <r>
    <n v="1015"/>
    <n v="44"/>
    <s v="male"/>
    <x v="10"/>
    <n v="106"/>
    <s v="No"/>
    <n v="1"/>
    <x v="1"/>
    <s v="southeast"/>
    <n v="17179.52"/>
    <x v="3"/>
    <n v="19.8"/>
    <n v="1"/>
    <n v="0"/>
    <n v="0"/>
    <n v="0.10530241814223185"/>
    <n v="1"/>
    <n v="0"/>
    <n v="0"/>
    <n v="15472.032000000007"/>
    <n v="1707.4879999999939"/>
  </r>
  <r>
    <n v="1016"/>
    <n v="47"/>
    <s v="male"/>
    <x v="152"/>
    <n v="97"/>
    <s v="No"/>
    <n v="0"/>
    <x v="1"/>
    <s v="northwest"/>
    <n v="17352.68"/>
    <x v="4"/>
    <n v="29.1"/>
    <n v="0"/>
    <n v="0"/>
    <n v="1"/>
    <n v="0.78554489440964625"/>
    <n v="1"/>
    <n v="0"/>
    <n v="0"/>
    <n v="26495.949000000008"/>
    <n v="-9143.2690000000075"/>
  </r>
  <r>
    <n v="1017"/>
    <n v="19"/>
    <s v="male"/>
    <x v="41"/>
    <n v="99"/>
    <s v="Yes"/>
    <n v="2"/>
    <x v="1"/>
    <s v="northwest"/>
    <n v="17361.77"/>
    <x v="0"/>
    <n v="23"/>
    <n v="0"/>
    <n v="0"/>
    <n v="1"/>
    <n v="0.74430073098310767"/>
    <n v="1"/>
    <n v="1"/>
    <n v="0"/>
    <n v="20055.780000000002"/>
    <n v="-2694.010000000002"/>
  </r>
  <r>
    <n v="1018"/>
    <n v="32"/>
    <s v="female"/>
    <x v="117"/>
    <n v="92"/>
    <s v="No"/>
    <n v="0"/>
    <x v="1"/>
    <s v="northwest"/>
    <n v="17468.98"/>
    <x v="4"/>
    <n v="28.3"/>
    <n v="0"/>
    <n v="0"/>
    <n v="1"/>
    <n v="0.54958809682093102"/>
    <n v="1"/>
    <n v="0"/>
    <n v="1"/>
    <n v="25086.397000000008"/>
    <n v="-7617.4170000000086"/>
  </r>
  <r>
    <n v="1019"/>
    <n v="45"/>
    <s v="female"/>
    <x v="63"/>
    <n v="96"/>
    <s v="Yes"/>
    <n v="0"/>
    <x v="1"/>
    <s v="southwest"/>
    <n v="17496.310000000001"/>
    <x v="0"/>
    <n v="24.6"/>
    <n v="0"/>
    <n v="1"/>
    <n v="0"/>
    <n v="0.13867281401816112"/>
    <n v="1"/>
    <n v="1"/>
    <n v="1"/>
    <n v="20655.634000000005"/>
    <n v="-3159.3240000000042"/>
  </r>
  <r>
    <n v="1020"/>
    <n v="23"/>
    <s v="male"/>
    <x v="196"/>
    <n v="86"/>
    <s v="Yes"/>
    <n v="1"/>
    <x v="1"/>
    <s v="northwest"/>
    <n v="17560.38"/>
    <x v="4"/>
    <n v="28"/>
    <n v="0"/>
    <n v="0"/>
    <n v="1"/>
    <n v="8.5739685825759304E-2"/>
    <n v="1"/>
    <n v="1"/>
    <n v="0"/>
    <n v="23961.200000000001"/>
    <n v="-6400.82"/>
  </r>
  <r>
    <n v="1021"/>
    <n v="60"/>
    <s v="female"/>
    <x v="105"/>
    <n v="91"/>
    <s v="Yes"/>
    <n v="1"/>
    <x v="0"/>
    <s v="southeast"/>
    <n v="17626.240000000002"/>
    <x v="0"/>
    <n v="0"/>
    <n v="1"/>
    <n v="0"/>
    <n v="0"/>
    <n v="0.35346988923243816"/>
    <n v="0"/>
    <n v="1"/>
    <n v="1"/>
    <n v="6663.93"/>
    <n v="10962.310000000001"/>
  </r>
  <r>
    <n v="1022"/>
    <n v="19"/>
    <s v="male"/>
    <x v="216"/>
    <n v="80"/>
    <s v="No"/>
    <n v="3"/>
    <x v="1"/>
    <s v="southeast"/>
    <n v="17663.14"/>
    <x v="0"/>
    <n v="24"/>
    <n v="1"/>
    <n v="0"/>
    <n v="0"/>
    <n v="0.65397063239718856"/>
    <n v="1"/>
    <n v="0"/>
    <n v="0"/>
    <n v="18478.870000000003"/>
    <n v="-815.7300000000032"/>
  </r>
  <r>
    <n v="1023"/>
    <n v="58"/>
    <s v="female"/>
    <x v="55"/>
    <n v="83"/>
    <s v="Yes"/>
    <n v="0"/>
    <x v="1"/>
    <s v="northwest"/>
    <n v="17748.509999999998"/>
    <x v="4"/>
    <n v="28.9"/>
    <n v="0"/>
    <n v="0"/>
    <n v="1"/>
    <n v="0.34053136527610384"/>
    <n v="1"/>
    <n v="1"/>
    <n v="1"/>
    <n v="24354.561000000002"/>
    <n v="-6606.0510000000031"/>
  </r>
  <r>
    <n v="1024"/>
    <n v="51"/>
    <s v="female"/>
    <x v="213"/>
    <n v="98"/>
    <s v="No"/>
    <n v="0"/>
    <x v="0"/>
    <s v="northeast"/>
    <n v="17878.900000000001"/>
    <x v="2"/>
    <n v="0"/>
    <n v="0"/>
    <n v="0"/>
    <n v="0"/>
    <n v="4.8574307215673573E-2"/>
    <n v="0"/>
    <n v="0"/>
    <n v="1"/>
    <n v="12272.93"/>
    <n v="5605.9700000000012"/>
  </r>
  <r>
    <n v="1025"/>
    <n v="22"/>
    <s v="male"/>
    <x v="229"/>
    <n v="100"/>
    <s v="No"/>
    <n v="0"/>
    <x v="1"/>
    <s v="northeast"/>
    <n v="17904.53"/>
    <x v="0"/>
    <n v="24.8"/>
    <n v="0"/>
    <n v="0"/>
    <n v="0"/>
    <n v="0.93292540758704046"/>
    <n v="1"/>
    <n v="0"/>
    <n v="0"/>
    <n v="24172.592000000004"/>
    <n v="-6268.0620000000054"/>
  </r>
  <r>
    <n v="1026"/>
    <n v="59"/>
    <s v="female"/>
    <x v="120"/>
    <n v="103"/>
    <s v="Yes"/>
    <n v="0"/>
    <x v="0"/>
    <s v="southeast"/>
    <n v="17929.3"/>
    <x v="1"/>
    <n v="0"/>
    <n v="1"/>
    <n v="0"/>
    <n v="0"/>
    <n v="0.82410046535373094"/>
    <n v="0"/>
    <n v="1"/>
    <n v="1"/>
    <n v="8534.6"/>
    <n v="9394.6999999999989"/>
  </r>
  <r>
    <n v="1027"/>
    <n v="36"/>
    <s v="male"/>
    <x v="87"/>
    <n v="96"/>
    <s v="Yes"/>
    <n v="4"/>
    <x v="1"/>
    <s v="southwest"/>
    <n v="17942.11"/>
    <x v="4"/>
    <n v="25.7"/>
    <n v="0"/>
    <n v="1"/>
    <n v="0"/>
    <n v="0.51621445536105781"/>
    <n v="1"/>
    <n v="1"/>
    <n v="0"/>
    <n v="24654.323"/>
    <n v="-6712.2129999999997"/>
  </r>
  <r>
    <n v="1028"/>
    <n v="29"/>
    <s v="female"/>
    <x v="117"/>
    <n v="103"/>
    <s v="No"/>
    <n v="0"/>
    <x v="1"/>
    <s v="northwest"/>
    <n v="18033.97"/>
    <x v="4"/>
    <n v="28.3"/>
    <n v="0"/>
    <n v="0"/>
    <n v="1"/>
    <n v="0.53055531126846478"/>
    <n v="1"/>
    <n v="0"/>
    <n v="1"/>
    <n v="26845.727000000003"/>
    <n v="-8811.7570000000014"/>
  </r>
  <r>
    <n v="1029"/>
    <n v="33"/>
    <s v="male"/>
    <x v="59"/>
    <n v="102"/>
    <s v="Yes"/>
    <n v="2"/>
    <x v="0"/>
    <s v="northwest"/>
    <n v="18157.88"/>
    <x v="4"/>
    <n v="0"/>
    <n v="0"/>
    <n v="0"/>
    <n v="1"/>
    <n v="0.48523843235713593"/>
    <n v="0"/>
    <n v="1"/>
    <n v="0"/>
    <n v="9956.9600000000009"/>
    <n v="8200.92"/>
  </r>
  <r>
    <n v="1030"/>
    <n v="35"/>
    <s v="female"/>
    <x v="207"/>
    <n v="107"/>
    <s v="Yes"/>
    <n v="1"/>
    <x v="0"/>
    <s v="southeast"/>
    <n v="18218.16"/>
    <x v="1"/>
    <n v="0"/>
    <n v="1"/>
    <n v="0"/>
    <n v="0"/>
    <n v="0.67292569382000111"/>
    <n v="0"/>
    <n v="1"/>
    <n v="1"/>
    <n v="9976.1200000000026"/>
    <n v="8242.0399999999972"/>
  </r>
  <r>
    <n v="1031"/>
    <n v="52"/>
    <s v="female"/>
    <x v="170"/>
    <n v="104"/>
    <s v="No"/>
    <n v="3"/>
    <x v="1"/>
    <s v="southeast"/>
    <n v="18223.45"/>
    <x v="4"/>
    <n v="27.3"/>
    <n v="1"/>
    <n v="0"/>
    <n v="0"/>
    <n v="0.21015155089179938"/>
    <n v="1"/>
    <n v="0"/>
    <n v="1"/>
    <n v="27149.217000000001"/>
    <n v="-8925.7669999999998"/>
  </r>
  <r>
    <n v="1032"/>
    <n v="44"/>
    <s v="male"/>
    <x v="126"/>
    <n v="88"/>
    <s v="Yes"/>
    <n v="0"/>
    <x v="1"/>
    <s v="southeast"/>
    <n v="18246.5"/>
    <x v="4"/>
    <n v="29.2"/>
    <n v="1"/>
    <n v="0"/>
    <n v="0"/>
    <n v="0.94963339786276135"/>
    <n v="1"/>
    <n v="1"/>
    <n v="0"/>
    <n v="24432.197999999993"/>
    <n v="-6185.697999999993"/>
  </r>
  <r>
    <n v="1033"/>
    <n v="22"/>
    <s v="male"/>
    <x v="243"/>
    <n v="83"/>
    <s v="Yes"/>
    <n v="3"/>
    <x v="1"/>
    <s v="southwest"/>
    <n v="18259.22"/>
    <x v="0"/>
    <n v="24.4"/>
    <n v="0"/>
    <n v="1"/>
    <n v="0"/>
    <n v="0.65115951855133558"/>
    <n v="1"/>
    <n v="1"/>
    <n v="0"/>
    <n v="20111.236000000001"/>
    <n v="-1852.0159999999996"/>
  </r>
  <r>
    <n v="1034"/>
    <n v="23"/>
    <s v="male"/>
    <x v="47"/>
    <n v="97"/>
    <s v="No"/>
    <n v="0"/>
    <x v="1"/>
    <s v="northwest"/>
    <n v="18310.740000000002"/>
    <x v="4"/>
    <n v="28.5"/>
    <n v="0"/>
    <n v="0"/>
    <n v="1"/>
    <n v="0.19766990626908554"/>
    <n v="1"/>
    <n v="0"/>
    <n v="0"/>
    <n v="25719.855000000003"/>
    <n v="-7409.1150000000016"/>
  </r>
  <r>
    <n v="1035"/>
    <n v="36"/>
    <s v="female"/>
    <x v="47"/>
    <n v="87"/>
    <s v="No"/>
    <n v="1"/>
    <x v="1"/>
    <s v="southeast"/>
    <n v="18328.240000000002"/>
    <x v="4"/>
    <n v="28.5"/>
    <n v="1"/>
    <n v="0"/>
    <n v="0"/>
    <n v="0.97558672462401241"/>
    <n v="1"/>
    <n v="0"/>
    <n v="1"/>
    <n v="24593.814999999999"/>
    <n v="-6265.5749999999971"/>
  </r>
  <r>
    <n v="1036"/>
    <n v="45"/>
    <s v="female"/>
    <x v="26"/>
    <n v="96"/>
    <s v="No"/>
    <n v="2"/>
    <x v="1"/>
    <s v="southwest"/>
    <n v="18608.259999999998"/>
    <x v="0"/>
    <n v="22.6"/>
    <n v="0"/>
    <n v="1"/>
    <n v="0"/>
    <n v="5.7830476094818728E-2"/>
    <n v="1"/>
    <n v="0"/>
    <n v="1"/>
    <n v="19511.794000000005"/>
    <n v="-903.53400000000693"/>
  </r>
  <r>
    <n v="1037"/>
    <n v="38"/>
    <s v="male"/>
    <x v="56"/>
    <n v="87"/>
    <s v="Yes"/>
    <n v="0"/>
    <x v="1"/>
    <s v="northeast"/>
    <n v="18648.419999999998"/>
    <x v="4"/>
    <n v="29.8"/>
    <n v="0"/>
    <n v="0"/>
    <n v="0"/>
    <n v="0.24909798915030534"/>
    <n v="1"/>
    <n v="1"/>
    <n v="0"/>
    <n v="28731.831999999999"/>
    <n v="-10083.412"/>
  </r>
  <r>
    <n v="1038"/>
    <n v="58"/>
    <s v="female"/>
    <x v="105"/>
    <n v="95"/>
    <s v="No"/>
    <n v="3"/>
    <x v="1"/>
    <s v="northwest"/>
    <n v="18765.88"/>
    <x v="0"/>
    <n v="23.7"/>
    <n v="0"/>
    <n v="0"/>
    <n v="1"/>
    <n v="0.34625664025882241"/>
    <n v="1"/>
    <n v="0"/>
    <n v="1"/>
    <n v="21561.032999999999"/>
    <n v="-2795.1529999999984"/>
  </r>
  <r>
    <n v="1039"/>
    <n v="21"/>
    <s v="male"/>
    <x v="248"/>
    <n v="108"/>
    <s v="No"/>
    <n v="2"/>
    <x v="1"/>
    <s v="southeast"/>
    <n v="18767.740000000002"/>
    <x v="0"/>
    <n v="20.100000000000001"/>
    <n v="1"/>
    <n v="0"/>
    <n v="0"/>
    <n v="0.6684085125762339"/>
    <n v="1"/>
    <n v="0"/>
    <n v="0"/>
    <n v="16962.299000000006"/>
    <n v="1805.4409999999953"/>
  </r>
  <r>
    <n v="1040"/>
    <n v="39"/>
    <s v="female"/>
    <x v="15"/>
    <n v="92"/>
    <s v="Yes"/>
    <n v="3"/>
    <x v="0"/>
    <s v="northwest"/>
    <n v="18804.75"/>
    <x v="1"/>
    <n v="0"/>
    <n v="0"/>
    <n v="0"/>
    <n v="1"/>
    <n v="3.5142118800743916E-2"/>
    <n v="0"/>
    <n v="1"/>
    <n v="1"/>
    <n v="9596.42"/>
    <n v="9208.33"/>
  </r>
  <r>
    <n v="1041"/>
    <n v="46"/>
    <s v="male"/>
    <x v="211"/>
    <n v="89"/>
    <s v="No"/>
    <n v="2"/>
    <x v="0"/>
    <s v="southeast"/>
    <n v="18806.150000000001"/>
    <x v="2"/>
    <n v="0"/>
    <n v="1"/>
    <n v="0"/>
    <n v="0"/>
    <n v="0.67135656286538703"/>
    <n v="0"/>
    <n v="0"/>
    <n v="0"/>
    <n v="7716.82"/>
    <n v="11089.330000000002"/>
  </r>
  <r>
    <n v="1042"/>
    <n v="30"/>
    <s v="female"/>
    <x v="72"/>
    <n v="84"/>
    <s v="No"/>
    <n v="3"/>
    <x v="0"/>
    <s v="northwest"/>
    <n v="18838.7"/>
    <x v="4"/>
    <n v="0"/>
    <n v="0"/>
    <n v="0"/>
    <n v="1"/>
    <n v="2.0881426212516097E-2"/>
    <n v="0"/>
    <n v="0"/>
    <n v="1"/>
    <n v="8186.5299999999988"/>
    <n v="10652.170000000002"/>
  </r>
  <r>
    <n v="1043"/>
    <n v="26"/>
    <s v="female"/>
    <x v="106"/>
    <n v="81"/>
    <s v="No"/>
    <n v="1"/>
    <x v="0"/>
    <s v="northeast"/>
    <n v="18903.490000000002"/>
    <x v="1"/>
    <n v="0"/>
    <n v="0"/>
    <n v="0"/>
    <n v="0"/>
    <n v="0.13586430505427727"/>
    <n v="0"/>
    <n v="0"/>
    <n v="1"/>
    <n v="9569.1900000000023"/>
    <n v="9334.2999999999993"/>
  </r>
  <r>
    <n v="1044"/>
    <n v="41"/>
    <s v="female"/>
    <x v="13"/>
    <n v="89"/>
    <s v="No"/>
    <n v="0"/>
    <x v="0"/>
    <s v="southwest"/>
    <n v="18955.22"/>
    <x v="4"/>
    <n v="0"/>
    <n v="0"/>
    <n v="1"/>
    <n v="0"/>
    <n v="0.68805104109735782"/>
    <n v="0"/>
    <n v="0"/>
    <n v="1"/>
    <n v="6721.96"/>
    <n v="12233.260000000002"/>
  </r>
  <r>
    <n v="1045"/>
    <n v="36"/>
    <s v="male"/>
    <x v="183"/>
    <n v="99"/>
    <s v="No"/>
    <n v="1"/>
    <x v="0"/>
    <s v="southeast"/>
    <n v="18963.169999999998"/>
    <x v="2"/>
    <n v="0"/>
    <n v="1"/>
    <n v="0"/>
    <n v="0"/>
    <n v="0.68172741273986903"/>
    <n v="0"/>
    <n v="0"/>
    <n v="0"/>
    <n v="8886.5299999999988"/>
    <n v="10076.64"/>
  </r>
  <r>
    <n v="1046"/>
    <n v="19"/>
    <s v="male"/>
    <x v="129"/>
    <n v="95"/>
    <s v="No"/>
    <n v="2"/>
    <x v="1"/>
    <s v="southeast"/>
    <n v="18972.5"/>
    <x v="4"/>
    <n v="25.3"/>
    <n v="1"/>
    <n v="0"/>
    <n v="0"/>
    <n v="0.3111843269490735"/>
    <n v="1"/>
    <n v="0"/>
    <n v="0"/>
    <n v="21882.577000000005"/>
    <n v="-2910.0770000000048"/>
  </r>
  <r>
    <n v="1047"/>
    <n v="60"/>
    <s v="female"/>
    <x v="238"/>
    <n v="82"/>
    <s v="Yes"/>
    <n v="5"/>
    <x v="1"/>
    <s v="southwest"/>
    <n v="19023.259999999998"/>
    <x v="3"/>
    <n v="18.3"/>
    <n v="0"/>
    <n v="1"/>
    <n v="0"/>
    <n v="0.61174814467600835"/>
    <n v="1"/>
    <n v="1"/>
    <n v="1"/>
    <n v="13621.827000000007"/>
    <n v="5401.4329999999918"/>
  </r>
  <r>
    <n v="1048"/>
    <n v="27"/>
    <s v="male"/>
    <x v="90"/>
    <n v="104"/>
    <s v="No"/>
    <n v="1"/>
    <x v="1"/>
    <s v="southwest"/>
    <n v="19040.88"/>
    <x v="4"/>
    <n v="27.1"/>
    <n v="0"/>
    <n v="1"/>
    <n v="0"/>
    <n v="0.74592854017640375"/>
    <n v="1"/>
    <n v="0"/>
    <n v="0"/>
    <n v="25679.469000000005"/>
    <n v="-6638.5890000000036"/>
  </r>
  <r>
    <n v="1049"/>
    <n v="50"/>
    <s v="female"/>
    <x v="72"/>
    <n v="83"/>
    <s v="No"/>
    <n v="1"/>
    <x v="1"/>
    <s v="southeast"/>
    <n v="19107.78"/>
    <x v="4"/>
    <n v="27.9"/>
    <n v="1"/>
    <n v="0"/>
    <n v="0"/>
    <n v="0.31869052301986722"/>
    <n v="1"/>
    <n v="0"/>
    <n v="1"/>
    <n v="23130.720999999994"/>
    <n v="-4022.9409999999953"/>
  </r>
  <r>
    <n v="1050"/>
    <n v="27"/>
    <s v="female"/>
    <x v="108"/>
    <n v="96"/>
    <s v="Yes"/>
    <n v="2"/>
    <x v="0"/>
    <s v="northeast"/>
    <n v="19144.580000000002"/>
    <x v="2"/>
    <n v="0"/>
    <n v="0"/>
    <n v="0"/>
    <n v="0"/>
    <n v="0.62351992023598002"/>
    <n v="0"/>
    <n v="1"/>
    <n v="1"/>
    <n v="12913.09"/>
    <n v="6231.4900000000016"/>
  </r>
  <r>
    <n v="1051"/>
    <n v="43"/>
    <s v="male"/>
    <x v="142"/>
    <n v="81"/>
    <s v="No"/>
    <n v="3"/>
    <x v="1"/>
    <s v="southwest"/>
    <n v="19199.939999999999"/>
    <x v="4"/>
    <n v="25.9"/>
    <n v="0"/>
    <n v="1"/>
    <n v="0"/>
    <n v="0.41147724391863216"/>
    <n v="1"/>
    <n v="0"/>
    <n v="0"/>
    <n v="21851.271000000001"/>
    <n v="-2651.3310000000019"/>
  </r>
  <r>
    <n v="1052"/>
    <n v="33"/>
    <s v="male"/>
    <x v="192"/>
    <n v="100"/>
    <s v="No"/>
    <n v="0"/>
    <x v="0"/>
    <s v="southeast"/>
    <n v="19214.71"/>
    <x v="2"/>
    <n v="0"/>
    <n v="1"/>
    <n v="0"/>
    <n v="0"/>
    <n v="0.14412234154221115"/>
    <n v="0"/>
    <n v="0"/>
    <n v="0"/>
    <n v="8089.4200000000019"/>
    <n v="11125.289999999997"/>
  </r>
  <r>
    <n v="1053"/>
    <n v="49"/>
    <s v="male"/>
    <x v="56"/>
    <n v="98"/>
    <s v="No"/>
    <n v="0"/>
    <x v="1"/>
    <s v="southeast"/>
    <n v="19350.37"/>
    <x v="4"/>
    <n v="29.8"/>
    <n v="1"/>
    <n v="0"/>
    <n v="0"/>
    <n v="9.823788074516171E-2"/>
    <n v="1"/>
    <n v="0"/>
    <n v="0"/>
    <n v="26897.572"/>
    <n v="-7547.2020000000011"/>
  </r>
  <r>
    <n v="1054"/>
    <n v="35"/>
    <s v="male"/>
    <x v="243"/>
    <n v="101"/>
    <s v="Yes"/>
    <n v="3"/>
    <x v="1"/>
    <s v="southeast"/>
    <n v="19362"/>
    <x v="0"/>
    <n v="24.4"/>
    <n v="1"/>
    <n v="0"/>
    <n v="0"/>
    <n v="0.92229047702582001"/>
    <n v="1"/>
    <n v="1"/>
    <n v="0"/>
    <n v="22278.596000000001"/>
    <n v="-2916.5960000000014"/>
  </r>
  <r>
    <n v="1055"/>
    <n v="34"/>
    <s v="male"/>
    <x v="2"/>
    <n v="93"/>
    <s v="Yes"/>
    <n v="2"/>
    <x v="0"/>
    <s v="northwest"/>
    <n v="19442.349999999999"/>
    <x v="1"/>
    <n v="0"/>
    <n v="0"/>
    <n v="0"/>
    <n v="1"/>
    <n v="0.55538076828304128"/>
    <n v="0"/>
    <n v="1"/>
    <n v="0"/>
    <n v="8827.17"/>
    <n v="10615.179999999998"/>
  </r>
  <r>
    <n v="1056"/>
    <n v="25"/>
    <s v="female"/>
    <x v="135"/>
    <n v="100"/>
    <s v="Yes"/>
    <n v="2"/>
    <x v="1"/>
    <s v="southeast"/>
    <n v="19444.27"/>
    <x v="0"/>
    <n v="22.2"/>
    <n v="1"/>
    <n v="0"/>
    <n v="0"/>
    <n v="0.87201358340866364"/>
    <n v="1"/>
    <n v="1"/>
    <n v="1"/>
    <n v="18880.197999999997"/>
    <n v="564.07200000000375"/>
  </r>
  <r>
    <n v="1057"/>
    <n v="21"/>
    <s v="male"/>
    <x v="227"/>
    <n v="107"/>
    <s v="Yes"/>
    <n v="4"/>
    <x v="0"/>
    <s v="northeast"/>
    <n v="19496.72"/>
    <x v="2"/>
    <n v="0"/>
    <n v="0"/>
    <n v="0"/>
    <n v="0"/>
    <n v="0.31495879182630582"/>
    <n v="0"/>
    <n v="1"/>
    <n v="0"/>
    <n v="16049.790000000003"/>
    <n v="3446.9299999999985"/>
  </r>
  <r>
    <n v="1058"/>
    <n v="21"/>
    <s v="male"/>
    <x v="63"/>
    <n v="87"/>
    <s v="No"/>
    <n v="0"/>
    <x v="1"/>
    <s v="southeast"/>
    <n v="19515.54"/>
    <x v="0"/>
    <n v="24.6"/>
    <n v="1"/>
    <n v="0"/>
    <n v="0"/>
    <n v="0.23118922521671004"/>
    <n v="1"/>
    <n v="0"/>
    <n v="0"/>
    <n v="18185.534"/>
    <n v="1330.0060000000012"/>
  </r>
  <r>
    <n v="1059"/>
    <n v="40"/>
    <s v="female"/>
    <x v="65"/>
    <n v="109"/>
    <s v="Yes"/>
    <n v="1"/>
    <x v="1"/>
    <s v="southeast"/>
    <n v="19521.97"/>
    <x v="4"/>
    <n v="28.4"/>
    <n v="1"/>
    <n v="0"/>
    <n v="0"/>
    <n v="0.30357821384052863"/>
    <n v="1"/>
    <n v="1"/>
    <n v="1"/>
    <n v="27896.145999999993"/>
    <n v="-8374.1759999999922"/>
  </r>
  <r>
    <n v="1060"/>
    <n v="34"/>
    <s v="female"/>
    <x v="116"/>
    <n v="105"/>
    <s v="No"/>
    <n v="0"/>
    <x v="1"/>
    <s v="southeast"/>
    <n v="19539.240000000002"/>
    <x v="4"/>
    <n v="26.4"/>
    <n v="1"/>
    <n v="0"/>
    <n v="0"/>
    <n v="0.4815364121169905"/>
    <n v="1"/>
    <n v="0"/>
    <n v="1"/>
    <n v="23906.905999999999"/>
    <n v="-4367.6659999999974"/>
  </r>
  <r>
    <n v="1061"/>
    <n v="53"/>
    <s v="female"/>
    <x v="113"/>
    <n v="87"/>
    <s v="No"/>
    <n v="1"/>
    <x v="1"/>
    <s v="northeast"/>
    <n v="19594.810000000001"/>
    <x v="0"/>
    <n v="20.2"/>
    <n v="0"/>
    <n v="0"/>
    <n v="0"/>
    <n v="0.60030894638609189"/>
    <n v="1"/>
    <n v="0"/>
    <n v="1"/>
    <n v="17055.858000000004"/>
    <n v="2538.9519999999975"/>
  </r>
  <r>
    <n v="1062"/>
    <n v="47"/>
    <s v="male"/>
    <x v="37"/>
    <n v="98"/>
    <s v="No"/>
    <n v="0"/>
    <x v="0"/>
    <s v="northwest"/>
    <n v="19673.34"/>
    <x v="1"/>
    <n v="0"/>
    <n v="0"/>
    <n v="0"/>
    <n v="1"/>
    <n v="0.90193666246242044"/>
    <n v="0"/>
    <n v="0"/>
    <n v="0"/>
    <n v="8243.8099999999977"/>
    <n v="11429.530000000002"/>
  </r>
  <r>
    <n v="1063"/>
    <n v="38"/>
    <s v="male"/>
    <x v="55"/>
    <n v="106"/>
    <s v="No"/>
    <n v="1"/>
    <x v="1"/>
    <s v="southeast"/>
    <n v="19719.689999999999"/>
    <x v="4"/>
    <n v="28.9"/>
    <n v="1"/>
    <n v="0"/>
    <n v="0"/>
    <n v="0.48264233150068381"/>
    <n v="1"/>
    <n v="0"/>
    <n v="0"/>
    <n v="27716.391000000003"/>
    <n v="-7996.7010000000046"/>
  </r>
  <r>
    <n v="1064"/>
    <n v="30"/>
    <s v="female"/>
    <x v="34"/>
    <n v="97"/>
    <s v="No"/>
    <n v="3"/>
    <x v="0"/>
    <s v="southeast"/>
    <n v="19749.38"/>
    <x v="4"/>
    <n v="0"/>
    <n v="1"/>
    <n v="0"/>
    <n v="0"/>
    <n v="0.25365936573510484"/>
    <n v="0"/>
    <n v="0"/>
    <n v="1"/>
    <n v="9555.9600000000028"/>
    <n v="10193.419999999998"/>
  </r>
  <r>
    <n v="1065"/>
    <n v="28"/>
    <s v="female"/>
    <x v="157"/>
    <n v="96"/>
    <s v="Yes"/>
    <n v="2"/>
    <x v="1"/>
    <s v="northeast"/>
    <n v="19798.05"/>
    <x v="0"/>
    <n v="20"/>
    <n v="0"/>
    <n v="0"/>
    <n v="0"/>
    <n v="0.1021974302456925"/>
    <n v="1"/>
    <n v="1"/>
    <n v="1"/>
    <n v="18924.410000000003"/>
    <n v="873.63999999999578"/>
  </r>
  <r>
    <n v="1066"/>
    <n v="23"/>
    <s v="male"/>
    <x v="59"/>
    <n v="99"/>
    <s v="Yes"/>
    <n v="3"/>
    <x v="1"/>
    <s v="southwest"/>
    <n v="19933.46"/>
    <x v="4"/>
    <n v="29.7"/>
    <n v="0"/>
    <n v="1"/>
    <n v="0"/>
    <n v="0.96765173829019313"/>
    <n v="1"/>
    <n v="1"/>
    <n v="0"/>
    <n v="29790.253000000001"/>
    <n v="-9856.7930000000015"/>
  </r>
  <r>
    <n v="1067"/>
    <n v="43"/>
    <s v="female"/>
    <x v="73"/>
    <n v="82"/>
    <s v="Yes"/>
    <n v="0"/>
    <x v="1"/>
    <s v="northeast"/>
    <n v="19964.75"/>
    <x v="0"/>
    <n v="23.4"/>
    <n v="0"/>
    <n v="0"/>
    <n v="0"/>
    <n v="0.6764493529524902"/>
    <n v="1"/>
    <n v="1"/>
    <n v="1"/>
    <n v="19766.415999999997"/>
    <n v="198.33400000000256"/>
  </r>
  <r>
    <n v="1068"/>
    <n v="40"/>
    <s v="male"/>
    <x v="34"/>
    <n v="93"/>
    <s v="No"/>
    <n v="1"/>
    <x v="1"/>
    <s v="northwest"/>
    <n v="20009.63"/>
    <x v="4"/>
    <n v="27.8"/>
    <n v="0"/>
    <n v="0"/>
    <n v="1"/>
    <n v="0.51499515792057948"/>
    <n v="1"/>
    <n v="0"/>
    <n v="0"/>
    <n v="24856.692000000003"/>
    <n v="-4847.0620000000017"/>
  </r>
  <r>
    <n v="1069"/>
    <n v="19"/>
    <s v="male"/>
    <x v="116"/>
    <n v="87"/>
    <s v="Yes"/>
    <n v="0"/>
    <x v="1"/>
    <s v="northeast"/>
    <n v="20149.32"/>
    <x v="4"/>
    <n v="26.4"/>
    <n v="0"/>
    <n v="0"/>
    <n v="0"/>
    <n v="3.1056391973740993E-2"/>
    <n v="1"/>
    <n v="1"/>
    <n v="0"/>
    <n v="24184.206000000002"/>
    <n v="-4034.8860000000022"/>
  </r>
  <r>
    <n v="1070"/>
    <n v="28"/>
    <s v="female"/>
    <x v="25"/>
    <n v="81"/>
    <s v="No"/>
    <n v="0"/>
    <x v="1"/>
    <s v="southwest"/>
    <n v="20167.34"/>
    <x v="0"/>
    <n v="21.8"/>
    <n v="0"/>
    <n v="1"/>
    <n v="0"/>
    <n v="3.9192775649272149E-2"/>
    <n v="1"/>
    <n v="0"/>
    <n v="1"/>
    <n v="14587.472000000005"/>
    <n v="5579.8679999999949"/>
  </r>
  <r>
    <n v="1071"/>
    <n v="42"/>
    <s v="female"/>
    <x v="180"/>
    <n v="110"/>
    <s v="Yes"/>
    <n v="2"/>
    <x v="0"/>
    <s v="southwest"/>
    <n v="20177.669999999998"/>
    <x v="4"/>
    <n v="0"/>
    <n v="0"/>
    <n v="1"/>
    <n v="0"/>
    <n v="0.55940927655847628"/>
    <n v="0"/>
    <n v="1"/>
    <n v="1"/>
    <n v="11470.940000000002"/>
    <n v="8706.7299999999959"/>
  </r>
  <r>
    <n v="1072"/>
    <n v="44"/>
    <s v="female"/>
    <x v="196"/>
    <n v="82"/>
    <s v="Yes"/>
    <n v="0"/>
    <x v="1"/>
    <s v="northwest"/>
    <n v="20234.849999999999"/>
    <x v="4"/>
    <n v="28"/>
    <n v="0"/>
    <n v="0"/>
    <n v="1"/>
    <n v="0.49210486590652824"/>
    <n v="1"/>
    <n v="1"/>
    <n v="1"/>
    <n v="23002.67"/>
    <n v="-2767.8199999999997"/>
  </r>
  <r>
    <n v="1073"/>
    <n v="20"/>
    <s v="male"/>
    <x v="66"/>
    <n v="91"/>
    <s v="Yes"/>
    <n v="1"/>
    <x v="0"/>
    <s v="northeast"/>
    <n v="20277.810000000001"/>
    <x v="4"/>
    <n v="0"/>
    <n v="0"/>
    <n v="0"/>
    <n v="0"/>
    <n v="0.808418139606774"/>
    <n v="0"/>
    <n v="1"/>
    <n v="0"/>
    <n v="10419.36"/>
    <n v="9858.4500000000007"/>
  </r>
  <r>
    <n v="1074"/>
    <n v="46"/>
    <s v="female"/>
    <x v="30"/>
    <n v="100"/>
    <s v="Yes"/>
    <n v="1"/>
    <x v="1"/>
    <s v="northeast"/>
    <n v="20296.86"/>
    <x v="4"/>
    <n v="25.6"/>
    <n v="0"/>
    <n v="0"/>
    <n v="0"/>
    <n v="0.33399945241833928"/>
    <n v="1"/>
    <n v="1"/>
    <n v="1"/>
    <n v="26331.754000000008"/>
    <n v="-6034.8940000000075"/>
  </r>
  <r>
    <n v="1075"/>
    <n v="47"/>
    <s v="male"/>
    <x v="56"/>
    <n v="89"/>
    <s v="Yes"/>
    <n v="0"/>
    <x v="0"/>
    <s v="southwest"/>
    <n v="20420.599999999999"/>
    <x v="4"/>
    <n v="0"/>
    <n v="0"/>
    <n v="1"/>
    <n v="0"/>
    <n v="0.44643819520836381"/>
    <n v="0"/>
    <n v="1"/>
    <n v="0"/>
    <n v="6388.37"/>
    <n v="14032.23"/>
  </r>
  <r>
    <n v="1076"/>
    <n v="44"/>
    <s v="female"/>
    <x v="119"/>
    <n v="98"/>
    <s v="Yes"/>
    <n v="3"/>
    <x v="0"/>
    <s v="southeast"/>
    <n v="20463"/>
    <x v="2"/>
    <n v="0"/>
    <n v="1"/>
    <n v="0"/>
    <n v="0"/>
    <n v="0.54532996095348807"/>
    <n v="0"/>
    <n v="1"/>
    <n v="1"/>
    <n v="10509.220000000003"/>
    <n v="9953.779999999997"/>
  </r>
  <r>
    <n v="1077"/>
    <n v="19"/>
    <s v="male"/>
    <x v="6"/>
    <n v="102"/>
    <s v="Yes"/>
    <n v="0"/>
    <x v="0"/>
    <s v="southwest"/>
    <n v="20630.28"/>
    <x v="2"/>
    <n v="0"/>
    <n v="0"/>
    <n v="1"/>
    <n v="0"/>
    <n v="0.41123347624550843"/>
    <n v="0"/>
    <n v="1"/>
    <n v="0"/>
    <n v="9140.1299999999992"/>
    <n v="11490.15"/>
  </r>
  <r>
    <n v="1078"/>
    <n v="19"/>
    <s v="male"/>
    <x v="33"/>
    <n v="110"/>
    <s v="No"/>
    <n v="0"/>
    <x v="0"/>
    <s v="northeast"/>
    <n v="20709.02"/>
    <x v="2"/>
    <n v="0"/>
    <n v="0"/>
    <n v="0"/>
    <n v="0"/>
    <n v="0.37445135397687146"/>
    <n v="0"/>
    <n v="0"/>
    <n v="0"/>
    <n v="13698.52"/>
    <n v="7010.5"/>
  </r>
  <r>
    <n v="1079"/>
    <n v="39"/>
    <s v="male"/>
    <x v="14"/>
    <n v="81"/>
    <s v="No"/>
    <n v="3"/>
    <x v="1"/>
    <s v="northwest"/>
    <n v="20745.990000000002"/>
    <x v="4"/>
    <n v="28.7"/>
    <n v="0"/>
    <n v="0"/>
    <n v="1"/>
    <n v="0.41767571915496338"/>
    <n v="1"/>
    <n v="0"/>
    <n v="0"/>
    <n v="25629.593000000008"/>
    <n v="-4883.6030000000064"/>
  </r>
  <r>
    <n v="1080"/>
    <n v="49"/>
    <s v="male"/>
    <x v="196"/>
    <n v="106"/>
    <s v="No"/>
    <n v="1"/>
    <x v="1"/>
    <s v="northeast"/>
    <n v="20773.63"/>
    <x v="4"/>
    <n v="28"/>
    <n v="0"/>
    <n v="0"/>
    <n v="0"/>
    <n v="5.8449863531573887E-2"/>
    <n v="1"/>
    <n v="0"/>
    <n v="0"/>
    <n v="30136.82"/>
    <n v="-9363.1899999999987"/>
  </r>
  <r>
    <n v="1081"/>
    <n v="43"/>
    <s v="male"/>
    <x v="68"/>
    <n v="85"/>
    <s v="No"/>
    <n v="0"/>
    <x v="0"/>
    <s v="southeast"/>
    <n v="20781.490000000002"/>
    <x v="1"/>
    <n v="0"/>
    <n v="1"/>
    <n v="0"/>
    <n v="0"/>
    <n v="0.79791548704405635"/>
    <n v="0"/>
    <n v="0"/>
    <n v="0"/>
    <n v="5409.17"/>
    <n v="15372.320000000002"/>
  </r>
  <r>
    <n v="1082"/>
    <n v="42"/>
    <s v="female"/>
    <x v="2"/>
    <n v="107"/>
    <s v="No"/>
    <n v="0"/>
    <x v="0"/>
    <s v="northeast"/>
    <n v="20878.78"/>
    <x v="1"/>
    <n v="0"/>
    <n v="0"/>
    <n v="0"/>
    <n v="0"/>
    <n v="0.38447898185287399"/>
    <n v="0"/>
    <n v="0"/>
    <n v="1"/>
    <n v="13036.760000000002"/>
    <n v="7842.0199999999968"/>
  </r>
  <r>
    <n v="1083"/>
    <n v="30"/>
    <s v="male"/>
    <x v="110"/>
    <n v="89"/>
    <s v="Yes"/>
    <n v="2"/>
    <x v="1"/>
    <s v="northeast"/>
    <n v="20984.09"/>
    <x v="4"/>
    <n v="27.7"/>
    <n v="0"/>
    <n v="0"/>
    <n v="0"/>
    <n v="0.83251729147616849"/>
    <n v="1"/>
    <n v="1"/>
    <n v="0"/>
    <n v="27713.883000000005"/>
    <n v="-6729.7930000000051"/>
  </r>
  <r>
    <n v="1084"/>
    <n v="37"/>
    <s v="male"/>
    <x v="117"/>
    <n v="109"/>
    <s v="Yes"/>
    <n v="1"/>
    <x v="1"/>
    <s v="southwest"/>
    <n v="21082.16"/>
    <x v="4"/>
    <n v="28.3"/>
    <n v="0"/>
    <n v="1"/>
    <n v="0"/>
    <n v="0.10593219814283672"/>
    <n v="1"/>
    <n v="1"/>
    <n v="0"/>
    <n v="28009.187000000009"/>
    <n v="-6927.0270000000091"/>
  </r>
  <r>
    <n v="1085"/>
    <n v="43"/>
    <s v="male"/>
    <x v="172"/>
    <n v="106"/>
    <s v="Yes"/>
    <n v="2"/>
    <x v="1"/>
    <s v="northwest"/>
    <n v="21098.55"/>
    <x v="0"/>
    <n v="22.9"/>
    <n v="0"/>
    <n v="0"/>
    <n v="1"/>
    <n v="0.15169401135517802"/>
    <n v="1"/>
    <n v="1"/>
    <n v="0"/>
    <n v="21007.721000000001"/>
    <n v="90.828999999997905"/>
  </r>
  <r>
    <n v="1086"/>
    <n v="38"/>
    <s v="male"/>
    <x v="62"/>
    <n v="98"/>
    <s v="No"/>
    <n v="0"/>
    <x v="1"/>
    <s v="southeast"/>
    <n v="21195.82"/>
    <x v="0"/>
    <n v="20.9"/>
    <n v="1"/>
    <n v="0"/>
    <n v="0"/>
    <n v="0.7339496846608824"/>
    <n v="1"/>
    <n v="0"/>
    <n v="0"/>
    <n v="14943.910999999993"/>
    <n v="6251.9090000000069"/>
  </r>
  <r>
    <n v="1087"/>
    <n v="44"/>
    <s v="male"/>
    <x v="243"/>
    <n v="110"/>
    <s v="No"/>
    <n v="0"/>
    <x v="1"/>
    <s v="southeast"/>
    <n v="21223.68"/>
    <x v="0"/>
    <n v="24.4"/>
    <n v="1"/>
    <n v="0"/>
    <n v="0"/>
    <n v="0.31731662602157718"/>
    <n v="1"/>
    <n v="0"/>
    <n v="0"/>
    <n v="21557.726000000002"/>
    <n v="-334.0460000000021"/>
  </r>
  <r>
    <n v="1088"/>
    <n v="44"/>
    <s v="male"/>
    <x v="66"/>
    <n v="91"/>
    <s v="Yes"/>
    <n v="0"/>
    <x v="0"/>
    <s v="southwest"/>
    <n v="21232.18"/>
    <x v="4"/>
    <n v="0"/>
    <n v="0"/>
    <n v="1"/>
    <n v="0"/>
    <n v="0.66332000016422343"/>
    <n v="0"/>
    <n v="1"/>
    <n v="0"/>
    <n v="6694.29"/>
    <n v="14537.89"/>
  </r>
  <r>
    <n v="1089"/>
    <n v="33"/>
    <s v="male"/>
    <x v="63"/>
    <n v="87"/>
    <s v="Yes"/>
    <n v="2"/>
    <x v="1"/>
    <s v="northeast"/>
    <n v="21259.38"/>
    <x v="0"/>
    <n v="24.6"/>
    <n v="0"/>
    <n v="0"/>
    <n v="0"/>
    <n v="0.73639712079903108"/>
    <n v="1"/>
    <n v="1"/>
    <n v="0"/>
    <n v="23222.324000000004"/>
    <n v="-1962.9440000000031"/>
  </r>
  <r>
    <n v="1090"/>
    <n v="45"/>
    <s v="female"/>
    <x v="1"/>
    <n v="83"/>
    <s v="Yes"/>
    <n v="0"/>
    <x v="0"/>
    <s v="northeast"/>
    <n v="21344.85"/>
    <x v="1"/>
    <n v="0"/>
    <n v="0"/>
    <n v="0"/>
    <n v="0"/>
    <n v="0.14556114019787214"/>
    <n v="0"/>
    <n v="1"/>
    <n v="1"/>
    <n v="8860.1000000000022"/>
    <n v="12484.749999999996"/>
  </r>
  <r>
    <n v="1091"/>
    <n v="54"/>
    <s v="female"/>
    <x v="130"/>
    <n v="99"/>
    <s v="No"/>
    <n v="0"/>
    <x v="1"/>
    <s v="northwest"/>
    <n v="21348.71"/>
    <x v="4"/>
    <n v="26.6"/>
    <n v="0"/>
    <n v="0"/>
    <n v="1"/>
    <n v="0.50372753708967122"/>
    <n v="1"/>
    <n v="0"/>
    <n v="1"/>
    <n v="23889.394000000004"/>
    <n v="-2540.6840000000047"/>
  </r>
  <r>
    <n v="1092"/>
    <n v="22"/>
    <s v="male"/>
    <x v="91"/>
    <n v="95"/>
    <s v="Yes"/>
    <n v="4"/>
    <x v="1"/>
    <s v="northwest"/>
    <n v="21472.48"/>
    <x v="4"/>
    <n v="28.1"/>
    <n v="0"/>
    <n v="0"/>
    <n v="1"/>
    <n v="0.22749691538040795"/>
    <n v="1"/>
    <n v="1"/>
    <n v="0"/>
    <n v="27747.979000000003"/>
    <n v="-6275.4990000000034"/>
  </r>
  <r>
    <n v="1093"/>
    <n v="50"/>
    <s v="male"/>
    <x v="263"/>
    <n v="89"/>
    <s v="No"/>
    <n v="0"/>
    <x v="0"/>
    <s v="northwest"/>
    <n v="21595.38"/>
    <x v="3"/>
    <n v="0"/>
    <n v="0"/>
    <n v="0"/>
    <n v="1"/>
    <n v="0.14677266855160753"/>
    <n v="0"/>
    <n v="0"/>
    <n v="0"/>
    <n v="5512.61"/>
    <n v="16082.77"/>
  </r>
  <r>
    <n v="1094"/>
    <n v="59"/>
    <s v="female"/>
    <x v="194"/>
    <n v="108"/>
    <s v="No"/>
    <n v="3"/>
    <x v="1"/>
    <s v="northeast"/>
    <n v="21659.93"/>
    <x v="0"/>
    <n v="24.9"/>
    <n v="0"/>
    <n v="0"/>
    <n v="0"/>
    <n v="0.51290065352438818"/>
    <n v="1"/>
    <n v="0"/>
    <n v="1"/>
    <n v="28196.090999999997"/>
    <n v="-6536.1609999999964"/>
  </r>
  <r>
    <n v="1095"/>
    <n v="26"/>
    <s v="female"/>
    <x v="105"/>
    <n v="94"/>
    <s v="Yes"/>
    <n v="1"/>
    <x v="1"/>
    <s v="northwest"/>
    <n v="21677.279999999999"/>
    <x v="0"/>
    <n v="23.7"/>
    <n v="0"/>
    <n v="0"/>
    <n v="1"/>
    <n v="9.5047778400137117E-2"/>
    <n v="1"/>
    <n v="1"/>
    <n v="1"/>
    <n v="19896.862999999998"/>
    <n v="1780.4170000000013"/>
  </r>
  <r>
    <n v="1096"/>
    <n v="38"/>
    <s v="female"/>
    <x v="129"/>
    <n v="104"/>
    <s v="Yes"/>
    <n v="1"/>
    <x v="1"/>
    <s v="northeast"/>
    <n v="21771.34"/>
    <x v="4"/>
    <n v="25.3"/>
    <n v="0"/>
    <n v="0"/>
    <n v="0"/>
    <n v="0.15703099883183713"/>
    <n v="1"/>
    <n v="1"/>
    <n v="1"/>
    <n v="26576.947"/>
    <n v="-4805.607"/>
  </r>
  <r>
    <n v="1097"/>
    <n v="34"/>
    <s v="female"/>
    <x v="161"/>
    <n v="105"/>
    <s v="No"/>
    <n v="0"/>
    <x v="1"/>
    <s v="northwest"/>
    <n v="21774.32"/>
    <x v="4"/>
    <n v="26.9"/>
    <n v="0"/>
    <n v="0"/>
    <n v="1"/>
    <n v="0.67809434851565986"/>
    <n v="1"/>
    <n v="0"/>
    <n v="1"/>
    <n v="25275.941000000003"/>
    <n v="-3501.6210000000028"/>
  </r>
  <r>
    <n v="1098"/>
    <n v="39"/>
    <s v="male"/>
    <x v="88"/>
    <n v="99"/>
    <s v="Yes"/>
    <n v="0"/>
    <x v="0"/>
    <s v="southwest"/>
    <n v="21797"/>
    <x v="2"/>
    <n v="0"/>
    <n v="0"/>
    <n v="1"/>
    <n v="0"/>
    <n v="0.82021287557938805"/>
    <n v="0"/>
    <n v="1"/>
    <n v="0"/>
    <n v="8644.31"/>
    <n v="13152.69"/>
  </r>
  <r>
    <n v="1099"/>
    <n v="58"/>
    <s v="female"/>
    <x v="54"/>
    <n v="82"/>
    <s v="No"/>
    <n v="2"/>
    <x v="1"/>
    <s v="northwest"/>
    <n v="21880.82"/>
    <x v="0"/>
    <n v="24.7"/>
    <n v="0"/>
    <n v="0"/>
    <n v="1"/>
    <n v="0.31912301106968632"/>
    <n v="1"/>
    <n v="0"/>
    <n v="1"/>
    <n v="20092.813000000006"/>
    <n v="1788.0069999999942"/>
  </r>
  <r>
    <n v="1100"/>
    <n v="48"/>
    <s v="male"/>
    <x v="212"/>
    <n v="99"/>
    <s v="No"/>
    <n v="1"/>
    <x v="1"/>
    <s v="southeast"/>
    <n v="21978.68"/>
    <x v="4"/>
    <n v="25.4"/>
    <n v="1"/>
    <n v="0"/>
    <n v="0"/>
    <n v="0.82766521997873654"/>
    <n v="1"/>
    <n v="0"/>
    <n v="0"/>
    <n v="21880.046000000002"/>
    <n v="98.633999999998196"/>
  </r>
  <r>
    <n v="1101"/>
    <n v="34"/>
    <s v="male"/>
    <x v="210"/>
    <n v="107"/>
    <s v="Yes"/>
    <n v="0"/>
    <x v="0"/>
    <s v="northwest"/>
    <n v="21984.47"/>
    <x v="0"/>
    <n v="0"/>
    <n v="0"/>
    <n v="0"/>
    <n v="1"/>
    <n v="9.3832151134591535E-2"/>
    <n v="0"/>
    <n v="1"/>
    <n v="0"/>
    <n v="8678.65"/>
    <n v="13305.820000000002"/>
  </r>
  <r>
    <n v="1102"/>
    <n v="40"/>
    <s v="male"/>
    <x v="49"/>
    <n v="106"/>
    <s v="No"/>
    <n v="0"/>
    <x v="1"/>
    <s v="southwest"/>
    <n v="22144.03"/>
    <x v="1"/>
    <n v="30"/>
    <n v="0"/>
    <n v="1"/>
    <n v="0"/>
    <n v="0.49287007564399976"/>
    <n v="1"/>
    <n v="0"/>
    <n v="0"/>
    <n v="29143.370000000003"/>
    <n v="-6999.3400000000038"/>
  </r>
  <r>
    <n v="1103"/>
    <n v="40"/>
    <s v="female"/>
    <x v="216"/>
    <n v="87"/>
    <s v="Yes"/>
    <n v="1"/>
    <x v="0"/>
    <s v="southeast"/>
    <n v="22192.44"/>
    <x v="0"/>
    <n v="0"/>
    <n v="1"/>
    <n v="0"/>
    <n v="0"/>
    <n v="0.63882147740529582"/>
    <n v="0"/>
    <n v="1"/>
    <n v="1"/>
    <n v="6076.82"/>
    <n v="16115.619999999999"/>
  </r>
  <r>
    <n v="1104"/>
    <n v="36"/>
    <s v="male"/>
    <x v="0"/>
    <n v="80"/>
    <s v="Yes"/>
    <n v="1"/>
    <x v="1"/>
    <s v="southeast"/>
    <n v="22218.11"/>
    <x v="0"/>
    <n v="23.2"/>
    <n v="1"/>
    <n v="0"/>
    <n v="0"/>
    <n v="0.55930195887437772"/>
    <n v="1"/>
    <n v="1"/>
    <n v="0"/>
    <n v="15835.817999999997"/>
    <n v="6382.2920000000031"/>
  </r>
  <r>
    <n v="1105"/>
    <n v="60"/>
    <s v="female"/>
    <x v="91"/>
    <n v="84"/>
    <s v="No"/>
    <n v="1"/>
    <x v="1"/>
    <s v="northeast"/>
    <n v="22331.57"/>
    <x v="4"/>
    <n v="28.1"/>
    <n v="0"/>
    <n v="0"/>
    <n v="0"/>
    <n v="0.60966586962691294"/>
    <n v="1"/>
    <n v="0"/>
    <n v="1"/>
    <n v="27191.179"/>
    <n v="-4859.6090000000004"/>
  </r>
  <r>
    <n v="1106"/>
    <n v="45"/>
    <s v="female"/>
    <x v="122"/>
    <n v="103"/>
    <s v="No"/>
    <n v="2"/>
    <x v="0"/>
    <s v="northeast"/>
    <n v="22395.74"/>
    <x v="0"/>
    <n v="0"/>
    <n v="0"/>
    <n v="0"/>
    <n v="0"/>
    <n v="0.85254287266095707"/>
    <n v="0"/>
    <n v="0"/>
    <n v="1"/>
    <n v="13092.99"/>
    <n v="9302.7500000000018"/>
  </r>
  <r>
    <n v="1107"/>
    <n v="40"/>
    <s v="male"/>
    <x v="157"/>
    <n v="110"/>
    <s v="Yes"/>
    <n v="0"/>
    <x v="1"/>
    <s v="northeast"/>
    <n v="22412.65"/>
    <x v="0"/>
    <n v="20"/>
    <n v="0"/>
    <n v="0"/>
    <n v="0"/>
    <n v="0.12183995911614476"/>
    <n v="1"/>
    <n v="1"/>
    <n v="0"/>
    <n v="19221.880000000008"/>
    <n v="3190.7699999999932"/>
  </r>
  <r>
    <n v="1108"/>
    <n v="32"/>
    <s v="male"/>
    <x v="123"/>
    <n v="85"/>
    <s v="Yes"/>
    <n v="1"/>
    <x v="1"/>
    <s v="northeast"/>
    <n v="22462.04"/>
    <x v="4"/>
    <n v="29.9"/>
    <n v="0"/>
    <n v="0"/>
    <n v="0"/>
    <n v="0.4448236776325728"/>
    <n v="1"/>
    <n v="1"/>
    <n v="0"/>
    <n v="29293.041000000001"/>
    <n v="-6831.0010000000002"/>
  </r>
  <r>
    <n v="1109"/>
    <n v="49"/>
    <s v="female"/>
    <x v="21"/>
    <n v="88"/>
    <s v="No"/>
    <n v="2"/>
    <x v="1"/>
    <s v="southwest"/>
    <n v="22478.6"/>
    <x v="4"/>
    <n v="26.7"/>
    <n v="0"/>
    <n v="1"/>
    <n v="0"/>
    <n v="0.66354559148295811"/>
    <n v="1"/>
    <n v="0"/>
    <n v="1"/>
    <n v="23743.183000000001"/>
    <n v="-1264.5830000000024"/>
  </r>
  <r>
    <n v="1110"/>
    <n v="32"/>
    <s v="male"/>
    <x v="170"/>
    <n v="94"/>
    <s v="No"/>
    <n v="2"/>
    <x v="0"/>
    <s v="northwest"/>
    <n v="22493.66"/>
    <x v="4"/>
    <n v="0"/>
    <n v="0"/>
    <n v="0"/>
    <n v="1"/>
    <n v="0.61038498917384854"/>
    <n v="0"/>
    <n v="0"/>
    <n v="0"/>
    <n v="8545.380000000001"/>
    <n v="13948.279999999999"/>
  </r>
  <r>
    <n v="1111"/>
    <n v="57"/>
    <s v="female"/>
    <x v="131"/>
    <n v="83"/>
    <s v="No"/>
    <n v="0"/>
    <x v="0"/>
    <s v="northeast"/>
    <n v="23045.57"/>
    <x v="1"/>
    <n v="0"/>
    <n v="0"/>
    <n v="0"/>
    <n v="0"/>
    <n v="0.82711116826526643"/>
    <n v="0"/>
    <n v="0"/>
    <n v="1"/>
    <n v="8982.2000000000007"/>
    <n v="14063.369999999999"/>
  </r>
  <r>
    <n v="1112"/>
    <n v="27"/>
    <s v="female"/>
    <x v="34"/>
    <n v="87"/>
    <s v="Yes"/>
    <n v="0"/>
    <x v="1"/>
    <s v="southeast"/>
    <n v="23065.42"/>
    <x v="4"/>
    <n v="27.8"/>
    <n v="1"/>
    <n v="0"/>
    <n v="0"/>
    <n v="0.32163931061481355"/>
    <n v="1"/>
    <n v="1"/>
    <n v="1"/>
    <n v="22856.752"/>
    <n v="208.66799999999785"/>
  </r>
  <r>
    <n v="1113"/>
    <n v="22"/>
    <s v="male"/>
    <x v="133"/>
    <n v="91"/>
    <s v="No"/>
    <n v="0"/>
    <x v="0"/>
    <s v="southwest"/>
    <n v="23082.959999999999"/>
    <x v="1"/>
    <n v="0"/>
    <n v="0"/>
    <n v="1"/>
    <n v="0"/>
    <n v="8.5252850918377865E-2"/>
    <n v="0"/>
    <n v="0"/>
    <n v="0"/>
    <n v="7090.76"/>
    <n v="15992.199999999999"/>
  </r>
  <r>
    <n v="1114"/>
    <n v="23"/>
    <s v="male"/>
    <x v="203"/>
    <n v="80"/>
    <s v="Yes"/>
    <n v="2"/>
    <x v="0"/>
    <s v="northeast"/>
    <n v="23241.47"/>
    <x v="4"/>
    <n v="0"/>
    <n v="0"/>
    <n v="0"/>
    <n v="0"/>
    <n v="0.22337725395913322"/>
    <n v="0"/>
    <n v="1"/>
    <n v="0"/>
    <n v="9004.9700000000012"/>
    <n v="14236.5"/>
  </r>
  <r>
    <n v="1115"/>
    <n v="43"/>
    <s v="female"/>
    <x v="172"/>
    <n v="84"/>
    <s v="Yes"/>
    <n v="1"/>
    <x v="1"/>
    <s v="southeast"/>
    <n v="23244.79"/>
    <x v="0"/>
    <n v="22.9"/>
    <n v="1"/>
    <n v="0"/>
    <n v="0"/>
    <n v="0.44217227841046558"/>
    <n v="1"/>
    <n v="1"/>
    <n v="1"/>
    <n v="16506.760999999999"/>
    <n v="6738.0290000000023"/>
  </r>
  <r>
    <n v="1116"/>
    <n v="59"/>
    <s v="female"/>
    <x v="89"/>
    <n v="104"/>
    <s v="No"/>
    <n v="1"/>
    <x v="0"/>
    <s v="northeast"/>
    <n v="23288.93"/>
    <x v="0"/>
    <n v="0"/>
    <n v="0"/>
    <n v="0"/>
    <n v="0"/>
    <n v="0.95226735365226012"/>
    <n v="0"/>
    <n v="0"/>
    <n v="1"/>
    <n v="12504.970000000001"/>
    <n v="10783.96"/>
  </r>
  <r>
    <n v="1117"/>
    <n v="42"/>
    <s v="male"/>
    <x v="30"/>
    <n v="106"/>
    <s v="Yes"/>
    <n v="2"/>
    <x v="1"/>
    <s v="southwest"/>
    <n v="23306.55"/>
    <x v="4"/>
    <n v="25.6"/>
    <n v="0"/>
    <n v="1"/>
    <n v="0"/>
    <n v="0.44459381641496265"/>
    <n v="1"/>
    <n v="1"/>
    <n v="0"/>
    <n v="24631.594000000001"/>
    <n v="-1325.0440000000017"/>
  </r>
  <r>
    <n v="1118"/>
    <n v="26"/>
    <s v="female"/>
    <x v="45"/>
    <n v="99"/>
    <s v="Yes"/>
    <n v="1"/>
    <x v="1"/>
    <s v="northeast"/>
    <n v="23401.31"/>
    <x v="4"/>
    <n v="26.1"/>
    <n v="0"/>
    <n v="0"/>
    <n v="0"/>
    <n v="8.8007759138761466E-2"/>
    <n v="1"/>
    <n v="1"/>
    <n v="1"/>
    <n v="26870.109000000004"/>
    <n v="-3468.7990000000027"/>
  </r>
  <r>
    <n v="1119"/>
    <n v="36"/>
    <s v="male"/>
    <x v="4"/>
    <n v="89"/>
    <s v="No"/>
    <n v="2"/>
    <x v="0"/>
    <s v="southeast"/>
    <n v="23563.02"/>
    <x v="1"/>
    <n v="0"/>
    <n v="1"/>
    <n v="0"/>
    <n v="0"/>
    <n v="0.538338566192053"/>
    <n v="0"/>
    <n v="0"/>
    <n v="0"/>
    <n v="7627.02"/>
    <n v="15936"/>
  </r>
  <r>
    <n v="1120"/>
    <n v="44"/>
    <s v="male"/>
    <x v="196"/>
    <n v="93"/>
    <s v="No"/>
    <n v="1"/>
    <x v="1"/>
    <s v="southwest"/>
    <n v="23568.27"/>
    <x v="4"/>
    <n v="28"/>
    <n v="0"/>
    <n v="1"/>
    <n v="0"/>
    <n v="0.15211172937565709"/>
    <n v="1"/>
    <n v="0"/>
    <n v="0"/>
    <n v="25112.440000000002"/>
    <n v="-1544.1700000000019"/>
  </r>
  <r>
    <n v="1121"/>
    <n v="47"/>
    <s v="male"/>
    <x v="74"/>
    <n v="101"/>
    <s v="Yes"/>
    <n v="2"/>
    <x v="1"/>
    <s v="northwest"/>
    <n v="23807.24"/>
    <x v="4"/>
    <n v="25.8"/>
    <n v="0"/>
    <n v="0"/>
    <n v="1"/>
    <n v="0.46772879683668767"/>
    <n v="1"/>
    <n v="1"/>
    <n v="0"/>
    <n v="24104.252000000004"/>
    <n v="-297.01200000000244"/>
  </r>
  <r>
    <n v="1122"/>
    <n v="59"/>
    <s v="female"/>
    <x v="97"/>
    <n v="91"/>
    <s v="Yes"/>
    <n v="1"/>
    <x v="1"/>
    <s v="northwest"/>
    <n v="23887.66"/>
    <x v="0"/>
    <n v="24.1"/>
    <n v="0"/>
    <n v="0"/>
    <n v="1"/>
    <n v="0.70410313237081534"/>
    <n v="1"/>
    <n v="1"/>
    <n v="1"/>
    <n v="19913.729000000007"/>
    <n v="3973.9309999999932"/>
  </r>
  <r>
    <n v="1123"/>
    <n v="28"/>
    <s v="male"/>
    <x v="229"/>
    <n v="92"/>
    <s v="Yes"/>
    <n v="2"/>
    <x v="1"/>
    <s v="northwest"/>
    <n v="23967.38"/>
    <x v="0"/>
    <n v="24.8"/>
    <n v="0"/>
    <n v="0"/>
    <n v="1"/>
    <n v="0.66737043873782409"/>
    <n v="1"/>
    <n v="1"/>
    <n v="0"/>
    <n v="21347.572000000004"/>
    <n v="2619.8079999999973"/>
  </r>
  <r>
    <n v="1124"/>
    <n v="60"/>
    <s v="female"/>
    <x v="35"/>
    <n v="85"/>
    <s v="No"/>
    <n v="2"/>
    <x v="0"/>
    <s v="northwest"/>
    <n v="24059.68"/>
    <x v="1"/>
    <n v="0"/>
    <n v="0"/>
    <n v="0"/>
    <n v="1"/>
    <n v="9.1143680337441579E-2"/>
    <n v="0"/>
    <n v="0"/>
    <n v="1"/>
    <n v="7800.33"/>
    <n v="16259.35"/>
  </r>
  <r>
    <n v="1125"/>
    <n v="46"/>
    <s v="female"/>
    <x v="43"/>
    <n v="86"/>
    <s v="Yes"/>
    <n v="3"/>
    <x v="1"/>
    <s v="northeast"/>
    <n v="24106.91"/>
    <x v="0"/>
    <n v="23.8"/>
    <n v="0"/>
    <n v="0"/>
    <n v="0"/>
    <n v="0.20984578278933774"/>
    <n v="1"/>
    <n v="1"/>
    <n v="1"/>
    <n v="23153.531999999999"/>
    <n v="953.37800000000061"/>
  </r>
  <r>
    <n v="1126"/>
    <n v="58"/>
    <s v="female"/>
    <x v="142"/>
    <n v="102"/>
    <s v="No"/>
    <n v="3"/>
    <x v="1"/>
    <s v="southeast"/>
    <n v="24180.93"/>
    <x v="4"/>
    <n v="25.9"/>
    <n v="1"/>
    <n v="0"/>
    <n v="0"/>
    <n v="8.1882106506859786E-2"/>
    <n v="1"/>
    <n v="0"/>
    <n v="1"/>
    <n v="24939.791000000001"/>
    <n v="-758.86100000000079"/>
  </r>
  <r>
    <n v="1127"/>
    <n v="51"/>
    <s v="female"/>
    <x v="64"/>
    <n v="106"/>
    <s v="No"/>
    <n v="0"/>
    <x v="0"/>
    <s v="southeast"/>
    <n v="24227.34"/>
    <x v="2"/>
    <n v="0"/>
    <n v="1"/>
    <n v="0"/>
    <n v="0"/>
    <n v="0.67372304743964939"/>
    <n v="0"/>
    <n v="0"/>
    <n v="1"/>
    <n v="9956.2200000000012"/>
    <n v="14271.119999999999"/>
  </r>
  <r>
    <n v="1128"/>
    <n v="48"/>
    <s v="male"/>
    <x v="83"/>
    <n v="106"/>
    <s v="No"/>
    <n v="0"/>
    <x v="1"/>
    <s v="northwest"/>
    <n v="24393.62"/>
    <x v="4"/>
    <n v="27.4"/>
    <n v="0"/>
    <n v="0"/>
    <n v="1"/>
    <n v="7.7952780349215267E-2"/>
    <n v="1"/>
    <n v="0"/>
    <n v="0"/>
    <n v="25645.005999999994"/>
    <n v="-1251.385999999995"/>
  </r>
  <r>
    <n v="1129"/>
    <n v="45"/>
    <s v="male"/>
    <x v="49"/>
    <n v="84"/>
    <s v="No"/>
    <n v="0"/>
    <x v="0"/>
    <s v="northwest"/>
    <n v="24476.48"/>
    <x v="1"/>
    <n v="0"/>
    <n v="0"/>
    <n v="0"/>
    <n v="1"/>
    <n v="0.43700904170251476"/>
    <n v="0"/>
    <n v="0"/>
    <n v="0"/>
    <n v="5687.21"/>
    <n v="18789.27"/>
  </r>
  <r>
    <n v="1130"/>
    <n v="53"/>
    <s v="female"/>
    <x v="94"/>
    <n v="104"/>
    <s v="No"/>
    <n v="0"/>
    <x v="0"/>
    <s v="southeast"/>
    <n v="24513.09"/>
    <x v="4"/>
    <n v="0"/>
    <n v="1"/>
    <n v="0"/>
    <n v="0"/>
    <n v="0.93937674510370073"/>
    <n v="0"/>
    <n v="0"/>
    <n v="1"/>
    <n v="8198.0800000000017"/>
    <n v="16315.009999999998"/>
  </r>
  <r>
    <n v="1131"/>
    <n v="39"/>
    <s v="female"/>
    <x v="13"/>
    <n v="104"/>
    <s v="Yes"/>
    <n v="1"/>
    <x v="1"/>
    <s v="southwest"/>
    <n v="24520.26"/>
    <x v="4"/>
    <n v="27.6"/>
    <n v="0"/>
    <n v="1"/>
    <n v="0"/>
    <n v="0.62372677132614951"/>
    <n v="1"/>
    <n v="1"/>
    <n v="1"/>
    <n v="26712.344000000005"/>
    <n v="-2192.0840000000062"/>
  </r>
  <r>
    <n v="1132"/>
    <n v="43"/>
    <s v="female"/>
    <x v="13"/>
    <n v="107"/>
    <s v="No"/>
    <n v="2"/>
    <x v="1"/>
    <s v="northwest"/>
    <n v="24535.7"/>
    <x v="4"/>
    <n v="27.6"/>
    <n v="0"/>
    <n v="0"/>
    <n v="1"/>
    <n v="0.36484414576336388"/>
    <n v="1"/>
    <n v="0"/>
    <n v="1"/>
    <n v="28001.364000000005"/>
    <n v="-3465.6640000000043"/>
  </r>
  <r>
    <n v="1133"/>
    <n v="46"/>
    <s v="male"/>
    <x v="13"/>
    <n v="84"/>
    <s v="No"/>
    <n v="0"/>
    <x v="0"/>
    <s v="southwest"/>
    <n v="24603.05"/>
    <x v="4"/>
    <n v="0"/>
    <n v="0"/>
    <n v="1"/>
    <n v="0"/>
    <n v="0.85900242451065112"/>
    <n v="0"/>
    <n v="0"/>
    <n v="0"/>
    <n v="5472.66"/>
    <n v="19130.39"/>
  </r>
  <r>
    <n v="1134"/>
    <n v="27"/>
    <s v="female"/>
    <x v="129"/>
    <n v="93"/>
    <s v="Yes"/>
    <n v="2"/>
    <x v="1"/>
    <s v="southeast"/>
    <n v="24667.42"/>
    <x v="4"/>
    <n v="25.3"/>
    <n v="1"/>
    <n v="0"/>
    <n v="0"/>
    <n v="0.56420157782011915"/>
    <n v="1"/>
    <n v="1"/>
    <n v="1"/>
    <n v="21929.046999999999"/>
    <n v="2738.3729999999996"/>
  </r>
  <r>
    <n v="1135"/>
    <n v="36"/>
    <s v="female"/>
    <x v="66"/>
    <n v="99"/>
    <s v="No"/>
    <n v="4"/>
    <x v="0"/>
    <s v="northeast"/>
    <n v="24671.66"/>
    <x v="4"/>
    <n v="0"/>
    <n v="0"/>
    <n v="0"/>
    <n v="0"/>
    <n v="0.4691538146740748"/>
    <n v="0"/>
    <n v="0"/>
    <n v="1"/>
    <n v="14404.330000000002"/>
    <n v="10267.329999999998"/>
  </r>
  <r>
    <n v="1136"/>
    <n v="23"/>
    <s v="male"/>
    <x v="89"/>
    <n v="97"/>
    <s v="No"/>
    <n v="3"/>
    <x v="1"/>
    <s v="northeast"/>
    <n v="24869.84"/>
    <x v="0"/>
    <n v="24.3"/>
    <n v="0"/>
    <n v="0"/>
    <n v="0"/>
    <n v="0.84553719096335334"/>
    <n v="1"/>
    <n v="0"/>
    <n v="0"/>
    <n v="25234.917000000009"/>
    <n v="-365.07700000000841"/>
  </r>
  <r>
    <n v="1137"/>
    <n v="32"/>
    <s v="female"/>
    <x v="26"/>
    <n v="84"/>
    <s v="Yes"/>
    <n v="3"/>
    <x v="1"/>
    <s v="northeast"/>
    <n v="24873.38"/>
    <x v="0"/>
    <n v="22.6"/>
    <n v="0"/>
    <n v="0"/>
    <n v="0"/>
    <n v="0.54047609903559302"/>
    <n v="1"/>
    <n v="1"/>
    <n v="1"/>
    <n v="21238.644000000008"/>
    <n v="3634.7359999999935"/>
  </r>
  <r>
    <n v="1138"/>
    <n v="58"/>
    <s v="female"/>
    <x v="119"/>
    <n v="94"/>
    <s v="No"/>
    <n v="2"/>
    <x v="0"/>
    <s v="northeast"/>
    <n v="24915.05"/>
    <x v="2"/>
    <n v="0"/>
    <n v="0"/>
    <n v="0"/>
    <n v="0"/>
    <n v="0.9364892306057796"/>
    <n v="0"/>
    <n v="0"/>
    <n v="1"/>
    <n v="12828.490000000002"/>
    <n v="12086.559999999998"/>
  </r>
  <r>
    <n v="1139"/>
    <n v="20"/>
    <s v="male"/>
    <x v="96"/>
    <n v="107"/>
    <s v="Yes"/>
    <n v="3"/>
    <x v="1"/>
    <s v="northwest"/>
    <n v="24915.22"/>
    <x v="4"/>
    <n v="28.2"/>
    <n v="0"/>
    <n v="0"/>
    <n v="1"/>
    <n v="0.13321087663538789"/>
    <n v="1"/>
    <n v="1"/>
    <n v="0"/>
    <n v="29061.848000000002"/>
    <n v="-4146.6280000000006"/>
  </r>
  <r>
    <n v="1140"/>
    <n v="35"/>
    <s v="female"/>
    <x v="0"/>
    <n v="86"/>
    <s v="No"/>
    <n v="0"/>
    <x v="0"/>
    <s v="southeast"/>
    <n v="25081.77"/>
    <x v="0"/>
    <n v="0"/>
    <n v="1"/>
    <n v="0"/>
    <n v="0"/>
    <n v="0.13600150821642332"/>
    <n v="0"/>
    <n v="0"/>
    <n v="1"/>
    <n v="5186.05"/>
    <n v="19895.72"/>
  </r>
  <r>
    <n v="1141"/>
    <n v="19"/>
    <s v="male"/>
    <x v="56"/>
    <n v="89"/>
    <s v="No"/>
    <n v="3"/>
    <x v="1"/>
    <s v="southwest"/>
    <n v="25309.49"/>
    <x v="4"/>
    <n v="29.8"/>
    <n v="0"/>
    <n v="1"/>
    <n v="0"/>
    <n v="5.2697371111949387E-2"/>
    <n v="1"/>
    <n v="0"/>
    <n v="0"/>
    <n v="28403.002"/>
    <n v="-3093.5119999999988"/>
  </r>
  <r>
    <n v="1142"/>
    <n v="29"/>
    <s v="male"/>
    <x v="80"/>
    <n v="85"/>
    <s v="No"/>
    <n v="2"/>
    <x v="0"/>
    <s v="northeast"/>
    <n v="25333.33"/>
    <x v="1"/>
    <n v="0"/>
    <n v="0"/>
    <n v="0"/>
    <n v="0"/>
    <n v="4.3806963102413166E-2"/>
    <n v="0"/>
    <n v="0"/>
    <n v="0"/>
    <n v="10471.35"/>
    <n v="14861.980000000001"/>
  </r>
  <r>
    <n v="1143"/>
    <n v="26"/>
    <s v="male"/>
    <x v="94"/>
    <n v="85"/>
    <s v="No"/>
    <n v="3"/>
    <x v="1"/>
    <s v="southwest"/>
    <n v="25382.3"/>
    <x v="4"/>
    <n v="25.1"/>
    <n v="0"/>
    <n v="1"/>
    <n v="0"/>
    <n v="0.68810849340235436"/>
    <n v="1"/>
    <n v="0"/>
    <n v="0"/>
    <n v="21435.639000000003"/>
    <n v="3946.6609999999964"/>
  </r>
  <r>
    <n v="1144"/>
    <n v="19"/>
    <s v="male"/>
    <x v="44"/>
    <n v="85"/>
    <s v="Yes"/>
    <n v="1"/>
    <x v="0"/>
    <s v="northeast"/>
    <n v="25517.11"/>
    <x v="4"/>
    <n v="0"/>
    <n v="0"/>
    <n v="0"/>
    <n v="0"/>
    <n v="0.41005908486892273"/>
    <n v="0"/>
    <n v="1"/>
    <n v="0"/>
    <n v="9112.5500000000011"/>
    <n v="16404.559999999998"/>
  </r>
  <r>
    <n v="1145"/>
    <n v="47"/>
    <s v="female"/>
    <x v="83"/>
    <n v="80"/>
    <s v="No"/>
    <n v="0"/>
    <x v="0"/>
    <s v="northeast"/>
    <n v="25656.58"/>
    <x v="4"/>
    <n v="0"/>
    <n v="0"/>
    <n v="0"/>
    <n v="0"/>
    <n v="0.72894809220325607"/>
    <n v="0"/>
    <n v="0"/>
    <n v="1"/>
    <n v="8216.9800000000014"/>
    <n v="17439.599999999999"/>
  </r>
  <r>
    <n v="1146"/>
    <n v="56"/>
    <s v="female"/>
    <x v="105"/>
    <n v="84"/>
    <s v="No"/>
    <n v="0"/>
    <x v="1"/>
    <s v="northwest"/>
    <n v="25678.78"/>
    <x v="0"/>
    <n v="23.7"/>
    <n v="0"/>
    <n v="0"/>
    <n v="1"/>
    <n v="0.9562603465069015"/>
    <n v="1"/>
    <n v="0"/>
    <n v="1"/>
    <n v="17593.382999999998"/>
    <n v="8085.3970000000008"/>
  </r>
  <r>
    <n v="1147"/>
    <n v="32"/>
    <s v="male"/>
    <x v="116"/>
    <n v="95"/>
    <s v="Yes"/>
    <n v="3"/>
    <x v="0"/>
    <s v="southeast"/>
    <n v="25992.82"/>
    <x v="4"/>
    <n v="0"/>
    <n v="1"/>
    <n v="0"/>
    <n v="0"/>
    <n v="0.63631660634368259"/>
    <n v="0"/>
    <n v="1"/>
    <n v="0"/>
    <n v="8600.510000000002"/>
    <n v="17392.309999999998"/>
  </r>
  <r>
    <n v="1148"/>
    <n v="29"/>
    <s v="female"/>
    <x v="112"/>
    <n v="128"/>
    <s v="Yes"/>
    <n v="2"/>
    <x v="0"/>
    <s v="northwest"/>
    <n v="26018.95"/>
    <x v="1"/>
    <n v="0"/>
    <n v="0"/>
    <n v="0"/>
    <n v="1"/>
    <n v="0.50676754093508392"/>
    <n v="0"/>
    <n v="1"/>
    <n v="1"/>
    <n v="14812.87"/>
    <n v="11206.08"/>
  </r>
  <r>
    <n v="1149"/>
    <n v="32"/>
    <s v="male"/>
    <x v="21"/>
    <n v="115"/>
    <s v="Yes"/>
    <n v="1"/>
    <x v="1"/>
    <s v="northwest"/>
    <n v="26109.33"/>
    <x v="4"/>
    <n v="26.7"/>
    <n v="0"/>
    <n v="0"/>
    <n v="1"/>
    <n v="0.10057903428956549"/>
    <n v="1"/>
    <n v="1"/>
    <n v="0"/>
    <n v="26829.693000000003"/>
    <n v="-720.36300000000119"/>
  </r>
  <r>
    <n v="1150"/>
    <n v="57"/>
    <s v="female"/>
    <x v="243"/>
    <n v="104"/>
    <s v="Yes"/>
    <n v="0"/>
    <x v="1"/>
    <s v="southeast"/>
    <n v="26125.67"/>
    <x v="0"/>
    <n v="24.4"/>
    <n v="1"/>
    <n v="0"/>
    <n v="0"/>
    <n v="0.16499419974812424"/>
    <n v="1"/>
    <n v="1"/>
    <n v="1"/>
    <n v="20959.436000000002"/>
    <n v="5166.2339999999967"/>
  </r>
  <r>
    <n v="1151"/>
    <n v="55"/>
    <s v="female"/>
    <x v="90"/>
    <n v="135"/>
    <s v="No"/>
    <n v="1"/>
    <x v="0"/>
    <s v="southwest"/>
    <n v="26140.36"/>
    <x v="4"/>
    <n v="0"/>
    <n v="0"/>
    <n v="1"/>
    <n v="0"/>
    <n v="0.24440983271486372"/>
    <n v="0"/>
    <n v="0"/>
    <n v="1"/>
    <n v="14740.670000000002"/>
    <n v="11399.689999999999"/>
  </r>
  <r>
    <n v="1152"/>
    <n v="52"/>
    <s v="female"/>
    <x v="97"/>
    <n v="84"/>
    <s v="Yes"/>
    <n v="1"/>
    <x v="0"/>
    <s v="southwest"/>
    <n v="26236.58"/>
    <x v="0"/>
    <n v="0"/>
    <n v="0"/>
    <n v="1"/>
    <n v="0"/>
    <n v="0.96067574577115045"/>
    <n v="0"/>
    <n v="1"/>
    <n v="1"/>
    <n v="6279.8599999999969"/>
    <n v="19956.720000000005"/>
  </r>
  <r>
    <n v="1153"/>
    <n v="38"/>
    <s v="female"/>
    <x v="77"/>
    <n v="128"/>
    <s v="No"/>
    <n v="1"/>
    <x v="0"/>
    <s v="northeast"/>
    <n v="26392.26"/>
    <x v="2"/>
    <n v="0"/>
    <n v="0"/>
    <n v="0"/>
    <n v="0"/>
    <n v="0.76526480849016765"/>
    <n v="0"/>
    <n v="0"/>
    <n v="1"/>
    <n v="17353.810000000001"/>
    <n v="9038.4499999999971"/>
  </r>
  <r>
    <n v="1154"/>
    <n v="43"/>
    <s v="male"/>
    <x v="258"/>
    <n v="126"/>
    <s v="No"/>
    <n v="2"/>
    <x v="0"/>
    <s v="northwest"/>
    <n v="26467.1"/>
    <x v="2"/>
    <n v="0"/>
    <n v="0"/>
    <n v="0"/>
    <n v="1"/>
    <n v="0.58023383479643753"/>
    <n v="0"/>
    <n v="0"/>
    <n v="0"/>
    <n v="14450.43"/>
    <n v="12016.669999999998"/>
  </r>
  <r>
    <n v="1155"/>
    <n v="31"/>
    <s v="male"/>
    <x v="43"/>
    <n v="126"/>
    <s v="Yes"/>
    <n v="0"/>
    <x v="1"/>
    <s v="southeast"/>
    <n v="26926.51"/>
    <x v="0"/>
    <n v="23.8"/>
    <n v="1"/>
    <n v="0"/>
    <n v="0"/>
    <n v="0.80954666222214466"/>
    <n v="1"/>
    <n v="1"/>
    <n v="0"/>
    <n v="23251.931999999997"/>
    <n v="3674.5780000000013"/>
  </r>
  <r>
    <n v="1156"/>
    <n v="28"/>
    <s v="male"/>
    <x v="67"/>
    <n v="94"/>
    <s v="Yes"/>
    <n v="1"/>
    <x v="0"/>
    <s v="southeast"/>
    <n v="27000.98"/>
    <x v="1"/>
    <n v="0"/>
    <n v="1"/>
    <n v="0"/>
    <n v="0"/>
    <n v="1.1857174612883492E-2"/>
    <n v="0"/>
    <n v="1"/>
    <n v="0"/>
    <n v="7405.6100000000015"/>
    <n v="19595.37"/>
  </r>
  <r>
    <n v="1157"/>
    <n v="46"/>
    <s v="female"/>
    <x v="41"/>
    <n v="137"/>
    <s v="Yes"/>
    <n v="0"/>
    <x v="1"/>
    <s v="southeast"/>
    <n v="27037.91"/>
    <x v="0"/>
    <n v="23"/>
    <n v="1"/>
    <n v="0"/>
    <n v="0"/>
    <n v="0.24284015829426686"/>
    <n v="1"/>
    <n v="1"/>
    <n v="1"/>
    <n v="24357.42"/>
    <n v="2680.4900000000016"/>
  </r>
  <r>
    <n v="1158"/>
    <n v="30"/>
    <s v="female"/>
    <x v="194"/>
    <n v="91"/>
    <s v="Yes"/>
    <n v="0"/>
    <x v="0"/>
    <s v="southeast"/>
    <n v="27117.99"/>
    <x v="0"/>
    <n v="0"/>
    <n v="1"/>
    <n v="0"/>
    <n v="0"/>
    <n v="0.58907354546331947"/>
    <n v="0"/>
    <n v="1"/>
    <n v="1"/>
    <n v="6066.6900000000005"/>
    <n v="21051.300000000003"/>
  </r>
  <r>
    <n v="1159"/>
    <n v="20"/>
    <s v="male"/>
    <x v="69"/>
    <n v="101"/>
    <s v="No"/>
    <n v="0"/>
    <x v="1"/>
    <s v="northeast"/>
    <n v="27218.44"/>
    <x v="4"/>
    <n v="29"/>
    <n v="0"/>
    <n v="0"/>
    <n v="0"/>
    <n v="1.9518897780492428E-2"/>
    <n v="1"/>
    <n v="0"/>
    <n v="0"/>
    <n v="29982.440000000002"/>
    <n v="-2764.0000000000036"/>
  </r>
  <r>
    <n v="1160"/>
    <n v="30"/>
    <s v="female"/>
    <x v="99"/>
    <n v="87"/>
    <s v="Yes"/>
    <n v="3"/>
    <x v="0"/>
    <s v="southeast"/>
    <n v="27322.73"/>
    <x v="1"/>
    <n v="0"/>
    <n v="1"/>
    <n v="0"/>
    <n v="0"/>
    <n v="0.66761812664736586"/>
    <n v="0"/>
    <n v="1"/>
    <n v="1"/>
    <n v="8241.5499999999993"/>
    <n v="19081.18"/>
  </r>
  <r>
    <n v="1161"/>
    <n v="36"/>
    <s v="male"/>
    <x v="23"/>
    <n v="81"/>
    <s v="Yes"/>
    <n v="0"/>
    <x v="0"/>
    <s v="southeast"/>
    <n v="27346.04"/>
    <x v="1"/>
    <n v="0"/>
    <n v="1"/>
    <n v="0"/>
    <n v="0"/>
    <n v="0.66488015820000301"/>
    <n v="0"/>
    <n v="1"/>
    <n v="0"/>
    <n v="4573.9100000000008"/>
    <n v="22772.13"/>
  </r>
  <r>
    <n v="1162"/>
    <n v="22"/>
    <s v="male"/>
    <x v="226"/>
    <n v="137"/>
    <s v="Yes"/>
    <n v="2"/>
    <x v="0"/>
    <s v="northeast"/>
    <n v="27375.9"/>
    <x v="0"/>
    <n v="0"/>
    <n v="0"/>
    <n v="0"/>
    <n v="0"/>
    <n v="0.35158145651887329"/>
    <n v="0"/>
    <n v="1"/>
    <n v="0"/>
    <n v="17880.580000000002"/>
    <n v="9495.32"/>
  </r>
  <r>
    <n v="1163"/>
    <n v="49"/>
    <s v="female"/>
    <x v="56"/>
    <n v="92"/>
    <s v="Yes"/>
    <n v="0"/>
    <x v="1"/>
    <s v="southeast"/>
    <n v="27533.91"/>
    <x v="4"/>
    <n v="29.8"/>
    <n v="1"/>
    <n v="0"/>
    <n v="0"/>
    <n v="0.30419071245323215"/>
    <n v="1"/>
    <n v="1"/>
    <n v="1"/>
    <n v="26315.921999999999"/>
    <n v="1217.9880000000012"/>
  </r>
  <r>
    <n v="1164"/>
    <n v="37"/>
    <s v="male"/>
    <x v="211"/>
    <n v="81"/>
    <s v="No"/>
    <n v="1"/>
    <x v="0"/>
    <s v="southeast"/>
    <n v="27724.29"/>
    <x v="2"/>
    <n v="0"/>
    <n v="1"/>
    <n v="0"/>
    <n v="0"/>
    <n v="0.60318620429732228"/>
    <n v="0"/>
    <n v="0"/>
    <n v="0"/>
    <n v="5713.380000000001"/>
    <n v="22010.91"/>
  </r>
  <r>
    <n v="1165"/>
    <n v="53"/>
    <s v="female"/>
    <x v="95"/>
    <n v="119"/>
    <s v="No"/>
    <n v="0"/>
    <x v="1"/>
    <s v="southeast"/>
    <n v="27808.73"/>
    <x v="4"/>
    <n v="26.3"/>
    <n v="1"/>
    <n v="0"/>
    <n v="0"/>
    <n v="0.4009533485683745"/>
    <n v="1"/>
    <n v="0"/>
    <n v="1"/>
    <n v="25982.376999999997"/>
    <n v="1826.3530000000028"/>
  </r>
  <r>
    <n v="1166"/>
    <n v="22"/>
    <s v="male"/>
    <x v="208"/>
    <n v="80"/>
    <s v="No"/>
    <n v="3"/>
    <x v="0"/>
    <s v="southwest"/>
    <n v="27941.29"/>
    <x v="2"/>
    <n v="0"/>
    <n v="0"/>
    <n v="1"/>
    <n v="0"/>
    <n v="0.85376584311231385"/>
    <n v="0"/>
    <n v="0"/>
    <n v="0"/>
    <n v="7806.4900000000016"/>
    <n v="20134.8"/>
  </r>
  <r>
    <n v="1167"/>
    <n v="23"/>
    <s v="male"/>
    <x v="21"/>
    <n v="123"/>
    <s v="Yes"/>
    <n v="0"/>
    <x v="1"/>
    <s v="northeast"/>
    <n v="28101.33"/>
    <x v="4"/>
    <n v="26.7"/>
    <n v="0"/>
    <n v="0"/>
    <n v="0"/>
    <n v="0.93086958453069779"/>
    <n v="1"/>
    <n v="1"/>
    <n v="0"/>
    <n v="30327.732999999997"/>
    <n v="-2226.4029999999948"/>
  </r>
  <r>
    <n v="1168"/>
    <n v="33"/>
    <s v="female"/>
    <x v="249"/>
    <n v="118"/>
    <s v="No"/>
    <n v="1"/>
    <x v="0"/>
    <s v="southeast"/>
    <n v="28287.9"/>
    <x v="2"/>
    <n v="0"/>
    <n v="1"/>
    <n v="0"/>
    <n v="0"/>
    <n v="0.97073747554442957"/>
    <n v="0"/>
    <n v="0"/>
    <n v="1"/>
    <n v="12170.880000000001"/>
    <n v="16117.02"/>
  </r>
  <r>
    <n v="1169"/>
    <n v="36"/>
    <s v="female"/>
    <x v="13"/>
    <n v="118"/>
    <s v="No"/>
    <n v="1"/>
    <x v="0"/>
    <s v="northwest"/>
    <n v="28340.19"/>
    <x v="4"/>
    <n v="0"/>
    <n v="0"/>
    <n v="0"/>
    <n v="1"/>
    <n v="0.45291211852919266"/>
    <n v="0"/>
    <n v="0"/>
    <n v="1"/>
    <n v="12102.779999999999"/>
    <n v="16237.41"/>
  </r>
  <r>
    <n v="1170"/>
    <n v="27"/>
    <s v="male"/>
    <x v="224"/>
    <n v="130"/>
    <s v="No"/>
    <n v="1"/>
    <x v="0"/>
    <s v="northwest"/>
    <n v="28468.92"/>
    <x v="2"/>
    <n v="0"/>
    <n v="0"/>
    <n v="0"/>
    <n v="1"/>
    <n v="0.46136521606979453"/>
    <n v="0"/>
    <n v="0"/>
    <n v="0"/>
    <n v="14362.48"/>
    <n v="14106.439999999999"/>
  </r>
  <r>
    <n v="1171"/>
    <n v="27"/>
    <s v="female"/>
    <x v="264"/>
    <n v="95"/>
    <s v="No"/>
    <n v="1"/>
    <x v="0"/>
    <s v="northwest"/>
    <n v="28476.73"/>
    <x v="2"/>
    <n v="0"/>
    <n v="0"/>
    <n v="0"/>
    <n v="1"/>
    <n v="0.5313235140693876"/>
    <n v="0"/>
    <n v="0"/>
    <n v="1"/>
    <n v="9623.630000000001"/>
    <n v="18853.099999999999"/>
  </r>
  <r>
    <n v="1172"/>
    <n v="38"/>
    <s v="male"/>
    <x v="117"/>
    <n v="93"/>
    <s v="No"/>
    <n v="1"/>
    <x v="1"/>
    <s v="northwest"/>
    <n v="28868.66"/>
    <x v="4"/>
    <n v="28.3"/>
    <n v="0"/>
    <n v="0"/>
    <n v="1"/>
    <n v="0.67069017413667631"/>
    <n v="1"/>
    <n v="0"/>
    <n v="0"/>
    <n v="25531.597000000009"/>
    <n v="3337.062999999991"/>
  </r>
  <r>
    <n v="1173"/>
    <n v="57"/>
    <s v="female"/>
    <x v="74"/>
    <n v="98"/>
    <s v="Yes"/>
    <n v="0"/>
    <x v="0"/>
    <s v="northwest"/>
    <n v="28923.14"/>
    <x v="4"/>
    <n v="0"/>
    <n v="0"/>
    <n v="0"/>
    <n v="1"/>
    <n v="9.4552639631913737E-2"/>
    <n v="0"/>
    <n v="1"/>
    <n v="1"/>
    <n v="7922.8999999999987"/>
    <n v="21000.240000000002"/>
  </r>
  <r>
    <n v="1174"/>
    <n v="30"/>
    <s v="female"/>
    <x v="160"/>
    <n v="113"/>
    <s v="No"/>
    <n v="0"/>
    <x v="1"/>
    <s v="northwest"/>
    <n v="28950.47"/>
    <x v="4"/>
    <n v="27"/>
    <n v="0"/>
    <n v="0"/>
    <n v="1"/>
    <n v="0.53282905331300923"/>
    <n v="1"/>
    <n v="0"/>
    <n v="1"/>
    <n v="26692.250000000004"/>
    <n v="2258.2199999999975"/>
  </r>
  <r>
    <n v="1175"/>
    <n v="44"/>
    <s v="female"/>
    <x v="152"/>
    <n v="139"/>
    <s v="No"/>
    <n v="0"/>
    <x v="1"/>
    <s v="northwest"/>
    <n v="29141.360000000001"/>
    <x v="4"/>
    <n v="29.1"/>
    <n v="0"/>
    <n v="0"/>
    <n v="1"/>
    <n v="0.35741906041203375"/>
    <n v="1"/>
    <n v="0"/>
    <n v="1"/>
    <n v="33647.519"/>
    <n v="-4506.1589999999997"/>
  </r>
  <r>
    <n v="1176"/>
    <n v="52"/>
    <s v="female"/>
    <x v="198"/>
    <n v="99"/>
    <s v="Yes"/>
    <n v="2"/>
    <x v="0"/>
    <s v="northeast"/>
    <n v="29186.48"/>
    <x v="1"/>
    <n v="0"/>
    <n v="0"/>
    <n v="0"/>
    <n v="0"/>
    <n v="0.63053213660741358"/>
    <n v="0"/>
    <n v="1"/>
    <n v="1"/>
    <n v="13069.16"/>
    <n v="16117.32"/>
  </r>
  <r>
    <n v="1177"/>
    <n v="47"/>
    <s v="female"/>
    <x v="161"/>
    <n v="114"/>
    <s v="Yes"/>
    <n v="0"/>
    <x v="1"/>
    <s v="northwest"/>
    <n v="29330.98"/>
    <x v="4"/>
    <n v="26.9"/>
    <n v="0"/>
    <n v="0"/>
    <n v="1"/>
    <n v="0.25180919204139907"/>
    <n v="1"/>
    <n v="1"/>
    <n v="1"/>
    <n v="26626.551000000007"/>
    <n v="2704.4289999999928"/>
  </r>
  <r>
    <n v="1178"/>
    <n v="55"/>
    <s v="female"/>
    <x v="110"/>
    <n v="111"/>
    <s v="Yes"/>
    <n v="0"/>
    <x v="1"/>
    <s v="northeast"/>
    <n v="29523.17"/>
    <x v="4"/>
    <n v="27.7"/>
    <n v="0"/>
    <n v="0"/>
    <n v="0"/>
    <n v="0.50607690905516278"/>
    <n v="1"/>
    <n v="1"/>
    <n v="1"/>
    <n v="30161.333000000006"/>
    <n v="-638.16300000000774"/>
  </r>
  <r>
    <n v="1179"/>
    <n v="27"/>
    <s v="male"/>
    <x v="186"/>
    <n v="95"/>
    <s v="No"/>
    <n v="3"/>
    <x v="0"/>
    <s v="northwest"/>
    <n v="30063.58"/>
    <x v="2"/>
    <n v="0"/>
    <n v="0"/>
    <n v="0"/>
    <n v="1"/>
    <n v="0.78110209303566103"/>
    <n v="0"/>
    <n v="0"/>
    <n v="0"/>
    <n v="10338.810000000001"/>
    <n v="19724.77"/>
  </r>
  <r>
    <n v="1180"/>
    <n v="19"/>
    <s v="male"/>
    <x v="54"/>
    <n v="97"/>
    <s v="Yes"/>
    <n v="1"/>
    <x v="0"/>
    <s v="northwest"/>
    <n v="30166.62"/>
    <x v="0"/>
    <n v="0"/>
    <n v="0"/>
    <n v="0"/>
    <n v="1"/>
    <n v="0.78307388040192671"/>
    <n v="0"/>
    <n v="1"/>
    <n v="0"/>
    <n v="8011.1899999999987"/>
    <n v="22155.43"/>
  </r>
  <r>
    <n v="1181"/>
    <n v="39"/>
    <s v="male"/>
    <x v="56"/>
    <n v="110"/>
    <s v="No"/>
    <n v="3"/>
    <x v="1"/>
    <s v="northeast"/>
    <n v="30184.94"/>
    <x v="4"/>
    <n v="29.8"/>
    <n v="0"/>
    <n v="0"/>
    <n v="0"/>
    <n v="0.24132965506802362"/>
    <n v="1"/>
    <n v="0"/>
    <n v="0"/>
    <n v="34684.902000000009"/>
    <n v="-4499.9620000000104"/>
  </r>
  <r>
    <n v="1182"/>
    <n v="32"/>
    <s v="male"/>
    <x v="138"/>
    <n v="132"/>
    <s v="No"/>
    <n v="0"/>
    <x v="0"/>
    <s v="northeast"/>
    <n v="30260"/>
    <x v="4"/>
    <n v="0"/>
    <n v="0"/>
    <n v="0"/>
    <n v="0"/>
    <n v="0.82271171129191023"/>
    <n v="0"/>
    <n v="0"/>
    <n v="0"/>
    <n v="16192.510000000002"/>
    <n v="14067.489999999998"/>
  </r>
  <r>
    <n v="1183"/>
    <n v="36"/>
    <s v="male"/>
    <x v="212"/>
    <n v="84"/>
    <s v="No"/>
    <n v="2"/>
    <x v="0"/>
    <s v="northwest"/>
    <n v="30284.639999999999"/>
    <x v="4"/>
    <n v="0"/>
    <n v="0"/>
    <n v="0"/>
    <n v="1"/>
    <n v="0.1607793909560622"/>
    <n v="0"/>
    <n v="0"/>
    <n v="0"/>
    <n v="6781.9099999999989"/>
    <n v="23502.73"/>
  </r>
  <r>
    <n v="1184"/>
    <n v="30"/>
    <s v="female"/>
    <x v="123"/>
    <n v="95"/>
    <s v="Yes"/>
    <n v="3"/>
    <x v="1"/>
    <s v="southeast"/>
    <n v="30942.19"/>
    <x v="4"/>
    <n v="29.9"/>
    <n v="1"/>
    <n v="0"/>
    <n v="0"/>
    <n v="0.17392596122109916"/>
    <n v="1"/>
    <n v="1"/>
    <n v="1"/>
    <n v="29168.201000000001"/>
    <n v="1773.9889999999978"/>
  </r>
  <r>
    <n v="1185"/>
    <n v="45"/>
    <s v="female"/>
    <x v="19"/>
    <n v="122"/>
    <s v="Yes"/>
    <n v="1"/>
    <x v="0"/>
    <s v="northeast"/>
    <n v="31620"/>
    <x v="2"/>
    <n v="0"/>
    <n v="0"/>
    <n v="0"/>
    <n v="0"/>
    <n v="0.47588966303997593"/>
    <n v="0"/>
    <n v="1"/>
    <n v="1"/>
    <n v="16403.75"/>
    <n v="15216.25"/>
  </r>
  <r>
    <n v="1186"/>
    <n v="18"/>
    <s v="male"/>
    <x v="59"/>
    <n v="103"/>
    <s v="No"/>
    <n v="2"/>
    <x v="0"/>
    <s v="northeast"/>
    <n v="32108.66"/>
    <x v="4"/>
    <n v="0"/>
    <n v="0"/>
    <n v="0"/>
    <n v="0"/>
    <n v="0.73807086817892353"/>
    <n v="0"/>
    <n v="0"/>
    <n v="0"/>
    <n v="13152.85"/>
    <n v="18955.809999999998"/>
  </r>
  <r>
    <n v="1187"/>
    <n v="46"/>
    <s v="male"/>
    <x v="98"/>
    <n v="114"/>
    <s v="Yes"/>
    <n v="0"/>
    <x v="1"/>
    <s v="southeast"/>
    <n v="32548.34"/>
    <x v="1"/>
    <n v="30.3"/>
    <n v="1"/>
    <n v="0"/>
    <n v="0"/>
    <n v="7.8039145963907042E-2"/>
    <n v="1"/>
    <n v="1"/>
    <n v="0"/>
    <n v="30058.136999999999"/>
    <n v="2490.2030000000013"/>
  </r>
  <r>
    <n v="1188"/>
    <n v="25"/>
    <s v="female"/>
    <x v="51"/>
    <n v="83"/>
    <s v="No"/>
    <n v="2"/>
    <x v="1"/>
    <s v="northwest"/>
    <n v="32734.19"/>
    <x v="3"/>
    <n v="17.8"/>
    <n v="0"/>
    <n v="0"/>
    <n v="1"/>
    <n v="0.94708001970631828"/>
    <n v="1"/>
    <n v="0"/>
    <n v="1"/>
    <n v="11016.282000000003"/>
    <n v="21717.907999999996"/>
  </r>
  <r>
    <n v="1189"/>
    <n v="37"/>
    <s v="male"/>
    <x v="117"/>
    <n v="88"/>
    <s v="No"/>
    <n v="3"/>
    <x v="1"/>
    <s v="northwest"/>
    <n v="32787.46"/>
    <x v="4"/>
    <n v="28.3"/>
    <n v="0"/>
    <n v="0"/>
    <n v="1"/>
    <n v="0.57409796676168445"/>
    <n v="1"/>
    <n v="0"/>
    <n v="0"/>
    <n v="26211.407000000007"/>
    <n v="6576.0529999999926"/>
  </r>
  <r>
    <n v="1190"/>
    <n v="33"/>
    <s v="female"/>
    <x v="49"/>
    <n v="81"/>
    <s v="Yes"/>
    <n v="0"/>
    <x v="1"/>
    <s v="northwest"/>
    <n v="33307.550000000003"/>
    <x v="1"/>
    <n v="30"/>
    <n v="0"/>
    <n v="0"/>
    <n v="1"/>
    <n v="0.26465417369665212"/>
    <n v="1"/>
    <n v="1"/>
    <n v="1"/>
    <n v="25546.540000000008"/>
    <n v="7761.0099999999948"/>
  </r>
  <r>
    <n v="1191"/>
    <n v="29"/>
    <s v="female"/>
    <x v="225"/>
    <n v="106"/>
    <s v="Yes"/>
    <n v="2"/>
    <x v="0"/>
    <s v="northwest"/>
    <n v="33471.97"/>
    <x v="2"/>
    <n v="0"/>
    <n v="0"/>
    <n v="0"/>
    <n v="1"/>
    <n v="0.74133275387306785"/>
    <n v="0"/>
    <n v="1"/>
    <n v="1"/>
    <n v="11712.290000000003"/>
    <n v="21759.68"/>
  </r>
  <r>
    <n v="1192"/>
    <n v="29"/>
    <s v="male"/>
    <x v="195"/>
    <n v="94"/>
    <s v="No"/>
    <n v="0"/>
    <x v="1"/>
    <s v="northeast"/>
    <n v="33475.82"/>
    <x v="1"/>
    <n v="30.7"/>
    <n v="0"/>
    <n v="0"/>
    <n v="0"/>
    <n v="0.69717765537250542"/>
    <n v="1"/>
    <n v="0"/>
    <n v="0"/>
    <n v="31139.763000000006"/>
    <n v="2336.0569999999934"/>
  </r>
  <r>
    <n v="1193"/>
    <n v="47"/>
    <s v="male"/>
    <x v="103"/>
    <n v="129"/>
    <s v="Yes"/>
    <n v="0"/>
    <x v="1"/>
    <s v="northeast"/>
    <n v="33732.69"/>
    <x v="1"/>
    <n v="31.7"/>
    <n v="0"/>
    <n v="0"/>
    <n v="0"/>
    <n v="0.74579358534357132"/>
    <n v="1"/>
    <n v="1"/>
    <n v="0"/>
    <n v="37978.003000000004"/>
    <n v="-4245.3130000000019"/>
  </r>
  <r>
    <n v="1194"/>
    <n v="46"/>
    <s v="male"/>
    <x v="99"/>
    <n v="82"/>
    <s v="Yes"/>
    <n v="0"/>
    <x v="1"/>
    <s v="northwest"/>
    <n v="33750.29"/>
    <x v="1"/>
    <n v="31.9"/>
    <n v="0"/>
    <n v="0"/>
    <n v="1"/>
    <n v="1.1240828778269818E-2"/>
    <n v="1"/>
    <n v="1"/>
    <n v="0"/>
    <n v="27799.450999999997"/>
    <n v="5950.8390000000036"/>
  </r>
  <r>
    <n v="1195"/>
    <n v="48"/>
    <s v="female"/>
    <x v="168"/>
    <n v="129"/>
    <s v="Yes"/>
    <n v="0"/>
    <x v="1"/>
    <s v="southwest"/>
    <n v="33900.65"/>
    <x v="1"/>
    <n v="30.2"/>
    <n v="0"/>
    <n v="1"/>
    <n v="0"/>
    <n v="2.4572738582000264E-2"/>
    <n v="1"/>
    <n v="1"/>
    <n v="1"/>
    <n v="33448.527999999998"/>
    <n v="452.12200000000303"/>
  </r>
  <r>
    <n v="1196"/>
    <n v="59"/>
    <s v="female"/>
    <x v="15"/>
    <n v="80"/>
    <s v="No"/>
    <n v="0"/>
    <x v="1"/>
    <s v="northwest"/>
    <n v="33907.550000000003"/>
    <x v="1"/>
    <n v="30.4"/>
    <n v="0"/>
    <n v="0"/>
    <n v="1"/>
    <n v="0.42790332856076196"/>
    <n v="1"/>
    <n v="0"/>
    <n v="1"/>
    <n v="25960.605999999996"/>
    <n v="7946.9440000000068"/>
  </r>
  <r>
    <n v="1197"/>
    <n v="36"/>
    <s v="female"/>
    <x v="23"/>
    <n v="136"/>
    <s v="Yes"/>
    <n v="0"/>
    <x v="1"/>
    <s v="southwest"/>
    <n v="34166.269999999997"/>
    <x v="1"/>
    <n v="31.4"/>
    <n v="0"/>
    <n v="1"/>
    <n v="0"/>
    <n v="0.93999149853601005"/>
    <n v="1"/>
    <n v="1"/>
    <n v="1"/>
    <n v="36194.646000000001"/>
    <n v="-2028.3760000000038"/>
  </r>
  <r>
    <n v="1198"/>
    <n v="30"/>
    <s v="male"/>
    <x v="17"/>
    <n v="136"/>
    <s v="No"/>
    <n v="0"/>
    <x v="1"/>
    <s v="northeast"/>
    <n v="34254.050000000003"/>
    <x v="1"/>
    <n v="31.1"/>
    <n v="0"/>
    <n v="0"/>
    <n v="0"/>
    <n v="6.9921473457879024E-2"/>
    <n v="1"/>
    <n v="0"/>
    <n v="0"/>
    <n v="38379.139000000003"/>
    <n v="-4125.0889999999999"/>
  </r>
  <r>
    <n v="1199"/>
    <n v="22"/>
    <s v="male"/>
    <x v="103"/>
    <n v="115"/>
    <s v="No"/>
    <n v="2"/>
    <x v="1"/>
    <s v="southeast"/>
    <n v="34303.17"/>
    <x v="1"/>
    <n v="31.7"/>
    <n v="1"/>
    <n v="0"/>
    <n v="0"/>
    <n v="9.6355264907172056E-2"/>
    <n v="1"/>
    <n v="0"/>
    <n v="0"/>
    <n v="33676.553"/>
    <n v="626.61699999999837"/>
  </r>
  <r>
    <n v="1200"/>
    <n v="30"/>
    <s v="female"/>
    <x v="133"/>
    <n v="93"/>
    <s v="Yes"/>
    <n v="0"/>
    <x v="1"/>
    <s v="southeast"/>
    <n v="34439.86"/>
    <x v="1"/>
    <n v="33.1"/>
    <n v="1"/>
    <n v="0"/>
    <n v="0"/>
    <n v="0.89671940042354714"/>
    <n v="1"/>
    <n v="1"/>
    <n v="1"/>
    <n v="30937.309000000008"/>
    <n v="3502.5509999999922"/>
  </r>
  <r>
    <n v="1201"/>
    <n v="40"/>
    <s v="male"/>
    <x v="112"/>
    <n v="98"/>
    <s v="No"/>
    <n v="0"/>
    <x v="1"/>
    <s v="southwest"/>
    <n v="34472.839999999997"/>
    <x v="1"/>
    <n v="32.700000000000003"/>
    <n v="0"/>
    <n v="1"/>
    <n v="0"/>
    <n v="7.8256048423335889E-2"/>
    <n v="1"/>
    <n v="0"/>
    <n v="0"/>
    <n v="31497.313000000009"/>
    <n v="2975.5269999999873"/>
  </r>
  <r>
    <n v="1202"/>
    <n v="45"/>
    <s v="male"/>
    <x v="250"/>
    <n v="81"/>
    <s v="No"/>
    <n v="0"/>
    <x v="1"/>
    <s v="northeast"/>
    <n v="34617.839999999997"/>
    <x v="1"/>
    <n v="33.5"/>
    <n v="0"/>
    <n v="0"/>
    <n v="0"/>
    <n v="0.58646942743911379"/>
    <n v="1"/>
    <n v="0"/>
    <n v="0"/>
    <n v="32809.745000000003"/>
    <n v="1808.0949999999939"/>
  </r>
  <r>
    <n v="1203"/>
    <n v="32"/>
    <s v="male"/>
    <x v="103"/>
    <n v="125"/>
    <s v="No"/>
    <n v="0"/>
    <x v="1"/>
    <s v="southeast"/>
    <n v="34672.15"/>
    <x v="1"/>
    <n v="31.7"/>
    <n v="1"/>
    <n v="0"/>
    <n v="0"/>
    <n v="0.8567277593944872"/>
    <n v="1"/>
    <n v="0"/>
    <n v="0"/>
    <n v="33783.173000000003"/>
    <n v="888.97699999999895"/>
  </r>
  <r>
    <n v="1204"/>
    <n v="26"/>
    <s v="male"/>
    <x v="145"/>
    <n v="94"/>
    <s v="Yes"/>
    <n v="0"/>
    <x v="1"/>
    <s v="southwest"/>
    <n v="34779.620000000003"/>
    <x v="1"/>
    <n v="34.799999999999997"/>
    <n v="0"/>
    <n v="1"/>
    <n v="0"/>
    <n v="0.58874404801675051"/>
    <n v="1"/>
    <n v="1"/>
    <n v="0"/>
    <n v="33631.662000000004"/>
    <n v="1147.9579999999987"/>
  </r>
  <r>
    <n v="1205"/>
    <n v="32"/>
    <s v="male"/>
    <x v="17"/>
    <n v="114"/>
    <s v="Yes"/>
    <n v="1"/>
    <x v="1"/>
    <s v="southeast"/>
    <n v="34806.47"/>
    <x v="1"/>
    <n v="31.1"/>
    <n v="1"/>
    <n v="0"/>
    <n v="0"/>
    <n v="7.2673761316253138E-3"/>
    <n v="1"/>
    <n v="1"/>
    <n v="0"/>
    <n v="31890.048999999995"/>
    <n v="2916.4210000000057"/>
  </r>
  <r>
    <n v="1206"/>
    <n v="20"/>
    <s v="male"/>
    <x v="79"/>
    <n v="124"/>
    <s v="Yes"/>
    <n v="0"/>
    <x v="1"/>
    <s v="southwest"/>
    <n v="34828.65"/>
    <x v="1"/>
    <n v="34.9"/>
    <n v="0"/>
    <n v="1"/>
    <n v="0"/>
    <n v="0.33818212239035395"/>
    <n v="1"/>
    <n v="1"/>
    <n v="0"/>
    <n v="38561.511000000006"/>
    <n v="-3732.8610000000044"/>
  </r>
  <r>
    <n v="1207"/>
    <n v="46"/>
    <s v="female"/>
    <x v="23"/>
    <n v="111"/>
    <s v="No"/>
    <n v="0"/>
    <x v="1"/>
    <s v="southwest"/>
    <n v="34838.870000000003"/>
    <x v="1"/>
    <n v="31.4"/>
    <n v="0"/>
    <n v="1"/>
    <n v="0"/>
    <n v="0.90176202646725023"/>
    <n v="1"/>
    <n v="0"/>
    <n v="1"/>
    <n v="32261.155999999999"/>
    <n v="2577.7140000000036"/>
  </r>
  <r>
    <n v="1208"/>
    <n v="22"/>
    <s v="male"/>
    <x v="172"/>
    <n v="80"/>
    <s v="No"/>
    <n v="0"/>
    <x v="1"/>
    <s v="northeast"/>
    <n v="35069.370000000003"/>
    <x v="0"/>
    <n v="22.9"/>
    <n v="0"/>
    <n v="0"/>
    <n v="0"/>
    <n v="7.9375388834506344E-2"/>
    <n v="1"/>
    <n v="0"/>
    <n v="0"/>
    <n v="18425.881000000001"/>
    <n v="16643.489000000001"/>
  </r>
  <r>
    <n v="1209"/>
    <n v="23"/>
    <s v="male"/>
    <x v="47"/>
    <n v="106"/>
    <s v="No"/>
    <n v="0"/>
    <x v="1"/>
    <s v="northeast"/>
    <n v="35147.53"/>
    <x v="4"/>
    <n v="28.5"/>
    <n v="0"/>
    <n v="0"/>
    <n v="0"/>
    <n v="0.35871606298524783"/>
    <n v="1"/>
    <n v="0"/>
    <n v="0"/>
    <n v="30104.205000000002"/>
    <n v="5043.3249999999971"/>
  </r>
  <r>
    <n v="1210"/>
    <n v="32"/>
    <s v="female"/>
    <x v="36"/>
    <n v="107"/>
    <s v="No"/>
    <n v="1"/>
    <x v="0"/>
    <s v="southwest"/>
    <n v="35160.129999999997"/>
    <x v="4"/>
    <n v="0"/>
    <n v="0"/>
    <n v="1"/>
    <n v="0"/>
    <n v="0.87025801175825002"/>
    <n v="0"/>
    <n v="0"/>
    <n v="1"/>
    <n v="10275.94"/>
    <n v="24884.189999999995"/>
  </r>
  <r>
    <n v="1211"/>
    <n v="25"/>
    <s v="male"/>
    <x v="169"/>
    <n v="140"/>
    <s v="Yes"/>
    <n v="0"/>
    <x v="1"/>
    <s v="southwest"/>
    <n v="35491.64"/>
    <x v="1"/>
    <n v="30.8"/>
    <n v="0"/>
    <n v="1"/>
    <n v="0"/>
    <n v="0.55680948091669136"/>
    <n v="1"/>
    <n v="1"/>
    <n v="0"/>
    <n v="35595.322000000007"/>
    <n v="-103.68200000000797"/>
  </r>
  <r>
    <n v="1212"/>
    <n v="22"/>
    <s v="male"/>
    <x v="101"/>
    <n v="97"/>
    <s v="Yes"/>
    <n v="0"/>
    <x v="1"/>
    <s v="southwest"/>
    <n v="35585.58"/>
    <x v="2"/>
    <n v="35.6"/>
    <n v="0"/>
    <n v="1"/>
    <n v="0"/>
    <n v="0.71713154851378269"/>
    <n v="1"/>
    <n v="1"/>
    <n v="0"/>
    <n v="35191.304000000011"/>
    <n v="394.27599999999074"/>
  </r>
  <r>
    <n v="1213"/>
    <n v="56"/>
    <s v="female"/>
    <x v="184"/>
    <n v="129"/>
    <s v="Yes"/>
    <n v="3"/>
    <x v="1"/>
    <s v="southeast"/>
    <n v="35595.589999999997"/>
    <x v="1"/>
    <n v="31"/>
    <n v="1"/>
    <n v="0"/>
    <n v="0"/>
    <n v="7.3824173508189039E-3"/>
    <n v="1"/>
    <n v="1"/>
    <n v="1"/>
    <n v="36040.14"/>
    <n v="-444.55000000000291"/>
  </r>
  <r>
    <n v="1214"/>
    <n v="30"/>
    <s v="female"/>
    <x v="185"/>
    <n v="98"/>
    <s v="No"/>
    <n v="2"/>
    <x v="1"/>
    <s v="southeast"/>
    <n v="36021.01"/>
    <x v="1"/>
    <n v="32.799999999999997"/>
    <n v="1"/>
    <n v="0"/>
    <n v="0"/>
    <n v="0.82847207551094826"/>
    <n v="1"/>
    <n v="0"/>
    <n v="1"/>
    <n v="32877.391999999993"/>
    <n v="3143.6180000000095"/>
  </r>
  <r>
    <n v="1215"/>
    <n v="40"/>
    <s v="male"/>
    <x v="57"/>
    <n v="87"/>
    <s v="Yes"/>
    <n v="2"/>
    <x v="1"/>
    <s v="southwest"/>
    <n v="36085.22"/>
    <x v="1"/>
    <n v="32.9"/>
    <n v="0"/>
    <n v="1"/>
    <n v="0"/>
    <n v="0.89660558425092296"/>
    <n v="1"/>
    <n v="1"/>
    <n v="0"/>
    <n v="31418.181"/>
    <n v="4667.0390000000007"/>
  </r>
  <r>
    <n v="1216"/>
    <n v="22"/>
    <s v="male"/>
    <x v="2"/>
    <n v="117"/>
    <s v="No"/>
    <n v="2"/>
    <x v="1"/>
    <s v="southeast"/>
    <n v="36124.57"/>
    <x v="1"/>
    <n v="33.299999999999997"/>
    <n v="1"/>
    <n v="0"/>
    <n v="0"/>
    <n v="6.7527201395505165E-2"/>
    <n v="1"/>
    <n v="0"/>
    <n v="0"/>
    <n v="36147.237000000001"/>
    <n v="-22.667000000001281"/>
  </r>
  <r>
    <n v="1217"/>
    <n v="34"/>
    <s v="female"/>
    <x v="19"/>
    <n v="131"/>
    <s v="No"/>
    <n v="0"/>
    <x v="1"/>
    <s v="southeast"/>
    <n v="36149.480000000003"/>
    <x v="2"/>
    <n v="36.9"/>
    <n v="1"/>
    <n v="0"/>
    <n v="0"/>
    <n v="0.63377951688827106"/>
    <n v="1"/>
    <n v="0"/>
    <n v="1"/>
    <n v="42175.490999999995"/>
    <n v="-6026.0109999999913"/>
  </r>
  <r>
    <n v="1218"/>
    <n v="28"/>
    <s v="male"/>
    <x v="103"/>
    <n v="105"/>
    <s v="Yes"/>
    <n v="3"/>
    <x v="1"/>
    <s v="northeast"/>
    <n v="36189.1"/>
    <x v="1"/>
    <n v="31.7"/>
    <n v="0"/>
    <n v="0"/>
    <n v="0"/>
    <n v="0.47696678956634442"/>
    <n v="1"/>
    <n v="1"/>
    <n v="0"/>
    <n v="36386.883000000009"/>
    <n v="-197.78300000001036"/>
  </r>
  <r>
    <n v="1219"/>
    <n v="37"/>
    <s v="male"/>
    <x v="5"/>
    <n v="126"/>
    <s v="No"/>
    <n v="0"/>
    <x v="1"/>
    <s v="southwest"/>
    <n v="36197.699999999997"/>
    <x v="1"/>
    <n v="34.4"/>
    <n v="0"/>
    <n v="1"/>
    <n v="0"/>
    <n v="0.534025077397971"/>
    <n v="1"/>
    <n v="0"/>
    <n v="0"/>
    <n v="38255.646000000001"/>
    <n v="-2057.9460000000036"/>
  </r>
  <r>
    <n v="1220"/>
    <n v="35"/>
    <s v="male"/>
    <x v="177"/>
    <n v="108"/>
    <s v="Yes"/>
    <n v="0"/>
    <x v="1"/>
    <s v="northwest"/>
    <n v="36219.410000000003"/>
    <x v="2"/>
    <n v="37"/>
    <n v="0"/>
    <n v="0"/>
    <n v="1"/>
    <n v="0.61896904512302231"/>
    <n v="1"/>
    <n v="1"/>
    <n v="0"/>
    <n v="38820.79"/>
    <n v="-2601.3799999999974"/>
  </r>
  <r>
    <n v="1221"/>
    <n v="32"/>
    <s v="male"/>
    <x v="27"/>
    <n v="135"/>
    <s v="Yes"/>
    <n v="0"/>
    <x v="1"/>
    <s v="southeast"/>
    <n v="36307.800000000003"/>
    <x v="2"/>
    <n v="38.200000000000003"/>
    <n v="1"/>
    <n v="0"/>
    <n v="0"/>
    <n v="0.41246856366838203"/>
    <n v="1"/>
    <n v="1"/>
    <n v="0"/>
    <n v="44050.498000000007"/>
    <n v="-7742.698000000004"/>
  </r>
  <r>
    <n v="1222"/>
    <n v="31"/>
    <s v="female"/>
    <x v="165"/>
    <n v="96"/>
    <s v="No"/>
    <n v="2"/>
    <x v="1"/>
    <s v="southwest"/>
    <n v="36397.58"/>
    <x v="1"/>
    <n v="34.700000000000003"/>
    <n v="0"/>
    <n v="1"/>
    <n v="0"/>
    <n v="0.97851785468043062"/>
    <n v="1"/>
    <n v="0"/>
    <n v="1"/>
    <n v="35800.463000000003"/>
    <n v="597.11699999999837"/>
  </r>
  <r>
    <n v="1223"/>
    <n v="55"/>
    <s v="female"/>
    <x v="2"/>
    <n v="86"/>
    <s v="No"/>
    <n v="4"/>
    <x v="0"/>
    <s v="southeast"/>
    <n v="36580.28"/>
    <x v="1"/>
    <n v="0"/>
    <n v="1"/>
    <n v="0"/>
    <n v="0"/>
    <n v="0.45514250025384906"/>
    <n v="0"/>
    <n v="0"/>
    <n v="1"/>
    <n v="8976.9600000000009"/>
    <n v="27603.32"/>
  </r>
  <r>
    <n v="1224"/>
    <n v="20"/>
    <s v="male"/>
    <x v="211"/>
    <n v="86"/>
    <s v="No"/>
    <n v="0"/>
    <x v="1"/>
    <s v="southwest"/>
    <n v="36837.47"/>
    <x v="2"/>
    <n v="35.299999999999997"/>
    <n v="0"/>
    <n v="1"/>
    <n v="0"/>
    <n v="0.53191961742040417"/>
    <n v="1"/>
    <n v="0"/>
    <n v="0"/>
    <n v="33104.026999999995"/>
    <n v="3733.4430000000066"/>
  </r>
  <r>
    <n v="1225"/>
    <n v="60"/>
    <s v="female"/>
    <x v="147"/>
    <n v="97"/>
    <s v="No"/>
    <n v="0"/>
    <x v="1"/>
    <s v="northwest"/>
    <n v="36898.730000000003"/>
    <x v="1"/>
    <n v="32.5"/>
    <n v="0"/>
    <n v="0"/>
    <n v="1"/>
    <n v="0.24261995740139164"/>
    <n v="1"/>
    <n v="0"/>
    <n v="1"/>
    <n v="31496.205000000005"/>
    <n v="5402.5249999999978"/>
  </r>
  <r>
    <n v="1226"/>
    <n v="50"/>
    <s v="female"/>
    <x v="145"/>
    <n v="140"/>
    <s v="Yes"/>
    <n v="2"/>
    <x v="0"/>
    <s v="southwest"/>
    <n v="36910.61"/>
    <x v="1"/>
    <n v="0"/>
    <n v="0"/>
    <n v="1"/>
    <n v="0"/>
    <n v="0.38934980168075239"/>
    <n v="0"/>
    <n v="1"/>
    <n v="1"/>
    <n v="16872.55"/>
    <n v="20038.060000000001"/>
  </r>
  <r>
    <n v="1227"/>
    <n v="46"/>
    <s v="male"/>
    <x v="18"/>
    <n v="140"/>
    <s v="Yes"/>
    <n v="0"/>
    <x v="1"/>
    <s v="southeast"/>
    <n v="36950.26"/>
    <x v="2"/>
    <n v="35.5"/>
    <n v="1"/>
    <n v="0"/>
    <n v="0"/>
    <n v="0.85552111504252526"/>
    <n v="1"/>
    <n v="1"/>
    <n v="0"/>
    <n v="41199.865000000005"/>
    <n v="-4249.6050000000032"/>
  </r>
  <r>
    <n v="1228"/>
    <n v="48"/>
    <s v="female"/>
    <x v="250"/>
    <n v="124"/>
    <s v="No"/>
    <n v="0"/>
    <x v="1"/>
    <s v="southwest"/>
    <n v="37079.370000000003"/>
    <x v="1"/>
    <n v="33.5"/>
    <n v="0"/>
    <n v="1"/>
    <n v="0"/>
    <n v="0.68853317899560051"/>
    <n v="1"/>
    <n v="0"/>
    <n v="1"/>
    <n v="37157.115000000005"/>
    <n v="-77.745000000002619"/>
  </r>
  <r>
    <n v="1229"/>
    <n v="32"/>
    <s v="female"/>
    <x v="208"/>
    <n v="97"/>
    <s v="Yes"/>
    <n v="0"/>
    <x v="1"/>
    <s v="southeast"/>
    <n v="37133.9"/>
    <x v="2"/>
    <n v="36.1"/>
    <n v="1"/>
    <n v="0"/>
    <n v="0"/>
    <n v="0.20390448224137159"/>
    <n v="1"/>
    <n v="1"/>
    <n v="1"/>
    <n v="35607.179000000004"/>
    <n v="1526.7209999999977"/>
  </r>
  <r>
    <n v="1230"/>
    <n v="41"/>
    <s v="male"/>
    <x v="153"/>
    <n v="127"/>
    <s v="Yes"/>
    <n v="1"/>
    <x v="1"/>
    <s v="southeast"/>
    <n v="37165.160000000003"/>
    <x v="2"/>
    <n v="37.6"/>
    <n v="1"/>
    <n v="0"/>
    <n v="0"/>
    <n v="7.4595920669398907E-2"/>
    <n v="1"/>
    <n v="1"/>
    <n v="0"/>
    <n v="42693.684000000001"/>
    <n v="-5528.5239999999976"/>
  </r>
  <r>
    <n v="1231"/>
    <n v="58"/>
    <s v="female"/>
    <x v="169"/>
    <n v="139"/>
    <s v="No"/>
    <n v="0"/>
    <x v="1"/>
    <s v="northeast"/>
    <n v="37270.15"/>
    <x v="1"/>
    <n v="30.8"/>
    <n v="0"/>
    <n v="0"/>
    <n v="0"/>
    <n v="0.46702615920441892"/>
    <n v="1"/>
    <n v="0"/>
    <n v="1"/>
    <n v="38863.612000000001"/>
    <n v="-1593.4619999999995"/>
  </r>
  <r>
    <n v="1232"/>
    <n v="31"/>
    <s v="male"/>
    <x v="101"/>
    <n v="106"/>
    <s v="No"/>
    <n v="3"/>
    <x v="1"/>
    <s v="northwest"/>
    <n v="37465.339999999997"/>
    <x v="2"/>
    <n v="35.6"/>
    <n v="0"/>
    <n v="0"/>
    <n v="1"/>
    <n v="0.61910852805470618"/>
    <n v="1"/>
    <n v="0"/>
    <n v="0"/>
    <n v="38907.944000000003"/>
    <n v="-1442.6040000000066"/>
  </r>
  <r>
    <n v="1233"/>
    <n v="40"/>
    <s v="male"/>
    <x v="140"/>
    <n v="119"/>
    <s v="No"/>
    <n v="2"/>
    <x v="1"/>
    <s v="southeast"/>
    <n v="37484.449999999997"/>
    <x v="2"/>
    <n v="37.1"/>
    <n v="1"/>
    <n v="0"/>
    <n v="0"/>
    <n v="0.60540578503735787"/>
    <n v="1"/>
    <n v="0"/>
    <n v="0"/>
    <n v="41553.199000000001"/>
    <n v="-4068.7490000000034"/>
  </r>
  <r>
    <n v="1234"/>
    <n v="20"/>
    <s v="male"/>
    <x v="149"/>
    <n v="103"/>
    <s v="No"/>
    <n v="1"/>
    <x v="1"/>
    <s v="northeast"/>
    <n v="37607.53"/>
    <x v="1"/>
    <n v="33.6"/>
    <n v="0"/>
    <n v="0"/>
    <n v="0"/>
    <n v="0.35254288809200451"/>
    <n v="1"/>
    <n v="0"/>
    <n v="0"/>
    <n v="37225.434000000008"/>
    <n v="382.09599999999045"/>
  </r>
  <r>
    <n v="1235"/>
    <n v="47"/>
    <s v="female"/>
    <x v="99"/>
    <n v="89"/>
    <s v="Yes"/>
    <n v="1"/>
    <x v="1"/>
    <s v="northeast"/>
    <n v="37701.879999999997"/>
    <x v="1"/>
    <n v="31.9"/>
    <n v="0"/>
    <n v="0"/>
    <n v="0"/>
    <n v="0.25546890856152338"/>
    <n v="1"/>
    <n v="1"/>
    <n v="1"/>
    <n v="33046.531000000003"/>
    <n v="4655.3489999999947"/>
  </r>
  <r>
    <n v="1236"/>
    <n v="19"/>
    <s v="male"/>
    <x v="5"/>
    <n v="106"/>
    <s v="No"/>
    <n v="0"/>
    <x v="1"/>
    <s v="southeast"/>
    <n v="37742.58"/>
    <x v="1"/>
    <n v="34.4"/>
    <n v="1"/>
    <n v="0"/>
    <n v="0"/>
    <n v="6.6580283887039404E-2"/>
    <n v="1"/>
    <n v="0"/>
    <n v="0"/>
    <n v="34398.265999999996"/>
    <n v="3344.3140000000058"/>
  </r>
  <r>
    <n v="1237"/>
    <n v="48"/>
    <s v="male"/>
    <x v="34"/>
    <n v="81"/>
    <s v="Yes"/>
    <n v="0"/>
    <x v="1"/>
    <s v="southwest"/>
    <n v="37829.72"/>
    <x v="4"/>
    <n v="27.8"/>
    <n v="0"/>
    <n v="1"/>
    <n v="0"/>
    <n v="0.17274779916584038"/>
    <n v="1"/>
    <n v="1"/>
    <n v="0"/>
    <n v="22116.002000000004"/>
    <n v="15713.717999999997"/>
  </r>
  <r>
    <n v="1238"/>
    <n v="46"/>
    <s v="male"/>
    <x v="102"/>
    <n v="89"/>
    <s v="No"/>
    <n v="0"/>
    <x v="1"/>
    <s v="southeast"/>
    <n v="38126.25"/>
    <x v="2"/>
    <n v="40.200000000000003"/>
    <n v="1"/>
    <n v="0"/>
    <n v="0"/>
    <n v="0.6203722525762112"/>
    <n v="1"/>
    <n v="0"/>
    <n v="0"/>
    <n v="39449.878000000012"/>
    <n v="-1323.6280000000115"/>
  </r>
  <r>
    <n v="1239"/>
    <n v="42"/>
    <s v="male"/>
    <x v="45"/>
    <n v="131"/>
    <s v="Yes"/>
    <n v="1"/>
    <x v="1"/>
    <s v="southeast"/>
    <n v="38245.589999999997"/>
    <x v="4"/>
    <n v="26.1"/>
    <n v="1"/>
    <n v="0"/>
    <n v="0"/>
    <n v="0.37357127596459772"/>
    <n v="1"/>
    <n v="1"/>
    <n v="0"/>
    <n v="27866.829000000002"/>
    <n v="10378.760999999995"/>
  </r>
  <r>
    <n v="1240"/>
    <n v="29"/>
    <s v="male"/>
    <x v="159"/>
    <n v="124"/>
    <s v="No"/>
    <n v="1"/>
    <x v="1"/>
    <s v="southeast"/>
    <n v="38282.75"/>
    <x v="2"/>
    <n v="35.799999999999997"/>
    <n v="1"/>
    <n v="0"/>
    <n v="0"/>
    <n v="0.10229165628330794"/>
    <n v="1"/>
    <n v="0"/>
    <n v="0"/>
    <n v="39878.892"/>
    <n v="-1596.1419999999998"/>
  </r>
  <r>
    <n v="1241"/>
    <n v="34"/>
    <s v="male"/>
    <x v="217"/>
    <n v="85"/>
    <s v="No"/>
    <n v="2"/>
    <x v="1"/>
    <s v="southwest"/>
    <n v="38344.57"/>
    <x v="2"/>
    <n v="39.4"/>
    <n v="0"/>
    <n v="1"/>
    <n v="0"/>
    <n v="0.42139669322272122"/>
    <n v="1"/>
    <n v="0"/>
    <n v="0"/>
    <n v="39916.226000000002"/>
    <n v="-1571.6560000000027"/>
  </r>
  <r>
    <n v="1242"/>
    <n v="32"/>
    <s v="male"/>
    <x v="134"/>
    <n v="112"/>
    <s v="Yes"/>
    <n v="2"/>
    <x v="1"/>
    <s v="southwest"/>
    <n v="38415.47"/>
    <x v="1"/>
    <n v="33.4"/>
    <n v="0"/>
    <n v="1"/>
    <n v="0"/>
    <n v="0.84039219047504676"/>
    <n v="1"/>
    <n v="1"/>
    <n v="0"/>
    <n v="36090.516000000011"/>
    <n v="2324.9539999999906"/>
  </r>
  <r>
    <n v="1243"/>
    <n v="27"/>
    <s v="female"/>
    <x v="224"/>
    <n v="140"/>
    <s v="No"/>
    <n v="2"/>
    <x v="1"/>
    <s v="northeast"/>
    <n v="38511.629999999997"/>
    <x v="2"/>
    <n v="36.700000000000003"/>
    <n v="0"/>
    <n v="0"/>
    <n v="0"/>
    <n v="0.5628526702862463"/>
    <n v="1"/>
    <n v="0"/>
    <n v="1"/>
    <n v="48473.033000000018"/>
    <n v="-9961.4030000000203"/>
  </r>
  <r>
    <n v="1244"/>
    <n v="29"/>
    <s v="male"/>
    <x v="50"/>
    <n v="85"/>
    <s v="No"/>
    <n v="1"/>
    <x v="1"/>
    <s v="southeast"/>
    <n v="38709.18"/>
    <x v="2"/>
    <n v="35.200000000000003"/>
    <n v="1"/>
    <n v="0"/>
    <n v="0"/>
    <n v="2.3900099027360233E-2"/>
    <n v="1"/>
    <n v="0"/>
    <n v="0"/>
    <n v="32848.067999999999"/>
    <n v="5861.112000000001"/>
  </r>
  <r>
    <n v="1245"/>
    <n v="22"/>
    <s v="male"/>
    <x v="202"/>
    <n v="123"/>
    <s v="No"/>
    <n v="2"/>
    <x v="1"/>
    <s v="southwest"/>
    <n v="38711"/>
    <x v="2"/>
    <n v="36.299999999999997"/>
    <n v="0"/>
    <n v="1"/>
    <n v="0"/>
    <n v="0.92810959328475384"/>
    <n v="1"/>
    <n v="0"/>
    <n v="0"/>
    <n v="41827.466999999997"/>
    <n v="-3116.4669999999969"/>
  </r>
  <r>
    <n v="1246"/>
    <n v="28"/>
    <s v="male"/>
    <x v="5"/>
    <n v="137"/>
    <s v="No"/>
    <n v="3"/>
    <x v="1"/>
    <s v="northwest"/>
    <n v="38746.36"/>
    <x v="1"/>
    <n v="34.4"/>
    <n v="0"/>
    <n v="0"/>
    <n v="1"/>
    <n v="0.16715928086328513"/>
    <n v="1"/>
    <n v="0"/>
    <n v="0"/>
    <n v="42245.445999999996"/>
    <n v="-3499.0859999999957"/>
  </r>
  <r>
    <n v="1247"/>
    <n v="25"/>
    <s v="female"/>
    <x v="265"/>
    <n v="131"/>
    <s v="Yes"/>
    <n v="0"/>
    <x v="1"/>
    <s v="southeast"/>
    <n v="38792.69"/>
    <x v="2"/>
    <n v="42.2"/>
    <n v="1"/>
    <n v="0"/>
    <n v="0"/>
    <n v="0.90949230414042537"/>
    <n v="1"/>
    <n v="1"/>
    <n v="1"/>
    <n v="49244.808000000012"/>
    <n v="-10452.118000000009"/>
  </r>
  <r>
    <n v="1248"/>
    <n v="26"/>
    <s v="male"/>
    <x v="168"/>
    <n v="88"/>
    <s v="No"/>
    <n v="2"/>
    <x v="1"/>
    <s v="southwest"/>
    <n v="38998.550000000003"/>
    <x v="1"/>
    <n v="30.2"/>
    <n v="0"/>
    <n v="1"/>
    <n v="0"/>
    <n v="0.9647721609364619"/>
    <n v="1"/>
    <n v="0"/>
    <n v="0"/>
    <n v="28034.088000000003"/>
    <n v="10964.462"/>
  </r>
  <r>
    <n v="1249"/>
    <n v="29"/>
    <s v="male"/>
    <x v="154"/>
    <n v="101"/>
    <s v="Yes"/>
    <n v="1"/>
    <x v="1"/>
    <s v="northeast"/>
    <n v="39047.29"/>
    <x v="1"/>
    <n v="34.200000000000003"/>
    <n v="0"/>
    <n v="0"/>
    <n v="0"/>
    <n v="9.1928983973162848E-2"/>
    <n v="1"/>
    <n v="1"/>
    <n v="0"/>
    <n v="37632.488000000005"/>
    <n v="1414.801999999996"/>
  </r>
  <r>
    <n v="1250"/>
    <n v="20"/>
    <s v="male"/>
    <x v="185"/>
    <n v="99"/>
    <s v="Yes"/>
    <n v="1"/>
    <x v="1"/>
    <s v="northeast"/>
    <n v="39125.33"/>
    <x v="1"/>
    <n v="32.799999999999997"/>
    <n v="0"/>
    <n v="0"/>
    <n v="0"/>
    <n v="0.90408443009185047"/>
    <n v="1"/>
    <n v="1"/>
    <n v="0"/>
    <n v="35442.262000000002"/>
    <n v="3683.0679999999993"/>
  </r>
  <r>
    <n v="1251"/>
    <n v="42"/>
    <s v="male"/>
    <x v="266"/>
    <n v="106"/>
    <s v="No"/>
    <n v="2"/>
    <x v="1"/>
    <s v="southwest"/>
    <n v="39241.440000000002"/>
    <x v="2"/>
    <n v="37.799999999999997"/>
    <n v="0"/>
    <n v="1"/>
    <n v="0"/>
    <n v="0.82396403556484143"/>
    <n v="1"/>
    <n v="0"/>
    <n v="0"/>
    <n v="41105.871999999996"/>
    <n v="-1864.4319999999934"/>
  </r>
  <r>
    <n v="1252"/>
    <n v="21"/>
    <s v="male"/>
    <x v="23"/>
    <n v="89"/>
    <s v="Yes"/>
    <n v="1"/>
    <x v="1"/>
    <s v="northeast"/>
    <n v="39556.49"/>
    <x v="1"/>
    <n v="31.4"/>
    <n v="0"/>
    <n v="0"/>
    <n v="0"/>
    <n v="0.53634879102844046"/>
    <n v="1"/>
    <n v="1"/>
    <n v="0"/>
    <n v="31962.516"/>
    <n v="7593.9739999999983"/>
  </r>
  <r>
    <n v="1253"/>
    <n v="37"/>
    <s v="male"/>
    <x v="169"/>
    <n v="125"/>
    <s v="Yes"/>
    <n v="3"/>
    <x v="1"/>
    <s v="northeast"/>
    <n v="39597.410000000003"/>
    <x v="1"/>
    <n v="30.8"/>
    <n v="0"/>
    <n v="0"/>
    <n v="0"/>
    <n v="0.28686996804202869"/>
    <n v="1"/>
    <n v="1"/>
    <n v="0"/>
    <n v="38356.942000000003"/>
    <n v="1240.4680000000008"/>
  </r>
  <r>
    <n v="1254"/>
    <n v="22"/>
    <s v="male"/>
    <x v="139"/>
    <n v="119"/>
    <s v="No"/>
    <n v="0"/>
    <x v="1"/>
    <s v="southeast"/>
    <n v="39611.760000000002"/>
    <x v="2"/>
    <n v="42.1"/>
    <n v="1"/>
    <n v="0"/>
    <n v="0"/>
    <n v="0.20570155753025821"/>
    <n v="1"/>
    <n v="0"/>
    <n v="0"/>
    <n v="46823.209000000003"/>
    <n v="-7211.4490000000005"/>
  </r>
  <r>
    <n v="1255"/>
    <n v="46"/>
    <s v="male"/>
    <x v="267"/>
    <n v="138"/>
    <s v="Yes"/>
    <n v="0"/>
    <x v="1"/>
    <s v="southeast"/>
    <n v="39722.75"/>
    <x v="2"/>
    <n v="44.9"/>
    <n v="1"/>
    <n v="0"/>
    <n v="0"/>
    <n v="0.74929742137797295"/>
    <n v="1"/>
    <n v="1"/>
    <n v="0"/>
    <n v="53520.771000000015"/>
    <n v="-13798.021000000015"/>
  </r>
  <r>
    <n v="1256"/>
    <n v="40"/>
    <s v="female"/>
    <x v="85"/>
    <n v="93"/>
    <s v="Yes"/>
    <n v="1"/>
    <x v="1"/>
    <s v="northwest"/>
    <n v="39725.519999999997"/>
    <x v="1"/>
    <n v="30.5"/>
    <n v="0"/>
    <n v="0"/>
    <n v="1"/>
    <n v="0.89415738869506012"/>
    <n v="1"/>
    <n v="1"/>
    <n v="1"/>
    <n v="28863.244999999995"/>
    <n v="10862.275000000001"/>
  </r>
  <r>
    <n v="1257"/>
    <n v="27"/>
    <s v="male"/>
    <x v="131"/>
    <n v="139"/>
    <s v="No"/>
    <n v="0"/>
    <x v="1"/>
    <s v="southwest"/>
    <n v="39727.61"/>
    <x v="1"/>
    <n v="30.9"/>
    <n v="0"/>
    <n v="1"/>
    <n v="0"/>
    <n v="0.13944166778148515"/>
    <n v="1"/>
    <n v="0"/>
    <n v="0"/>
    <n v="35636.701000000001"/>
    <n v="4090.9089999999997"/>
  </r>
  <r>
    <n v="1258"/>
    <n v="43"/>
    <s v="male"/>
    <x v="224"/>
    <n v="139"/>
    <s v="Yes"/>
    <n v="1"/>
    <x v="1"/>
    <s v="northeast"/>
    <n v="39774.28"/>
    <x v="2"/>
    <n v="36.700000000000003"/>
    <n v="0"/>
    <n v="0"/>
    <n v="0"/>
    <n v="0.18493746492151386"/>
    <n v="1"/>
    <n v="1"/>
    <n v="0"/>
    <n v="47040.713000000011"/>
    <n v="-7266.4330000000118"/>
  </r>
  <r>
    <n v="1259"/>
    <n v="38"/>
    <s v="female"/>
    <x v="145"/>
    <n v="132"/>
    <s v="No"/>
    <n v="2"/>
    <x v="1"/>
    <s v="southwest"/>
    <n v="39836.519999999997"/>
    <x v="1"/>
    <n v="34.799999999999997"/>
    <n v="0"/>
    <n v="1"/>
    <n v="0"/>
    <n v="0.41686745604172726"/>
    <n v="1"/>
    <n v="0"/>
    <n v="1"/>
    <n v="41671.211999999992"/>
    <n v="-1834.6919999999955"/>
  </r>
  <r>
    <n v="1260"/>
    <n v="47"/>
    <s v="male"/>
    <x v="140"/>
    <n v="114"/>
    <s v="Yes"/>
    <n v="1"/>
    <x v="1"/>
    <s v="southeast"/>
    <n v="39871.699999999997"/>
    <x v="2"/>
    <n v="37.1"/>
    <n v="1"/>
    <n v="0"/>
    <n v="0"/>
    <n v="0.38772609872503239"/>
    <n v="1"/>
    <n v="1"/>
    <n v="0"/>
    <n v="39938.989000000001"/>
    <n v="-67.289000000004307"/>
  </r>
  <r>
    <n v="1261"/>
    <n v="50"/>
    <s v="female"/>
    <x v="4"/>
    <n v="82"/>
    <s v="Yes"/>
    <n v="3"/>
    <x v="1"/>
    <s v="northwest"/>
    <n v="39983.43"/>
    <x v="1"/>
    <n v="34.1"/>
    <n v="0"/>
    <n v="0"/>
    <n v="1"/>
    <n v="0.89800251979434231"/>
    <n v="1"/>
    <n v="1"/>
    <n v="1"/>
    <n v="33412.319000000003"/>
    <n v="6571.1109999999971"/>
  </r>
  <r>
    <n v="1262"/>
    <n v="40"/>
    <s v="female"/>
    <x v="185"/>
    <n v="107"/>
    <s v="Yes"/>
    <n v="2"/>
    <x v="1"/>
    <s v="northwest"/>
    <n v="40003.33"/>
    <x v="1"/>
    <n v="32.799999999999997"/>
    <n v="0"/>
    <n v="0"/>
    <n v="1"/>
    <n v="1.4187797315304507E-2"/>
    <n v="1"/>
    <n v="1"/>
    <n v="1"/>
    <n v="34928.531999999999"/>
    <n v="5074.7980000000025"/>
  </r>
  <r>
    <n v="1263"/>
    <n v="30"/>
    <s v="male"/>
    <x v="211"/>
    <n v="89"/>
    <s v="No"/>
    <n v="2"/>
    <x v="1"/>
    <s v="southwest"/>
    <n v="40103.89"/>
    <x v="2"/>
    <n v="35.299999999999997"/>
    <n v="0"/>
    <n v="1"/>
    <n v="0"/>
    <n v="0.10475188085973564"/>
    <n v="1"/>
    <n v="0"/>
    <n v="0"/>
    <n v="35046.476999999999"/>
    <n v="5057.4130000000005"/>
  </r>
  <r>
    <n v="1264"/>
    <n v="50"/>
    <s v="male"/>
    <x v="4"/>
    <n v="86"/>
    <s v="No"/>
    <n v="4"/>
    <x v="1"/>
    <s v="southwest"/>
    <n v="40182.25"/>
    <x v="1"/>
    <n v="34.1"/>
    <n v="0"/>
    <n v="1"/>
    <n v="0"/>
    <n v="0.64828414376967436"/>
    <n v="1"/>
    <n v="0"/>
    <n v="0"/>
    <n v="34404.959000000003"/>
    <n v="5777.2909999999974"/>
  </r>
  <r>
    <n v="1265"/>
    <n v="21"/>
    <s v="male"/>
    <x v="159"/>
    <n v="116"/>
    <s v="No"/>
    <n v="1"/>
    <x v="1"/>
    <s v="southeast"/>
    <n v="40273.65"/>
    <x v="2"/>
    <n v="35.799999999999997"/>
    <n v="1"/>
    <n v="0"/>
    <n v="0"/>
    <n v="0.19995628118102271"/>
    <n v="1"/>
    <n v="0"/>
    <n v="0"/>
    <n v="38612.411999999997"/>
    <n v="1661.2380000000048"/>
  </r>
  <r>
    <n v="1266"/>
    <n v="54"/>
    <s v="female"/>
    <x v="162"/>
    <n v="85"/>
    <s v="Yes"/>
    <n v="0"/>
    <x v="1"/>
    <s v="southeast"/>
    <n v="40419.019999999997"/>
    <x v="2"/>
    <n v="38.4"/>
    <n v="1"/>
    <n v="0"/>
    <n v="0"/>
    <n v="0.12607317193215017"/>
    <n v="1"/>
    <n v="1"/>
    <n v="1"/>
    <n v="36756.725999999995"/>
    <n v="3662.2940000000017"/>
  </r>
  <r>
    <n v="1267"/>
    <n v="43"/>
    <s v="male"/>
    <x v="85"/>
    <n v="96"/>
    <s v="Yes"/>
    <n v="3"/>
    <x v="1"/>
    <s v="northwest"/>
    <n v="40720.550000000003"/>
    <x v="1"/>
    <n v="30.5"/>
    <n v="0"/>
    <n v="0"/>
    <n v="1"/>
    <n v="0.5004933046822625"/>
    <n v="1"/>
    <n v="1"/>
    <n v="0"/>
    <n v="30369.704999999998"/>
    <n v="10350.845000000005"/>
  </r>
  <r>
    <n v="1268"/>
    <n v="43"/>
    <s v="female"/>
    <x v="268"/>
    <n v="105"/>
    <s v="Yes"/>
    <n v="1"/>
    <x v="1"/>
    <s v="northeast"/>
    <n v="40904.199999999997"/>
    <x v="2"/>
    <n v="42.8"/>
    <n v="0"/>
    <n v="0"/>
    <n v="0"/>
    <n v="0.74924037413959954"/>
    <n v="1"/>
    <n v="1"/>
    <n v="1"/>
    <n v="50262.212000000007"/>
    <n v="-9358.0120000000097"/>
  </r>
  <r>
    <n v="1269"/>
    <n v="42"/>
    <s v="female"/>
    <x v="247"/>
    <n v="131"/>
    <s v="Yes"/>
    <n v="3"/>
    <x v="1"/>
    <s v="southeast"/>
    <n v="40932.43"/>
    <x v="2"/>
    <n v="39.1"/>
    <n v="1"/>
    <n v="0"/>
    <n v="0"/>
    <n v="0.55133262393829263"/>
    <n v="1"/>
    <n v="1"/>
    <n v="1"/>
    <n v="47269.229000000007"/>
    <n v="-6336.7990000000063"/>
  </r>
  <r>
    <n v="1270"/>
    <n v="45"/>
    <s v="female"/>
    <x v="61"/>
    <n v="108"/>
    <s v="Yes"/>
    <n v="3"/>
    <x v="1"/>
    <s v="southeast"/>
    <n v="40941.29"/>
    <x v="1"/>
    <n v="32.6"/>
    <n v="1"/>
    <n v="0"/>
    <n v="0"/>
    <n v="0.9993259703627424"/>
    <n v="1"/>
    <n v="1"/>
    <n v="1"/>
    <n v="34854.334000000003"/>
    <n v="6086.9559999999983"/>
  </r>
  <r>
    <n v="1271"/>
    <n v="27"/>
    <s v="female"/>
    <x v="133"/>
    <n v="128"/>
    <s v="No"/>
    <n v="0"/>
    <x v="1"/>
    <s v="southeast"/>
    <n v="40974.160000000003"/>
    <x v="1"/>
    <n v="33.1"/>
    <n v="1"/>
    <n v="0"/>
    <n v="0"/>
    <n v="0.61990512114964402"/>
    <n v="1"/>
    <n v="0"/>
    <n v="1"/>
    <n v="36595.858999999997"/>
    <n v="4378.3010000000068"/>
  </r>
  <r>
    <n v="1272"/>
    <n v="35"/>
    <s v="male"/>
    <x v="163"/>
    <n v="109"/>
    <s v="No"/>
    <n v="1"/>
    <x v="1"/>
    <s v="northeast"/>
    <n v="41034.22"/>
    <x v="2"/>
    <n v="35"/>
    <n v="0"/>
    <n v="0"/>
    <n v="0"/>
    <n v="0.66387084434810795"/>
    <n v="1"/>
    <n v="0"/>
    <n v="0"/>
    <n v="40046.340000000004"/>
    <n v="987.87999999999738"/>
  </r>
  <r>
    <n v="1273"/>
    <n v="31"/>
    <s v="male"/>
    <x v="120"/>
    <n v="95"/>
    <s v="No"/>
    <n v="0"/>
    <x v="1"/>
    <s v="northeast"/>
    <n v="41097.160000000003"/>
    <x v="1"/>
    <n v="31.8"/>
    <n v="0"/>
    <n v="0"/>
    <n v="0"/>
    <n v="9.7146278579671841E-2"/>
    <n v="1"/>
    <n v="0"/>
    <n v="0"/>
    <n v="32775.952000000012"/>
    <n v="8321.2079999999914"/>
  </r>
  <r>
    <n v="1274"/>
    <n v="51"/>
    <s v="female"/>
    <x v="78"/>
    <n v="86"/>
    <s v="No"/>
    <n v="1"/>
    <x v="1"/>
    <s v="southwest"/>
    <n v="41661.599999999999"/>
    <x v="1"/>
    <n v="34.6"/>
    <n v="0"/>
    <n v="1"/>
    <n v="0"/>
    <n v="0.53980372030994628"/>
    <n v="1"/>
    <n v="0"/>
    <n v="1"/>
    <n v="33306.254000000001"/>
    <n v="8355.3459999999977"/>
  </r>
  <r>
    <n v="1275"/>
    <n v="27"/>
    <s v="male"/>
    <x v="192"/>
    <n v="98"/>
    <s v="No"/>
    <n v="0"/>
    <x v="1"/>
    <s v="southeast"/>
    <n v="41676.080000000002"/>
    <x v="2"/>
    <n v="36.200000000000003"/>
    <n v="1"/>
    <n v="0"/>
    <n v="0"/>
    <n v="0.46675156597038181"/>
    <n v="1"/>
    <n v="0"/>
    <n v="0"/>
    <n v="35531.748000000007"/>
    <n v="6144.3319999999949"/>
  </r>
  <r>
    <n v="1276"/>
    <n v="37"/>
    <s v="male"/>
    <x v="198"/>
    <n v="115"/>
    <s v="No"/>
    <n v="1"/>
    <x v="1"/>
    <s v="northeast"/>
    <n v="41919.1"/>
    <x v="1"/>
    <n v="32.299999999999997"/>
    <n v="0"/>
    <n v="0"/>
    <n v="0"/>
    <n v="0.4049195113844839"/>
    <n v="1"/>
    <n v="0"/>
    <n v="0"/>
    <n v="37370.656999999999"/>
    <n v="4548.4429999999993"/>
  </r>
  <r>
    <n v="1277"/>
    <n v="20"/>
    <s v="male"/>
    <x v="162"/>
    <n v="124"/>
    <s v="Yes"/>
    <n v="3"/>
    <x v="1"/>
    <s v="southeast"/>
    <n v="41949.24"/>
    <x v="2"/>
    <n v="38.4"/>
    <n v="1"/>
    <n v="0"/>
    <n v="0"/>
    <n v="0.23084193082592275"/>
    <n v="1"/>
    <n v="1"/>
    <n v="0"/>
    <n v="44794.025999999998"/>
    <n v="-2844.7860000000001"/>
  </r>
  <r>
    <n v="1278"/>
    <n v="46"/>
    <s v="male"/>
    <x v="169"/>
    <n v="120"/>
    <s v="No"/>
    <n v="1"/>
    <x v="1"/>
    <s v="southeast"/>
    <n v="41999.519999999997"/>
    <x v="1"/>
    <n v="30.8"/>
    <n v="1"/>
    <n v="0"/>
    <n v="0"/>
    <n v="0.74354887171957751"/>
    <n v="1"/>
    <n v="0"/>
    <n v="0"/>
    <n v="32495.322"/>
    <n v="9504.1979999999967"/>
  </r>
  <r>
    <n v="1279"/>
    <n v="35"/>
    <s v="female"/>
    <x v="18"/>
    <n v="135"/>
    <s v="No"/>
    <n v="0"/>
    <x v="1"/>
    <s v="northeast"/>
    <n v="42111.66"/>
    <x v="2"/>
    <n v="35.5"/>
    <n v="0"/>
    <n v="0"/>
    <n v="0"/>
    <n v="0.27578371854228534"/>
    <n v="1"/>
    <n v="0"/>
    <n v="1"/>
    <n v="44574.735000000001"/>
    <n v="-2463.0749999999971"/>
  </r>
  <r>
    <n v="1280"/>
    <n v="37"/>
    <s v="male"/>
    <x v="269"/>
    <n v="124"/>
    <s v="Yes"/>
    <n v="2"/>
    <x v="1"/>
    <s v="southeast"/>
    <n v="42112.24"/>
    <x v="2"/>
    <n v="45.5"/>
    <n v="1"/>
    <n v="0"/>
    <n v="0"/>
    <n v="0.42524106316572907"/>
    <n v="1"/>
    <n v="1"/>
    <n v="0"/>
    <n v="53581.325000000004"/>
    <n v="-11469.085000000006"/>
  </r>
  <r>
    <n v="1281"/>
    <n v="39"/>
    <s v="male"/>
    <x v="93"/>
    <n v="98"/>
    <s v="Yes"/>
    <n v="3"/>
    <x v="1"/>
    <s v="southeast"/>
    <n v="42124.52"/>
    <x v="2"/>
    <n v="36"/>
    <n v="1"/>
    <n v="0"/>
    <n v="0"/>
    <n v="0.60909961188885708"/>
    <n v="1"/>
    <n v="1"/>
    <n v="0"/>
    <n v="37393.11"/>
    <n v="4731.4099999999962"/>
  </r>
  <r>
    <n v="1282"/>
    <n v="39"/>
    <s v="male"/>
    <x v="208"/>
    <n v="109"/>
    <s v="Yes"/>
    <n v="1"/>
    <x v="1"/>
    <s v="southeast"/>
    <n v="42211.14"/>
    <x v="2"/>
    <n v="36.1"/>
    <n v="1"/>
    <n v="0"/>
    <n v="0"/>
    <n v="0.90435138207808763"/>
    <n v="1"/>
    <n v="1"/>
    <n v="0"/>
    <n v="37806.589000000007"/>
    <n v="4404.5509999999922"/>
  </r>
  <r>
    <n v="1283"/>
    <n v="42"/>
    <s v="male"/>
    <x v="195"/>
    <n v="117"/>
    <s v="Yes"/>
    <n v="0"/>
    <x v="1"/>
    <s v="northeast"/>
    <n v="42303.69"/>
    <x v="1"/>
    <n v="30.7"/>
    <n v="0"/>
    <n v="0"/>
    <n v="0"/>
    <n v="0.28450907543512993"/>
    <n v="1"/>
    <n v="1"/>
    <n v="0"/>
    <n v="34724.633000000002"/>
    <n v="7579.0570000000007"/>
  </r>
  <r>
    <n v="1284"/>
    <n v="28"/>
    <s v="male"/>
    <x v="119"/>
    <n v="125"/>
    <s v="Yes"/>
    <n v="2"/>
    <x v="1"/>
    <s v="southeast"/>
    <n v="42560.43"/>
    <x v="2"/>
    <n v="38.1"/>
    <n v="1"/>
    <n v="0"/>
    <n v="0"/>
    <n v="0.25100581418828338"/>
    <n v="1"/>
    <n v="1"/>
    <n v="0"/>
    <n v="43801.729000000007"/>
    <n v="-1241.2990000000063"/>
  </r>
  <r>
    <n v="1285"/>
    <n v="25"/>
    <s v="male"/>
    <x v="249"/>
    <n v="104"/>
    <s v="Yes"/>
    <n v="2"/>
    <x v="1"/>
    <s v="northwest"/>
    <n v="42760.5"/>
    <x v="2"/>
    <n v="36.5"/>
    <n v="0"/>
    <n v="0"/>
    <n v="1"/>
    <n v="4.3375235112026678E-2"/>
    <n v="1"/>
    <n v="1"/>
    <n v="0"/>
    <n v="38999.365000000005"/>
    <n v="3761.1349999999948"/>
  </r>
  <r>
    <n v="1286"/>
    <n v="49"/>
    <s v="male"/>
    <x v="154"/>
    <n v="98"/>
    <s v="Yes"/>
    <n v="2"/>
    <x v="1"/>
    <s v="southwest"/>
    <n v="42856.84"/>
    <x v="1"/>
    <n v="34.200000000000003"/>
    <n v="0"/>
    <n v="1"/>
    <n v="0"/>
    <n v="0.60494442624753519"/>
    <n v="1"/>
    <n v="1"/>
    <n v="0"/>
    <n v="34910.248000000007"/>
    <n v="7946.5919999999896"/>
  </r>
  <r>
    <n v="1287"/>
    <n v="55"/>
    <s v="female"/>
    <x v="86"/>
    <n v="120"/>
    <s v="No"/>
    <n v="1"/>
    <x v="1"/>
    <s v="southeast"/>
    <n v="42969.85"/>
    <x v="2"/>
    <n v="36.6"/>
    <n v="1"/>
    <n v="0"/>
    <n v="0"/>
    <n v="0.18040577299048566"/>
    <n v="1"/>
    <n v="0"/>
    <n v="1"/>
    <n v="40727.953999999998"/>
    <n v="2241.8960000000006"/>
  </r>
  <r>
    <n v="1288"/>
    <n v="32"/>
    <s v="female"/>
    <x v="270"/>
    <n v="96"/>
    <s v="Yes"/>
    <n v="0"/>
    <x v="1"/>
    <s v="northwest"/>
    <n v="42983.46"/>
    <x v="2"/>
    <n v="39"/>
    <n v="0"/>
    <n v="0"/>
    <n v="1"/>
    <n v="0.4796492765490149"/>
    <n v="1"/>
    <n v="1"/>
    <n v="1"/>
    <n v="40043.880000000005"/>
    <n v="2939.5799999999945"/>
  </r>
  <r>
    <n v="1289"/>
    <n v="22"/>
    <s v="male"/>
    <x v="4"/>
    <n v="108"/>
    <s v="No"/>
    <n v="0"/>
    <x v="1"/>
    <s v="northeast"/>
    <n v="43254.42"/>
    <x v="1"/>
    <n v="34.1"/>
    <n v="0"/>
    <n v="0"/>
    <n v="0"/>
    <n v="0.77575213403931742"/>
    <n v="1"/>
    <n v="0"/>
    <n v="0"/>
    <n v="37954.929000000004"/>
    <n v="5299.4909999999945"/>
  </r>
  <r>
    <n v="1290"/>
    <n v="52"/>
    <s v="female"/>
    <x v="155"/>
    <n v="127"/>
    <s v="No"/>
    <n v="0"/>
    <x v="1"/>
    <s v="northwest"/>
    <n v="43578.94"/>
    <x v="1"/>
    <n v="31.2"/>
    <n v="0"/>
    <n v="0"/>
    <n v="1"/>
    <n v="0.96979755968401049"/>
    <n v="1"/>
    <n v="0"/>
    <n v="1"/>
    <n v="34546.048000000003"/>
    <n v="9032.8919999999998"/>
  </r>
  <r>
    <n v="1291"/>
    <n v="47"/>
    <s v="male"/>
    <x v="64"/>
    <n v="140"/>
    <s v="Yes"/>
    <n v="3"/>
    <x v="1"/>
    <s v="northeast"/>
    <n v="43753.34"/>
    <x v="2"/>
    <n v="41.9"/>
    <n v="0"/>
    <n v="0"/>
    <n v="0"/>
    <n v="0.67742361729609901"/>
    <n v="1"/>
    <n v="1"/>
    <n v="0"/>
    <n v="55664.051000000014"/>
    <n v="-11910.711000000018"/>
  </r>
  <r>
    <n v="1292"/>
    <n v="36"/>
    <s v="male"/>
    <x v="120"/>
    <n v="94"/>
    <s v="Yes"/>
    <n v="2"/>
    <x v="1"/>
    <s v="southeast"/>
    <n v="43813.87"/>
    <x v="1"/>
    <n v="31.8"/>
    <n v="1"/>
    <n v="0"/>
    <n v="0"/>
    <n v="0.3627357682288832"/>
    <n v="1"/>
    <n v="1"/>
    <n v="0"/>
    <n v="30372.652000000006"/>
    <n v="13441.217999999997"/>
  </r>
  <r>
    <n v="1293"/>
    <n v="45"/>
    <s v="female"/>
    <x v="221"/>
    <n v="123"/>
    <s v="No"/>
    <n v="2"/>
    <x v="1"/>
    <s v="southeast"/>
    <n v="43896.38"/>
    <x v="2"/>
    <n v="40.4"/>
    <n v="1"/>
    <n v="0"/>
    <n v="0"/>
    <n v="0.53270178472886176"/>
    <n v="1"/>
    <n v="0"/>
    <n v="1"/>
    <n v="47067.585999999996"/>
    <n v="-3171.2059999999983"/>
  </r>
  <r>
    <n v="1294"/>
    <n v="28"/>
    <s v="male"/>
    <x v="149"/>
    <n v="101"/>
    <s v="Yes"/>
    <n v="0"/>
    <x v="1"/>
    <s v="northwest"/>
    <n v="43921.18"/>
    <x v="1"/>
    <n v="33.6"/>
    <n v="0"/>
    <n v="0"/>
    <n v="1"/>
    <n v="0.7199022148262143"/>
    <n v="1"/>
    <n v="1"/>
    <n v="0"/>
    <n v="33140.674000000014"/>
    <n v="10780.505999999987"/>
  </r>
  <r>
    <n v="1295"/>
    <n v="36"/>
    <s v="female"/>
    <x v="168"/>
    <n v="130"/>
    <s v="No"/>
    <n v="1"/>
    <x v="1"/>
    <s v="northwest"/>
    <n v="43943.88"/>
    <x v="1"/>
    <n v="30.2"/>
    <n v="0"/>
    <n v="0"/>
    <n v="1"/>
    <n v="0.79549543714783399"/>
    <n v="1"/>
    <n v="0"/>
    <n v="1"/>
    <n v="34438.847999999998"/>
    <n v="9505.0319999999992"/>
  </r>
  <r>
    <n v="1296"/>
    <n v="50"/>
    <s v="male"/>
    <x v="146"/>
    <n v="102"/>
    <s v="Yes"/>
    <n v="2"/>
    <x v="1"/>
    <s v="southeast"/>
    <n v="44202.65"/>
    <x v="2"/>
    <n v="38.9"/>
    <n v="1"/>
    <n v="0"/>
    <n v="0"/>
    <n v="0.58444330270570077"/>
    <n v="1"/>
    <n v="1"/>
    <n v="0"/>
    <n v="41178.751000000004"/>
    <n v="3023.8989999999976"/>
  </r>
  <r>
    <n v="1297"/>
    <n v="26"/>
    <s v="male"/>
    <x v="154"/>
    <n v="99"/>
    <s v="No"/>
    <n v="2"/>
    <x v="1"/>
    <s v="southeast"/>
    <n v="44260.75"/>
    <x v="1"/>
    <n v="34.200000000000003"/>
    <n v="1"/>
    <n v="0"/>
    <n v="0"/>
    <n v="0.6394179825629559"/>
    <n v="1"/>
    <n v="0"/>
    <n v="0"/>
    <n v="34479.718000000001"/>
    <n v="9781.0319999999992"/>
  </r>
  <r>
    <n v="1298"/>
    <n v="45"/>
    <s v="female"/>
    <x v="119"/>
    <n v="115"/>
    <s v="Yes"/>
    <n v="0"/>
    <x v="1"/>
    <s v="southeast"/>
    <n v="44400.41"/>
    <x v="2"/>
    <n v="38.1"/>
    <n v="1"/>
    <n v="0"/>
    <n v="0"/>
    <n v="9.504587344281501E-2"/>
    <n v="1"/>
    <n v="1"/>
    <n v="1"/>
    <n v="41152.539000000004"/>
    <n v="3247.8709999999992"/>
  </r>
  <r>
    <n v="1299"/>
    <n v="30"/>
    <s v="female"/>
    <x v="50"/>
    <n v="95"/>
    <s v="Yes"/>
    <n v="0"/>
    <x v="1"/>
    <s v="southeast"/>
    <n v="44423.8"/>
    <x v="2"/>
    <n v="35.200000000000003"/>
    <n v="1"/>
    <n v="0"/>
    <n v="0"/>
    <n v="0.8856991850727518"/>
    <n v="1"/>
    <n v="1"/>
    <n v="1"/>
    <n v="34080.338000000003"/>
    <n v="10343.462"/>
  </r>
  <r>
    <n v="1300"/>
    <n v="50"/>
    <s v="male"/>
    <x v="271"/>
    <n v="110"/>
    <s v="No"/>
    <n v="1"/>
    <x v="1"/>
    <s v="southeast"/>
    <n v="44501.4"/>
    <x v="2"/>
    <n v="52.6"/>
    <n v="1"/>
    <n v="0"/>
    <n v="0"/>
    <n v="0.51974774793329903"/>
    <n v="1"/>
    <n v="0"/>
    <n v="0"/>
    <n v="60208.544000000002"/>
    <n v="-15707.144"/>
  </r>
  <r>
    <n v="1301"/>
    <n v="29"/>
    <s v="male"/>
    <x v="18"/>
    <n v="98"/>
    <s v="No"/>
    <n v="2"/>
    <x v="1"/>
    <s v="southwest"/>
    <n v="44585.46"/>
    <x v="2"/>
    <n v="35.5"/>
    <n v="0"/>
    <n v="1"/>
    <n v="0"/>
    <n v="0.59567645200093189"/>
    <n v="1"/>
    <n v="0"/>
    <n v="0"/>
    <n v="36753.005000000005"/>
    <n v="7832.4549999999945"/>
  </r>
  <r>
    <n v="1302"/>
    <n v="60"/>
    <s v="female"/>
    <x v="163"/>
    <n v="92"/>
    <s v="Yes"/>
    <n v="2"/>
    <x v="1"/>
    <s v="northeast"/>
    <n v="44641.2"/>
    <x v="2"/>
    <n v="35"/>
    <n v="0"/>
    <n v="0"/>
    <n v="0"/>
    <n v="0.61815990967263168"/>
    <n v="1"/>
    <n v="1"/>
    <n v="1"/>
    <n v="38415.440000000002"/>
    <n v="6225.7599999999948"/>
  </r>
  <r>
    <n v="1303"/>
    <n v="35"/>
    <s v="female"/>
    <x v="147"/>
    <n v="134"/>
    <s v="Yes"/>
    <n v="0"/>
    <x v="1"/>
    <s v="southeast"/>
    <n v="45008.959999999999"/>
    <x v="1"/>
    <n v="32.5"/>
    <n v="1"/>
    <n v="0"/>
    <n v="0"/>
    <n v="0.90465318466594513"/>
    <n v="1"/>
    <n v="1"/>
    <n v="1"/>
    <n v="36667.285000000003"/>
    <n v="8341.6749999999956"/>
  </r>
  <r>
    <n v="1304"/>
    <n v="43"/>
    <s v="male"/>
    <x v="200"/>
    <n v="93"/>
    <s v="No"/>
    <n v="2"/>
    <x v="1"/>
    <s v="northwest"/>
    <n v="45702.02"/>
    <x v="2"/>
    <n v="40.6"/>
    <n v="0"/>
    <n v="0"/>
    <n v="1"/>
    <n v="0.44576141350309562"/>
    <n v="1"/>
    <n v="0"/>
    <n v="0"/>
    <n v="42803.124000000003"/>
    <n v="2898.8959999999934"/>
  </r>
  <r>
    <n v="1305"/>
    <n v="42"/>
    <s v="male"/>
    <x v="76"/>
    <n v="83"/>
    <s v="Yes"/>
    <n v="0"/>
    <x v="1"/>
    <s v="northeast"/>
    <n v="45710.21"/>
    <x v="1"/>
    <n v="32"/>
    <n v="0"/>
    <n v="0"/>
    <n v="0"/>
    <n v="0.79714984949763712"/>
    <n v="1"/>
    <n v="1"/>
    <n v="0"/>
    <n v="31046.670000000002"/>
    <n v="14663.539999999997"/>
  </r>
  <r>
    <n v="1306"/>
    <n v="57"/>
    <s v="female"/>
    <x v="272"/>
    <n v="96"/>
    <s v="No"/>
    <n v="0"/>
    <x v="1"/>
    <s v="southeast"/>
    <n v="45863.21"/>
    <x v="2"/>
    <n v="46.2"/>
    <n v="1"/>
    <n v="0"/>
    <n v="0"/>
    <n v="0.99628503260239787"/>
    <n v="1"/>
    <n v="0"/>
    <n v="1"/>
    <n v="49066.018000000018"/>
    <n v="-3202.8080000000191"/>
  </r>
  <r>
    <n v="1307"/>
    <n v="43"/>
    <s v="female"/>
    <x v="273"/>
    <n v="112"/>
    <s v="Yes"/>
    <n v="2"/>
    <x v="1"/>
    <s v="southwest"/>
    <n v="46113.51"/>
    <x v="2"/>
    <n v="47.6"/>
    <n v="0"/>
    <n v="1"/>
    <n v="0"/>
    <n v="0.46446313775528825"/>
    <n v="1"/>
    <n v="1"/>
    <n v="1"/>
    <n v="55615.984000000004"/>
    <n v="-9502.474000000002"/>
  </r>
  <r>
    <n v="1308"/>
    <n v="47"/>
    <s v="male"/>
    <x v="23"/>
    <n v="137"/>
    <s v="No"/>
    <n v="3"/>
    <x v="1"/>
    <s v="northwest"/>
    <n v="46130.53"/>
    <x v="1"/>
    <n v="31.4"/>
    <n v="0"/>
    <n v="0"/>
    <n v="1"/>
    <n v="0.17850533226356025"/>
    <n v="1"/>
    <n v="0"/>
    <n v="0"/>
    <n v="38187.055999999997"/>
    <n v="7943.474000000002"/>
  </r>
  <r>
    <n v="1309"/>
    <n v="20"/>
    <s v="male"/>
    <x v="144"/>
    <n v="104"/>
    <s v="No"/>
    <n v="3"/>
    <x v="1"/>
    <s v="southeast"/>
    <n v="46151.12"/>
    <x v="2"/>
    <n v="42.4"/>
    <n v="1"/>
    <n v="0"/>
    <n v="0"/>
    <n v="0.49781033208048897"/>
    <n v="1"/>
    <n v="0"/>
    <n v="0"/>
    <n v="47050.046000000002"/>
    <n v="-898.92599999999948"/>
  </r>
  <r>
    <n v="1310"/>
    <n v="47"/>
    <s v="female"/>
    <x v="222"/>
    <n v="104"/>
    <s v="No"/>
    <n v="2"/>
    <x v="1"/>
    <s v="southeast"/>
    <n v="46200.99"/>
    <x v="2"/>
    <n v="43.9"/>
    <n v="1"/>
    <n v="0"/>
    <n v="0"/>
    <n v="0.41382310201649974"/>
    <n v="1"/>
    <n v="0"/>
    <n v="1"/>
    <n v="48739.231000000007"/>
    <n v="-2538.2410000000091"/>
  </r>
  <r>
    <n v="1311"/>
    <n v="26"/>
    <s v="female"/>
    <x v="140"/>
    <n v="95"/>
    <s v="No"/>
    <n v="3"/>
    <x v="1"/>
    <s v="northeast"/>
    <n v="46255.11"/>
    <x v="2"/>
    <n v="37.1"/>
    <n v="0"/>
    <n v="0"/>
    <n v="0"/>
    <n v="0.87647307759208515"/>
    <n v="1"/>
    <n v="0"/>
    <n v="1"/>
    <n v="42568.879000000001"/>
    <n v="3686.2309999999998"/>
  </r>
  <r>
    <n v="1312"/>
    <n v="38"/>
    <s v="male"/>
    <x v="77"/>
    <n v="117"/>
    <s v="Yes"/>
    <n v="0"/>
    <x v="1"/>
    <s v="southeast"/>
    <n v="46599.11"/>
    <x v="2"/>
    <n v="35.9"/>
    <n v="1"/>
    <n v="0"/>
    <n v="0"/>
    <n v="0.72723681885527403"/>
    <n v="1"/>
    <n v="1"/>
    <n v="0"/>
    <n v="38077.411"/>
    <n v="8521.6990000000005"/>
  </r>
  <r>
    <n v="1313"/>
    <n v="56"/>
    <s v="female"/>
    <x v="19"/>
    <n v="110"/>
    <s v="No"/>
    <n v="3"/>
    <x v="1"/>
    <s v="northwest"/>
    <n v="46661.440000000002"/>
    <x v="2"/>
    <n v="36.9"/>
    <n v="0"/>
    <n v="0"/>
    <n v="1"/>
    <n v="0.99748460793880744"/>
    <n v="1"/>
    <n v="0"/>
    <n v="1"/>
    <n v="41707.350999999995"/>
    <n v="4954.0890000000072"/>
  </r>
  <r>
    <n v="1314"/>
    <n v="29"/>
    <s v="male"/>
    <x v="131"/>
    <n v="114"/>
    <s v="Yes"/>
    <n v="3"/>
    <x v="1"/>
    <s v="northwest"/>
    <n v="46718.16"/>
    <x v="1"/>
    <n v="30.9"/>
    <n v="0"/>
    <n v="0"/>
    <n v="1"/>
    <n v="0.18636192954829789"/>
    <n v="1"/>
    <n v="1"/>
    <n v="0"/>
    <n v="33798.120999999999"/>
    <n v="12920.039000000004"/>
  </r>
  <r>
    <n v="1315"/>
    <n v="22"/>
    <s v="male"/>
    <x v="141"/>
    <n v="97"/>
    <s v="No"/>
    <n v="0"/>
    <x v="1"/>
    <s v="southeast"/>
    <n v="46889.26"/>
    <x v="1"/>
    <n v="33.9"/>
    <n v="1"/>
    <n v="0"/>
    <n v="0"/>
    <n v="0.38250589334140117"/>
    <n v="1"/>
    <n v="0"/>
    <n v="0"/>
    <n v="32285.770999999993"/>
    <n v="14603.489000000009"/>
  </r>
  <r>
    <n v="1316"/>
    <n v="23"/>
    <s v="male"/>
    <x v="254"/>
    <n v="121"/>
    <s v="No"/>
    <n v="0"/>
    <x v="1"/>
    <s v="southeast"/>
    <n v="47055.53"/>
    <x v="2"/>
    <n v="35.1"/>
    <n v="1"/>
    <n v="0"/>
    <n v="0"/>
    <n v="0.65036166111052907"/>
    <n v="1"/>
    <n v="0"/>
    <n v="0"/>
    <n v="37728.279000000002"/>
    <n v="9327.2509999999966"/>
  </r>
  <r>
    <n v="1317"/>
    <n v="41"/>
    <s v="male"/>
    <x v="189"/>
    <n v="109"/>
    <s v="Yes"/>
    <n v="2"/>
    <x v="1"/>
    <s v="southeast"/>
    <n v="47269.85"/>
    <x v="2"/>
    <n v="41.8"/>
    <n v="1"/>
    <n v="0"/>
    <n v="0"/>
    <n v="0.23903185805584271"/>
    <n v="1"/>
    <n v="1"/>
    <n v="0"/>
    <n v="46207.002000000008"/>
    <n v="1062.8479999999909"/>
  </r>
  <r>
    <n v="1318"/>
    <n v="49"/>
    <s v="female"/>
    <x v="70"/>
    <n v="111"/>
    <s v="No"/>
    <n v="2"/>
    <x v="1"/>
    <s v="southwest"/>
    <n v="47291.06"/>
    <x v="1"/>
    <n v="31.3"/>
    <n v="0"/>
    <n v="1"/>
    <n v="0"/>
    <n v="0.70116534825026144"/>
    <n v="1"/>
    <n v="0"/>
    <n v="1"/>
    <n v="33599.327000000005"/>
    <n v="13691.732999999993"/>
  </r>
  <r>
    <n v="1319"/>
    <n v="27"/>
    <s v="female"/>
    <x v="207"/>
    <n v="115"/>
    <s v="Yes"/>
    <n v="2"/>
    <x v="1"/>
    <s v="southwest"/>
    <n v="47305.31"/>
    <x v="1"/>
    <n v="32.200000000000003"/>
    <n v="0"/>
    <n v="1"/>
    <n v="0"/>
    <n v="0.5117721172685834"/>
    <n v="1"/>
    <n v="1"/>
    <n v="1"/>
    <n v="35407.008000000009"/>
    <n v="11898.301999999989"/>
  </r>
  <r>
    <n v="1320"/>
    <n v="40"/>
    <s v="male"/>
    <x v="202"/>
    <n v="94"/>
    <s v="Yes"/>
    <n v="1"/>
    <x v="1"/>
    <s v="southwest"/>
    <n v="47403.88"/>
    <x v="2"/>
    <n v="36.299999999999997"/>
    <n v="0"/>
    <n v="1"/>
    <n v="0"/>
    <n v="0.43525797382836107"/>
    <n v="1"/>
    <n v="1"/>
    <n v="0"/>
    <n v="36369.017000000007"/>
    <n v="11034.86299999999"/>
  </r>
  <r>
    <n v="1321"/>
    <n v="19"/>
    <s v="male"/>
    <x v="166"/>
    <n v="104"/>
    <s v="Yes"/>
    <n v="2"/>
    <x v="1"/>
    <s v="southeast"/>
    <n v="47462.89"/>
    <x v="2"/>
    <n v="42.9"/>
    <n v="1"/>
    <n v="0"/>
    <n v="0"/>
    <n v="0.15355725583997715"/>
    <n v="1"/>
    <n v="1"/>
    <n v="0"/>
    <n v="46916.370999999999"/>
    <n v="546.51900000000023"/>
  </r>
  <r>
    <n v="1322"/>
    <n v="26"/>
    <s v="male"/>
    <x v="177"/>
    <n v="81"/>
    <s v="No"/>
    <n v="2"/>
    <x v="1"/>
    <s v="northwest"/>
    <n v="47496.49"/>
    <x v="2"/>
    <n v="37"/>
    <n v="0"/>
    <n v="0"/>
    <n v="1"/>
    <n v="0.82600924704245726"/>
    <n v="1"/>
    <n v="0"/>
    <n v="0"/>
    <n v="36068.92"/>
    <n v="11427.57"/>
  </r>
  <r>
    <n v="1323"/>
    <n v="33"/>
    <s v="female"/>
    <x v="258"/>
    <n v="117"/>
    <s v="Yes"/>
    <n v="1"/>
    <x v="1"/>
    <s v="northeast"/>
    <n v="47896.79"/>
    <x v="2"/>
    <n v="36.799999999999997"/>
    <n v="0"/>
    <n v="0"/>
    <n v="0"/>
    <n v="0.12410161462542912"/>
    <n v="1"/>
    <n v="1"/>
    <n v="1"/>
    <n v="44121.951999999997"/>
    <n v="3774.8380000000034"/>
  </r>
  <r>
    <n v="1324"/>
    <n v="49"/>
    <s v="female"/>
    <x v="37"/>
    <n v="107"/>
    <s v="No"/>
    <n v="1"/>
    <x v="1"/>
    <s v="southwest"/>
    <n v="47928.03"/>
    <x v="1"/>
    <n v="33.799999999999997"/>
    <n v="0"/>
    <n v="1"/>
    <n v="0"/>
    <n v="9.5308057837017235E-2"/>
    <n v="1"/>
    <n v="0"/>
    <n v="1"/>
    <n v="35584.451999999997"/>
    <n v="12343.578000000001"/>
  </r>
  <r>
    <n v="1325"/>
    <n v="39"/>
    <s v="male"/>
    <x v="255"/>
    <n v="115"/>
    <s v="No"/>
    <n v="0"/>
    <x v="1"/>
    <s v="southwest"/>
    <n v="48173.36"/>
    <x v="2"/>
    <n v="39.9"/>
    <n v="0"/>
    <n v="1"/>
    <n v="0"/>
    <n v="0.42485586364593519"/>
    <n v="1"/>
    <n v="0"/>
    <n v="0"/>
    <n v="43893.390999999996"/>
    <n v="4279.9690000000046"/>
  </r>
  <r>
    <n v="1326"/>
    <n v="52"/>
    <s v="female"/>
    <x v="242"/>
    <n v="133"/>
    <s v="Yes"/>
    <n v="1"/>
    <x v="1"/>
    <s v="northeast"/>
    <n v="48517.56"/>
    <x v="2"/>
    <n v="36.4"/>
    <n v="0"/>
    <n v="0"/>
    <n v="0"/>
    <n v="0.98659974394471728"/>
    <n v="1"/>
    <n v="1"/>
    <n v="1"/>
    <n v="46113.196000000004"/>
    <n v="2404.3639999999941"/>
  </r>
  <r>
    <n v="1327"/>
    <n v="26"/>
    <s v="male"/>
    <x v="200"/>
    <n v="113"/>
    <s v="Yes"/>
    <n v="3"/>
    <x v="1"/>
    <s v="northeast"/>
    <n v="48549.18"/>
    <x v="2"/>
    <n v="40.6"/>
    <n v="0"/>
    <n v="0"/>
    <n v="0"/>
    <n v="0.39130731716649414"/>
    <n v="1"/>
    <n v="1"/>
    <n v="0"/>
    <n v="49633.904000000017"/>
    <n v="-1084.7240000000165"/>
  </r>
  <r>
    <n v="1328"/>
    <n v="49"/>
    <s v="male"/>
    <x v="245"/>
    <n v="107"/>
    <s v="No"/>
    <n v="0"/>
    <x v="1"/>
    <s v="southeast"/>
    <n v="48673.56"/>
    <x v="2"/>
    <n v="40.9"/>
    <n v="1"/>
    <n v="0"/>
    <n v="0"/>
    <n v="0.17391323550585303"/>
    <n v="1"/>
    <n v="0"/>
    <n v="0"/>
    <n v="43259.940999999999"/>
    <n v="5413.6189999999988"/>
  </r>
  <r>
    <n v="1329"/>
    <n v="45"/>
    <s v="male"/>
    <x v="139"/>
    <n v="117"/>
    <s v="No"/>
    <n v="1"/>
    <x v="1"/>
    <s v="southeast"/>
    <n v="48675.519999999997"/>
    <x v="2"/>
    <n v="42.1"/>
    <n v="1"/>
    <n v="0"/>
    <n v="0"/>
    <n v="6.5361729223361476E-2"/>
    <n v="1"/>
    <n v="0"/>
    <n v="0"/>
    <n v="47212.828999999998"/>
    <n v="1462.6909999999989"/>
  </r>
  <r>
    <n v="1330"/>
    <n v="52"/>
    <s v="female"/>
    <x v="186"/>
    <n v="109"/>
    <s v="Yes"/>
    <n v="0"/>
    <x v="1"/>
    <s v="southwest"/>
    <n v="48824.45"/>
    <x v="2"/>
    <n v="37.700000000000003"/>
    <n v="0"/>
    <n v="1"/>
    <n v="0"/>
    <n v="0.41762442429502145"/>
    <n v="1"/>
    <n v="1"/>
    <n v="1"/>
    <n v="40336.783000000003"/>
    <n v="8487.666999999994"/>
  </r>
  <r>
    <n v="1331"/>
    <n v="25"/>
    <s v="female"/>
    <x v="119"/>
    <n v="111"/>
    <s v="No"/>
    <n v="0"/>
    <x v="1"/>
    <s v="southeast"/>
    <n v="48885.14"/>
    <x v="2"/>
    <n v="38.1"/>
    <n v="1"/>
    <n v="0"/>
    <n v="0"/>
    <n v="0.64055481676488846"/>
    <n v="1"/>
    <n v="0"/>
    <n v="1"/>
    <n v="40608.839"/>
    <n v="8276.3009999999995"/>
  </r>
  <r>
    <n v="1332"/>
    <n v="18"/>
    <s v="male"/>
    <x v="7"/>
    <n v="104"/>
    <s v="No"/>
    <n v="1"/>
    <x v="1"/>
    <s v="southeast"/>
    <n v="48970.25"/>
    <x v="2"/>
    <n v="41.1"/>
    <n v="1"/>
    <n v="0"/>
    <n v="0"/>
    <n v="0.96206263088499777"/>
    <n v="1"/>
    <n v="0"/>
    <n v="0"/>
    <n v="43828.029000000002"/>
    <n v="5142.2209999999977"/>
  </r>
  <r>
    <n v="1333"/>
    <n v="26"/>
    <s v="male"/>
    <x v="177"/>
    <n v="120"/>
    <s v="No"/>
    <n v="2"/>
    <x v="1"/>
    <s v="southeast"/>
    <n v="49577.66"/>
    <x v="2"/>
    <n v="37"/>
    <n v="1"/>
    <n v="0"/>
    <n v="0"/>
    <n v="0.61296192629740553"/>
    <n v="1"/>
    <n v="0"/>
    <n v="0"/>
    <n v="41596.239999999998"/>
    <n v="7981.4200000000055"/>
  </r>
  <r>
    <n v="1334"/>
    <n v="44"/>
    <s v="male"/>
    <x v="242"/>
    <n v="127"/>
    <s v="No"/>
    <n v="1"/>
    <x v="1"/>
    <s v="southwest"/>
    <n v="51194.559999999998"/>
    <x v="2"/>
    <n v="36.4"/>
    <n v="0"/>
    <n v="1"/>
    <n v="0"/>
    <n v="0.91514588486685544"/>
    <n v="1"/>
    <n v="0"/>
    <n v="0"/>
    <n v="41833.896000000001"/>
    <n v="9360.663999999997"/>
  </r>
  <r>
    <n v="1335"/>
    <n v="43"/>
    <s v="male"/>
    <x v="185"/>
    <n v="125"/>
    <s v="No"/>
    <n v="0"/>
    <x v="1"/>
    <s v="southwest"/>
    <n v="52590.83"/>
    <x v="1"/>
    <n v="32.799999999999997"/>
    <n v="0"/>
    <n v="1"/>
    <n v="0"/>
    <n v="0.90352296462636061"/>
    <n v="1"/>
    <n v="0"/>
    <n v="0"/>
    <n v="35936.872000000003"/>
    <n v="16653.957999999999"/>
  </r>
  <r>
    <n v="1336"/>
    <n v="44"/>
    <s v="female"/>
    <x v="18"/>
    <n v="88"/>
    <s v="Yes"/>
    <n v="0"/>
    <x v="1"/>
    <s v="northwest"/>
    <n v="55135.4"/>
    <x v="2"/>
    <n v="35.5"/>
    <n v="0"/>
    <n v="0"/>
    <n v="1"/>
    <n v="0.82992949632847557"/>
    <n v="1"/>
    <n v="1"/>
    <n v="1"/>
    <n v="34045.385000000002"/>
    <n v="21090.014999999999"/>
  </r>
  <r>
    <n v="1337"/>
    <n v="59"/>
    <s v="female"/>
    <x v="119"/>
    <n v="120"/>
    <s v="No"/>
    <n v="1"/>
    <x v="1"/>
    <s v="northeast"/>
    <n v="58571.07"/>
    <x v="2"/>
    <n v="38.1"/>
    <n v="0"/>
    <n v="0"/>
    <n v="0"/>
    <n v="0.54524782170448638"/>
    <n v="1"/>
    <n v="0"/>
    <n v="1"/>
    <n v="46384.599000000002"/>
    <n v="12186.470999999998"/>
  </r>
  <r>
    <n v="1338"/>
    <n v="30"/>
    <s v="male"/>
    <x v="128"/>
    <n v="91"/>
    <s v="Yes"/>
    <n v="3"/>
    <x v="1"/>
    <s v="northwest"/>
    <n v="60021.4"/>
    <x v="1"/>
    <n v="34.5"/>
    <n v="0"/>
    <n v="0"/>
    <n v="1"/>
    <n v="0.81120721250184002"/>
    <n v="1"/>
    <n v="1"/>
    <n v="0"/>
    <n v="34967.155000000006"/>
    <n v="25054.244999999995"/>
  </r>
  <r>
    <n v="1339"/>
    <n v="37"/>
    <s v="male"/>
    <x v="15"/>
    <n v="106"/>
    <s v="No"/>
    <n v="0"/>
    <x v="1"/>
    <s v="southeast"/>
    <n v="62592.87"/>
    <x v="1"/>
    <n v="30.4"/>
    <n v="1"/>
    <n v="0"/>
    <n v="0"/>
    <n v="0.87891632455831514"/>
    <n v="1"/>
    <n v="0"/>
    <n v="0"/>
    <n v="28996.466"/>
    <n v="33596.404000000002"/>
  </r>
  <r>
    <n v="1340"/>
    <n v="30"/>
    <s v="female"/>
    <x v="274"/>
    <n v="101"/>
    <s v="No"/>
    <n v="0"/>
    <x v="1"/>
    <s v="southeast"/>
    <n v="63770.43"/>
    <x v="2"/>
    <n v="47.4"/>
    <n v="1"/>
    <n v="0"/>
    <n v="0"/>
    <n v="0.44307133850343128"/>
    <n v="1"/>
    <n v="0"/>
    <n v="1"/>
    <n v="51512.155999999995"/>
    <n v="12258.274000000005"/>
  </r>
  <r>
    <m/>
    <m/>
    <m/>
    <x v="275"/>
    <m/>
    <m/>
    <m/>
    <x v="2"/>
    <m/>
    <m/>
    <x v="5"/>
    <m/>
    <m/>
    <m/>
    <m/>
    <m/>
    <n v="274"/>
    <n v="642"/>
    <n v="66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3BD8DA-1E8F-4008-A6FB-A3770352FDF1}" name="PivotTable2" cacheId="1" applyNumberFormats="0" applyBorderFormats="0" applyFontFormats="0" applyPatternFormats="0" applyAlignmentFormats="0" applyWidthHeightFormats="1" dataCaption="Values" grandTotalCaption="Average claims" updatedVersion="8" minRefreshableVersion="3" useAutoFormatting="1" itemPrintTitles="1" createdVersion="8" indent="0" outline="1" outlineData="1" multipleFieldFilters="0" chartFormat="3" rowHeaderCaption="BMI Group" colHeaderCaption="Smoker">
  <location ref="A3:D10" firstHeaderRow="1" firstDataRow="2" firstDataCol="1"/>
  <pivotFields count="21">
    <pivotField showAll="0"/>
    <pivotField showAll="0"/>
    <pivotField showAll="0"/>
    <pivotField showAll="0">
      <items count="277">
        <item x="39"/>
        <item x="132"/>
        <item x="259"/>
        <item x="151"/>
        <item x="114"/>
        <item x="22"/>
        <item x="118"/>
        <item x="51"/>
        <item x="182"/>
        <item x="260"/>
        <item x="233"/>
        <item x="238"/>
        <item x="175"/>
        <item x="52"/>
        <item x="263"/>
        <item x="176"/>
        <item x="206"/>
        <item x="262"/>
        <item x="220"/>
        <item x="261"/>
        <item x="209"/>
        <item x="218"/>
        <item x="10"/>
        <item x="188"/>
        <item x="157"/>
        <item x="248"/>
        <item x="113"/>
        <item x="11"/>
        <item x="24"/>
        <item x="167"/>
        <item x="53"/>
        <item x="12"/>
        <item x="20"/>
        <item x="62"/>
        <item x="239"/>
        <item x="205"/>
        <item x="158"/>
        <item x="164"/>
        <item x="40"/>
        <item x="236"/>
        <item x="257"/>
        <item x="25"/>
        <item x="136"/>
        <item x="71"/>
        <item x="115"/>
        <item x="135"/>
        <item x="82"/>
        <item x="226"/>
        <item x="84"/>
        <item x="26"/>
        <item x="210"/>
        <item x="214"/>
        <item x="172"/>
        <item x="41"/>
        <item x="42"/>
        <item x="0"/>
        <item x="46"/>
        <item x="73"/>
        <item x="137"/>
        <item x="179"/>
        <item x="105"/>
        <item x="43"/>
        <item x="181"/>
        <item x="216"/>
        <item x="97"/>
        <item x="122"/>
        <item x="89"/>
        <item x="243"/>
        <item x="107"/>
        <item x="63"/>
        <item x="54"/>
        <item x="229"/>
        <item x="194"/>
        <item x="203"/>
        <item x="94"/>
        <item x="29"/>
        <item x="129"/>
        <item x="212"/>
        <item x="44"/>
        <item x="30"/>
        <item x="87"/>
        <item x="74"/>
        <item x="142"/>
        <item x="81"/>
        <item x="45"/>
        <item x="104"/>
        <item x="95"/>
        <item x="116"/>
        <item x="60"/>
        <item x="130"/>
        <item x="21"/>
        <item x="36"/>
        <item x="161"/>
        <item x="160"/>
        <item x="90"/>
        <item x="124"/>
        <item x="170"/>
        <item x="83"/>
        <item x="180"/>
        <item x="13"/>
        <item x="110"/>
        <item x="34"/>
        <item x="72"/>
        <item x="196"/>
        <item x="91"/>
        <item x="96"/>
        <item x="117"/>
        <item x="65"/>
        <item x="47"/>
        <item x="138"/>
        <item x="14"/>
        <item x="92"/>
        <item x="55"/>
        <item x="69"/>
        <item x="152"/>
        <item x="126"/>
        <item x="75"/>
        <item x="48"/>
        <item x="125"/>
        <item x="66"/>
        <item x="59"/>
        <item x="56"/>
        <item x="123"/>
        <item x="49"/>
        <item x="1"/>
        <item x="168"/>
        <item x="98"/>
        <item x="15"/>
        <item x="85"/>
        <item x="35"/>
        <item x="195"/>
        <item x="169"/>
        <item x="131"/>
        <item x="184"/>
        <item x="17"/>
        <item x="155"/>
        <item x="70"/>
        <item x="23"/>
        <item x="67"/>
        <item x="178"/>
        <item x="103"/>
        <item x="120"/>
        <item x="99"/>
        <item x="76"/>
        <item x="80"/>
        <item x="207"/>
        <item x="198"/>
        <item x="106"/>
        <item x="147"/>
        <item x="61"/>
        <item x="112"/>
        <item x="185"/>
        <item x="57"/>
        <item x="68"/>
        <item x="133"/>
        <item x="100"/>
        <item x="2"/>
        <item x="134"/>
        <item x="250"/>
        <item x="149"/>
        <item x="3"/>
        <item x="37"/>
        <item x="141"/>
        <item x="111"/>
        <item x="4"/>
        <item x="154"/>
        <item x="193"/>
        <item x="5"/>
        <item x="128"/>
        <item x="78"/>
        <item x="165"/>
        <item x="145"/>
        <item x="79"/>
        <item x="163"/>
        <item x="254"/>
        <item x="50"/>
        <item x="211"/>
        <item x="16"/>
        <item x="18"/>
        <item x="101"/>
        <item x="108"/>
        <item x="159"/>
        <item x="77"/>
        <item x="93"/>
        <item x="208"/>
        <item x="192"/>
        <item x="202"/>
        <item x="242"/>
        <item x="249"/>
        <item x="86"/>
        <item x="224"/>
        <item x="258"/>
        <item x="19"/>
        <item x="177"/>
        <item x="140"/>
        <item x="171"/>
        <item x="6"/>
        <item x="88"/>
        <item x="225"/>
        <item x="153"/>
        <item x="186"/>
        <item x="266"/>
        <item x="201"/>
        <item x="197"/>
        <item x="119"/>
        <item x="27"/>
        <item x="28"/>
        <item x="162"/>
        <item x="174"/>
        <item x="143"/>
        <item x="183"/>
        <item x="146"/>
        <item x="270"/>
        <item x="247"/>
        <item x="31"/>
        <item x="148"/>
        <item x="217"/>
        <item x="38"/>
        <item x="121"/>
        <item x="227"/>
        <item x="32"/>
        <item x="255"/>
        <item x="234"/>
        <item x="102"/>
        <item x="33"/>
        <item x="221"/>
        <item x="58"/>
        <item x="200"/>
        <item x="237"/>
        <item x="251"/>
        <item x="245"/>
        <item x="7"/>
        <item x="204"/>
        <item x="213"/>
        <item x="264"/>
        <item x="230"/>
        <item x="187"/>
        <item x="189"/>
        <item x="64"/>
        <item x="139"/>
        <item x="265"/>
        <item x="144"/>
        <item x="240"/>
        <item x="190"/>
        <item x="268"/>
        <item x="166"/>
        <item x="8"/>
        <item x="173"/>
        <item x="191"/>
        <item x="252"/>
        <item x="246"/>
        <item x="222"/>
        <item x="256"/>
        <item x="156"/>
        <item x="231"/>
        <item x="223"/>
        <item x="267"/>
        <item x="219"/>
        <item x="199"/>
        <item x="269"/>
        <item x="150"/>
        <item x="232"/>
        <item x="272"/>
        <item x="127"/>
        <item x="244"/>
        <item x="253"/>
        <item x="274"/>
        <item x="215"/>
        <item x="273"/>
        <item x="235"/>
        <item x="228"/>
        <item x="241"/>
        <item x="109"/>
        <item x="271"/>
        <item x="9"/>
        <item x="275"/>
        <item t="default"/>
      </items>
    </pivotField>
    <pivotField showAll="0"/>
    <pivotField showAll="0"/>
    <pivotField showAll="0"/>
    <pivotField axis="axisCol" showAll="0">
      <items count="4">
        <item x="0"/>
        <item x="1"/>
        <item n="Blank" h="1" x="2"/>
        <item t="default"/>
      </items>
    </pivotField>
    <pivotField showAll="0"/>
    <pivotField dataField="1" showAll="0"/>
    <pivotField axis="axisRow" showAll="0">
      <items count="7">
        <item x="3"/>
        <item x="0"/>
        <item x="4"/>
        <item x="1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Average of claim" fld="9" subtotal="average" baseField="3" baseItem="0"/>
  </dataFields>
  <chartFormats count="2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CEA552-6674-4D41-B8DA-9088764985E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Smokers">
  <location ref="A3:B6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3">
    <i>
      <x v="1"/>
    </i>
    <i>
      <x/>
    </i>
    <i t="grand">
      <x/>
    </i>
  </rowItems>
  <colItems count="1">
    <i/>
  </colItems>
  <dataFields count="1">
    <dataField name="Average of claim" fld="9" subtotal="average" baseField="7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204481-ABAB-482D-A020-77C7469ECF4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hildren">
  <location ref="A20:B27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claim" fld="9" subtotal="average" baseField="6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426A9D-0E1B-42EF-A2EB-E1E2C8689FF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BMI Groups">
  <location ref="A11:B17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3"/>
        <item x="0"/>
        <item x="4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claim" fld="9" subtotal="average" baseField="1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7F549-3BFA-44F6-8AC2-7E5469268E76}">
  <dimension ref="A3:D10"/>
  <sheetViews>
    <sheetView workbookViewId="0">
      <selection activeCell="A3" sqref="A3:D10"/>
    </sheetView>
  </sheetViews>
  <sheetFormatPr defaultRowHeight="14.4" x14ac:dyDescent="0.3"/>
  <cols>
    <col min="1" max="1" width="14.6640625" bestFit="1" customWidth="1"/>
    <col min="2" max="3" width="12" bestFit="1" customWidth="1"/>
    <col min="4" max="5" width="13.6640625" bestFit="1" customWidth="1"/>
  </cols>
  <sheetData>
    <row r="3" spans="1:4" x14ac:dyDescent="0.3">
      <c r="A3" s="5" t="s">
        <v>48</v>
      </c>
      <c r="B3" s="5" t="s">
        <v>71</v>
      </c>
    </row>
    <row r="4" spans="1:4" x14ac:dyDescent="0.3">
      <c r="A4" s="5" t="s">
        <v>18</v>
      </c>
      <c r="B4" t="s">
        <v>12</v>
      </c>
      <c r="C4" t="s">
        <v>11</v>
      </c>
      <c r="D4" t="s">
        <v>72</v>
      </c>
    </row>
    <row r="5" spans="1:4" x14ac:dyDescent="0.3">
      <c r="A5" s="6" t="s">
        <v>50</v>
      </c>
      <c r="B5" s="7">
        <v>6083.7122222222233</v>
      </c>
      <c r="C5" s="7">
        <v>17978.206249999999</v>
      </c>
      <c r="D5" s="7">
        <v>8802.4537142857153</v>
      </c>
    </row>
    <row r="6" spans="1:4" x14ac:dyDescent="0.3">
      <c r="A6" s="6" t="s">
        <v>51</v>
      </c>
      <c r="B6" s="7">
        <v>7624.7020496894384</v>
      </c>
      <c r="C6" s="7">
        <v>20156.056170212771</v>
      </c>
      <c r="D6" s="7">
        <v>10456.306105769228</v>
      </c>
    </row>
    <row r="7" spans="1:4" x14ac:dyDescent="0.3">
      <c r="A7" s="6" t="s">
        <v>52</v>
      </c>
      <c r="B7" s="7">
        <v>8299.4799047619017</v>
      </c>
      <c r="C7" s="7">
        <v>22495.874054054049</v>
      </c>
      <c r="D7" s="7">
        <v>11000.079305912595</v>
      </c>
    </row>
    <row r="8" spans="1:4" x14ac:dyDescent="0.3">
      <c r="A8" s="6" t="s">
        <v>53</v>
      </c>
      <c r="B8" s="7">
        <v>8545.007816455698</v>
      </c>
      <c r="C8" s="7">
        <v>39551.784583333327</v>
      </c>
      <c r="D8" s="7">
        <v>14298.842680412366</v>
      </c>
    </row>
    <row r="9" spans="1:4" x14ac:dyDescent="0.3">
      <c r="A9" s="6" t="s">
        <v>54</v>
      </c>
      <c r="B9" s="7">
        <v>9192.387449392716</v>
      </c>
      <c r="C9" s="7">
        <v>43536.713698630141</v>
      </c>
      <c r="D9" s="7">
        <v>17027.186875000007</v>
      </c>
    </row>
    <row r="10" spans="1:4" x14ac:dyDescent="0.3">
      <c r="A10" s="6" t="s">
        <v>72</v>
      </c>
      <c r="B10" s="7">
        <v>8421.1215759849911</v>
      </c>
      <c r="C10" s="7">
        <v>32050.231970802914</v>
      </c>
      <c r="D10" s="7">
        <v>13252.745641791042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D7D43-37FB-4D7E-89EB-EC522EB1122F}">
  <dimension ref="A1:U1342"/>
  <sheetViews>
    <sheetView tabSelected="1" workbookViewId="0">
      <selection activeCell="J18" sqref="J18"/>
    </sheetView>
  </sheetViews>
  <sheetFormatPr defaultRowHeight="14.4" x14ac:dyDescent="0.3"/>
  <cols>
    <col min="11" max="11" width="9.33203125" bestFit="1" customWidth="1"/>
    <col min="12" max="12" width="10.88671875" bestFit="1" customWidth="1"/>
    <col min="13" max="13" width="10.6640625" bestFit="1" customWidth="1"/>
    <col min="14" max="15" width="11" bestFit="1" customWidth="1"/>
    <col min="16" max="16" width="10.5546875" bestFit="1" customWidth="1"/>
    <col min="20" max="20" width="13.88671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18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19</v>
      </c>
      <c r="R1" t="s">
        <v>21</v>
      </c>
      <c r="S1" t="s">
        <v>22</v>
      </c>
      <c r="T1" t="s">
        <v>60</v>
      </c>
      <c r="U1" t="s">
        <v>32</v>
      </c>
    </row>
    <row r="2" spans="1:21" x14ac:dyDescent="0.3">
      <c r="A2">
        <v>1</v>
      </c>
      <c r="B2">
        <v>39</v>
      </c>
      <c r="C2" t="s">
        <v>10</v>
      </c>
      <c r="D2">
        <v>23.2</v>
      </c>
      <c r="E2">
        <v>91</v>
      </c>
      <c r="F2" t="s">
        <v>11</v>
      </c>
      <c r="G2">
        <v>0</v>
      </c>
      <c r="H2" t="s">
        <v>12</v>
      </c>
      <c r="I2" t="s">
        <v>13</v>
      </c>
      <c r="J2">
        <v>1121.8699999999999</v>
      </c>
      <c r="K2" t="str">
        <f>IF(D2&lt;20, "&lt;20", IF(D2&lt;25, "20-25", IF(D2&lt;30, "25-30", IF(D2&lt;35, "30-35", "35+"))))</f>
        <v>20-25</v>
      </c>
      <c r="L2">
        <f>D2*Q2</f>
        <v>0</v>
      </c>
      <c r="M2">
        <f>IF(I2="southeast", 1, 0)</f>
        <v>1</v>
      </c>
      <c r="N2">
        <f>IF(I2="southwest", 1, 0)</f>
        <v>0</v>
      </c>
      <c r="O2">
        <f>IF(I2="northwest", 1, 0)</f>
        <v>0</v>
      </c>
      <c r="P2">
        <v>0.71471673812021075</v>
      </c>
      <c r="Q2">
        <f>IF(H2="Yes", 1, 0)</f>
        <v>0</v>
      </c>
      <c r="R2">
        <f>IF(F2="yes", 1, 0)</f>
        <v>1</v>
      </c>
      <c r="S2">
        <f>IF(C2="female", 1, 0)</f>
        <v>0</v>
      </c>
      <c r="T2">
        <f>-7277.71 + (-1.28*B2) + (85.5*D2) + (738.24*G2) + (159.59*E2) + (1259.19*L2) + (-3644.73*M2) + (-2956.11*N2) + (-2948.04*O2) + (-17828.85*Q2) + (-69.06*R2) + (444.95*S2)</f>
        <v>5464.87</v>
      </c>
      <c r="U2">
        <f>J2-T2</f>
        <v>-4343</v>
      </c>
    </row>
    <row r="3" spans="1:21" x14ac:dyDescent="0.3">
      <c r="A3">
        <v>2</v>
      </c>
      <c r="B3">
        <v>24</v>
      </c>
      <c r="C3" t="s">
        <v>10</v>
      </c>
      <c r="D3">
        <v>30.1</v>
      </c>
      <c r="E3">
        <v>87</v>
      </c>
      <c r="F3" t="s">
        <v>12</v>
      </c>
      <c r="G3">
        <v>0</v>
      </c>
      <c r="H3" t="s">
        <v>12</v>
      </c>
      <c r="I3" t="s">
        <v>13</v>
      </c>
      <c r="J3">
        <v>1131.51</v>
      </c>
      <c r="K3" t="str">
        <f t="shared" ref="K3:K66" si="0">IF(D3&lt;20, "&lt;20", IF(D3&lt;25, "20-25", IF(D3&lt;30, "25-30", IF(D3&lt;35, "30-35", "35+"))))</f>
        <v>30-35</v>
      </c>
      <c r="L3">
        <f t="shared" ref="L3:L66" si="1">D3*Q3</f>
        <v>0</v>
      </c>
      <c r="M3">
        <f t="shared" ref="M3:M66" si="2">IF(I3="southeast", 1, 0)</f>
        <v>1</v>
      </c>
      <c r="N3">
        <f t="shared" ref="N3:N66" si="3">IF(I3="southwest", 1, 0)</f>
        <v>0</v>
      </c>
      <c r="O3">
        <f t="shared" ref="O3:O66" si="4">IF(I3="northwest", 1, 0)</f>
        <v>0</v>
      </c>
      <c r="P3">
        <v>0.95799827889432532</v>
      </c>
      <c r="Q3">
        <f t="shared" ref="Q3:Q66" si="5">IF(H3="Yes", 1, 0)</f>
        <v>0</v>
      </c>
      <c r="R3">
        <f t="shared" ref="R3:R66" si="6">IF(F3="yes", 1, 0)</f>
        <v>0</v>
      </c>
      <c r="S3">
        <f t="shared" ref="S3:S66" si="7">IF(C3="female", 1, 0)</f>
        <v>0</v>
      </c>
      <c r="T3">
        <f t="shared" ref="T3:T66" si="8">-7277.71 + (-1.28*B3) + (85.5*D3) + (738.24*G3) + (159.59*E3) + (1259.19*L3) + (-3644.73*M3) + (-2956.11*N3) + (-2948.04*O3) + (-17828.85*Q3) + (-69.06*R3) + (444.95*S3)</f>
        <v>5504.7200000000012</v>
      </c>
      <c r="U3">
        <f t="shared" ref="U3:U66" si="9">J3-T3</f>
        <v>-4373.2100000000009</v>
      </c>
    </row>
    <row r="4" spans="1:21" x14ac:dyDescent="0.3">
      <c r="A4">
        <v>3</v>
      </c>
      <c r="B4">
        <v>38</v>
      </c>
      <c r="C4" t="s">
        <v>10</v>
      </c>
      <c r="D4">
        <v>33.299999999999997</v>
      </c>
      <c r="E4">
        <v>82</v>
      </c>
      <c r="F4" t="s">
        <v>11</v>
      </c>
      <c r="G4">
        <v>0</v>
      </c>
      <c r="H4" t="s">
        <v>12</v>
      </c>
      <c r="I4" t="s">
        <v>13</v>
      </c>
      <c r="J4">
        <v>1135.94</v>
      </c>
      <c r="K4" t="str">
        <f t="shared" si="0"/>
        <v>30-35</v>
      </c>
      <c r="L4">
        <f t="shared" si="1"/>
        <v>0</v>
      </c>
      <c r="M4">
        <f t="shared" si="2"/>
        <v>1</v>
      </c>
      <c r="N4">
        <f t="shared" si="3"/>
        <v>0</v>
      </c>
      <c r="O4">
        <f t="shared" si="4"/>
        <v>0</v>
      </c>
      <c r="P4">
        <v>0.52184096627103371</v>
      </c>
      <c r="Q4">
        <f t="shared" si="5"/>
        <v>0</v>
      </c>
      <c r="R4">
        <f t="shared" si="6"/>
        <v>1</v>
      </c>
      <c r="S4">
        <f t="shared" si="7"/>
        <v>0</v>
      </c>
      <c r="T4">
        <f t="shared" si="8"/>
        <v>4893.3900000000003</v>
      </c>
      <c r="U4">
        <f t="shared" si="9"/>
        <v>-3757.4500000000003</v>
      </c>
    </row>
    <row r="5" spans="1:21" x14ac:dyDescent="0.3">
      <c r="A5">
        <v>4</v>
      </c>
      <c r="B5">
        <v>38</v>
      </c>
      <c r="C5" t="s">
        <v>10</v>
      </c>
      <c r="D5">
        <v>33.700000000000003</v>
      </c>
      <c r="E5">
        <v>80</v>
      </c>
      <c r="F5" t="s">
        <v>12</v>
      </c>
      <c r="G5">
        <v>0</v>
      </c>
      <c r="H5" t="s">
        <v>12</v>
      </c>
      <c r="I5" t="s">
        <v>14</v>
      </c>
      <c r="J5">
        <v>1136.4000000000001</v>
      </c>
      <c r="K5" t="str">
        <f t="shared" si="0"/>
        <v>30-35</v>
      </c>
      <c r="L5">
        <f t="shared" si="1"/>
        <v>0</v>
      </c>
      <c r="M5">
        <f t="shared" si="2"/>
        <v>0</v>
      </c>
      <c r="N5">
        <f t="shared" si="3"/>
        <v>0</v>
      </c>
      <c r="O5">
        <f t="shared" si="4"/>
        <v>1</v>
      </c>
      <c r="P5">
        <v>0.674654772660915</v>
      </c>
      <c r="Q5">
        <f t="shared" si="5"/>
        <v>0</v>
      </c>
      <c r="R5">
        <f t="shared" si="6"/>
        <v>0</v>
      </c>
      <c r="S5">
        <f t="shared" si="7"/>
        <v>0</v>
      </c>
      <c r="T5">
        <f t="shared" si="8"/>
        <v>5374.1600000000008</v>
      </c>
      <c r="U5">
        <f t="shared" si="9"/>
        <v>-4237.76</v>
      </c>
    </row>
    <row r="6" spans="1:21" x14ac:dyDescent="0.3">
      <c r="A6">
        <v>5</v>
      </c>
      <c r="B6">
        <v>38</v>
      </c>
      <c r="C6" t="s">
        <v>10</v>
      </c>
      <c r="D6">
        <v>34.1</v>
      </c>
      <c r="E6">
        <v>100</v>
      </c>
      <c r="F6" t="s">
        <v>12</v>
      </c>
      <c r="G6">
        <v>0</v>
      </c>
      <c r="H6" t="s">
        <v>12</v>
      </c>
      <c r="I6" t="s">
        <v>14</v>
      </c>
      <c r="J6">
        <v>1137.01</v>
      </c>
      <c r="K6" t="str">
        <f t="shared" si="0"/>
        <v>30-35</v>
      </c>
      <c r="L6">
        <f t="shared" si="1"/>
        <v>0</v>
      </c>
      <c r="M6">
        <f t="shared" si="2"/>
        <v>0</v>
      </c>
      <c r="N6">
        <f t="shared" si="3"/>
        <v>0</v>
      </c>
      <c r="O6">
        <f t="shared" si="4"/>
        <v>1</v>
      </c>
      <c r="P6">
        <v>0.84569391769793034</v>
      </c>
      <c r="Q6">
        <f t="shared" si="5"/>
        <v>0</v>
      </c>
      <c r="R6">
        <f t="shared" si="6"/>
        <v>0</v>
      </c>
      <c r="S6">
        <f t="shared" si="7"/>
        <v>0</v>
      </c>
      <c r="T6">
        <f t="shared" si="8"/>
        <v>8600.16</v>
      </c>
      <c r="U6">
        <f t="shared" si="9"/>
        <v>-7463.15</v>
      </c>
    </row>
    <row r="7" spans="1:21" x14ac:dyDescent="0.3">
      <c r="A7">
        <v>6</v>
      </c>
      <c r="B7">
        <v>38</v>
      </c>
      <c r="C7" t="s">
        <v>10</v>
      </c>
      <c r="D7">
        <v>34.4</v>
      </c>
      <c r="E7">
        <v>96</v>
      </c>
      <c r="F7" t="s">
        <v>11</v>
      </c>
      <c r="G7">
        <v>0</v>
      </c>
      <c r="H7" t="s">
        <v>12</v>
      </c>
      <c r="I7" t="s">
        <v>14</v>
      </c>
      <c r="J7">
        <v>1137.47</v>
      </c>
      <c r="K7" t="str">
        <f t="shared" si="0"/>
        <v>30-35</v>
      </c>
      <c r="L7">
        <f t="shared" si="1"/>
        <v>0</v>
      </c>
      <c r="M7">
        <f t="shared" si="2"/>
        <v>0</v>
      </c>
      <c r="N7">
        <f t="shared" si="3"/>
        <v>0</v>
      </c>
      <c r="O7">
        <f t="shared" si="4"/>
        <v>1</v>
      </c>
      <c r="P7">
        <v>0.68910948759611224</v>
      </c>
      <c r="Q7">
        <f t="shared" si="5"/>
        <v>0</v>
      </c>
      <c r="R7">
        <f t="shared" si="6"/>
        <v>1</v>
      </c>
      <c r="S7">
        <f t="shared" si="7"/>
        <v>0</v>
      </c>
      <c r="T7">
        <f t="shared" si="8"/>
        <v>7918.3899999999976</v>
      </c>
      <c r="U7">
        <f t="shared" si="9"/>
        <v>-6780.9199999999973</v>
      </c>
    </row>
    <row r="8" spans="1:21" x14ac:dyDescent="0.3">
      <c r="A8">
        <v>7</v>
      </c>
      <c r="B8">
        <v>38</v>
      </c>
      <c r="C8" t="s">
        <v>10</v>
      </c>
      <c r="D8">
        <v>37.299999999999997</v>
      </c>
      <c r="E8">
        <v>86</v>
      </c>
      <c r="F8" t="s">
        <v>11</v>
      </c>
      <c r="G8">
        <v>0</v>
      </c>
      <c r="H8" t="s">
        <v>12</v>
      </c>
      <c r="I8" t="s">
        <v>14</v>
      </c>
      <c r="J8">
        <v>1141.45</v>
      </c>
      <c r="K8" t="str">
        <f t="shared" si="0"/>
        <v>35+</v>
      </c>
      <c r="L8">
        <f t="shared" si="1"/>
        <v>0</v>
      </c>
      <c r="M8">
        <f t="shared" si="2"/>
        <v>0</v>
      </c>
      <c r="N8">
        <f t="shared" si="3"/>
        <v>0</v>
      </c>
      <c r="O8">
        <f t="shared" si="4"/>
        <v>1</v>
      </c>
      <c r="P8">
        <v>0.16280539098894986</v>
      </c>
      <c r="Q8">
        <f t="shared" si="5"/>
        <v>0</v>
      </c>
      <c r="R8">
        <f t="shared" si="6"/>
        <v>1</v>
      </c>
      <c r="S8">
        <f t="shared" si="7"/>
        <v>0</v>
      </c>
      <c r="T8">
        <f t="shared" si="8"/>
        <v>6570.4399999999987</v>
      </c>
      <c r="U8">
        <f t="shared" si="9"/>
        <v>-5428.9899999999989</v>
      </c>
    </row>
    <row r="9" spans="1:21" x14ac:dyDescent="0.3">
      <c r="A9">
        <v>8</v>
      </c>
      <c r="B9">
        <v>19</v>
      </c>
      <c r="C9" t="s">
        <v>10</v>
      </c>
      <c r="D9">
        <v>41.1</v>
      </c>
      <c r="E9">
        <v>100</v>
      </c>
      <c r="F9" t="s">
        <v>12</v>
      </c>
      <c r="G9">
        <v>0</v>
      </c>
      <c r="H9" t="s">
        <v>12</v>
      </c>
      <c r="I9" t="s">
        <v>14</v>
      </c>
      <c r="J9">
        <v>1146.8</v>
      </c>
      <c r="K9" t="str">
        <f t="shared" si="0"/>
        <v>35+</v>
      </c>
      <c r="L9">
        <f t="shared" si="1"/>
        <v>0</v>
      </c>
      <c r="M9">
        <f t="shared" si="2"/>
        <v>0</v>
      </c>
      <c r="N9">
        <f t="shared" si="3"/>
        <v>0</v>
      </c>
      <c r="O9">
        <f t="shared" si="4"/>
        <v>1</v>
      </c>
      <c r="P9">
        <v>0.68992857608799318</v>
      </c>
      <c r="Q9">
        <f t="shared" si="5"/>
        <v>0</v>
      </c>
      <c r="R9">
        <f t="shared" si="6"/>
        <v>0</v>
      </c>
      <c r="S9">
        <f t="shared" si="7"/>
        <v>0</v>
      </c>
      <c r="T9">
        <f t="shared" si="8"/>
        <v>9222.98</v>
      </c>
      <c r="U9">
        <f t="shared" si="9"/>
        <v>-8076.1799999999994</v>
      </c>
    </row>
    <row r="10" spans="1:21" x14ac:dyDescent="0.3">
      <c r="A10">
        <v>9</v>
      </c>
      <c r="B10">
        <v>20</v>
      </c>
      <c r="C10" t="s">
        <v>10</v>
      </c>
      <c r="D10">
        <v>43</v>
      </c>
      <c r="E10">
        <v>86</v>
      </c>
      <c r="F10" t="s">
        <v>12</v>
      </c>
      <c r="G10">
        <v>0</v>
      </c>
      <c r="H10" t="s">
        <v>12</v>
      </c>
      <c r="I10" t="s">
        <v>14</v>
      </c>
      <c r="J10">
        <v>1149.4000000000001</v>
      </c>
      <c r="K10" t="str">
        <f t="shared" si="0"/>
        <v>35+</v>
      </c>
      <c r="L10">
        <f t="shared" si="1"/>
        <v>0</v>
      </c>
      <c r="M10">
        <f t="shared" si="2"/>
        <v>0</v>
      </c>
      <c r="N10">
        <f t="shared" si="3"/>
        <v>0</v>
      </c>
      <c r="O10">
        <f t="shared" si="4"/>
        <v>1</v>
      </c>
      <c r="P10">
        <v>0.70153267279255715</v>
      </c>
      <c r="Q10">
        <f t="shared" si="5"/>
        <v>0</v>
      </c>
      <c r="R10">
        <f t="shared" si="6"/>
        <v>0</v>
      </c>
      <c r="S10">
        <f t="shared" si="7"/>
        <v>0</v>
      </c>
      <c r="T10">
        <f t="shared" si="8"/>
        <v>7149.89</v>
      </c>
      <c r="U10">
        <f t="shared" si="9"/>
        <v>-6000.49</v>
      </c>
    </row>
    <row r="11" spans="1:21" x14ac:dyDescent="0.3">
      <c r="A11">
        <v>10</v>
      </c>
      <c r="B11">
        <v>30</v>
      </c>
      <c r="C11" t="s">
        <v>10</v>
      </c>
      <c r="D11">
        <v>53.1</v>
      </c>
      <c r="E11">
        <v>97</v>
      </c>
      <c r="F11" t="s">
        <v>12</v>
      </c>
      <c r="G11">
        <v>0</v>
      </c>
      <c r="H11" t="s">
        <v>12</v>
      </c>
      <c r="I11" t="s">
        <v>14</v>
      </c>
      <c r="J11">
        <v>1163.46</v>
      </c>
      <c r="K11" t="str">
        <f t="shared" si="0"/>
        <v>35+</v>
      </c>
      <c r="L11">
        <f t="shared" si="1"/>
        <v>0</v>
      </c>
      <c r="M11">
        <f t="shared" si="2"/>
        <v>0</v>
      </c>
      <c r="N11">
        <f t="shared" si="3"/>
        <v>0</v>
      </c>
      <c r="O11">
        <f t="shared" si="4"/>
        <v>1</v>
      </c>
      <c r="P11">
        <v>0.2611333124392059</v>
      </c>
      <c r="Q11">
        <f t="shared" si="5"/>
        <v>0</v>
      </c>
      <c r="R11">
        <f t="shared" si="6"/>
        <v>0</v>
      </c>
      <c r="S11">
        <f t="shared" si="7"/>
        <v>0</v>
      </c>
      <c r="T11">
        <f t="shared" si="8"/>
        <v>9756.130000000001</v>
      </c>
      <c r="U11">
        <f t="shared" si="9"/>
        <v>-8592.6700000000019</v>
      </c>
    </row>
    <row r="12" spans="1:21" x14ac:dyDescent="0.3">
      <c r="A12">
        <v>11</v>
      </c>
      <c r="B12">
        <v>36</v>
      </c>
      <c r="C12" t="s">
        <v>10</v>
      </c>
      <c r="D12">
        <v>19.8</v>
      </c>
      <c r="E12">
        <v>88</v>
      </c>
      <c r="F12" t="s">
        <v>11</v>
      </c>
      <c r="G12">
        <v>0</v>
      </c>
      <c r="H12" t="s">
        <v>12</v>
      </c>
      <c r="I12" t="s">
        <v>14</v>
      </c>
      <c r="J12">
        <v>1241.57</v>
      </c>
      <c r="K12" t="str">
        <f t="shared" si="0"/>
        <v>&lt;20</v>
      </c>
      <c r="L12">
        <f t="shared" si="1"/>
        <v>0</v>
      </c>
      <c r="M12">
        <f t="shared" si="2"/>
        <v>0</v>
      </c>
      <c r="N12">
        <f t="shared" si="3"/>
        <v>0</v>
      </c>
      <c r="O12">
        <f t="shared" si="4"/>
        <v>1</v>
      </c>
      <c r="P12">
        <v>0.74024267527775622</v>
      </c>
      <c r="Q12">
        <f t="shared" si="5"/>
        <v>0</v>
      </c>
      <c r="R12">
        <f t="shared" si="6"/>
        <v>1</v>
      </c>
      <c r="S12">
        <f t="shared" si="7"/>
        <v>0</v>
      </c>
      <c r="T12">
        <f t="shared" si="8"/>
        <v>5395.93</v>
      </c>
      <c r="U12">
        <f t="shared" si="9"/>
        <v>-4154.3600000000006</v>
      </c>
    </row>
    <row r="13" spans="1:21" x14ac:dyDescent="0.3">
      <c r="A13">
        <v>12</v>
      </c>
      <c r="B13">
        <v>37</v>
      </c>
      <c r="C13" t="s">
        <v>10</v>
      </c>
      <c r="D13">
        <v>20.3</v>
      </c>
      <c r="E13">
        <v>90</v>
      </c>
      <c r="F13" t="s">
        <v>11</v>
      </c>
      <c r="G13">
        <v>0</v>
      </c>
      <c r="H13" t="s">
        <v>12</v>
      </c>
      <c r="I13" t="s">
        <v>14</v>
      </c>
      <c r="J13">
        <v>1242.26</v>
      </c>
      <c r="K13" t="str">
        <f t="shared" si="0"/>
        <v>20-25</v>
      </c>
      <c r="L13">
        <f t="shared" si="1"/>
        <v>0</v>
      </c>
      <c r="M13">
        <f t="shared" si="2"/>
        <v>0</v>
      </c>
      <c r="N13">
        <f t="shared" si="3"/>
        <v>0</v>
      </c>
      <c r="O13">
        <f t="shared" si="4"/>
        <v>1</v>
      </c>
      <c r="P13">
        <v>0.83110142427607847</v>
      </c>
      <c r="Q13">
        <f t="shared" si="5"/>
        <v>0</v>
      </c>
      <c r="R13">
        <f t="shared" si="6"/>
        <v>1</v>
      </c>
      <c r="S13">
        <f t="shared" si="7"/>
        <v>0</v>
      </c>
      <c r="T13">
        <f t="shared" si="8"/>
        <v>5756.58</v>
      </c>
      <c r="U13">
        <f t="shared" si="9"/>
        <v>-4514.32</v>
      </c>
    </row>
    <row r="14" spans="1:21" x14ac:dyDescent="0.3">
      <c r="A14">
        <v>13</v>
      </c>
      <c r="B14">
        <v>19</v>
      </c>
      <c r="C14" t="s">
        <v>10</v>
      </c>
      <c r="D14">
        <v>20.7</v>
      </c>
      <c r="E14">
        <v>81</v>
      </c>
      <c r="F14" t="s">
        <v>12</v>
      </c>
      <c r="G14">
        <v>0</v>
      </c>
      <c r="H14" t="s">
        <v>12</v>
      </c>
      <c r="I14" t="s">
        <v>14</v>
      </c>
      <c r="J14">
        <v>1242.82</v>
      </c>
      <c r="K14" t="str">
        <f t="shared" si="0"/>
        <v>20-25</v>
      </c>
      <c r="L14">
        <f t="shared" si="1"/>
        <v>0</v>
      </c>
      <c r="M14">
        <f t="shared" si="2"/>
        <v>0</v>
      </c>
      <c r="N14">
        <f t="shared" si="3"/>
        <v>0</v>
      </c>
      <c r="O14">
        <f t="shared" si="4"/>
        <v>1</v>
      </c>
      <c r="P14">
        <v>0.87564291447932718</v>
      </c>
      <c r="Q14">
        <f t="shared" si="5"/>
        <v>0</v>
      </c>
      <c r="R14">
        <f t="shared" si="6"/>
        <v>0</v>
      </c>
      <c r="S14">
        <f t="shared" si="7"/>
        <v>0</v>
      </c>
      <c r="T14">
        <f t="shared" si="8"/>
        <v>4446.5700000000006</v>
      </c>
      <c r="U14">
        <f t="shared" si="9"/>
        <v>-3203.7500000000009</v>
      </c>
    </row>
    <row r="15" spans="1:21" x14ac:dyDescent="0.3">
      <c r="A15">
        <v>14</v>
      </c>
      <c r="B15">
        <v>32</v>
      </c>
      <c r="C15" t="s">
        <v>10</v>
      </c>
      <c r="D15">
        <v>27.6</v>
      </c>
      <c r="E15">
        <v>100</v>
      </c>
      <c r="F15" t="s">
        <v>12</v>
      </c>
      <c r="G15">
        <v>0</v>
      </c>
      <c r="H15" t="s">
        <v>12</v>
      </c>
      <c r="I15" t="s">
        <v>14</v>
      </c>
      <c r="J15">
        <v>1252.4100000000001</v>
      </c>
      <c r="K15" t="str">
        <f t="shared" si="0"/>
        <v>25-30</v>
      </c>
      <c r="L15">
        <f t="shared" si="1"/>
        <v>0</v>
      </c>
      <c r="M15">
        <f t="shared" si="2"/>
        <v>0</v>
      </c>
      <c r="N15">
        <f t="shared" si="3"/>
        <v>0</v>
      </c>
      <c r="O15">
        <f t="shared" si="4"/>
        <v>1</v>
      </c>
      <c r="P15">
        <v>0.11556962321567554</v>
      </c>
      <c r="Q15">
        <f t="shared" si="5"/>
        <v>0</v>
      </c>
      <c r="R15">
        <f t="shared" si="6"/>
        <v>0</v>
      </c>
      <c r="S15">
        <f t="shared" si="7"/>
        <v>0</v>
      </c>
      <c r="T15">
        <f t="shared" si="8"/>
        <v>8052.0900000000011</v>
      </c>
      <c r="U15">
        <f t="shared" si="9"/>
        <v>-6799.6800000000012</v>
      </c>
    </row>
    <row r="16" spans="1:21" x14ac:dyDescent="0.3">
      <c r="A16">
        <v>15</v>
      </c>
      <c r="B16">
        <v>40</v>
      </c>
      <c r="C16" t="s">
        <v>10</v>
      </c>
      <c r="D16">
        <v>28.7</v>
      </c>
      <c r="E16">
        <v>81</v>
      </c>
      <c r="F16" t="s">
        <v>11</v>
      </c>
      <c r="G16">
        <v>0</v>
      </c>
      <c r="H16" t="s">
        <v>12</v>
      </c>
      <c r="I16" t="s">
        <v>14</v>
      </c>
      <c r="J16">
        <v>1253.94</v>
      </c>
      <c r="K16" t="str">
        <f t="shared" si="0"/>
        <v>25-30</v>
      </c>
      <c r="L16">
        <f t="shared" si="1"/>
        <v>0</v>
      </c>
      <c r="M16">
        <f t="shared" si="2"/>
        <v>0</v>
      </c>
      <c r="N16">
        <f t="shared" si="3"/>
        <v>0</v>
      </c>
      <c r="O16">
        <f t="shared" si="4"/>
        <v>1</v>
      </c>
      <c r="P16">
        <v>0.47712655382012792</v>
      </c>
      <c r="Q16">
        <f t="shared" si="5"/>
        <v>0</v>
      </c>
      <c r="R16">
        <f t="shared" si="6"/>
        <v>1</v>
      </c>
      <c r="S16">
        <f t="shared" si="7"/>
        <v>0</v>
      </c>
      <c r="T16">
        <f t="shared" si="8"/>
        <v>5034.630000000001</v>
      </c>
      <c r="U16">
        <f t="shared" si="9"/>
        <v>-3780.690000000001</v>
      </c>
    </row>
    <row r="17" spans="1:21" x14ac:dyDescent="0.3">
      <c r="A17">
        <v>16</v>
      </c>
      <c r="B17">
        <v>32</v>
      </c>
      <c r="C17" t="s">
        <v>10</v>
      </c>
      <c r="D17">
        <v>30.4</v>
      </c>
      <c r="E17">
        <v>86</v>
      </c>
      <c r="F17" t="s">
        <v>11</v>
      </c>
      <c r="G17">
        <v>0</v>
      </c>
      <c r="H17" t="s">
        <v>12</v>
      </c>
      <c r="I17" t="s">
        <v>14</v>
      </c>
      <c r="J17">
        <v>1256.3</v>
      </c>
      <c r="K17" t="str">
        <f t="shared" si="0"/>
        <v>30-35</v>
      </c>
      <c r="L17">
        <f t="shared" si="1"/>
        <v>0</v>
      </c>
      <c r="M17">
        <f t="shared" si="2"/>
        <v>0</v>
      </c>
      <c r="N17">
        <f t="shared" si="3"/>
        <v>0</v>
      </c>
      <c r="O17">
        <f t="shared" si="4"/>
        <v>1</v>
      </c>
      <c r="P17">
        <v>0.66782829645637298</v>
      </c>
      <c r="Q17">
        <f t="shared" si="5"/>
        <v>0</v>
      </c>
      <c r="R17">
        <f t="shared" si="6"/>
        <v>1</v>
      </c>
      <c r="S17">
        <f t="shared" si="7"/>
        <v>0</v>
      </c>
      <c r="T17">
        <f t="shared" si="8"/>
        <v>5988.17</v>
      </c>
      <c r="U17">
        <f t="shared" si="9"/>
        <v>-4731.87</v>
      </c>
    </row>
    <row r="18" spans="1:21" x14ac:dyDescent="0.3">
      <c r="A18">
        <v>17</v>
      </c>
      <c r="B18">
        <v>35</v>
      </c>
      <c r="C18" t="s">
        <v>10</v>
      </c>
      <c r="D18">
        <v>34.1</v>
      </c>
      <c r="E18">
        <v>90</v>
      </c>
      <c r="F18" t="s">
        <v>12</v>
      </c>
      <c r="G18">
        <v>0</v>
      </c>
      <c r="H18" t="s">
        <v>12</v>
      </c>
      <c r="I18" t="s">
        <v>15</v>
      </c>
      <c r="J18">
        <v>1261.44</v>
      </c>
      <c r="K18" t="str">
        <f t="shared" si="0"/>
        <v>30-35</v>
      </c>
      <c r="L18">
        <f t="shared" si="1"/>
        <v>0</v>
      </c>
      <c r="M18">
        <f t="shared" si="2"/>
        <v>0</v>
      </c>
      <c r="N18">
        <f t="shared" si="3"/>
        <v>1</v>
      </c>
      <c r="O18">
        <f t="shared" si="4"/>
        <v>0</v>
      </c>
      <c r="P18">
        <v>0.70871844070246559</v>
      </c>
      <c r="Q18">
        <f t="shared" si="5"/>
        <v>0</v>
      </c>
      <c r="R18">
        <f t="shared" si="6"/>
        <v>0</v>
      </c>
      <c r="S18">
        <f t="shared" si="7"/>
        <v>0</v>
      </c>
      <c r="T18">
        <f t="shared" si="8"/>
        <v>7000.0299999999988</v>
      </c>
      <c r="U18">
        <f t="shared" si="9"/>
        <v>-5738.5899999999983</v>
      </c>
    </row>
    <row r="19" spans="1:21" x14ac:dyDescent="0.3">
      <c r="A19">
        <v>18</v>
      </c>
      <c r="B19">
        <v>41</v>
      </c>
      <c r="C19" t="s">
        <v>10</v>
      </c>
      <c r="D19">
        <v>34.4</v>
      </c>
      <c r="E19">
        <v>84</v>
      </c>
      <c r="F19" t="s">
        <v>12</v>
      </c>
      <c r="G19">
        <v>0</v>
      </c>
      <c r="H19" t="s">
        <v>12</v>
      </c>
      <c r="I19" t="s">
        <v>15</v>
      </c>
      <c r="J19">
        <v>1261.8599999999999</v>
      </c>
      <c r="K19" t="str">
        <f t="shared" si="0"/>
        <v>30-35</v>
      </c>
      <c r="L19">
        <f t="shared" si="1"/>
        <v>0</v>
      </c>
      <c r="M19">
        <f t="shared" si="2"/>
        <v>0</v>
      </c>
      <c r="N19">
        <f t="shared" si="3"/>
        <v>1</v>
      </c>
      <c r="O19">
        <f t="shared" si="4"/>
        <v>0</v>
      </c>
      <c r="P19">
        <v>0.12005503535420159</v>
      </c>
      <c r="Q19">
        <f t="shared" si="5"/>
        <v>0</v>
      </c>
      <c r="R19">
        <f t="shared" si="6"/>
        <v>0</v>
      </c>
      <c r="S19">
        <f t="shared" si="7"/>
        <v>0</v>
      </c>
      <c r="T19">
        <f t="shared" si="8"/>
        <v>6060.4599999999991</v>
      </c>
      <c r="U19">
        <f t="shared" si="9"/>
        <v>-4798.5999999999995</v>
      </c>
    </row>
    <row r="20" spans="1:21" x14ac:dyDescent="0.3">
      <c r="A20">
        <v>19</v>
      </c>
      <c r="B20">
        <v>49</v>
      </c>
      <c r="C20" t="s">
        <v>10</v>
      </c>
      <c r="D20">
        <v>35.4</v>
      </c>
      <c r="E20">
        <v>97</v>
      </c>
      <c r="F20" t="s">
        <v>11</v>
      </c>
      <c r="G20">
        <v>0</v>
      </c>
      <c r="H20" t="s">
        <v>12</v>
      </c>
      <c r="I20" t="s">
        <v>15</v>
      </c>
      <c r="J20">
        <v>1263.25</v>
      </c>
      <c r="K20" t="str">
        <f t="shared" si="0"/>
        <v>35+</v>
      </c>
      <c r="L20">
        <f t="shared" si="1"/>
        <v>0</v>
      </c>
      <c r="M20">
        <f t="shared" si="2"/>
        <v>0</v>
      </c>
      <c r="N20">
        <f t="shared" si="3"/>
        <v>1</v>
      </c>
      <c r="O20">
        <f t="shared" si="4"/>
        <v>0</v>
      </c>
      <c r="P20">
        <v>0.77034982095688254</v>
      </c>
      <c r="Q20">
        <f t="shared" si="5"/>
        <v>0</v>
      </c>
      <c r="R20">
        <f t="shared" si="6"/>
        <v>1</v>
      </c>
      <c r="S20">
        <f t="shared" si="7"/>
        <v>0</v>
      </c>
      <c r="T20">
        <f t="shared" si="8"/>
        <v>8141.329999999999</v>
      </c>
      <c r="U20">
        <f t="shared" si="9"/>
        <v>-6878.079999999999</v>
      </c>
    </row>
    <row r="21" spans="1:21" x14ac:dyDescent="0.3">
      <c r="A21">
        <v>20</v>
      </c>
      <c r="B21">
        <v>48</v>
      </c>
      <c r="C21" t="s">
        <v>10</v>
      </c>
      <c r="D21">
        <v>33.299999999999997</v>
      </c>
      <c r="E21">
        <v>91</v>
      </c>
      <c r="F21" t="s">
        <v>11</v>
      </c>
      <c r="G21">
        <v>0</v>
      </c>
      <c r="H21" t="s">
        <v>12</v>
      </c>
      <c r="I21" t="s">
        <v>13</v>
      </c>
      <c r="J21">
        <v>1391.53</v>
      </c>
      <c r="K21" t="str">
        <f t="shared" si="0"/>
        <v>30-35</v>
      </c>
      <c r="L21">
        <f t="shared" si="1"/>
        <v>0</v>
      </c>
      <c r="M21">
        <f t="shared" si="2"/>
        <v>1</v>
      </c>
      <c r="N21">
        <f t="shared" si="3"/>
        <v>0</v>
      </c>
      <c r="O21">
        <f t="shared" si="4"/>
        <v>0</v>
      </c>
      <c r="P21">
        <v>0.63742411051028103</v>
      </c>
      <c r="Q21">
        <f t="shared" si="5"/>
        <v>0</v>
      </c>
      <c r="R21">
        <f t="shared" si="6"/>
        <v>1</v>
      </c>
      <c r="S21">
        <f t="shared" si="7"/>
        <v>0</v>
      </c>
      <c r="T21">
        <f t="shared" si="8"/>
        <v>6316.9000000000005</v>
      </c>
      <c r="U21">
        <f t="shared" si="9"/>
        <v>-4925.3700000000008</v>
      </c>
    </row>
    <row r="22" spans="1:21" x14ac:dyDescent="0.3">
      <c r="A22">
        <v>21</v>
      </c>
      <c r="B22">
        <v>45</v>
      </c>
      <c r="C22" t="s">
        <v>10</v>
      </c>
      <c r="D22">
        <v>23.2</v>
      </c>
      <c r="E22">
        <v>85</v>
      </c>
      <c r="F22" t="s">
        <v>11</v>
      </c>
      <c r="G22">
        <v>0</v>
      </c>
      <c r="H22" t="s">
        <v>12</v>
      </c>
      <c r="I22" t="s">
        <v>13</v>
      </c>
      <c r="J22">
        <v>1515.34</v>
      </c>
      <c r="K22" t="str">
        <f t="shared" si="0"/>
        <v>20-25</v>
      </c>
      <c r="L22">
        <f t="shared" si="1"/>
        <v>0</v>
      </c>
      <c r="M22">
        <f t="shared" si="2"/>
        <v>1</v>
      </c>
      <c r="N22">
        <f t="shared" si="3"/>
        <v>0</v>
      </c>
      <c r="O22">
        <f t="shared" si="4"/>
        <v>0</v>
      </c>
      <c r="P22">
        <v>0.64837798831384352</v>
      </c>
      <c r="Q22">
        <f t="shared" si="5"/>
        <v>0</v>
      </c>
      <c r="R22">
        <f t="shared" si="6"/>
        <v>1</v>
      </c>
      <c r="S22">
        <f t="shared" si="7"/>
        <v>0</v>
      </c>
      <c r="T22">
        <f t="shared" si="8"/>
        <v>4499.6499999999987</v>
      </c>
      <c r="U22">
        <f t="shared" si="9"/>
        <v>-2984.3099999999986</v>
      </c>
    </row>
    <row r="23" spans="1:21" x14ac:dyDescent="0.3">
      <c r="A23">
        <v>22</v>
      </c>
      <c r="B23">
        <v>34</v>
      </c>
      <c r="C23" t="s">
        <v>10</v>
      </c>
      <c r="D23">
        <v>31.1</v>
      </c>
      <c r="E23">
        <v>96</v>
      </c>
      <c r="F23" t="s">
        <v>12</v>
      </c>
      <c r="G23">
        <v>0</v>
      </c>
      <c r="H23" t="s">
        <v>12</v>
      </c>
      <c r="I23" t="s">
        <v>15</v>
      </c>
      <c r="J23">
        <v>1526.31</v>
      </c>
      <c r="K23" t="str">
        <f t="shared" si="0"/>
        <v>30-35</v>
      </c>
      <c r="L23">
        <f t="shared" si="1"/>
        <v>0</v>
      </c>
      <c r="M23">
        <f t="shared" si="2"/>
        <v>0</v>
      </c>
      <c r="N23">
        <f t="shared" si="3"/>
        <v>1</v>
      </c>
      <c r="O23">
        <f t="shared" si="4"/>
        <v>0</v>
      </c>
      <c r="P23">
        <v>0.94079666267467466</v>
      </c>
      <c r="Q23">
        <f t="shared" si="5"/>
        <v>0</v>
      </c>
      <c r="R23">
        <f t="shared" si="6"/>
        <v>0</v>
      </c>
      <c r="S23">
        <f t="shared" si="7"/>
        <v>0</v>
      </c>
      <c r="T23">
        <f t="shared" si="8"/>
        <v>7702.3499999999985</v>
      </c>
      <c r="U23">
        <f t="shared" si="9"/>
        <v>-6176.0399999999991</v>
      </c>
    </row>
    <row r="24" spans="1:21" x14ac:dyDescent="0.3">
      <c r="A24">
        <v>23</v>
      </c>
      <c r="B24">
        <v>18</v>
      </c>
      <c r="C24" t="s">
        <v>10</v>
      </c>
      <c r="D24">
        <v>35.5</v>
      </c>
      <c r="E24">
        <v>100</v>
      </c>
      <c r="F24" t="s">
        <v>11</v>
      </c>
      <c r="G24">
        <v>0</v>
      </c>
      <c r="H24" t="s">
        <v>12</v>
      </c>
      <c r="I24" t="s">
        <v>13</v>
      </c>
      <c r="J24">
        <v>1532.47</v>
      </c>
      <c r="K24" t="str">
        <f t="shared" si="0"/>
        <v>35+</v>
      </c>
      <c r="L24">
        <f t="shared" si="1"/>
        <v>0</v>
      </c>
      <c r="M24">
        <f t="shared" si="2"/>
        <v>1</v>
      </c>
      <c r="N24">
        <f t="shared" si="3"/>
        <v>0</v>
      </c>
      <c r="O24">
        <f t="shared" si="4"/>
        <v>0</v>
      </c>
      <c r="P24">
        <v>0.85151494993836985</v>
      </c>
      <c r="Q24">
        <f t="shared" si="5"/>
        <v>0</v>
      </c>
      <c r="R24">
        <f t="shared" si="6"/>
        <v>1</v>
      </c>
      <c r="S24">
        <f t="shared" si="7"/>
        <v>0</v>
      </c>
      <c r="T24">
        <f t="shared" si="8"/>
        <v>7979.71</v>
      </c>
      <c r="U24">
        <f t="shared" si="9"/>
        <v>-6447.24</v>
      </c>
    </row>
    <row r="25" spans="1:21" x14ac:dyDescent="0.3">
      <c r="A25">
        <v>24</v>
      </c>
      <c r="B25">
        <v>42</v>
      </c>
      <c r="C25" t="s">
        <v>10</v>
      </c>
      <c r="D25">
        <v>36.9</v>
      </c>
      <c r="E25">
        <v>93</v>
      </c>
      <c r="F25" t="s">
        <v>12</v>
      </c>
      <c r="G25">
        <v>0</v>
      </c>
      <c r="H25" t="s">
        <v>12</v>
      </c>
      <c r="I25" t="s">
        <v>13</v>
      </c>
      <c r="J25">
        <v>1534.3</v>
      </c>
      <c r="K25" t="str">
        <f t="shared" si="0"/>
        <v>35+</v>
      </c>
      <c r="L25">
        <f t="shared" si="1"/>
        <v>0</v>
      </c>
      <c r="M25">
        <f t="shared" si="2"/>
        <v>1</v>
      </c>
      <c r="N25">
        <f t="shared" si="3"/>
        <v>0</v>
      </c>
      <c r="O25">
        <f t="shared" si="4"/>
        <v>0</v>
      </c>
      <c r="P25">
        <v>0.25790375303336643</v>
      </c>
      <c r="Q25">
        <f t="shared" si="5"/>
        <v>0</v>
      </c>
      <c r="R25">
        <f t="shared" si="6"/>
        <v>0</v>
      </c>
      <c r="S25">
        <f t="shared" si="7"/>
        <v>0</v>
      </c>
      <c r="T25">
        <f t="shared" si="8"/>
        <v>7020.6200000000008</v>
      </c>
      <c r="U25">
        <f t="shared" si="9"/>
        <v>-5486.3200000000006</v>
      </c>
    </row>
    <row r="26" spans="1:21" x14ac:dyDescent="0.3">
      <c r="A26">
        <v>25</v>
      </c>
      <c r="B26">
        <v>50</v>
      </c>
      <c r="C26" t="s">
        <v>16</v>
      </c>
      <c r="D26">
        <v>20.8</v>
      </c>
      <c r="E26">
        <v>85</v>
      </c>
      <c r="F26" t="s">
        <v>11</v>
      </c>
      <c r="G26">
        <v>0</v>
      </c>
      <c r="H26" t="s">
        <v>12</v>
      </c>
      <c r="I26" t="s">
        <v>13</v>
      </c>
      <c r="J26">
        <v>1607.51</v>
      </c>
      <c r="K26" t="str">
        <f t="shared" si="0"/>
        <v>20-25</v>
      </c>
      <c r="L26">
        <f t="shared" si="1"/>
        <v>0</v>
      </c>
      <c r="M26">
        <f t="shared" si="2"/>
        <v>1</v>
      </c>
      <c r="N26">
        <f t="shared" si="3"/>
        <v>0</v>
      </c>
      <c r="O26">
        <f t="shared" si="4"/>
        <v>0</v>
      </c>
      <c r="P26">
        <v>0.50896327038247657</v>
      </c>
      <c r="Q26">
        <f t="shared" si="5"/>
        <v>0</v>
      </c>
      <c r="R26">
        <f t="shared" si="6"/>
        <v>1</v>
      </c>
      <c r="S26">
        <f t="shared" si="7"/>
        <v>1</v>
      </c>
      <c r="T26">
        <f t="shared" si="8"/>
        <v>4733</v>
      </c>
      <c r="U26">
        <f t="shared" si="9"/>
        <v>-3125.49</v>
      </c>
    </row>
    <row r="27" spans="1:21" x14ac:dyDescent="0.3">
      <c r="A27">
        <v>26</v>
      </c>
      <c r="B27">
        <v>23</v>
      </c>
      <c r="C27" t="s">
        <v>10</v>
      </c>
      <c r="D27">
        <v>43</v>
      </c>
      <c r="E27">
        <v>86</v>
      </c>
      <c r="F27" t="s">
        <v>12</v>
      </c>
      <c r="G27">
        <v>0</v>
      </c>
      <c r="H27" t="s">
        <v>12</v>
      </c>
      <c r="I27" t="s">
        <v>14</v>
      </c>
      <c r="J27">
        <v>1149.4000000000001</v>
      </c>
      <c r="K27" t="str">
        <f t="shared" si="0"/>
        <v>35+</v>
      </c>
      <c r="L27">
        <f t="shared" si="1"/>
        <v>0</v>
      </c>
      <c r="M27">
        <f t="shared" si="2"/>
        <v>0</v>
      </c>
      <c r="N27">
        <f t="shared" si="3"/>
        <v>0</v>
      </c>
      <c r="O27">
        <f t="shared" si="4"/>
        <v>1</v>
      </c>
      <c r="P27">
        <v>0.99131583349167574</v>
      </c>
      <c r="Q27">
        <f t="shared" si="5"/>
        <v>0</v>
      </c>
      <c r="R27">
        <f t="shared" si="6"/>
        <v>0</v>
      </c>
      <c r="S27">
        <f t="shared" si="7"/>
        <v>0</v>
      </c>
      <c r="T27">
        <f t="shared" si="8"/>
        <v>7146.05</v>
      </c>
      <c r="U27">
        <f t="shared" si="9"/>
        <v>-5996.65</v>
      </c>
    </row>
    <row r="28" spans="1:21" x14ac:dyDescent="0.3">
      <c r="A28">
        <v>27</v>
      </c>
      <c r="B28">
        <v>36</v>
      </c>
      <c r="C28" t="s">
        <v>16</v>
      </c>
      <c r="D28">
        <v>26.7</v>
      </c>
      <c r="E28">
        <v>97</v>
      </c>
      <c r="F28" t="s">
        <v>11</v>
      </c>
      <c r="G28">
        <v>0</v>
      </c>
      <c r="H28" t="s">
        <v>12</v>
      </c>
      <c r="I28" t="s">
        <v>13</v>
      </c>
      <c r="J28">
        <v>1615.77</v>
      </c>
      <c r="K28" t="str">
        <f t="shared" si="0"/>
        <v>25-30</v>
      </c>
      <c r="L28">
        <f t="shared" si="1"/>
        <v>0</v>
      </c>
      <c r="M28">
        <f t="shared" si="2"/>
        <v>1</v>
      </c>
      <c r="N28">
        <f t="shared" si="3"/>
        <v>0</v>
      </c>
      <c r="O28">
        <f t="shared" si="4"/>
        <v>0</v>
      </c>
      <c r="P28">
        <v>0.2715218724151347</v>
      </c>
      <c r="Q28">
        <f t="shared" si="5"/>
        <v>0</v>
      </c>
      <c r="R28">
        <f t="shared" si="6"/>
        <v>1</v>
      </c>
      <c r="S28">
        <f t="shared" si="7"/>
        <v>1</v>
      </c>
      <c r="T28">
        <f t="shared" si="8"/>
        <v>7170.4499999999989</v>
      </c>
      <c r="U28">
        <f t="shared" si="9"/>
        <v>-5554.6799999999985</v>
      </c>
    </row>
    <row r="29" spans="1:21" x14ac:dyDescent="0.3">
      <c r="A29">
        <v>28</v>
      </c>
      <c r="B29">
        <v>30</v>
      </c>
      <c r="C29" t="s">
        <v>10</v>
      </c>
      <c r="D29">
        <v>17.5</v>
      </c>
      <c r="E29">
        <v>93</v>
      </c>
      <c r="F29" t="s">
        <v>11</v>
      </c>
      <c r="G29">
        <v>0</v>
      </c>
      <c r="H29" t="s">
        <v>12</v>
      </c>
      <c r="I29" t="s">
        <v>14</v>
      </c>
      <c r="J29">
        <v>1621.34</v>
      </c>
      <c r="K29" t="str">
        <f t="shared" si="0"/>
        <v>&lt;20</v>
      </c>
      <c r="L29">
        <f t="shared" si="1"/>
        <v>0</v>
      </c>
      <c r="M29">
        <f t="shared" si="2"/>
        <v>0</v>
      </c>
      <c r="N29">
        <f t="shared" si="3"/>
        <v>0</v>
      </c>
      <c r="O29">
        <f t="shared" si="4"/>
        <v>1</v>
      </c>
      <c r="P29">
        <v>0.53324941791992664</v>
      </c>
      <c r="Q29">
        <f t="shared" si="5"/>
        <v>0</v>
      </c>
      <c r="R29">
        <f t="shared" si="6"/>
        <v>1</v>
      </c>
      <c r="S29">
        <f t="shared" si="7"/>
        <v>0</v>
      </c>
      <c r="T29">
        <f t="shared" si="8"/>
        <v>6004.9100000000017</v>
      </c>
      <c r="U29">
        <f t="shared" si="9"/>
        <v>-4383.5700000000015</v>
      </c>
    </row>
    <row r="30" spans="1:21" x14ac:dyDescent="0.3">
      <c r="A30">
        <v>29</v>
      </c>
      <c r="B30">
        <v>58</v>
      </c>
      <c r="C30" t="s">
        <v>16</v>
      </c>
      <c r="D30">
        <v>31.1</v>
      </c>
      <c r="E30">
        <v>87</v>
      </c>
      <c r="F30" t="s">
        <v>12</v>
      </c>
      <c r="G30">
        <v>0</v>
      </c>
      <c r="H30" t="s">
        <v>12</v>
      </c>
      <c r="I30" t="s">
        <v>13</v>
      </c>
      <c r="J30">
        <v>1621.88</v>
      </c>
      <c r="K30" t="str">
        <f t="shared" si="0"/>
        <v>30-35</v>
      </c>
      <c r="L30">
        <f t="shared" si="1"/>
        <v>0</v>
      </c>
      <c r="M30">
        <f t="shared" si="2"/>
        <v>1</v>
      </c>
      <c r="N30">
        <f t="shared" si="3"/>
        <v>0</v>
      </c>
      <c r="O30">
        <f t="shared" si="4"/>
        <v>0</v>
      </c>
      <c r="P30">
        <v>0.23266182722786288</v>
      </c>
      <c r="Q30">
        <f t="shared" si="5"/>
        <v>0</v>
      </c>
      <c r="R30">
        <f t="shared" si="6"/>
        <v>0</v>
      </c>
      <c r="S30">
        <f t="shared" si="7"/>
        <v>1</v>
      </c>
      <c r="T30">
        <f t="shared" si="8"/>
        <v>5991.6500000000005</v>
      </c>
      <c r="U30">
        <f t="shared" si="9"/>
        <v>-4369.7700000000004</v>
      </c>
    </row>
    <row r="31" spans="1:21" x14ac:dyDescent="0.3">
      <c r="A31">
        <v>30</v>
      </c>
      <c r="B31">
        <v>35</v>
      </c>
      <c r="C31" t="s">
        <v>16</v>
      </c>
      <c r="D31">
        <v>31.4</v>
      </c>
      <c r="E31">
        <v>93</v>
      </c>
      <c r="F31" t="s">
        <v>12</v>
      </c>
      <c r="G31">
        <v>0</v>
      </c>
      <c r="H31" t="s">
        <v>12</v>
      </c>
      <c r="I31" t="s">
        <v>13</v>
      </c>
      <c r="J31">
        <v>1622.19</v>
      </c>
      <c r="K31" t="str">
        <f t="shared" si="0"/>
        <v>30-35</v>
      </c>
      <c r="L31">
        <f t="shared" si="1"/>
        <v>0</v>
      </c>
      <c r="M31">
        <f t="shared" si="2"/>
        <v>1</v>
      </c>
      <c r="N31">
        <f t="shared" si="3"/>
        <v>0</v>
      </c>
      <c r="O31">
        <f t="shared" si="4"/>
        <v>0</v>
      </c>
      <c r="P31">
        <v>0.58617084059799673</v>
      </c>
      <c r="Q31">
        <f t="shared" si="5"/>
        <v>0</v>
      </c>
      <c r="R31">
        <f t="shared" si="6"/>
        <v>0</v>
      </c>
      <c r="S31">
        <f t="shared" si="7"/>
        <v>1</v>
      </c>
      <c r="T31">
        <f t="shared" si="8"/>
        <v>7004.2800000000016</v>
      </c>
      <c r="U31">
        <f t="shared" si="9"/>
        <v>-5382.090000000002</v>
      </c>
    </row>
    <row r="32" spans="1:21" x14ac:dyDescent="0.3">
      <c r="A32">
        <v>31</v>
      </c>
      <c r="B32">
        <v>29</v>
      </c>
      <c r="C32" t="s">
        <v>10</v>
      </c>
      <c r="D32">
        <v>20.399999999999999</v>
      </c>
      <c r="E32">
        <v>80</v>
      </c>
      <c r="F32" t="s">
        <v>11</v>
      </c>
      <c r="G32">
        <v>0</v>
      </c>
      <c r="H32" t="s">
        <v>12</v>
      </c>
      <c r="I32" t="s">
        <v>14</v>
      </c>
      <c r="J32">
        <v>1625.43</v>
      </c>
      <c r="K32" t="str">
        <f t="shared" si="0"/>
        <v>20-25</v>
      </c>
      <c r="L32">
        <f t="shared" si="1"/>
        <v>0</v>
      </c>
      <c r="M32">
        <f t="shared" si="2"/>
        <v>0</v>
      </c>
      <c r="N32">
        <f t="shared" si="3"/>
        <v>0</v>
      </c>
      <c r="O32">
        <f t="shared" si="4"/>
        <v>1</v>
      </c>
      <c r="P32">
        <v>0.96241045622543042</v>
      </c>
      <c r="Q32">
        <f t="shared" si="5"/>
        <v>0</v>
      </c>
      <c r="R32">
        <f t="shared" si="6"/>
        <v>1</v>
      </c>
      <c r="S32">
        <f t="shared" si="7"/>
        <v>0</v>
      </c>
      <c r="T32">
        <f t="shared" si="8"/>
        <v>4179.47</v>
      </c>
      <c r="U32">
        <f t="shared" si="9"/>
        <v>-2554.04</v>
      </c>
    </row>
    <row r="33" spans="1:21" x14ac:dyDescent="0.3">
      <c r="A33">
        <v>32</v>
      </c>
      <c r="B33">
        <v>49</v>
      </c>
      <c r="C33" t="s">
        <v>10</v>
      </c>
      <c r="D33">
        <v>21.8</v>
      </c>
      <c r="E33">
        <v>80</v>
      </c>
      <c r="F33" t="s">
        <v>12</v>
      </c>
      <c r="G33">
        <v>0</v>
      </c>
      <c r="H33" t="s">
        <v>12</v>
      </c>
      <c r="I33" t="s">
        <v>14</v>
      </c>
      <c r="J33">
        <v>1627.28</v>
      </c>
      <c r="K33" t="str">
        <f t="shared" si="0"/>
        <v>20-25</v>
      </c>
      <c r="L33">
        <f t="shared" si="1"/>
        <v>0</v>
      </c>
      <c r="M33">
        <f t="shared" si="2"/>
        <v>0</v>
      </c>
      <c r="N33">
        <f t="shared" si="3"/>
        <v>0</v>
      </c>
      <c r="O33">
        <f t="shared" si="4"/>
        <v>1</v>
      </c>
      <c r="P33">
        <v>0.62175153786167803</v>
      </c>
      <c r="Q33">
        <f t="shared" si="5"/>
        <v>0</v>
      </c>
      <c r="R33">
        <f t="shared" si="6"/>
        <v>0</v>
      </c>
      <c r="S33">
        <f t="shared" si="7"/>
        <v>0</v>
      </c>
      <c r="T33">
        <f t="shared" si="8"/>
        <v>4342.63</v>
      </c>
      <c r="U33">
        <f t="shared" si="9"/>
        <v>-2715.3500000000004</v>
      </c>
    </row>
    <row r="34" spans="1:21" x14ac:dyDescent="0.3">
      <c r="A34">
        <v>33</v>
      </c>
      <c r="B34">
        <v>21</v>
      </c>
      <c r="C34" t="s">
        <v>10</v>
      </c>
      <c r="D34">
        <v>22.6</v>
      </c>
      <c r="E34">
        <v>96</v>
      </c>
      <c r="F34" t="s">
        <v>11</v>
      </c>
      <c r="G34">
        <v>0</v>
      </c>
      <c r="H34" t="s">
        <v>12</v>
      </c>
      <c r="I34" t="s">
        <v>14</v>
      </c>
      <c r="J34">
        <v>1628.47</v>
      </c>
      <c r="K34" t="str">
        <f t="shared" si="0"/>
        <v>20-25</v>
      </c>
      <c r="L34">
        <f t="shared" si="1"/>
        <v>0</v>
      </c>
      <c r="M34">
        <f t="shared" si="2"/>
        <v>0</v>
      </c>
      <c r="N34">
        <f t="shared" si="3"/>
        <v>0</v>
      </c>
      <c r="O34">
        <f t="shared" si="4"/>
        <v>1</v>
      </c>
      <c r="P34">
        <v>0.62335601474790836</v>
      </c>
      <c r="Q34">
        <f t="shared" si="5"/>
        <v>0</v>
      </c>
      <c r="R34">
        <f t="shared" si="6"/>
        <v>1</v>
      </c>
      <c r="S34">
        <f t="shared" si="7"/>
        <v>0</v>
      </c>
      <c r="T34">
        <f t="shared" si="8"/>
        <v>6931.2499999999982</v>
      </c>
      <c r="U34">
        <f t="shared" si="9"/>
        <v>-5302.7799999999979</v>
      </c>
    </row>
    <row r="35" spans="1:21" x14ac:dyDescent="0.3">
      <c r="A35">
        <v>34</v>
      </c>
      <c r="B35">
        <v>52</v>
      </c>
      <c r="C35" t="s">
        <v>16</v>
      </c>
      <c r="D35">
        <v>36.9</v>
      </c>
      <c r="E35">
        <v>81</v>
      </c>
      <c r="F35" t="s">
        <v>12</v>
      </c>
      <c r="G35">
        <v>0</v>
      </c>
      <c r="H35" t="s">
        <v>12</v>
      </c>
      <c r="I35" t="s">
        <v>13</v>
      </c>
      <c r="J35">
        <v>1629.83</v>
      </c>
      <c r="K35" t="str">
        <f t="shared" si="0"/>
        <v>35+</v>
      </c>
      <c r="L35">
        <f t="shared" si="1"/>
        <v>0</v>
      </c>
      <c r="M35">
        <f t="shared" si="2"/>
        <v>1</v>
      </c>
      <c r="N35">
        <f t="shared" si="3"/>
        <v>0</v>
      </c>
      <c r="O35">
        <f t="shared" si="4"/>
        <v>0</v>
      </c>
      <c r="P35">
        <v>0.39018158623880328</v>
      </c>
      <c r="Q35">
        <f t="shared" si="5"/>
        <v>0</v>
      </c>
      <c r="R35">
        <f t="shared" si="6"/>
        <v>0</v>
      </c>
      <c r="S35">
        <f t="shared" si="7"/>
        <v>1</v>
      </c>
      <c r="T35">
        <f t="shared" si="8"/>
        <v>5537.6900000000014</v>
      </c>
      <c r="U35">
        <f t="shared" si="9"/>
        <v>-3907.8600000000015</v>
      </c>
    </row>
    <row r="36" spans="1:21" x14ac:dyDescent="0.3">
      <c r="A36">
        <v>35</v>
      </c>
      <c r="B36">
        <v>43</v>
      </c>
      <c r="C36" t="s">
        <v>16</v>
      </c>
      <c r="D36">
        <v>38.200000000000003</v>
      </c>
      <c r="E36">
        <v>86</v>
      </c>
      <c r="F36" t="s">
        <v>11</v>
      </c>
      <c r="G36">
        <v>0</v>
      </c>
      <c r="H36" t="s">
        <v>12</v>
      </c>
      <c r="I36" t="s">
        <v>13</v>
      </c>
      <c r="J36">
        <v>1631.67</v>
      </c>
      <c r="K36" t="str">
        <f t="shared" si="0"/>
        <v>35+</v>
      </c>
      <c r="L36">
        <f t="shared" si="1"/>
        <v>0</v>
      </c>
      <c r="M36">
        <f t="shared" si="2"/>
        <v>1</v>
      </c>
      <c r="N36">
        <f t="shared" si="3"/>
        <v>0</v>
      </c>
      <c r="O36">
        <f t="shared" si="4"/>
        <v>0</v>
      </c>
      <c r="P36">
        <v>0.76892981538106642</v>
      </c>
      <c r="Q36">
        <f t="shared" si="5"/>
        <v>0</v>
      </c>
      <c r="R36">
        <f t="shared" si="6"/>
        <v>1</v>
      </c>
      <c r="S36">
        <f t="shared" si="7"/>
        <v>1</v>
      </c>
      <c r="T36">
        <f t="shared" si="8"/>
        <v>6389.25</v>
      </c>
      <c r="U36">
        <f t="shared" si="9"/>
        <v>-4757.58</v>
      </c>
    </row>
    <row r="37" spans="1:21" x14ac:dyDescent="0.3">
      <c r="A37">
        <v>36</v>
      </c>
      <c r="B37">
        <v>47</v>
      </c>
      <c r="C37" t="s">
        <v>16</v>
      </c>
      <c r="D37">
        <v>38.299999999999997</v>
      </c>
      <c r="E37">
        <v>93</v>
      </c>
      <c r="F37" t="s">
        <v>12</v>
      </c>
      <c r="G37">
        <v>0</v>
      </c>
      <c r="H37" t="s">
        <v>12</v>
      </c>
      <c r="I37" t="s">
        <v>13</v>
      </c>
      <c r="J37">
        <v>1631.82</v>
      </c>
      <c r="K37" t="str">
        <f t="shared" si="0"/>
        <v>35+</v>
      </c>
      <c r="L37">
        <f t="shared" si="1"/>
        <v>0</v>
      </c>
      <c r="M37">
        <f t="shared" si="2"/>
        <v>1</v>
      </c>
      <c r="N37">
        <f t="shared" si="3"/>
        <v>0</v>
      </c>
      <c r="O37">
        <f t="shared" si="4"/>
        <v>0</v>
      </c>
      <c r="P37">
        <v>0.72533094223550898</v>
      </c>
      <c r="Q37">
        <f t="shared" si="5"/>
        <v>0</v>
      </c>
      <c r="R37">
        <f t="shared" si="6"/>
        <v>0</v>
      </c>
      <c r="S37">
        <f t="shared" si="7"/>
        <v>1</v>
      </c>
      <c r="T37">
        <f t="shared" si="8"/>
        <v>7578.8700000000017</v>
      </c>
      <c r="U37">
        <f t="shared" si="9"/>
        <v>-5947.050000000002</v>
      </c>
    </row>
    <row r="38" spans="1:21" x14ac:dyDescent="0.3">
      <c r="A38">
        <v>37</v>
      </c>
      <c r="B38">
        <v>48</v>
      </c>
      <c r="C38" t="s">
        <v>10</v>
      </c>
      <c r="D38">
        <v>25.2</v>
      </c>
      <c r="E38">
        <v>98</v>
      </c>
      <c r="F38" t="s">
        <v>12</v>
      </c>
      <c r="G38">
        <v>0</v>
      </c>
      <c r="H38" t="s">
        <v>12</v>
      </c>
      <c r="I38" t="s">
        <v>14</v>
      </c>
      <c r="J38">
        <v>1632.04</v>
      </c>
      <c r="K38" t="str">
        <f t="shared" si="0"/>
        <v>25-30</v>
      </c>
      <c r="L38">
        <f t="shared" si="1"/>
        <v>0</v>
      </c>
      <c r="M38">
        <f t="shared" si="2"/>
        <v>0</v>
      </c>
      <c r="N38">
        <f t="shared" si="3"/>
        <v>0</v>
      </c>
      <c r="O38">
        <f t="shared" si="4"/>
        <v>1</v>
      </c>
      <c r="P38">
        <v>2.3809640965968604E-2</v>
      </c>
      <c r="Q38">
        <f t="shared" si="5"/>
        <v>0</v>
      </c>
      <c r="R38">
        <f t="shared" si="6"/>
        <v>0</v>
      </c>
      <c r="S38">
        <f t="shared" si="7"/>
        <v>0</v>
      </c>
      <c r="T38">
        <f t="shared" si="8"/>
        <v>7507.2300000000005</v>
      </c>
      <c r="U38">
        <f t="shared" si="9"/>
        <v>-5875.1900000000005</v>
      </c>
    </row>
    <row r="39" spans="1:21" x14ac:dyDescent="0.3">
      <c r="A39">
        <v>38</v>
      </c>
      <c r="B39">
        <v>34</v>
      </c>
      <c r="C39" t="s">
        <v>10</v>
      </c>
      <c r="D39">
        <v>25.6</v>
      </c>
      <c r="E39">
        <v>83</v>
      </c>
      <c r="F39" t="s">
        <v>12</v>
      </c>
      <c r="G39">
        <v>0</v>
      </c>
      <c r="H39" t="s">
        <v>12</v>
      </c>
      <c r="I39" t="s">
        <v>14</v>
      </c>
      <c r="J39">
        <v>1632.56</v>
      </c>
      <c r="K39" t="str">
        <f t="shared" si="0"/>
        <v>25-30</v>
      </c>
      <c r="L39">
        <f t="shared" si="1"/>
        <v>0</v>
      </c>
      <c r="M39">
        <f t="shared" si="2"/>
        <v>0</v>
      </c>
      <c r="N39">
        <f t="shared" si="3"/>
        <v>0</v>
      </c>
      <c r="O39">
        <f t="shared" si="4"/>
        <v>1</v>
      </c>
      <c r="P39">
        <v>0.49045245221418643</v>
      </c>
      <c r="Q39">
        <f t="shared" si="5"/>
        <v>0</v>
      </c>
      <c r="R39">
        <f t="shared" si="6"/>
        <v>0</v>
      </c>
      <c r="S39">
        <f t="shared" si="7"/>
        <v>0</v>
      </c>
      <c r="T39">
        <f t="shared" si="8"/>
        <v>5165.5000000000009</v>
      </c>
      <c r="U39">
        <f t="shared" si="9"/>
        <v>-3532.940000000001</v>
      </c>
    </row>
    <row r="40" spans="1:21" x14ac:dyDescent="0.3">
      <c r="A40">
        <v>39</v>
      </c>
      <c r="B40">
        <v>28</v>
      </c>
      <c r="C40" t="s">
        <v>16</v>
      </c>
      <c r="D40">
        <v>39.200000000000003</v>
      </c>
      <c r="E40">
        <v>87</v>
      </c>
      <c r="F40" t="s">
        <v>12</v>
      </c>
      <c r="G40">
        <v>0</v>
      </c>
      <c r="H40" t="s">
        <v>12</v>
      </c>
      <c r="I40" t="s">
        <v>13</v>
      </c>
      <c r="J40">
        <v>1633.04</v>
      </c>
      <c r="K40" t="str">
        <f t="shared" si="0"/>
        <v>35+</v>
      </c>
      <c r="L40">
        <f t="shared" si="1"/>
        <v>0</v>
      </c>
      <c r="M40">
        <f t="shared" si="2"/>
        <v>1</v>
      </c>
      <c r="N40">
        <f t="shared" si="3"/>
        <v>0</v>
      </c>
      <c r="O40">
        <f t="shared" si="4"/>
        <v>0</v>
      </c>
      <c r="P40">
        <v>0.20756277816126811</v>
      </c>
      <c r="Q40">
        <f t="shared" si="5"/>
        <v>0</v>
      </c>
      <c r="R40">
        <f t="shared" si="6"/>
        <v>0</v>
      </c>
      <c r="S40">
        <f t="shared" si="7"/>
        <v>1</v>
      </c>
      <c r="T40">
        <f t="shared" si="8"/>
        <v>6722.6000000000013</v>
      </c>
      <c r="U40">
        <f t="shared" si="9"/>
        <v>-5089.5600000000013</v>
      </c>
    </row>
    <row r="41" spans="1:21" x14ac:dyDescent="0.3">
      <c r="A41">
        <v>40</v>
      </c>
      <c r="B41">
        <v>49</v>
      </c>
      <c r="C41" t="s">
        <v>16</v>
      </c>
      <c r="D41">
        <v>39.799999999999997</v>
      </c>
      <c r="E41">
        <v>100</v>
      </c>
      <c r="F41" t="s">
        <v>11</v>
      </c>
      <c r="G41">
        <v>0</v>
      </c>
      <c r="H41" t="s">
        <v>12</v>
      </c>
      <c r="I41" t="s">
        <v>13</v>
      </c>
      <c r="J41">
        <v>1633.96</v>
      </c>
      <c r="K41" t="str">
        <f t="shared" si="0"/>
        <v>35+</v>
      </c>
      <c r="L41">
        <f t="shared" si="1"/>
        <v>0</v>
      </c>
      <c r="M41">
        <f t="shared" si="2"/>
        <v>1</v>
      </c>
      <c r="N41">
        <f t="shared" si="3"/>
        <v>0</v>
      </c>
      <c r="O41">
        <f t="shared" si="4"/>
        <v>0</v>
      </c>
      <c r="P41">
        <v>0.59708051709477061</v>
      </c>
      <c r="Q41">
        <f t="shared" si="5"/>
        <v>0</v>
      </c>
      <c r="R41">
        <f t="shared" si="6"/>
        <v>1</v>
      </c>
      <c r="S41">
        <f t="shared" si="7"/>
        <v>1</v>
      </c>
      <c r="T41">
        <f t="shared" si="8"/>
        <v>8752.630000000001</v>
      </c>
      <c r="U41">
        <f t="shared" si="9"/>
        <v>-7118.670000000001</v>
      </c>
    </row>
    <row r="42" spans="1:21" x14ac:dyDescent="0.3">
      <c r="A42">
        <v>41</v>
      </c>
      <c r="B42">
        <v>29</v>
      </c>
      <c r="C42" t="s">
        <v>16</v>
      </c>
      <c r="D42">
        <v>40.299999999999997</v>
      </c>
      <c r="E42">
        <v>94</v>
      </c>
      <c r="F42" t="s">
        <v>12</v>
      </c>
      <c r="G42">
        <v>0</v>
      </c>
      <c r="H42" t="s">
        <v>12</v>
      </c>
      <c r="I42" t="s">
        <v>13</v>
      </c>
      <c r="J42">
        <v>1634.57</v>
      </c>
      <c r="K42" t="str">
        <f t="shared" si="0"/>
        <v>35+</v>
      </c>
      <c r="L42">
        <f t="shared" si="1"/>
        <v>0</v>
      </c>
      <c r="M42">
        <f t="shared" si="2"/>
        <v>1</v>
      </c>
      <c r="N42">
        <f t="shared" si="3"/>
        <v>0</v>
      </c>
      <c r="O42">
        <f t="shared" si="4"/>
        <v>0</v>
      </c>
      <c r="P42">
        <v>0.57223510441098124</v>
      </c>
      <c r="Q42">
        <f t="shared" si="5"/>
        <v>0</v>
      </c>
      <c r="R42">
        <f t="shared" si="6"/>
        <v>0</v>
      </c>
      <c r="S42">
        <f t="shared" si="7"/>
        <v>1</v>
      </c>
      <c r="T42">
        <f t="shared" si="8"/>
        <v>7932.5000000000009</v>
      </c>
      <c r="U42">
        <f t="shared" si="9"/>
        <v>-6297.9300000000012</v>
      </c>
    </row>
    <row r="43" spans="1:21" x14ac:dyDescent="0.3">
      <c r="A43">
        <v>42</v>
      </c>
      <c r="B43">
        <v>18</v>
      </c>
      <c r="C43" t="s">
        <v>10</v>
      </c>
      <c r="D43">
        <v>27.8</v>
      </c>
      <c r="E43">
        <v>93</v>
      </c>
      <c r="F43" t="s">
        <v>12</v>
      </c>
      <c r="G43">
        <v>0</v>
      </c>
      <c r="H43" t="s">
        <v>12</v>
      </c>
      <c r="I43" t="s">
        <v>14</v>
      </c>
      <c r="J43">
        <v>1635.73</v>
      </c>
      <c r="K43" t="str">
        <f t="shared" si="0"/>
        <v>25-30</v>
      </c>
      <c r="L43">
        <f t="shared" si="1"/>
        <v>0</v>
      </c>
      <c r="M43">
        <f t="shared" si="2"/>
        <v>0</v>
      </c>
      <c r="N43">
        <f t="shared" si="3"/>
        <v>0</v>
      </c>
      <c r="O43">
        <f t="shared" si="4"/>
        <v>1</v>
      </c>
      <c r="P43">
        <v>0.68730976727114468</v>
      </c>
      <c r="Q43">
        <f t="shared" si="5"/>
        <v>0</v>
      </c>
      <c r="R43">
        <f t="shared" si="6"/>
        <v>0</v>
      </c>
      <c r="S43">
        <f t="shared" si="7"/>
        <v>0</v>
      </c>
      <c r="T43">
        <f t="shared" si="8"/>
        <v>6969.9800000000005</v>
      </c>
      <c r="U43">
        <f t="shared" si="9"/>
        <v>-5334.25</v>
      </c>
    </row>
    <row r="44" spans="1:21" x14ac:dyDescent="0.3">
      <c r="A44">
        <v>43</v>
      </c>
      <c r="B44">
        <v>32</v>
      </c>
      <c r="C44" t="s">
        <v>10</v>
      </c>
      <c r="D44">
        <v>30.6</v>
      </c>
      <c r="E44">
        <v>93</v>
      </c>
      <c r="F44" t="s">
        <v>12</v>
      </c>
      <c r="G44">
        <v>0</v>
      </c>
      <c r="H44" t="s">
        <v>12</v>
      </c>
      <c r="I44" t="s">
        <v>14</v>
      </c>
      <c r="J44">
        <v>1639.56</v>
      </c>
      <c r="K44" t="str">
        <f t="shared" si="0"/>
        <v>30-35</v>
      </c>
      <c r="L44">
        <f t="shared" si="1"/>
        <v>0</v>
      </c>
      <c r="M44">
        <f t="shared" si="2"/>
        <v>0</v>
      </c>
      <c r="N44">
        <f t="shared" si="3"/>
        <v>0</v>
      </c>
      <c r="O44">
        <f t="shared" si="4"/>
        <v>1</v>
      </c>
      <c r="P44">
        <v>0.42033475161408984</v>
      </c>
      <c r="Q44">
        <f t="shared" si="5"/>
        <v>0</v>
      </c>
      <c r="R44">
        <f t="shared" si="6"/>
        <v>0</v>
      </c>
      <c r="S44">
        <f t="shared" si="7"/>
        <v>0</v>
      </c>
      <c r="T44">
        <f t="shared" si="8"/>
        <v>7191.46</v>
      </c>
      <c r="U44">
        <f t="shared" si="9"/>
        <v>-5551.9</v>
      </c>
    </row>
    <row r="45" spans="1:21" x14ac:dyDescent="0.3">
      <c r="A45">
        <v>44</v>
      </c>
      <c r="B45">
        <v>44</v>
      </c>
      <c r="C45" t="s">
        <v>10</v>
      </c>
      <c r="D45">
        <v>30.6</v>
      </c>
      <c r="E45">
        <v>82</v>
      </c>
      <c r="F45" t="s">
        <v>12</v>
      </c>
      <c r="G45">
        <v>0</v>
      </c>
      <c r="H45" t="s">
        <v>12</v>
      </c>
      <c r="I45" t="s">
        <v>14</v>
      </c>
      <c r="J45">
        <v>1639.56</v>
      </c>
      <c r="K45" t="str">
        <f t="shared" si="0"/>
        <v>30-35</v>
      </c>
      <c r="L45">
        <f t="shared" si="1"/>
        <v>0</v>
      </c>
      <c r="M45">
        <f t="shared" si="2"/>
        <v>0</v>
      </c>
      <c r="N45">
        <f t="shared" si="3"/>
        <v>0</v>
      </c>
      <c r="O45">
        <f t="shared" si="4"/>
        <v>1</v>
      </c>
      <c r="P45">
        <v>0.15481899971970836</v>
      </c>
      <c r="Q45">
        <f t="shared" si="5"/>
        <v>0</v>
      </c>
      <c r="R45">
        <f t="shared" si="6"/>
        <v>0</v>
      </c>
      <c r="S45">
        <f t="shared" si="7"/>
        <v>0</v>
      </c>
      <c r="T45">
        <f t="shared" si="8"/>
        <v>5420.6100000000015</v>
      </c>
      <c r="U45">
        <f t="shared" si="9"/>
        <v>-3781.0500000000015</v>
      </c>
    </row>
    <row r="46" spans="1:21" x14ac:dyDescent="0.3">
      <c r="A46">
        <v>45</v>
      </c>
      <c r="B46">
        <v>37</v>
      </c>
      <c r="C46" t="s">
        <v>10</v>
      </c>
      <c r="D46">
        <v>35.5</v>
      </c>
      <c r="E46">
        <v>91</v>
      </c>
      <c r="F46" t="s">
        <v>12</v>
      </c>
      <c r="G46">
        <v>0</v>
      </c>
      <c r="H46" t="s">
        <v>12</v>
      </c>
      <c r="I46" t="s">
        <v>14</v>
      </c>
      <c r="J46">
        <v>1646.43</v>
      </c>
      <c r="K46" t="str">
        <f t="shared" si="0"/>
        <v>35+</v>
      </c>
      <c r="L46">
        <f t="shared" si="1"/>
        <v>0</v>
      </c>
      <c r="M46">
        <f t="shared" si="2"/>
        <v>0</v>
      </c>
      <c r="N46">
        <f t="shared" si="3"/>
        <v>0</v>
      </c>
      <c r="O46">
        <f t="shared" si="4"/>
        <v>1</v>
      </c>
      <c r="P46">
        <v>5.9356092489473045E-2</v>
      </c>
      <c r="Q46">
        <f t="shared" si="5"/>
        <v>0</v>
      </c>
      <c r="R46">
        <f t="shared" si="6"/>
        <v>0</v>
      </c>
      <c r="S46">
        <f t="shared" si="7"/>
        <v>0</v>
      </c>
      <c r="T46">
        <f t="shared" si="8"/>
        <v>7284.8300000000008</v>
      </c>
      <c r="U46">
        <f t="shared" si="9"/>
        <v>-5638.4000000000005</v>
      </c>
    </row>
    <row r="47" spans="1:21" x14ac:dyDescent="0.3">
      <c r="A47">
        <v>46</v>
      </c>
      <c r="B47">
        <v>29</v>
      </c>
      <c r="C47" t="s">
        <v>10</v>
      </c>
      <c r="D47">
        <v>26.8</v>
      </c>
      <c r="E47">
        <v>94</v>
      </c>
      <c r="F47" t="s">
        <v>11</v>
      </c>
      <c r="G47">
        <v>0</v>
      </c>
      <c r="H47" t="s">
        <v>12</v>
      </c>
      <c r="I47" t="s">
        <v>13</v>
      </c>
      <c r="J47">
        <v>1665</v>
      </c>
      <c r="K47" t="str">
        <f t="shared" si="0"/>
        <v>25-30</v>
      </c>
      <c r="L47">
        <f t="shared" si="1"/>
        <v>0</v>
      </c>
      <c r="M47">
        <f t="shared" si="2"/>
        <v>1</v>
      </c>
      <c r="N47">
        <f t="shared" si="3"/>
        <v>0</v>
      </c>
      <c r="O47">
        <f t="shared" si="4"/>
        <v>0</v>
      </c>
      <c r="P47">
        <v>0.88212104746881592</v>
      </c>
      <c r="Q47">
        <f t="shared" si="5"/>
        <v>0</v>
      </c>
      <c r="R47">
        <f t="shared" si="6"/>
        <v>1</v>
      </c>
      <c r="S47">
        <f t="shared" si="7"/>
        <v>0</v>
      </c>
      <c r="T47">
        <f t="shared" si="8"/>
        <v>6264.2400000000007</v>
      </c>
      <c r="U47">
        <f t="shared" si="9"/>
        <v>-4599.2400000000007</v>
      </c>
    </row>
    <row r="48" spans="1:21" x14ac:dyDescent="0.3">
      <c r="A48">
        <v>47</v>
      </c>
      <c r="B48">
        <v>24</v>
      </c>
      <c r="C48" t="s">
        <v>10</v>
      </c>
      <c r="D48">
        <v>33.799999999999997</v>
      </c>
      <c r="E48">
        <v>89</v>
      </c>
      <c r="F48" t="s">
        <v>12</v>
      </c>
      <c r="G48">
        <v>0</v>
      </c>
      <c r="H48" t="s">
        <v>12</v>
      </c>
      <c r="I48" t="s">
        <v>13</v>
      </c>
      <c r="J48">
        <v>1674.63</v>
      </c>
      <c r="K48" t="str">
        <f t="shared" si="0"/>
        <v>30-35</v>
      </c>
      <c r="L48">
        <f t="shared" si="1"/>
        <v>0</v>
      </c>
      <c r="M48">
        <f t="shared" si="2"/>
        <v>1</v>
      </c>
      <c r="N48">
        <f t="shared" si="3"/>
        <v>0</v>
      </c>
      <c r="O48">
        <f t="shared" si="4"/>
        <v>0</v>
      </c>
      <c r="P48">
        <v>0.18161570078189326</v>
      </c>
      <c r="Q48">
        <f t="shared" si="5"/>
        <v>0</v>
      </c>
      <c r="R48">
        <f t="shared" si="6"/>
        <v>0</v>
      </c>
      <c r="S48">
        <f t="shared" si="7"/>
        <v>0</v>
      </c>
      <c r="T48">
        <f t="shared" si="8"/>
        <v>6140.25</v>
      </c>
      <c r="U48">
        <f t="shared" si="9"/>
        <v>-4465.62</v>
      </c>
    </row>
    <row r="49" spans="1:21" x14ac:dyDescent="0.3">
      <c r="A49">
        <v>48</v>
      </c>
      <c r="B49">
        <v>31</v>
      </c>
      <c r="C49" t="s">
        <v>10</v>
      </c>
      <c r="D49">
        <v>39.5</v>
      </c>
      <c r="E49">
        <v>80</v>
      </c>
      <c r="F49" t="s">
        <v>11</v>
      </c>
      <c r="G49">
        <v>0</v>
      </c>
      <c r="H49" t="s">
        <v>12</v>
      </c>
      <c r="I49" t="s">
        <v>15</v>
      </c>
      <c r="J49">
        <v>1682.6</v>
      </c>
      <c r="K49" t="str">
        <f t="shared" si="0"/>
        <v>35+</v>
      </c>
      <c r="L49">
        <f t="shared" si="1"/>
        <v>0</v>
      </c>
      <c r="M49">
        <f t="shared" si="2"/>
        <v>0</v>
      </c>
      <c r="N49">
        <f t="shared" si="3"/>
        <v>1</v>
      </c>
      <c r="O49">
        <f t="shared" si="4"/>
        <v>0</v>
      </c>
      <c r="P49">
        <v>0.12901430822825621</v>
      </c>
      <c r="Q49">
        <f t="shared" si="5"/>
        <v>0</v>
      </c>
      <c r="R49">
        <f t="shared" si="6"/>
        <v>1</v>
      </c>
      <c r="S49">
        <f t="shared" si="7"/>
        <v>0</v>
      </c>
      <c r="T49">
        <f t="shared" si="8"/>
        <v>5801.89</v>
      </c>
      <c r="U49">
        <f t="shared" si="9"/>
        <v>-4119.2900000000009</v>
      </c>
    </row>
    <row r="50" spans="1:21" x14ac:dyDescent="0.3">
      <c r="A50">
        <v>49</v>
      </c>
      <c r="B50">
        <v>34</v>
      </c>
      <c r="C50" t="s">
        <v>10</v>
      </c>
      <c r="D50">
        <v>16</v>
      </c>
      <c r="E50">
        <v>83</v>
      </c>
      <c r="F50" t="s">
        <v>12</v>
      </c>
      <c r="G50">
        <v>0</v>
      </c>
      <c r="H50" t="s">
        <v>12</v>
      </c>
      <c r="I50" t="s">
        <v>17</v>
      </c>
      <c r="J50">
        <v>1694.8</v>
      </c>
      <c r="K50" t="str">
        <f t="shared" si="0"/>
        <v>&lt;20</v>
      </c>
      <c r="L50">
        <f t="shared" si="1"/>
        <v>0</v>
      </c>
      <c r="M50">
        <f t="shared" si="2"/>
        <v>0</v>
      </c>
      <c r="N50">
        <f t="shared" si="3"/>
        <v>0</v>
      </c>
      <c r="O50">
        <f t="shared" si="4"/>
        <v>0</v>
      </c>
      <c r="P50">
        <v>0.97801132014736636</v>
      </c>
      <c r="Q50">
        <f t="shared" si="5"/>
        <v>0</v>
      </c>
      <c r="R50">
        <f t="shared" si="6"/>
        <v>0</v>
      </c>
      <c r="S50">
        <f t="shared" si="7"/>
        <v>0</v>
      </c>
      <c r="T50">
        <f t="shared" si="8"/>
        <v>7292.7400000000007</v>
      </c>
      <c r="U50">
        <f t="shared" si="9"/>
        <v>-5597.9400000000005</v>
      </c>
    </row>
    <row r="51" spans="1:21" x14ac:dyDescent="0.3">
      <c r="A51">
        <v>50</v>
      </c>
      <c r="B51">
        <v>30</v>
      </c>
      <c r="C51" t="s">
        <v>10</v>
      </c>
      <c r="D51">
        <v>21.5</v>
      </c>
      <c r="E51">
        <v>83</v>
      </c>
      <c r="F51" t="s">
        <v>11</v>
      </c>
      <c r="G51">
        <v>0</v>
      </c>
      <c r="H51" t="s">
        <v>12</v>
      </c>
      <c r="I51" t="s">
        <v>17</v>
      </c>
      <c r="J51">
        <v>1702.46</v>
      </c>
      <c r="K51" t="str">
        <f t="shared" si="0"/>
        <v>20-25</v>
      </c>
      <c r="L51">
        <f t="shared" si="1"/>
        <v>0</v>
      </c>
      <c r="M51">
        <f t="shared" si="2"/>
        <v>0</v>
      </c>
      <c r="N51">
        <f t="shared" si="3"/>
        <v>0</v>
      </c>
      <c r="O51">
        <f t="shared" si="4"/>
        <v>0</v>
      </c>
      <c r="P51">
        <v>0.39701724423456686</v>
      </c>
      <c r="Q51">
        <f t="shared" si="5"/>
        <v>0</v>
      </c>
      <c r="R51">
        <f t="shared" si="6"/>
        <v>1</v>
      </c>
      <c r="S51">
        <f t="shared" si="7"/>
        <v>0</v>
      </c>
      <c r="T51">
        <f t="shared" si="8"/>
        <v>7699.0500000000011</v>
      </c>
      <c r="U51">
        <f t="shared" si="9"/>
        <v>-5996.5900000000011</v>
      </c>
    </row>
    <row r="52" spans="1:21" x14ac:dyDescent="0.3">
      <c r="A52">
        <v>51</v>
      </c>
      <c r="B52">
        <v>45</v>
      </c>
      <c r="C52" t="s">
        <v>10</v>
      </c>
      <c r="D52">
        <v>23</v>
      </c>
      <c r="E52">
        <v>81</v>
      </c>
      <c r="F52" t="s">
        <v>11</v>
      </c>
      <c r="G52">
        <v>0</v>
      </c>
      <c r="H52" t="s">
        <v>12</v>
      </c>
      <c r="I52" t="s">
        <v>17</v>
      </c>
      <c r="J52">
        <v>1704.57</v>
      </c>
      <c r="K52" t="str">
        <f t="shared" si="0"/>
        <v>20-25</v>
      </c>
      <c r="L52">
        <f t="shared" si="1"/>
        <v>0</v>
      </c>
      <c r="M52">
        <f t="shared" si="2"/>
        <v>0</v>
      </c>
      <c r="N52">
        <f t="shared" si="3"/>
        <v>0</v>
      </c>
      <c r="O52">
        <f t="shared" si="4"/>
        <v>0</v>
      </c>
      <c r="P52">
        <v>0.26083144871018193</v>
      </c>
      <c r="Q52">
        <f t="shared" si="5"/>
        <v>0</v>
      </c>
      <c r="R52">
        <f t="shared" si="6"/>
        <v>1</v>
      </c>
      <c r="S52">
        <f t="shared" si="7"/>
        <v>0</v>
      </c>
      <c r="T52">
        <f t="shared" si="8"/>
        <v>7488.92</v>
      </c>
      <c r="U52">
        <f t="shared" si="9"/>
        <v>-5784.35</v>
      </c>
    </row>
    <row r="53" spans="1:21" x14ac:dyDescent="0.3">
      <c r="A53">
        <v>52</v>
      </c>
      <c r="B53">
        <v>31</v>
      </c>
      <c r="C53" t="s">
        <v>10</v>
      </c>
      <c r="D53">
        <v>23.1</v>
      </c>
      <c r="E53">
        <v>81</v>
      </c>
      <c r="F53" t="s">
        <v>11</v>
      </c>
      <c r="G53">
        <v>0</v>
      </c>
      <c r="H53" t="s">
        <v>12</v>
      </c>
      <c r="I53" t="s">
        <v>14</v>
      </c>
      <c r="J53">
        <v>1704.7</v>
      </c>
      <c r="K53" t="str">
        <f t="shared" si="0"/>
        <v>20-25</v>
      </c>
      <c r="L53">
        <f t="shared" si="1"/>
        <v>0</v>
      </c>
      <c r="M53">
        <f t="shared" si="2"/>
        <v>0</v>
      </c>
      <c r="N53">
        <f t="shared" si="3"/>
        <v>0</v>
      </c>
      <c r="O53">
        <f t="shared" si="4"/>
        <v>1</v>
      </c>
      <c r="P53">
        <v>0.68288004602540664</v>
      </c>
      <c r="Q53">
        <f t="shared" si="5"/>
        <v>0</v>
      </c>
      <c r="R53">
        <f t="shared" si="6"/>
        <v>1</v>
      </c>
      <c r="S53">
        <f t="shared" si="7"/>
        <v>0</v>
      </c>
      <c r="T53">
        <f t="shared" si="8"/>
        <v>4567.3500000000004</v>
      </c>
      <c r="U53">
        <f t="shared" si="9"/>
        <v>-2862.6500000000005</v>
      </c>
    </row>
    <row r="54" spans="1:21" x14ac:dyDescent="0.3">
      <c r="A54">
        <v>53</v>
      </c>
      <c r="B54">
        <v>30</v>
      </c>
      <c r="C54" t="s">
        <v>10</v>
      </c>
      <c r="D54">
        <v>23.8</v>
      </c>
      <c r="E54">
        <v>91</v>
      </c>
      <c r="F54" t="s">
        <v>11</v>
      </c>
      <c r="G54">
        <v>0</v>
      </c>
      <c r="H54" t="s">
        <v>12</v>
      </c>
      <c r="I54" t="s">
        <v>14</v>
      </c>
      <c r="J54">
        <v>1705.62</v>
      </c>
      <c r="K54" t="str">
        <f t="shared" si="0"/>
        <v>20-25</v>
      </c>
      <c r="L54">
        <f t="shared" si="1"/>
        <v>0</v>
      </c>
      <c r="M54">
        <f t="shared" si="2"/>
        <v>0</v>
      </c>
      <c r="N54">
        <f t="shared" si="3"/>
        <v>0</v>
      </c>
      <c r="O54">
        <f t="shared" si="4"/>
        <v>1</v>
      </c>
      <c r="P54">
        <v>0.35218364411163128</v>
      </c>
      <c r="Q54">
        <f t="shared" si="5"/>
        <v>0</v>
      </c>
      <c r="R54">
        <f t="shared" si="6"/>
        <v>1</v>
      </c>
      <c r="S54">
        <f t="shared" si="7"/>
        <v>0</v>
      </c>
      <c r="T54">
        <f t="shared" si="8"/>
        <v>6224.380000000001</v>
      </c>
      <c r="U54">
        <f t="shared" si="9"/>
        <v>-4518.7600000000011</v>
      </c>
    </row>
    <row r="55" spans="1:21" x14ac:dyDescent="0.3">
      <c r="A55">
        <v>54</v>
      </c>
      <c r="B55">
        <v>34</v>
      </c>
      <c r="C55" t="s">
        <v>10</v>
      </c>
      <c r="D55">
        <v>25.5</v>
      </c>
      <c r="E55">
        <v>82</v>
      </c>
      <c r="F55" t="s">
        <v>11</v>
      </c>
      <c r="G55">
        <v>0</v>
      </c>
      <c r="H55" t="s">
        <v>12</v>
      </c>
      <c r="I55" t="s">
        <v>14</v>
      </c>
      <c r="J55">
        <v>1708</v>
      </c>
      <c r="K55" t="str">
        <f t="shared" si="0"/>
        <v>25-30</v>
      </c>
      <c r="L55">
        <f t="shared" si="1"/>
        <v>0</v>
      </c>
      <c r="M55">
        <f t="shared" si="2"/>
        <v>0</v>
      </c>
      <c r="N55">
        <f t="shared" si="3"/>
        <v>0</v>
      </c>
      <c r="O55">
        <f t="shared" si="4"/>
        <v>1</v>
      </c>
      <c r="P55">
        <v>0.16914178108958622</v>
      </c>
      <c r="Q55">
        <f t="shared" si="5"/>
        <v>0</v>
      </c>
      <c r="R55">
        <f t="shared" si="6"/>
        <v>1</v>
      </c>
      <c r="S55">
        <f t="shared" si="7"/>
        <v>0</v>
      </c>
      <c r="T55">
        <f t="shared" si="8"/>
        <v>4928.3</v>
      </c>
      <c r="U55">
        <f t="shared" si="9"/>
        <v>-3220.3</v>
      </c>
    </row>
    <row r="56" spans="1:21" x14ac:dyDescent="0.3">
      <c r="A56">
        <v>55</v>
      </c>
      <c r="B56">
        <v>21</v>
      </c>
      <c r="C56" t="s">
        <v>10</v>
      </c>
      <c r="D56">
        <v>26.1</v>
      </c>
      <c r="E56">
        <v>87</v>
      </c>
      <c r="F56" t="s">
        <v>11</v>
      </c>
      <c r="G56">
        <v>0</v>
      </c>
      <c r="H56" t="s">
        <v>12</v>
      </c>
      <c r="I56" t="s">
        <v>14</v>
      </c>
      <c r="J56">
        <v>1708.93</v>
      </c>
      <c r="K56" t="str">
        <f t="shared" si="0"/>
        <v>25-30</v>
      </c>
      <c r="L56">
        <f t="shared" si="1"/>
        <v>0</v>
      </c>
      <c r="M56">
        <f t="shared" si="2"/>
        <v>0</v>
      </c>
      <c r="N56">
        <f t="shared" si="3"/>
        <v>0</v>
      </c>
      <c r="O56">
        <f t="shared" si="4"/>
        <v>1</v>
      </c>
      <c r="P56">
        <v>0.95388723598794822</v>
      </c>
      <c r="Q56">
        <f t="shared" si="5"/>
        <v>0</v>
      </c>
      <c r="R56">
        <f t="shared" si="6"/>
        <v>1</v>
      </c>
      <c r="S56">
        <f t="shared" si="7"/>
        <v>0</v>
      </c>
      <c r="T56">
        <f t="shared" si="8"/>
        <v>5794.1900000000005</v>
      </c>
      <c r="U56">
        <f t="shared" si="9"/>
        <v>-4085.26</v>
      </c>
    </row>
    <row r="57" spans="1:21" x14ac:dyDescent="0.3">
      <c r="A57">
        <v>56</v>
      </c>
      <c r="B57">
        <v>21</v>
      </c>
      <c r="C57" t="s">
        <v>10</v>
      </c>
      <c r="D57">
        <v>23.3</v>
      </c>
      <c r="E57">
        <v>80</v>
      </c>
      <c r="F57" t="s">
        <v>11</v>
      </c>
      <c r="G57">
        <v>1</v>
      </c>
      <c r="H57" t="s">
        <v>12</v>
      </c>
      <c r="I57" t="s">
        <v>14</v>
      </c>
      <c r="J57">
        <v>1711.03</v>
      </c>
      <c r="K57" t="str">
        <f t="shared" si="0"/>
        <v>20-25</v>
      </c>
      <c r="L57">
        <f t="shared" si="1"/>
        <v>0</v>
      </c>
      <c r="M57">
        <f t="shared" si="2"/>
        <v>0</v>
      </c>
      <c r="N57">
        <f t="shared" si="3"/>
        <v>0</v>
      </c>
      <c r="O57">
        <f t="shared" si="4"/>
        <v>1</v>
      </c>
      <c r="P57">
        <v>0.98976128588657486</v>
      </c>
      <c r="Q57">
        <f t="shared" si="5"/>
        <v>0</v>
      </c>
      <c r="R57">
        <f t="shared" si="6"/>
        <v>1</v>
      </c>
      <c r="S57">
        <f t="shared" si="7"/>
        <v>0</v>
      </c>
      <c r="T57">
        <f t="shared" si="8"/>
        <v>5175.8999999999996</v>
      </c>
      <c r="U57">
        <f t="shared" si="9"/>
        <v>-3464.87</v>
      </c>
    </row>
    <row r="58" spans="1:21" x14ac:dyDescent="0.3">
      <c r="A58">
        <v>57</v>
      </c>
      <c r="B58">
        <v>23</v>
      </c>
      <c r="C58" t="s">
        <v>10</v>
      </c>
      <c r="D58">
        <v>28.5</v>
      </c>
      <c r="E58">
        <v>88</v>
      </c>
      <c r="F58" t="s">
        <v>11</v>
      </c>
      <c r="G58">
        <v>0</v>
      </c>
      <c r="H58" t="s">
        <v>12</v>
      </c>
      <c r="I58" t="s">
        <v>14</v>
      </c>
      <c r="J58">
        <v>1712.23</v>
      </c>
      <c r="K58" t="str">
        <f t="shared" si="0"/>
        <v>25-30</v>
      </c>
      <c r="L58">
        <f t="shared" si="1"/>
        <v>0</v>
      </c>
      <c r="M58">
        <f t="shared" si="2"/>
        <v>0</v>
      </c>
      <c r="N58">
        <f t="shared" si="3"/>
        <v>0</v>
      </c>
      <c r="O58">
        <f t="shared" si="4"/>
        <v>1</v>
      </c>
      <c r="P58">
        <v>0.87049889303227812</v>
      </c>
      <c r="Q58">
        <f t="shared" si="5"/>
        <v>0</v>
      </c>
      <c r="R58">
        <f t="shared" si="6"/>
        <v>1</v>
      </c>
      <c r="S58">
        <f t="shared" si="7"/>
        <v>0</v>
      </c>
      <c r="T58">
        <f t="shared" si="8"/>
        <v>6156.42</v>
      </c>
      <c r="U58">
        <f t="shared" si="9"/>
        <v>-4444.1900000000005</v>
      </c>
    </row>
    <row r="59" spans="1:21" x14ac:dyDescent="0.3">
      <c r="A59">
        <v>58</v>
      </c>
      <c r="B59">
        <v>32</v>
      </c>
      <c r="C59" t="s">
        <v>10</v>
      </c>
      <c r="D59">
        <v>29.4</v>
      </c>
      <c r="E59">
        <v>97</v>
      </c>
      <c r="F59" t="s">
        <v>12</v>
      </c>
      <c r="G59">
        <v>1</v>
      </c>
      <c r="H59" t="s">
        <v>12</v>
      </c>
      <c r="I59" t="s">
        <v>13</v>
      </c>
      <c r="J59">
        <v>1719.44</v>
      </c>
      <c r="K59" t="str">
        <f t="shared" si="0"/>
        <v>25-30</v>
      </c>
      <c r="L59">
        <f t="shared" si="1"/>
        <v>0</v>
      </c>
      <c r="M59">
        <f t="shared" si="2"/>
        <v>1</v>
      </c>
      <c r="N59">
        <f t="shared" si="3"/>
        <v>0</v>
      </c>
      <c r="O59">
        <f t="shared" si="4"/>
        <v>0</v>
      </c>
      <c r="P59">
        <v>0.7601842524641792</v>
      </c>
      <c r="Q59">
        <f t="shared" si="5"/>
        <v>0</v>
      </c>
      <c r="R59">
        <f t="shared" si="6"/>
        <v>0</v>
      </c>
      <c r="S59">
        <f t="shared" si="7"/>
        <v>0</v>
      </c>
      <c r="T59">
        <f t="shared" si="8"/>
        <v>7768.77</v>
      </c>
      <c r="U59">
        <f t="shared" si="9"/>
        <v>-6049.33</v>
      </c>
    </row>
    <row r="60" spans="1:21" x14ac:dyDescent="0.3">
      <c r="A60">
        <v>59</v>
      </c>
      <c r="B60">
        <v>50</v>
      </c>
      <c r="C60" t="s">
        <v>10</v>
      </c>
      <c r="D60">
        <v>30</v>
      </c>
      <c r="E60">
        <v>88</v>
      </c>
      <c r="F60" t="s">
        <v>12</v>
      </c>
      <c r="G60">
        <v>1</v>
      </c>
      <c r="H60" t="s">
        <v>12</v>
      </c>
      <c r="I60" t="s">
        <v>13</v>
      </c>
      <c r="J60">
        <v>1720.35</v>
      </c>
      <c r="K60" t="str">
        <f t="shared" si="0"/>
        <v>30-35</v>
      </c>
      <c r="L60">
        <f t="shared" si="1"/>
        <v>0</v>
      </c>
      <c r="M60">
        <f t="shared" si="2"/>
        <v>1</v>
      </c>
      <c r="N60">
        <f t="shared" si="3"/>
        <v>0</v>
      </c>
      <c r="O60">
        <f t="shared" si="4"/>
        <v>0</v>
      </c>
      <c r="P60">
        <v>2.0688348861055195E-2</v>
      </c>
      <c r="Q60">
        <f t="shared" si="5"/>
        <v>0</v>
      </c>
      <c r="R60">
        <f t="shared" si="6"/>
        <v>0</v>
      </c>
      <c r="S60">
        <f t="shared" si="7"/>
        <v>0</v>
      </c>
      <c r="T60">
        <f t="shared" si="8"/>
        <v>6360.7200000000012</v>
      </c>
      <c r="U60">
        <f t="shared" si="9"/>
        <v>-4640.3700000000008</v>
      </c>
    </row>
    <row r="61" spans="1:21" x14ac:dyDescent="0.3">
      <c r="A61">
        <v>60</v>
      </c>
      <c r="B61">
        <v>47</v>
      </c>
      <c r="C61" t="s">
        <v>10</v>
      </c>
      <c r="D61">
        <v>33.799999999999997</v>
      </c>
      <c r="E61">
        <v>90</v>
      </c>
      <c r="F61" t="s">
        <v>12</v>
      </c>
      <c r="G61">
        <v>1</v>
      </c>
      <c r="H61" t="s">
        <v>12</v>
      </c>
      <c r="I61" t="s">
        <v>13</v>
      </c>
      <c r="J61">
        <v>1725.55</v>
      </c>
      <c r="K61" t="str">
        <f t="shared" si="0"/>
        <v>30-35</v>
      </c>
      <c r="L61">
        <f t="shared" si="1"/>
        <v>0</v>
      </c>
      <c r="M61">
        <f t="shared" si="2"/>
        <v>1</v>
      </c>
      <c r="N61">
        <f t="shared" si="3"/>
        <v>0</v>
      </c>
      <c r="O61">
        <f t="shared" si="4"/>
        <v>0</v>
      </c>
      <c r="P61">
        <v>0.75709272325402732</v>
      </c>
      <c r="Q61">
        <f t="shared" si="5"/>
        <v>0</v>
      </c>
      <c r="R61">
        <f t="shared" si="6"/>
        <v>0</v>
      </c>
      <c r="S61">
        <f t="shared" si="7"/>
        <v>0</v>
      </c>
      <c r="T61">
        <f t="shared" si="8"/>
        <v>7008.6399999999994</v>
      </c>
      <c r="U61">
        <f t="shared" si="9"/>
        <v>-5283.0899999999992</v>
      </c>
    </row>
    <row r="62" spans="1:21" x14ac:dyDescent="0.3">
      <c r="A62">
        <v>61</v>
      </c>
      <c r="B62">
        <v>49</v>
      </c>
      <c r="C62" t="s">
        <v>10</v>
      </c>
      <c r="D62">
        <v>35.200000000000003</v>
      </c>
      <c r="E62">
        <v>80</v>
      </c>
      <c r="F62" t="s">
        <v>11</v>
      </c>
      <c r="G62">
        <v>1</v>
      </c>
      <c r="H62" t="s">
        <v>12</v>
      </c>
      <c r="I62" t="s">
        <v>13</v>
      </c>
      <c r="J62">
        <v>1727.54</v>
      </c>
      <c r="K62" t="str">
        <f t="shared" si="0"/>
        <v>35+</v>
      </c>
      <c r="L62">
        <f t="shared" si="1"/>
        <v>0</v>
      </c>
      <c r="M62">
        <f t="shared" si="2"/>
        <v>1</v>
      </c>
      <c r="N62">
        <f t="shared" si="3"/>
        <v>0</v>
      </c>
      <c r="O62">
        <f t="shared" si="4"/>
        <v>0</v>
      </c>
      <c r="P62">
        <v>8.4069243062525278E-2</v>
      </c>
      <c r="Q62">
        <f t="shared" si="5"/>
        <v>0</v>
      </c>
      <c r="R62">
        <f t="shared" si="6"/>
        <v>1</v>
      </c>
      <c r="S62">
        <f t="shared" si="7"/>
        <v>0</v>
      </c>
      <c r="T62">
        <f t="shared" si="8"/>
        <v>5460.8200000000006</v>
      </c>
      <c r="U62">
        <f t="shared" si="9"/>
        <v>-3733.2800000000007</v>
      </c>
    </row>
    <row r="63" spans="1:21" x14ac:dyDescent="0.3">
      <c r="A63">
        <v>62</v>
      </c>
      <c r="B63">
        <v>32</v>
      </c>
      <c r="C63" t="s">
        <v>16</v>
      </c>
      <c r="D63">
        <v>17.8</v>
      </c>
      <c r="E63">
        <v>90</v>
      </c>
      <c r="F63" t="s">
        <v>12</v>
      </c>
      <c r="G63">
        <v>0</v>
      </c>
      <c r="H63" t="s">
        <v>12</v>
      </c>
      <c r="I63" t="s">
        <v>15</v>
      </c>
      <c r="J63">
        <v>1727.79</v>
      </c>
      <c r="K63" t="str">
        <f t="shared" si="0"/>
        <v>&lt;20</v>
      </c>
      <c r="L63">
        <f t="shared" si="1"/>
        <v>0</v>
      </c>
      <c r="M63">
        <f t="shared" si="2"/>
        <v>0</v>
      </c>
      <c r="N63">
        <f t="shared" si="3"/>
        <v>1</v>
      </c>
      <c r="O63">
        <f t="shared" si="4"/>
        <v>0</v>
      </c>
      <c r="P63">
        <v>1.654842013884128E-2</v>
      </c>
      <c r="Q63">
        <f t="shared" si="5"/>
        <v>0</v>
      </c>
      <c r="R63">
        <f t="shared" si="6"/>
        <v>0</v>
      </c>
      <c r="S63">
        <f t="shared" si="7"/>
        <v>1</v>
      </c>
      <c r="T63">
        <f t="shared" si="8"/>
        <v>6055.1699999999992</v>
      </c>
      <c r="U63">
        <f t="shared" si="9"/>
        <v>-4327.3799999999992</v>
      </c>
    </row>
    <row r="64" spans="1:21" x14ac:dyDescent="0.3">
      <c r="A64">
        <v>63</v>
      </c>
      <c r="B64">
        <v>51</v>
      </c>
      <c r="C64" t="s">
        <v>16</v>
      </c>
      <c r="D64">
        <v>18.600000000000001</v>
      </c>
      <c r="E64">
        <v>98</v>
      </c>
      <c r="F64" t="s">
        <v>11</v>
      </c>
      <c r="G64">
        <v>0</v>
      </c>
      <c r="H64" t="s">
        <v>12</v>
      </c>
      <c r="I64" t="s">
        <v>15</v>
      </c>
      <c r="J64">
        <v>1728.9</v>
      </c>
      <c r="K64" t="str">
        <f t="shared" si="0"/>
        <v>&lt;20</v>
      </c>
      <c r="L64">
        <f t="shared" si="1"/>
        <v>0</v>
      </c>
      <c r="M64">
        <f t="shared" si="2"/>
        <v>0</v>
      </c>
      <c r="N64">
        <f t="shared" si="3"/>
        <v>1</v>
      </c>
      <c r="O64">
        <f t="shared" si="4"/>
        <v>0</v>
      </c>
      <c r="P64">
        <v>0.68343118393017421</v>
      </c>
      <c r="Q64">
        <f t="shared" si="5"/>
        <v>0</v>
      </c>
      <c r="R64">
        <f t="shared" si="6"/>
        <v>1</v>
      </c>
      <c r="S64">
        <f t="shared" si="7"/>
        <v>1</v>
      </c>
      <c r="T64">
        <f t="shared" si="8"/>
        <v>7306.91</v>
      </c>
      <c r="U64">
        <f t="shared" si="9"/>
        <v>-5578.01</v>
      </c>
    </row>
    <row r="65" spans="1:21" x14ac:dyDescent="0.3">
      <c r="A65">
        <v>64</v>
      </c>
      <c r="B65">
        <v>60</v>
      </c>
      <c r="C65" t="s">
        <v>16</v>
      </c>
      <c r="D65">
        <v>20.6</v>
      </c>
      <c r="E65">
        <v>90</v>
      </c>
      <c r="F65" t="s">
        <v>12</v>
      </c>
      <c r="G65">
        <v>0</v>
      </c>
      <c r="H65" t="s">
        <v>12</v>
      </c>
      <c r="I65" t="s">
        <v>15</v>
      </c>
      <c r="J65">
        <v>1731.68</v>
      </c>
      <c r="K65" t="str">
        <f t="shared" si="0"/>
        <v>20-25</v>
      </c>
      <c r="L65">
        <f t="shared" si="1"/>
        <v>0</v>
      </c>
      <c r="M65">
        <f t="shared" si="2"/>
        <v>0</v>
      </c>
      <c r="N65">
        <f t="shared" si="3"/>
        <v>1</v>
      </c>
      <c r="O65">
        <f t="shared" si="4"/>
        <v>0</v>
      </c>
      <c r="P65">
        <v>0.76440070635353397</v>
      </c>
      <c r="Q65">
        <f t="shared" si="5"/>
        <v>0</v>
      </c>
      <c r="R65">
        <f t="shared" si="6"/>
        <v>0</v>
      </c>
      <c r="S65">
        <f t="shared" si="7"/>
        <v>1</v>
      </c>
      <c r="T65">
        <f t="shared" si="8"/>
        <v>6258.7299999999987</v>
      </c>
      <c r="U65">
        <f t="shared" si="9"/>
        <v>-4527.0499999999984</v>
      </c>
    </row>
    <row r="66" spans="1:21" x14ac:dyDescent="0.3">
      <c r="A66">
        <v>65</v>
      </c>
      <c r="B66">
        <v>32</v>
      </c>
      <c r="C66" t="s">
        <v>16</v>
      </c>
      <c r="D66">
        <v>24.7</v>
      </c>
      <c r="E66">
        <v>89</v>
      </c>
      <c r="F66" t="s">
        <v>12</v>
      </c>
      <c r="G66">
        <v>0</v>
      </c>
      <c r="H66" t="s">
        <v>12</v>
      </c>
      <c r="I66" t="s">
        <v>15</v>
      </c>
      <c r="J66">
        <v>1737.38</v>
      </c>
      <c r="K66" t="str">
        <f t="shared" si="0"/>
        <v>20-25</v>
      </c>
      <c r="L66">
        <f t="shared" si="1"/>
        <v>0</v>
      </c>
      <c r="M66">
        <f t="shared" si="2"/>
        <v>0</v>
      </c>
      <c r="N66">
        <f t="shared" si="3"/>
        <v>1</v>
      </c>
      <c r="O66">
        <f t="shared" si="4"/>
        <v>0</v>
      </c>
      <c r="P66">
        <v>0.66863222934086497</v>
      </c>
      <c r="Q66">
        <f t="shared" si="5"/>
        <v>0</v>
      </c>
      <c r="R66">
        <f t="shared" si="6"/>
        <v>0</v>
      </c>
      <c r="S66">
        <f t="shared" si="7"/>
        <v>1</v>
      </c>
      <c r="T66">
        <f t="shared" si="8"/>
        <v>6485.53</v>
      </c>
      <c r="U66">
        <f t="shared" si="9"/>
        <v>-4748.1499999999996</v>
      </c>
    </row>
    <row r="67" spans="1:21" x14ac:dyDescent="0.3">
      <c r="A67">
        <v>66</v>
      </c>
      <c r="B67">
        <v>51</v>
      </c>
      <c r="C67" t="s">
        <v>16</v>
      </c>
      <c r="D67">
        <v>28.9</v>
      </c>
      <c r="E67">
        <v>87</v>
      </c>
      <c r="F67" t="s">
        <v>11</v>
      </c>
      <c r="G67">
        <v>0</v>
      </c>
      <c r="H67" t="s">
        <v>12</v>
      </c>
      <c r="I67" t="s">
        <v>15</v>
      </c>
      <c r="J67">
        <v>1743.21</v>
      </c>
      <c r="K67" t="str">
        <f t="shared" ref="K67:K130" si="10">IF(D67&lt;20, "&lt;20", IF(D67&lt;25, "20-25", IF(D67&lt;30, "25-30", IF(D67&lt;35, "30-35", "35+"))))</f>
        <v>25-30</v>
      </c>
      <c r="L67">
        <f t="shared" ref="L67:L130" si="11">D67*Q67</f>
        <v>0</v>
      </c>
      <c r="M67">
        <f t="shared" ref="M67:M130" si="12">IF(I67="southeast", 1, 0)</f>
        <v>0</v>
      </c>
      <c r="N67">
        <f t="shared" ref="N67:N130" si="13">IF(I67="southwest", 1, 0)</f>
        <v>1</v>
      </c>
      <c r="O67">
        <f t="shared" ref="O67:O130" si="14">IF(I67="northwest", 1, 0)</f>
        <v>0</v>
      </c>
      <c r="P67">
        <v>0.71575429574564209</v>
      </c>
      <c r="Q67">
        <f t="shared" ref="Q67:Q130" si="15">IF(H67="Yes", 1, 0)</f>
        <v>0</v>
      </c>
      <c r="R67">
        <f t="shared" ref="R67:R130" si="16">IF(F67="yes", 1, 0)</f>
        <v>1</v>
      </c>
      <c r="S67">
        <f t="shared" ref="S67:S130" si="17">IF(C67="female", 1, 0)</f>
        <v>1</v>
      </c>
      <c r="T67">
        <f t="shared" ref="T67:T130" si="18">-7277.71 + (-1.28*B67) + (85.5*D67) + (738.24*G67) + (159.59*E67) + (1259.19*L67) + (-3644.73*M67) + (-2956.11*N67) + (-2948.04*O67) + (-17828.85*Q67) + (-69.06*R67) + (444.95*S67)</f>
        <v>6432.07</v>
      </c>
      <c r="U67">
        <f t="shared" ref="U67:U130" si="19">J67-T67</f>
        <v>-4688.8599999999997</v>
      </c>
    </row>
    <row r="68" spans="1:21" x14ac:dyDescent="0.3">
      <c r="A68">
        <v>67</v>
      </c>
      <c r="B68">
        <v>27</v>
      </c>
      <c r="C68" t="s">
        <v>16</v>
      </c>
      <c r="D68">
        <v>29.8</v>
      </c>
      <c r="E68">
        <v>100</v>
      </c>
      <c r="F68" t="s">
        <v>12</v>
      </c>
      <c r="G68">
        <v>0</v>
      </c>
      <c r="H68" t="s">
        <v>12</v>
      </c>
      <c r="I68" t="s">
        <v>15</v>
      </c>
      <c r="J68">
        <v>1744.47</v>
      </c>
      <c r="K68" t="str">
        <f t="shared" si="10"/>
        <v>25-30</v>
      </c>
      <c r="L68">
        <f t="shared" si="11"/>
        <v>0</v>
      </c>
      <c r="M68">
        <f t="shared" si="12"/>
        <v>0</v>
      </c>
      <c r="N68">
        <f t="shared" si="13"/>
        <v>1</v>
      </c>
      <c r="O68">
        <f t="shared" si="14"/>
        <v>0</v>
      </c>
      <c r="P68">
        <v>0.56640844949201097</v>
      </c>
      <c r="Q68">
        <f t="shared" si="15"/>
        <v>0</v>
      </c>
      <c r="R68">
        <f t="shared" si="16"/>
        <v>0</v>
      </c>
      <c r="S68">
        <f t="shared" si="17"/>
        <v>1</v>
      </c>
      <c r="T68">
        <f t="shared" si="18"/>
        <v>8683.4699999999993</v>
      </c>
      <c r="U68">
        <f t="shared" si="19"/>
        <v>-6938.9999999999991</v>
      </c>
    </row>
    <row r="69" spans="1:21" x14ac:dyDescent="0.3">
      <c r="A69">
        <v>68</v>
      </c>
      <c r="B69">
        <v>39</v>
      </c>
      <c r="C69" t="s">
        <v>16</v>
      </c>
      <c r="D69">
        <v>32.9</v>
      </c>
      <c r="E69">
        <v>99</v>
      </c>
      <c r="F69" t="s">
        <v>11</v>
      </c>
      <c r="G69">
        <v>0</v>
      </c>
      <c r="H69" t="s">
        <v>12</v>
      </c>
      <c r="I69" t="s">
        <v>15</v>
      </c>
      <c r="J69">
        <v>1748.77</v>
      </c>
      <c r="K69" t="str">
        <f t="shared" si="10"/>
        <v>30-35</v>
      </c>
      <c r="L69">
        <f t="shared" si="11"/>
        <v>0</v>
      </c>
      <c r="M69">
        <f t="shared" si="12"/>
        <v>0</v>
      </c>
      <c r="N69">
        <f t="shared" si="13"/>
        <v>1</v>
      </c>
      <c r="O69">
        <f t="shared" si="14"/>
        <v>0</v>
      </c>
      <c r="P69">
        <v>0.95345993875171797</v>
      </c>
      <c r="Q69">
        <f t="shared" si="15"/>
        <v>0</v>
      </c>
      <c r="R69">
        <f t="shared" si="16"/>
        <v>1</v>
      </c>
      <c r="S69">
        <f t="shared" si="17"/>
        <v>1</v>
      </c>
      <c r="T69">
        <f t="shared" si="18"/>
        <v>8704.51</v>
      </c>
      <c r="U69">
        <f t="shared" si="19"/>
        <v>-6955.74</v>
      </c>
    </row>
    <row r="70" spans="1:21" x14ac:dyDescent="0.3">
      <c r="A70">
        <v>69</v>
      </c>
      <c r="B70">
        <v>26</v>
      </c>
      <c r="C70" t="s">
        <v>16</v>
      </c>
      <c r="D70">
        <v>40.5</v>
      </c>
      <c r="E70">
        <v>87</v>
      </c>
      <c r="F70" t="s">
        <v>11</v>
      </c>
      <c r="G70">
        <v>0</v>
      </c>
      <c r="H70" t="s">
        <v>12</v>
      </c>
      <c r="I70" t="s">
        <v>15</v>
      </c>
      <c r="J70">
        <v>1759.34</v>
      </c>
      <c r="K70" t="str">
        <f t="shared" si="10"/>
        <v>35+</v>
      </c>
      <c r="L70">
        <f t="shared" si="11"/>
        <v>0</v>
      </c>
      <c r="M70">
        <f t="shared" si="12"/>
        <v>0</v>
      </c>
      <c r="N70">
        <f t="shared" si="13"/>
        <v>1</v>
      </c>
      <c r="O70">
        <f t="shared" si="14"/>
        <v>0</v>
      </c>
      <c r="P70">
        <v>7.1325755410341585E-2</v>
      </c>
      <c r="Q70">
        <f t="shared" si="15"/>
        <v>0</v>
      </c>
      <c r="R70">
        <f t="shared" si="16"/>
        <v>1</v>
      </c>
      <c r="S70">
        <f t="shared" si="17"/>
        <v>1</v>
      </c>
      <c r="T70">
        <f t="shared" si="18"/>
        <v>7455.869999999999</v>
      </c>
      <c r="U70">
        <f t="shared" si="19"/>
        <v>-5696.5299999999988</v>
      </c>
    </row>
    <row r="71" spans="1:21" x14ac:dyDescent="0.3">
      <c r="A71">
        <v>70</v>
      </c>
      <c r="B71">
        <v>32</v>
      </c>
      <c r="C71" t="s">
        <v>10</v>
      </c>
      <c r="D71">
        <v>29.7</v>
      </c>
      <c r="E71">
        <v>80</v>
      </c>
      <c r="F71" t="s">
        <v>11</v>
      </c>
      <c r="G71">
        <v>0</v>
      </c>
      <c r="H71" t="s">
        <v>12</v>
      </c>
      <c r="I71" t="s">
        <v>14</v>
      </c>
      <c r="J71">
        <v>1769.53</v>
      </c>
      <c r="K71" t="str">
        <f t="shared" si="10"/>
        <v>25-30</v>
      </c>
      <c r="L71">
        <f t="shared" si="11"/>
        <v>0</v>
      </c>
      <c r="M71">
        <f t="shared" si="12"/>
        <v>0</v>
      </c>
      <c r="N71">
        <f t="shared" si="13"/>
        <v>0</v>
      </c>
      <c r="O71">
        <f t="shared" si="14"/>
        <v>1</v>
      </c>
      <c r="P71">
        <v>0.19739927990635664</v>
      </c>
      <c r="Q71">
        <f t="shared" si="15"/>
        <v>0</v>
      </c>
      <c r="R71">
        <f t="shared" si="16"/>
        <v>1</v>
      </c>
      <c r="S71">
        <f t="shared" si="17"/>
        <v>0</v>
      </c>
      <c r="T71">
        <f t="shared" si="18"/>
        <v>4970.7800000000007</v>
      </c>
      <c r="U71">
        <f t="shared" si="19"/>
        <v>-3201.2500000000009</v>
      </c>
    </row>
    <row r="72" spans="1:21" x14ac:dyDescent="0.3">
      <c r="A72">
        <v>71</v>
      </c>
      <c r="B72">
        <v>28</v>
      </c>
      <c r="C72" t="s">
        <v>10</v>
      </c>
      <c r="D72">
        <v>26.5</v>
      </c>
      <c r="E72">
        <v>88</v>
      </c>
      <c r="F72" t="s">
        <v>11</v>
      </c>
      <c r="G72">
        <v>0</v>
      </c>
      <c r="H72" t="s">
        <v>12</v>
      </c>
      <c r="I72" t="s">
        <v>13</v>
      </c>
      <c r="J72">
        <v>1815.88</v>
      </c>
      <c r="K72" t="str">
        <f t="shared" si="10"/>
        <v>25-30</v>
      </c>
      <c r="L72">
        <f t="shared" si="11"/>
        <v>0</v>
      </c>
      <c r="M72">
        <f t="shared" si="12"/>
        <v>1</v>
      </c>
      <c r="N72">
        <f t="shared" si="13"/>
        <v>0</v>
      </c>
      <c r="O72">
        <f t="shared" si="14"/>
        <v>0</v>
      </c>
      <c r="P72">
        <v>0.57655820899534138</v>
      </c>
      <c r="Q72">
        <f t="shared" si="15"/>
        <v>0</v>
      </c>
      <c r="R72">
        <f t="shared" si="16"/>
        <v>1</v>
      </c>
      <c r="S72">
        <f t="shared" si="17"/>
        <v>0</v>
      </c>
      <c r="T72">
        <f t="shared" si="18"/>
        <v>5282.329999999999</v>
      </c>
      <c r="U72">
        <f t="shared" si="19"/>
        <v>-3466.4499999999989</v>
      </c>
    </row>
    <row r="73" spans="1:21" x14ac:dyDescent="0.3">
      <c r="A73">
        <v>72</v>
      </c>
      <c r="B73">
        <v>48</v>
      </c>
      <c r="C73" t="s">
        <v>10</v>
      </c>
      <c r="D73">
        <v>32.6</v>
      </c>
      <c r="E73">
        <v>80</v>
      </c>
      <c r="F73" t="s">
        <v>11</v>
      </c>
      <c r="G73">
        <v>0</v>
      </c>
      <c r="H73" t="s">
        <v>12</v>
      </c>
      <c r="I73" t="s">
        <v>13</v>
      </c>
      <c r="J73">
        <v>1824.29</v>
      </c>
      <c r="K73" t="str">
        <f t="shared" si="10"/>
        <v>30-35</v>
      </c>
      <c r="L73">
        <f t="shared" si="11"/>
        <v>0</v>
      </c>
      <c r="M73">
        <f t="shared" si="12"/>
        <v>1</v>
      </c>
      <c r="N73">
        <f t="shared" si="13"/>
        <v>0</v>
      </c>
      <c r="O73">
        <f t="shared" si="14"/>
        <v>0</v>
      </c>
      <c r="P73">
        <v>0.16195034780697337</v>
      </c>
      <c r="Q73">
        <f t="shared" si="15"/>
        <v>0</v>
      </c>
      <c r="R73">
        <f t="shared" si="16"/>
        <v>1</v>
      </c>
      <c r="S73">
        <f t="shared" si="17"/>
        <v>0</v>
      </c>
      <c r="T73">
        <f t="shared" si="18"/>
        <v>4501.5600000000022</v>
      </c>
      <c r="U73">
        <f t="shared" si="19"/>
        <v>-2677.2700000000023</v>
      </c>
    </row>
    <row r="74" spans="1:21" x14ac:dyDescent="0.3">
      <c r="A74">
        <v>73</v>
      </c>
      <c r="B74">
        <v>22</v>
      </c>
      <c r="C74" t="s">
        <v>10</v>
      </c>
      <c r="D74">
        <v>34.4</v>
      </c>
      <c r="E74">
        <v>98</v>
      </c>
      <c r="F74" t="s">
        <v>11</v>
      </c>
      <c r="G74">
        <v>0</v>
      </c>
      <c r="H74" t="s">
        <v>12</v>
      </c>
      <c r="I74" t="s">
        <v>15</v>
      </c>
      <c r="J74">
        <v>1826.84</v>
      </c>
      <c r="K74" t="str">
        <f t="shared" si="10"/>
        <v>30-35</v>
      </c>
      <c r="L74">
        <f t="shared" si="11"/>
        <v>0</v>
      </c>
      <c r="M74">
        <f t="shared" si="12"/>
        <v>0</v>
      </c>
      <c r="N74">
        <f t="shared" si="13"/>
        <v>1</v>
      </c>
      <c r="O74">
        <f t="shared" si="14"/>
        <v>0</v>
      </c>
      <c r="P74">
        <v>2.7306245383220018E-2</v>
      </c>
      <c r="Q74">
        <f t="shared" si="15"/>
        <v>0</v>
      </c>
      <c r="R74">
        <f t="shared" si="16"/>
        <v>1</v>
      </c>
      <c r="S74">
        <f t="shared" si="17"/>
        <v>0</v>
      </c>
      <c r="T74">
        <f t="shared" si="18"/>
        <v>8249.98</v>
      </c>
      <c r="U74">
        <f t="shared" si="19"/>
        <v>-6423.1399999999994</v>
      </c>
    </row>
    <row r="75" spans="1:21" x14ac:dyDescent="0.3">
      <c r="A75">
        <v>74</v>
      </c>
      <c r="B75">
        <v>20</v>
      </c>
      <c r="C75" t="s">
        <v>10</v>
      </c>
      <c r="D75">
        <v>20.9</v>
      </c>
      <c r="E75">
        <v>98</v>
      </c>
      <c r="F75" t="s">
        <v>12</v>
      </c>
      <c r="G75">
        <v>1</v>
      </c>
      <c r="H75" t="s">
        <v>12</v>
      </c>
      <c r="I75" t="s">
        <v>15</v>
      </c>
      <c r="J75">
        <v>1832.09</v>
      </c>
      <c r="K75" t="str">
        <f t="shared" si="10"/>
        <v>20-25</v>
      </c>
      <c r="L75">
        <f t="shared" si="11"/>
        <v>0</v>
      </c>
      <c r="M75">
        <f t="shared" si="12"/>
        <v>0</v>
      </c>
      <c r="N75">
        <f t="shared" si="13"/>
        <v>1</v>
      </c>
      <c r="O75">
        <f t="shared" si="14"/>
        <v>0</v>
      </c>
      <c r="P75">
        <v>0.72423517206769361</v>
      </c>
      <c r="Q75">
        <f t="shared" si="15"/>
        <v>0</v>
      </c>
      <c r="R75">
        <f t="shared" si="16"/>
        <v>0</v>
      </c>
      <c r="S75">
        <f t="shared" si="17"/>
        <v>0</v>
      </c>
      <c r="T75">
        <f t="shared" si="18"/>
        <v>7905.5899999999983</v>
      </c>
      <c r="U75">
        <f t="shared" si="19"/>
        <v>-6073.4999999999982</v>
      </c>
    </row>
    <row r="76" spans="1:21" x14ac:dyDescent="0.3">
      <c r="A76">
        <v>75</v>
      </c>
      <c r="B76">
        <v>50</v>
      </c>
      <c r="C76" t="s">
        <v>10</v>
      </c>
      <c r="D76">
        <v>24.6</v>
      </c>
      <c r="E76">
        <v>90</v>
      </c>
      <c r="F76" t="s">
        <v>12</v>
      </c>
      <c r="G76">
        <v>1</v>
      </c>
      <c r="H76" t="s">
        <v>12</v>
      </c>
      <c r="I76" t="s">
        <v>15</v>
      </c>
      <c r="J76">
        <v>1837.24</v>
      </c>
      <c r="K76" t="str">
        <f t="shared" si="10"/>
        <v>20-25</v>
      </c>
      <c r="L76">
        <f t="shared" si="11"/>
        <v>0</v>
      </c>
      <c r="M76">
        <f t="shared" si="12"/>
        <v>0</v>
      </c>
      <c r="N76">
        <f t="shared" si="13"/>
        <v>1</v>
      </c>
      <c r="O76">
        <f t="shared" si="14"/>
        <v>0</v>
      </c>
      <c r="P76">
        <v>0.45147284683746014</v>
      </c>
      <c r="Q76">
        <f t="shared" si="15"/>
        <v>0</v>
      </c>
      <c r="R76">
        <f t="shared" si="16"/>
        <v>0</v>
      </c>
      <c r="S76">
        <f t="shared" si="17"/>
        <v>0</v>
      </c>
      <c r="T76">
        <f t="shared" si="18"/>
        <v>6906.82</v>
      </c>
      <c r="U76">
        <f t="shared" si="19"/>
        <v>-5069.58</v>
      </c>
    </row>
    <row r="77" spans="1:21" x14ac:dyDescent="0.3">
      <c r="A77">
        <v>76</v>
      </c>
      <c r="B77">
        <v>30</v>
      </c>
      <c r="C77" t="s">
        <v>10</v>
      </c>
      <c r="D77">
        <v>41.9</v>
      </c>
      <c r="E77">
        <v>95</v>
      </c>
      <c r="F77" t="s">
        <v>11</v>
      </c>
      <c r="G77">
        <v>0</v>
      </c>
      <c r="H77" t="s">
        <v>12</v>
      </c>
      <c r="I77" t="s">
        <v>13</v>
      </c>
      <c r="J77">
        <v>1837.28</v>
      </c>
      <c r="K77" t="str">
        <f t="shared" si="10"/>
        <v>35+</v>
      </c>
      <c r="L77">
        <f t="shared" si="11"/>
        <v>0</v>
      </c>
      <c r="M77">
        <f t="shared" si="12"/>
        <v>1</v>
      </c>
      <c r="N77">
        <f t="shared" si="13"/>
        <v>0</v>
      </c>
      <c r="O77">
        <f t="shared" si="14"/>
        <v>0</v>
      </c>
      <c r="P77">
        <v>0.58345948615882948</v>
      </c>
      <c r="Q77">
        <f t="shared" si="15"/>
        <v>0</v>
      </c>
      <c r="R77">
        <f t="shared" si="16"/>
        <v>1</v>
      </c>
      <c r="S77">
        <f t="shared" si="17"/>
        <v>0</v>
      </c>
      <c r="T77">
        <f t="shared" si="18"/>
        <v>7713.6000000000013</v>
      </c>
      <c r="U77">
        <f t="shared" si="19"/>
        <v>-5876.3200000000015</v>
      </c>
    </row>
    <row r="78" spans="1:21" x14ac:dyDescent="0.3">
      <c r="A78">
        <v>77</v>
      </c>
      <c r="B78">
        <v>38</v>
      </c>
      <c r="C78" t="s">
        <v>10</v>
      </c>
      <c r="D78">
        <v>28.4</v>
      </c>
      <c r="E78">
        <v>87</v>
      </c>
      <c r="F78" t="s">
        <v>12</v>
      </c>
      <c r="G78">
        <v>1</v>
      </c>
      <c r="H78" t="s">
        <v>12</v>
      </c>
      <c r="I78" t="s">
        <v>15</v>
      </c>
      <c r="J78">
        <v>1842.52</v>
      </c>
      <c r="K78" t="str">
        <f t="shared" si="10"/>
        <v>25-30</v>
      </c>
      <c r="L78">
        <f t="shared" si="11"/>
        <v>0</v>
      </c>
      <c r="M78">
        <f t="shared" si="12"/>
        <v>0</v>
      </c>
      <c r="N78">
        <f t="shared" si="13"/>
        <v>1</v>
      </c>
      <c r="O78">
        <f t="shared" si="14"/>
        <v>0</v>
      </c>
      <c r="P78">
        <v>2.7157038348454288E-2</v>
      </c>
      <c r="Q78">
        <f t="shared" si="15"/>
        <v>0</v>
      </c>
      <c r="R78">
        <f t="shared" si="16"/>
        <v>0</v>
      </c>
      <c r="S78">
        <f t="shared" si="17"/>
        <v>0</v>
      </c>
      <c r="T78">
        <f t="shared" si="18"/>
        <v>6768.3099999999977</v>
      </c>
      <c r="U78">
        <f t="shared" si="19"/>
        <v>-4925.7899999999972</v>
      </c>
    </row>
    <row r="79" spans="1:21" x14ac:dyDescent="0.3">
      <c r="A79">
        <v>78</v>
      </c>
      <c r="B79">
        <v>50</v>
      </c>
      <c r="C79" t="s">
        <v>16</v>
      </c>
      <c r="D79">
        <v>29.6</v>
      </c>
      <c r="E79">
        <v>95</v>
      </c>
      <c r="F79" t="s">
        <v>12</v>
      </c>
      <c r="G79">
        <v>0</v>
      </c>
      <c r="H79" t="s">
        <v>12</v>
      </c>
      <c r="I79" t="s">
        <v>15</v>
      </c>
      <c r="J79">
        <v>1875.34</v>
      </c>
      <c r="K79" t="str">
        <f t="shared" si="10"/>
        <v>25-30</v>
      </c>
      <c r="L79">
        <f t="shared" si="11"/>
        <v>0</v>
      </c>
      <c r="M79">
        <f t="shared" si="12"/>
        <v>0</v>
      </c>
      <c r="N79">
        <f t="shared" si="13"/>
        <v>1</v>
      </c>
      <c r="O79">
        <f t="shared" si="14"/>
        <v>0</v>
      </c>
      <c r="P79">
        <v>0.78887395046599873</v>
      </c>
      <c r="Q79">
        <f t="shared" si="15"/>
        <v>0</v>
      </c>
      <c r="R79">
        <f t="shared" si="16"/>
        <v>0</v>
      </c>
      <c r="S79">
        <f t="shared" si="17"/>
        <v>1</v>
      </c>
      <c r="T79">
        <f t="shared" si="18"/>
        <v>7838.9800000000005</v>
      </c>
      <c r="U79">
        <f t="shared" si="19"/>
        <v>-5963.64</v>
      </c>
    </row>
    <row r="80" spans="1:21" x14ac:dyDescent="0.3">
      <c r="A80">
        <v>79</v>
      </c>
      <c r="B80">
        <v>42</v>
      </c>
      <c r="C80" t="s">
        <v>16</v>
      </c>
      <c r="D80">
        <v>31.5</v>
      </c>
      <c r="E80">
        <v>100</v>
      </c>
      <c r="F80" t="s">
        <v>12</v>
      </c>
      <c r="G80">
        <v>0</v>
      </c>
      <c r="H80" t="s">
        <v>12</v>
      </c>
      <c r="I80" t="s">
        <v>13</v>
      </c>
      <c r="J80">
        <v>1877.93</v>
      </c>
      <c r="K80" t="str">
        <f t="shared" si="10"/>
        <v>30-35</v>
      </c>
      <c r="L80">
        <f t="shared" si="11"/>
        <v>0</v>
      </c>
      <c r="M80">
        <f t="shared" si="12"/>
        <v>1</v>
      </c>
      <c r="N80">
        <f t="shared" si="13"/>
        <v>0</v>
      </c>
      <c r="O80">
        <f t="shared" si="14"/>
        <v>0</v>
      </c>
      <c r="P80">
        <v>0.97213176703597182</v>
      </c>
      <c r="Q80">
        <f t="shared" si="15"/>
        <v>0</v>
      </c>
      <c r="R80">
        <f t="shared" si="16"/>
        <v>0</v>
      </c>
      <c r="S80">
        <f t="shared" si="17"/>
        <v>1</v>
      </c>
      <c r="T80">
        <f t="shared" si="18"/>
        <v>8120.9999999999991</v>
      </c>
      <c r="U80">
        <f t="shared" si="19"/>
        <v>-6243.0699999999988</v>
      </c>
    </row>
    <row r="81" spans="1:21" x14ac:dyDescent="0.3">
      <c r="A81">
        <v>80</v>
      </c>
      <c r="B81">
        <v>53</v>
      </c>
      <c r="C81" t="s">
        <v>16</v>
      </c>
      <c r="D81">
        <v>33</v>
      </c>
      <c r="E81">
        <v>83</v>
      </c>
      <c r="F81" t="s">
        <v>11</v>
      </c>
      <c r="G81">
        <v>0</v>
      </c>
      <c r="H81" t="s">
        <v>12</v>
      </c>
      <c r="I81" t="s">
        <v>13</v>
      </c>
      <c r="J81">
        <v>1880.07</v>
      </c>
      <c r="K81" t="str">
        <f t="shared" si="10"/>
        <v>30-35</v>
      </c>
      <c r="L81">
        <f t="shared" si="11"/>
        <v>0</v>
      </c>
      <c r="M81">
        <f t="shared" si="12"/>
        <v>1</v>
      </c>
      <c r="N81">
        <f t="shared" si="13"/>
        <v>0</v>
      </c>
      <c r="O81">
        <f t="shared" si="14"/>
        <v>0</v>
      </c>
      <c r="P81">
        <v>0.91466283177211649</v>
      </c>
      <c r="Q81">
        <f t="shared" si="15"/>
        <v>0</v>
      </c>
      <c r="R81">
        <f t="shared" si="16"/>
        <v>1</v>
      </c>
      <c r="S81">
        <f t="shared" si="17"/>
        <v>1</v>
      </c>
      <c r="T81">
        <f t="shared" si="18"/>
        <v>5453.0800000000017</v>
      </c>
      <c r="U81">
        <f t="shared" si="19"/>
        <v>-3573.010000000002</v>
      </c>
    </row>
    <row r="82" spans="1:21" x14ac:dyDescent="0.3">
      <c r="A82">
        <v>81</v>
      </c>
      <c r="B82">
        <v>26</v>
      </c>
      <c r="C82" t="s">
        <v>16</v>
      </c>
      <c r="D82">
        <v>33.299999999999997</v>
      </c>
      <c r="E82">
        <v>83</v>
      </c>
      <c r="F82" t="s">
        <v>11</v>
      </c>
      <c r="G82">
        <v>0</v>
      </c>
      <c r="H82" t="s">
        <v>12</v>
      </c>
      <c r="I82" t="s">
        <v>15</v>
      </c>
      <c r="J82">
        <v>1880.49</v>
      </c>
      <c r="K82" t="str">
        <f t="shared" si="10"/>
        <v>30-35</v>
      </c>
      <c r="L82">
        <f t="shared" si="11"/>
        <v>0</v>
      </c>
      <c r="M82">
        <f t="shared" si="12"/>
        <v>0</v>
      </c>
      <c r="N82">
        <f t="shared" si="13"/>
        <v>1</v>
      </c>
      <c r="O82">
        <f t="shared" si="14"/>
        <v>0</v>
      </c>
      <c r="P82">
        <v>0.1481442643971318</v>
      </c>
      <c r="Q82">
        <f t="shared" si="15"/>
        <v>0</v>
      </c>
      <c r="R82">
        <f t="shared" si="16"/>
        <v>1</v>
      </c>
      <c r="S82">
        <f t="shared" si="17"/>
        <v>1</v>
      </c>
      <c r="T82">
        <f t="shared" si="18"/>
        <v>6201.91</v>
      </c>
      <c r="U82">
        <f t="shared" si="19"/>
        <v>-4321.42</v>
      </c>
    </row>
    <row r="83" spans="1:21" x14ac:dyDescent="0.3">
      <c r="A83">
        <v>82</v>
      </c>
      <c r="B83">
        <v>43</v>
      </c>
      <c r="C83" t="s">
        <v>10</v>
      </c>
      <c r="D83">
        <v>29</v>
      </c>
      <c r="E83">
        <v>91</v>
      </c>
      <c r="F83" t="s">
        <v>11</v>
      </c>
      <c r="G83">
        <v>0</v>
      </c>
      <c r="H83" t="s">
        <v>12</v>
      </c>
      <c r="I83" t="s">
        <v>14</v>
      </c>
      <c r="J83">
        <v>1906.36</v>
      </c>
      <c r="K83" t="str">
        <f t="shared" si="10"/>
        <v>25-30</v>
      </c>
      <c r="L83">
        <f t="shared" si="11"/>
        <v>0</v>
      </c>
      <c r="M83">
        <f t="shared" si="12"/>
        <v>0</v>
      </c>
      <c r="N83">
        <f t="shared" si="13"/>
        <v>0</v>
      </c>
      <c r="O83">
        <f t="shared" si="14"/>
        <v>1</v>
      </c>
      <c r="P83">
        <v>0.51661508862899408</v>
      </c>
      <c r="Q83">
        <f t="shared" si="15"/>
        <v>0</v>
      </c>
      <c r="R83">
        <f t="shared" si="16"/>
        <v>1</v>
      </c>
      <c r="S83">
        <f t="shared" si="17"/>
        <v>0</v>
      </c>
      <c r="T83">
        <f t="shared" si="18"/>
        <v>6652.34</v>
      </c>
      <c r="U83">
        <f t="shared" si="19"/>
        <v>-4745.9800000000005</v>
      </c>
    </row>
    <row r="84" spans="1:21" x14ac:dyDescent="0.3">
      <c r="A84">
        <v>83</v>
      </c>
      <c r="B84">
        <v>42</v>
      </c>
      <c r="C84" t="s">
        <v>10</v>
      </c>
      <c r="D84">
        <v>31.3</v>
      </c>
      <c r="E84">
        <v>98</v>
      </c>
      <c r="F84" t="s">
        <v>12</v>
      </c>
      <c r="G84">
        <v>0</v>
      </c>
      <c r="H84" t="s">
        <v>12</v>
      </c>
      <c r="I84" t="s">
        <v>14</v>
      </c>
      <c r="J84">
        <v>1909.53</v>
      </c>
      <c r="K84" t="str">
        <f t="shared" si="10"/>
        <v>30-35</v>
      </c>
      <c r="L84">
        <f t="shared" si="11"/>
        <v>0</v>
      </c>
      <c r="M84">
        <f t="shared" si="12"/>
        <v>0</v>
      </c>
      <c r="N84">
        <f t="shared" si="13"/>
        <v>0</v>
      </c>
      <c r="O84">
        <f t="shared" si="14"/>
        <v>1</v>
      </c>
      <c r="P84">
        <v>0.28984155963512848</v>
      </c>
      <c r="Q84">
        <f t="shared" si="15"/>
        <v>0</v>
      </c>
      <c r="R84">
        <f t="shared" si="16"/>
        <v>0</v>
      </c>
      <c r="S84">
        <f t="shared" si="17"/>
        <v>0</v>
      </c>
      <c r="T84">
        <f t="shared" si="18"/>
        <v>8036.46</v>
      </c>
      <c r="U84">
        <f t="shared" si="19"/>
        <v>-6126.93</v>
      </c>
    </row>
    <row r="85" spans="1:21" x14ac:dyDescent="0.3">
      <c r="A85">
        <v>84</v>
      </c>
      <c r="B85">
        <v>43</v>
      </c>
      <c r="C85" t="s">
        <v>10</v>
      </c>
      <c r="D85">
        <v>36.9</v>
      </c>
      <c r="E85">
        <v>91</v>
      </c>
      <c r="F85" t="s">
        <v>11</v>
      </c>
      <c r="G85">
        <v>0</v>
      </c>
      <c r="H85" t="s">
        <v>12</v>
      </c>
      <c r="I85" t="s">
        <v>14</v>
      </c>
      <c r="J85">
        <v>1917.32</v>
      </c>
      <c r="K85" t="str">
        <f t="shared" si="10"/>
        <v>35+</v>
      </c>
      <c r="L85">
        <f t="shared" si="11"/>
        <v>0</v>
      </c>
      <c r="M85">
        <f t="shared" si="12"/>
        <v>0</v>
      </c>
      <c r="N85">
        <f t="shared" si="13"/>
        <v>0</v>
      </c>
      <c r="O85">
        <f t="shared" si="14"/>
        <v>1</v>
      </c>
      <c r="P85">
        <v>0.16756476508925622</v>
      </c>
      <c r="Q85">
        <f t="shared" si="15"/>
        <v>0</v>
      </c>
      <c r="R85">
        <f t="shared" si="16"/>
        <v>1</v>
      </c>
      <c r="S85">
        <f t="shared" si="17"/>
        <v>0</v>
      </c>
      <c r="T85">
        <f t="shared" si="18"/>
        <v>7327.7899999999991</v>
      </c>
      <c r="U85">
        <f t="shared" si="19"/>
        <v>-5410.4699999999993</v>
      </c>
    </row>
    <row r="86" spans="1:21" x14ac:dyDescent="0.3">
      <c r="A86">
        <v>85</v>
      </c>
      <c r="B86">
        <v>36</v>
      </c>
      <c r="C86" t="s">
        <v>10</v>
      </c>
      <c r="D86">
        <v>22</v>
      </c>
      <c r="E86">
        <v>88</v>
      </c>
      <c r="F86" t="s">
        <v>11</v>
      </c>
      <c r="G86">
        <v>1</v>
      </c>
      <c r="H86" t="s">
        <v>12</v>
      </c>
      <c r="I86" t="s">
        <v>15</v>
      </c>
      <c r="J86">
        <v>1964.78</v>
      </c>
      <c r="K86" t="str">
        <f t="shared" si="10"/>
        <v>20-25</v>
      </c>
      <c r="L86">
        <f t="shared" si="11"/>
        <v>0</v>
      </c>
      <c r="M86">
        <f t="shared" si="12"/>
        <v>0</v>
      </c>
      <c r="N86">
        <f t="shared" si="13"/>
        <v>1</v>
      </c>
      <c r="O86">
        <f t="shared" si="14"/>
        <v>0</v>
      </c>
      <c r="P86">
        <v>0.24090551391846826</v>
      </c>
      <c r="Q86">
        <f t="shared" si="15"/>
        <v>0</v>
      </c>
      <c r="R86">
        <f t="shared" si="16"/>
        <v>1</v>
      </c>
      <c r="S86">
        <f t="shared" si="17"/>
        <v>0</v>
      </c>
      <c r="T86">
        <f t="shared" si="18"/>
        <v>6314.199999999998</v>
      </c>
      <c r="U86">
        <f t="shared" si="19"/>
        <v>-4349.4199999999983</v>
      </c>
    </row>
    <row r="87" spans="1:21" x14ac:dyDescent="0.3">
      <c r="A87">
        <v>86</v>
      </c>
      <c r="B87">
        <v>19</v>
      </c>
      <c r="C87" t="s">
        <v>10</v>
      </c>
      <c r="D87">
        <v>27.9</v>
      </c>
      <c r="E87">
        <v>94</v>
      </c>
      <c r="F87" t="s">
        <v>11</v>
      </c>
      <c r="G87">
        <v>0</v>
      </c>
      <c r="H87" t="s">
        <v>12</v>
      </c>
      <c r="I87" t="s">
        <v>17</v>
      </c>
      <c r="J87">
        <v>1967.02</v>
      </c>
      <c r="K87" t="str">
        <f t="shared" si="10"/>
        <v>25-30</v>
      </c>
      <c r="L87">
        <f t="shared" si="11"/>
        <v>0</v>
      </c>
      <c r="M87">
        <f t="shared" si="12"/>
        <v>0</v>
      </c>
      <c r="N87">
        <f t="shared" si="13"/>
        <v>0</v>
      </c>
      <c r="O87">
        <f t="shared" si="14"/>
        <v>0</v>
      </c>
      <c r="P87">
        <v>0.93798974248629241</v>
      </c>
      <c r="Q87">
        <f t="shared" si="15"/>
        <v>0</v>
      </c>
      <c r="R87">
        <f t="shared" si="16"/>
        <v>1</v>
      </c>
      <c r="S87">
        <f t="shared" si="17"/>
        <v>0</v>
      </c>
      <c r="T87">
        <f t="shared" si="18"/>
        <v>10015.820000000002</v>
      </c>
      <c r="U87">
        <f t="shared" si="19"/>
        <v>-8048.8000000000011</v>
      </c>
    </row>
    <row r="88" spans="1:21" x14ac:dyDescent="0.3">
      <c r="A88">
        <v>87</v>
      </c>
      <c r="B88">
        <v>19</v>
      </c>
      <c r="C88" t="s">
        <v>10</v>
      </c>
      <c r="D88">
        <v>23.4</v>
      </c>
      <c r="E88">
        <v>97</v>
      </c>
      <c r="F88" t="s">
        <v>12</v>
      </c>
      <c r="G88">
        <v>0</v>
      </c>
      <c r="H88" t="s">
        <v>12</v>
      </c>
      <c r="I88" t="s">
        <v>14</v>
      </c>
      <c r="J88">
        <v>1969.61</v>
      </c>
      <c r="K88" t="str">
        <f t="shared" si="10"/>
        <v>20-25</v>
      </c>
      <c r="L88">
        <f t="shared" si="11"/>
        <v>0</v>
      </c>
      <c r="M88">
        <f t="shared" si="12"/>
        <v>0</v>
      </c>
      <c r="N88">
        <f t="shared" si="13"/>
        <v>0</v>
      </c>
      <c r="O88">
        <f t="shared" si="14"/>
        <v>1</v>
      </c>
      <c r="P88">
        <v>0.22687774604939825</v>
      </c>
      <c r="Q88">
        <f t="shared" si="15"/>
        <v>0</v>
      </c>
      <c r="R88">
        <f t="shared" si="16"/>
        <v>0</v>
      </c>
      <c r="S88">
        <f t="shared" si="17"/>
        <v>0</v>
      </c>
      <c r="T88">
        <f t="shared" si="18"/>
        <v>7230.86</v>
      </c>
      <c r="U88">
        <f t="shared" si="19"/>
        <v>-5261.25</v>
      </c>
    </row>
    <row r="89" spans="1:21" x14ac:dyDescent="0.3">
      <c r="A89">
        <v>88</v>
      </c>
      <c r="B89">
        <v>37</v>
      </c>
      <c r="C89" t="s">
        <v>10</v>
      </c>
      <c r="D89">
        <v>25.8</v>
      </c>
      <c r="E89">
        <v>86</v>
      </c>
      <c r="F89" t="s">
        <v>12</v>
      </c>
      <c r="G89">
        <v>0</v>
      </c>
      <c r="H89" t="s">
        <v>12</v>
      </c>
      <c r="I89" t="s">
        <v>14</v>
      </c>
      <c r="J89">
        <v>1972.95</v>
      </c>
      <c r="K89" t="str">
        <f t="shared" si="10"/>
        <v>25-30</v>
      </c>
      <c r="L89">
        <f t="shared" si="11"/>
        <v>0</v>
      </c>
      <c r="M89">
        <f t="shared" si="12"/>
        <v>0</v>
      </c>
      <c r="N89">
        <f t="shared" si="13"/>
        <v>0</v>
      </c>
      <c r="O89">
        <f t="shared" si="14"/>
        <v>1</v>
      </c>
      <c r="P89">
        <v>0.22037194588172959</v>
      </c>
      <c r="Q89">
        <f t="shared" si="15"/>
        <v>0</v>
      </c>
      <c r="R89">
        <f t="shared" si="16"/>
        <v>0</v>
      </c>
      <c r="S89">
        <f t="shared" si="17"/>
        <v>0</v>
      </c>
      <c r="T89">
        <f t="shared" si="18"/>
        <v>5657.53</v>
      </c>
      <c r="U89">
        <f t="shared" si="19"/>
        <v>-3684.58</v>
      </c>
    </row>
    <row r="90" spans="1:21" x14ac:dyDescent="0.3">
      <c r="A90">
        <v>89</v>
      </c>
      <c r="B90">
        <v>40</v>
      </c>
      <c r="C90" t="s">
        <v>10</v>
      </c>
      <c r="D90">
        <v>29.3</v>
      </c>
      <c r="E90">
        <v>97</v>
      </c>
      <c r="F90" t="s">
        <v>11</v>
      </c>
      <c r="G90">
        <v>0</v>
      </c>
      <c r="H90" t="s">
        <v>12</v>
      </c>
      <c r="I90" t="s">
        <v>14</v>
      </c>
      <c r="J90">
        <v>1977.82</v>
      </c>
      <c r="K90" t="str">
        <f t="shared" si="10"/>
        <v>25-30</v>
      </c>
      <c r="L90">
        <f t="shared" si="11"/>
        <v>0</v>
      </c>
      <c r="M90">
        <f t="shared" si="12"/>
        <v>0</v>
      </c>
      <c r="N90">
        <f t="shared" si="13"/>
        <v>0</v>
      </c>
      <c r="O90">
        <f t="shared" si="14"/>
        <v>1</v>
      </c>
      <c r="P90">
        <v>0.63586743647157329</v>
      </c>
      <c r="Q90">
        <f t="shared" si="15"/>
        <v>0</v>
      </c>
      <c r="R90">
        <f t="shared" si="16"/>
        <v>1</v>
      </c>
      <c r="S90">
        <f t="shared" si="17"/>
        <v>0</v>
      </c>
      <c r="T90">
        <f t="shared" si="18"/>
        <v>7639.369999999999</v>
      </c>
      <c r="U90">
        <f t="shared" si="19"/>
        <v>-5661.5499999999993</v>
      </c>
    </row>
    <row r="91" spans="1:21" x14ac:dyDescent="0.3">
      <c r="A91">
        <v>90</v>
      </c>
      <c r="B91">
        <v>23</v>
      </c>
      <c r="C91" t="s">
        <v>10</v>
      </c>
      <c r="D91">
        <v>33</v>
      </c>
      <c r="E91">
        <v>80</v>
      </c>
      <c r="F91" t="s">
        <v>11</v>
      </c>
      <c r="G91">
        <v>1</v>
      </c>
      <c r="H91" t="s">
        <v>12</v>
      </c>
      <c r="I91" t="s">
        <v>14</v>
      </c>
      <c r="J91">
        <v>1980.07</v>
      </c>
      <c r="K91" t="str">
        <f t="shared" si="10"/>
        <v>30-35</v>
      </c>
      <c r="L91">
        <f t="shared" si="11"/>
        <v>0</v>
      </c>
      <c r="M91">
        <f t="shared" si="12"/>
        <v>0</v>
      </c>
      <c r="N91">
        <f t="shared" si="13"/>
        <v>0</v>
      </c>
      <c r="O91">
        <f t="shared" si="14"/>
        <v>1</v>
      </c>
      <c r="P91">
        <v>0.58110696976970144</v>
      </c>
      <c r="Q91">
        <f t="shared" si="15"/>
        <v>0</v>
      </c>
      <c r="R91">
        <f t="shared" si="16"/>
        <v>1</v>
      </c>
      <c r="S91">
        <f t="shared" si="17"/>
        <v>0</v>
      </c>
      <c r="T91">
        <f t="shared" si="18"/>
        <v>6002.6900000000005</v>
      </c>
      <c r="U91">
        <f t="shared" si="19"/>
        <v>-4022.6200000000008</v>
      </c>
    </row>
    <row r="92" spans="1:21" x14ac:dyDescent="0.3">
      <c r="A92">
        <v>91</v>
      </c>
      <c r="B92">
        <v>19</v>
      </c>
      <c r="C92" t="s">
        <v>10</v>
      </c>
      <c r="D92">
        <v>32</v>
      </c>
      <c r="E92">
        <v>100</v>
      </c>
      <c r="F92" t="s">
        <v>11</v>
      </c>
      <c r="G92">
        <v>0</v>
      </c>
      <c r="H92" t="s">
        <v>12</v>
      </c>
      <c r="I92" t="s">
        <v>13</v>
      </c>
      <c r="J92">
        <v>1981.58</v>
      </c>
      <c r="K92" t="str">
        <f t="shared" si="10"/>
        <v>30-35</v>
      </c>
      <c r="L92">
        <f t="shared" si="11"/>
        <v>0</v>
      </c>
      <c r="M92">
        <f t="shared" si="12"/>
        <v>1</v>
      </c>
      <c r="N92">
        <f t="shared" si="13"/>
        <v>0</v>
      </c>
      <c r="O92">
        <f t="shared" si="14"/>
        <v>0</v>
      </c>
      <c r="P92">
        <v>1.220371666127007E-2</v>
      </c>
      <c r="Q92">
        <f t="shared" si="15"/>
        <v>0</v>
      </c>
      <c r="R92">
        <f t="shared" si="16"/>
        <v>1</v>
      </c>
      <c r="S92">
        <f t="shared" si="17"/>
        <v>0</v>
      </c>
      <c r="T92">
        <f t="shared" si="18"/>
        <v>7679.1800000000012</v>
      </c>
      <c r="U92">
        <f t="shared" si="19"/>
        <v>-5697.6000000000013</v>
      </c>
    </row>
    <row r="93" spans="1:21" x14ac:dyDescent="0.3">
      <c r="A93">
        <v>92</v>
      </c>
      <c r="B93">
        <v>20</v>
      </c>
      <c r="C93" t="s">
        <v>10</v>
      </c>
      <c r="D93">
        <v>40.5</v>
      </c>
      <c r="E93">
        <v>95</v>
      </c>
      <c r="F93" t="s">
        <v>12</v>
      </c>
      <c r="G93">
        <v>0</v>
      </c>
      <c r="H93" t="s">
        <v>12</v>
      </c>
      <c r="I93" t="s">
        <v>13</v>
      </c>
      <c r="J93">
        <v>1984.45</v>
      </c>
      <c r="K93" t="str">
        <f t="shared" si="10"/>
        <v>35+</v>
      </c>
      <c r="L93">
        <f t="shared" si="11"/>
        <v>0</v>
      </c>
      <c r="M93">
        <f t="shared" si="12"/>
        <v>1</v>
      </c>
      <c r="N93">
        <f t="shared" si="13"/>
        <v>0</v>
      </c>
      <c r="O93">
        <f t="shared" si="14"/>
        <v>0</v>
      </c>
      <c r="P93">
        <v>0.88901849357992169</v>
      </c>
      <c r="Q93">
        <f t="shared" si="15"/>
        <v>0</v>
      </c>
      <c r="R93">
        <f t="shared" si="16"/>
        <v>0</v>
      </c>
      <c r="S93">
        <f t="shared" si="17"/>
        <v>0</v>
      </c>
      <c r="T93">
        <f t="shared" si="18"/>
        <v>7675.760000000002</v>
      </c>
      <c r="U93">
        <f t="shared" si="19"/>
        <v>-5691.3100000000022</v>
      </c>
    </row>
    <row r="94" spans="1:21" x14ac:dyDescent="0.3">
      <c r="A94">
        <v>93</v>
      </c>
      <c r="B94">
        <v>41</v>
      </c>
      <c r="C94" t="s">
        <v>10</v>
      </c>
      <c r="D94">
        <v>35.9</v>
      </c>
      <c r="E94">
        <v>97</v>
      </c>
      <c r="F94" t="s">
        <v>12</v>
      </c>
      <c r="G94">
        <v>0</v>
      </c>
      <c r="H94" t="s">
        <v>12</v>
      </c>
      <c r="I94" t="s">
        <v>13</v>
      </c>
      <c r="J94">
        <v>1986.93</v>
      </c>
      <c r="K94" t="str">
        <f t="shared" si="10"/>
        <v>35+</v>
      </c>
      <c r="L94">
        <f t="shared" si="11"/>
        <v>0</v>
      </c>
      <c r="M94">
        <f t="shared" si="12"/>
        <v>1</v>
      </c>
      <c r="N94">
        <f t="shared" si="13"/>
        <v>0</v>
      </c>
      <c r="O94">
        <f t="shared" si="14"/>
        <v>0</v>
      </c>
      <c r="P94">
        <v>0.27509808147604642</v>
      </c>
      <c r="Q94">
        <f t="shared" si="15"/>
        <v>0</v>
      </c>
      <c r="R94">
        <f t="shared" si="16"/>
        <v>0</v>
      </c>
      <c r="S94">
        <f t="shared" si="17"/>
        <v>0</v>
      </c>
      <c r="T94">
        <f t="shared" si="18"/>
        <v>7574.76</v>
      </c>
      <c r="U94">
        <f t="shared" si="19"/>
        <v>-5587.83</v>
      </c>
    </row>
    <row r="95" spans="1:21" x14ac:dyDescent="0.3">
      <c r="A95">
        <v>94</v>
      </c>
      <c r="B95">
        <v>26</v>
      </c>
      <c r="C95" t="s">
        <v>16</v>
      </c>
      <c r="D95">
        <v>25.8</v>
      </c>
      <c r="E95">
        <v>100</v>
      </c>
      <c r="F95" t="s">
        <v>11</v>
      </c>
      <c r="G95">
        <v>0</v>
      </c>
      <c r="H95" t="s">
        <v>12</v>
      </c>
      <c r="I95" t="s">
        <v>15</v>
      </c>
      <c r="J95">
        <v>2007.95</v>
      </c>
      <c r="K95" t="str">
        <f t="shared" si="10"/>
        <v>25-30</v>
      </c>
      <c r="L95">
        <f t="shared" si="11"/>
        <v>0</v>
      </c>
      <c r="M95">
        <f t="shared" si="12"/>
        <v>0</v>
      </c>
      <c r="N95">
        <f t="shared" si="13"/>
        <v>1</v>
      </c>
      <c r="O95">
        <f t="shared" si="14"/>
        <v>0</v>
      </c>
      <c r="P95">
        <v>0.49645862124874796</v>
      </c>
      <c r="Q95">
        <f t="shared" si="15"/>
        <v>0</v>
      </c>
      <c r="R95">
        <f t="shared" si="16"/>
        <v>1</v>
      </c>
      <c r="S95">
        <f t="shared" si="17"/>
        <v>1</v>
      </c>
      <c r="T95">
        <f t="shared" si="18"/>
        <v>8273.6899999999987</v>
      </c>
      <c r="U95">
        <f t="shared" si="19"/>
        <v>-6265.7399999999989</v>
      </c>
    </row>
    <row r="96" spans="1:21" x14ac:dyDescent="0.3">
      <c r="A96">
        <v>95</v>
      </c>
      <c r="B96">
        <v>48</v>
      </c>
      <c r="C96" t="s">
        <v>16</v>
      </c>
      <c r="D96">
        <v>34.6</v>
      </c>
      <c r="E96">
        <v>99</v>
      </c>
      <c r="F96" t="s">
        <v>12</v>
      </c>
      <c r="G96">
        <v>0</v>
      </c>
      <c r="H96" t="s">
        <v>12</v>
      </c>
      <c r="I96" t="s">
        <v>15</v>
      </c>
      <c r="J96">
        <v>2020.18</v>
      </c>
      <c r="K96" t="str">
        <f t="shared" si="10"/>
        <v>30-35</v>
      </c>
      <c r="L96">
        <f t="shared" si="11"/>
        <v>0</v>
      </c>
      <c r="M96">
        <f t="shared" si="12"/>
        <v>0</v>
      </c>
      <c r="N96">
        <f t="shared" si="13"/>
        <v>1</v>
      </c>
      <c r="O96">
        <f t="shared" si="14"/>
        <v>0</v>
      </c>
      <c r="P96">
        <v>0.83552574232505161</v>
      </c>
      <c r="Q96">
        <f t="shared" si="15"/>
        <v>0</v>
      </c>
      <c r="R96">
        <f t="shared" si="16"/>
        <v>0</v>
      </c>
      <c r="S96">
        <f t="shared" si="17"/>
        <v>1</v>
      </c>
      <c r="T96">
        <f t="shared" si="18"/>
        <v>8907.4000000000015</v>
      </c>
      <c r="U96">
        <f t="shared" si="19"/>
        <v>-6887.2200000000012</v>
      </c>
    </row>
    <row r="97" spans="1:21" x14ac:dyDescent="0.3">
      <c r="A97">
        <v>96</v>
      </c>
      <c r="B97">
        <v>54</v>
      </c>
      <c r="C97" t="s">
        <v>16</v>
      </c>
      <c r="D97">
        <v>34.9</v>
      </c>
      <c r="E97">
        <v>90</v>
      </c>
      <c r="F97" t="s">
        <v>12</v>
      </c>
      <c r="G97">
        <v>0</v>
      </c>
      <c r="H97" t="s">
        <v>12</v>
      </c>
      <c r="I97" t="s">
        <v>13</v>
      </c>
      <c r="J97">
        <v>2020.55</v>
      </c>
      <c r="K97" t="str">
        <f t="shared" si="10"/>
        <v>30-35</v>
      </c>
      <c r="L97">
        <f t="shared" si="11"/>
        <v>0</v>
      </c>
      <c r="M97">
        <f t="shared" si="12"/>
        <v>1</v>
      </c>
      <c r="N97">
        <f t="shared" si="13"/>
        <v>0</v>
      </c>
      <c r="O97">
        <f t="shared" si="14"/>
        <v>0</v>
      </c>
      <c r="P97">
        <v>0.31618421958672371</v>
      </c>
      <c r="Q97">
        <f t="shared" si="15"/>
        <v>0</v>
      </c>
      <c r="R97">
        <f t="shared" si="16"/>
        <v>0</v>
      </c>
      <c r="S97">
        <f t="shared" si="17"/>
        <v>1</v>
      </c>
      <c r="T97">
        <f t="shared" si="18"/>
        <v>6800.4400000000014</v>
      </c>
      <c r="U97">
        <f t="shared" si="19"/>
        <v>-4779.8900000000012</v>
      </c>
    </row>
    <row r="98" spans="1:21" x14ac:dyDescent="0.3">
      <c r="A98">
        <v>97</v>
      </c>
      <c r="B98">
        <v>44</v>
      </c>
      <c r="C98" t="s">
        <v>16</v>
      </c>
      <c r="D98">
        <v>39.5</v>
      </c>
      <c r="E98">
        <v>93</v>
      </c>
      <c r="F98" t="s">
        <v>11</v>
      </c>
      <c r="G98">
        <v>0</v>
      </c>
      <c r="H98" t="s">
        <v>12</v>
      </c>
      <c r="I98" t="s">
        <v>13</v>
      </c>
      <c r="J98">
        <v>2026.97</v>
      </c>
      <c r="K98" t="str">
        <f t="shared" si="10"/>
        <v>35+</v>
      </c>
      <c r="L98">
        <f t="shared" si="11"/>
        <v>0</v>
      </c>
      <c r="M98">
        <f t="shared" si="12"/>
        <v>1</v>
      </c>
      <c r="N98">
        <f t="shared" si="13"/>
        <v>0</v>
      </c>
      <c r="O98">
        <f t="shared" si="14"/>
        <v>0</v>
      </c>
      <c r="P98">
        <v>0.33562609812554933</v>
      </c>
      <c r="Q98">
        <f t="shared" si="15"/>
        <v>0</v>
      </c>
      <c r="R98">
        <f t="shared" si="16"/>
        <v>1</v>
      </c>
      <c r="S98">
        <f t="shared" si="17"/>
        <v>1</v>
      </c>
      <c r="T98">
        <f t="shared" si="18"/>
        <v>7616.25</v>
      </c>
      <c r="U98">
        <f t="shared" si="19"/>
        <v>-5589.28</v>
      </c>
    </row>
    <row r="99" spans="1:21" x14ac:dyDescent="0.3">
      <c r="A99">
        <v>98</v>
      </c>
      <c r="B99">
        <v>44</v>
      </c>
      <c r="C99" t="s">
        <v>10</v>
      </c>
      <c r="D99">
        <v>25.2</v>
      </c>
      <c r="E99">
        <v>91</v>
      </c>
      <c r="F99" t="s">
        <v>12</v>
      </c>
      <c r="G99">
        <v>0</v>
      </c>
      <c r="H99" t="s">
        <v>12</v>
      </c>
      <c r="I99" t="s">
        <v>14</v>
      </c>
      <c r="J99">
        <v>2045.69</v>
      </c>
      <c r="K99" t="str">
        <f t="shared" si="10"/>
        <v>25-30</v>
      </c>
      <c r="L99">
        <f t="shared" si="11"/>
        <v>0</v>
      </c>
      <c r="M99">
        <f t="shared" si="12"/>
        <v>0</v>
      </c>
      <c r="N99">
        <f t="shared" si="13"/>
        <v>0</v>
      </c>
      <c r="O99">
        <f t="shared" si="14"/>
        <v>1</v>
      </c>
      <c r="P99">
        <v>0.16076843073001834</v>
      </c>
      <c r="Q99">
        <f t="shared" si="15"/>
        <v>0</v>
      </c>
      <c r="R99">
        <f t="shared" si="16"/>
        <v>0</v>
      </c>
      <c r="S99">
        <f t="shared" si="17"/>
        <v>0</v>
      </c>
      <c r="T99">
        <f t="shared" si="18"/>
        <v>6395.22</v>
      </c>
      <c r="U99">
        <f t="shared" si="19"/>
        <v>-4349.5300000000007</v>
      </c>
    </row>
    <row r="100" spans="1:21" x14ac:dyDescent="0.3">
      <c r="A100">
        <v>99</v>
      </c>
      <c r="B100">
        <v>47</v>
      </c>
      <c r="C100" t="s">
        <v>10</v>
      </c>
      <c r="D100">
        <v>32.1</v>
      </c>
      <c r="E100">
        <v>81</v>
      </c>
      <c r="F100" t="s">
        <v>12</v>
      </c>
      <c r="G100">
        <v>0</v>
      </c>
      <c r="H100" t="s">
        <v>12</v>
      </c>
      <c r="I100" t="s">
        <v>14</v>
      </c>
      <c r="J100">
        <v>2055.3200000000002</v>
      </c>
      <c r="K100" t="str">
        <f t="shared" si="10"/>
        <v>30-35</v>
      </c>
      <c r="L100">
        <f t="shared" si="11"/>
        <v>0</v>
      </c>
      <c r="M100">
        <f t="shared" si="12"/>
        <v>0</v>
      </c>
      <c r="N100">
        <f t="shared" si="13"/>
        <v>0</v>
      </c>
      <c r="O100">
        <f t="shared" si="14"/>
        <v>1</v>
      </c>
      <c r="P100">
        <v>0.90260165208010767</v>
      </c>
      <c r="Q100">
        <f t="shared" si="15"/>
        <v>0</v>
      </c>
      <c r="R100">
        <f t="shared" si="16"/>
        <v>0</v>
      </c>
      <c r="S100">
        <f t="shared" si="17"/>
        <v>0</v>
      </c>
      <c r="T100">
        <f t="shared" si="18"/>
        <v>5385.4300000000012</v>
      </c>
      <c r="U100">
        <f t="shared" si="19"/>
        <v>-3330.110000000001</v>
      </c>
    </row>
    <row r="101" spans="1:21" x14ac:dyDescent="0.3">
      <c r="A101">
        <v>100</v>
      </c>
      <c r="B101">
        <v>50</v>
      </c>
      <c r="C101" t="s">
        <v>10</v>
      </c>
      <c r="D101">
        <v>26</v>
      </c>
      <c r="E101">
        <v>82</v>
      </c>
      <c r="F101" t="s">
        <v>12</v>
      </c>
      <c r="G101">
        <v>0</v>
      </c>
      <c r="H101" t="s">
        <v>12</v>
      </c>
      <c r="I101" t="s">
        <v>17</v>
      </c>
      <c r="J101">
        <v>2102.2600000000002</v>
      </c>
      <c r="K101" t="str">
        <f t="shared" si="10"/>
        <v>25-30</v>
      </c>
      <c r="L101">
        <f t="shared" si="11"/>
        <v>0</v>
      </c>
      <c r="M101">
        <f t="shared" si="12"/>
        <v>0</v>
      </c>
      <c r="N101">
        <f t="shared" si="13"/>
        <v>0</v>
      </c>
      <c r="O101">
        <f t="shared" si="14"/>
        <v>0</v>
      </c>
      <c r="P101">
        <v>0.87395549795440863</v>
      </c>
      <c r="Q101">
        <f t="shared" si="15"/>
        <v>0</v>
      </c>
      <c r="R101">
        <f t="shared" si="16"/>
        <v>0</v>
      </c>
      <c r="S101">
        <f t="shared" si="17"/>
        <v>0</v>
      </c>
      <c r="T101">
        <f t="shared" si="18"/>
        <v>7967.670000000001</v>
      </c>
      <c r="U101">
        <f t="shared" si="19"/>
        <v>-5865.4100000000008</v>
      </c>
    </row>
    <row r="102" spans="1:21" x14ac:dyDescent="0.3">
      <c r="A102">
        <v>101</v>
      </c>
      <c r="B102">
        <v>30</v>
      </c>
      <c r="C102" t="s">
        <v>10</v>
      </c>
      <c r="D102">
        <v>22.3</v>
      </c>
      <c r="E102">
        <v>83</v>
      </c>
      <c r="F102" t="s">
        <v>11</v>
      </c>
      <c r="G102">
        <v>1</v>
      </c>
      <c r="H102" t="s">
        <v>12</v>
      </c>
      <c r="I102" t="s">
        <v>15</v>
      </c>
      <c r="J102">
        <v>2103.08</v>
      </c>
      <c r="K102" t="str">
        <f t="shared" si="10"/>
        <v>20-25</v>
      </c>
      <c r="L102">
        <f t="shared" si="11"/>
        <v>0</v>
      </c>
      <c r="M102">
        <f t="shared" si="12"/>
        <v>0</v>
      </c>
      <c r="N102">
        <f t="shared" si="13"/>
        <v>1</v>
      </c>
      <c r="O102">
        <f t="shared" si="14"/>
        <v>0</v>
      </c>
      <c r="P102">
        <v>0.56262564004701199</v>
      </c>
      <c r="Q102">
        <f t="shared" si="15"/>
        <v>0</v>
      </c>
      <c r="R102">
        <f t="shared" si="16"/>
        <v>1</v>
      </c>
      <c r="S102">
        <f t="shared" si="17"/>
        <v>0</v>
      </c>
      <c r="T102">
        <f t="shared" si="18"/>
        <v>5549.5800000000008</v>
      </c>
      <c r="U102">
        <f t="shared" si="19"/>
        <v>-3446.5000000000009</v>
      </c>
    </row>
    <row r="103" spans="1:21" x14ac:dyDescent="0.3">
      <c r="A103">
        <v>102</v>
      </c>
      <c r="B103">
        <v>33</v>
      </c>
      <c r="C103" t="s">
        <v>10</v>
      </c>
      <c r="D103">
        <v>27.4</v>
      </c>
      <c r="E103">
        <v>100</v>
      </c>
      <c r="F103" t="s">
        <v>12</v>
      </c>
      <c r="G103">
        <v>0</v>
      </c>
      <c r="H103" t="s">
        <v>12</v>
      </c>
      <c r="I103" t="s">
        <v>17</v>
      </c>
      <c r="J103">
        <v>2104.11</v>
      </c>
      <c r="K103" t="str">
        <f t="shared" si="10"/>
        <v>25-30</v>
      </c>
      <c r="L103">
        <f t="shared" si="11"/>
        <v>0</v>
      </c>
      <c r="M103">
        <f t="shared" si="12"/>
        <v>0</v>
      </c>
      <c r="N103">
        <f t="shared" si="13"/>
        <v>0</v>
      </c>
      <c r="O103">
        <f t="shared" si="14"/>
        <v>0</v>
      </c>
      <c r="P103">
        <v>0.94230576539601696</v>
      </c>
      <c r="Q103">
        <f t="shared" si="15"/>
        <v>0</v>
      </c>
      <c r="R103">
        <f t="shared" si="16"/>
        <v>0</v>
      </c>
      <c r="S103">
        <f t="shared" si="17"/>
        <v>0</v>
      </c>
      <c r="T103">
        <f t="shared" si="18"/>
        <v>10981.75</v>
      </c>
      <c r="U103">
        <f t="shared" si="19"/>
        <v>-8877.64</v>
      </c>
    </row>
    <row r="104" spans="1:21" x14ac:dyDescent="0.3">
      <c r="A104">
        <v>103</v>
      </c>
      <c r="B104">
        <v>59</v>
      </c>
      <c r="C104" t="s">
        <v>16</v>
      </c>
      <c r="D104">
        <v>22.5</v>
      </c>
      <c r="E104">
        <v>87</v>
      </c>
      <c r="F104" t="s">
        <v>12</v>
      </c>
      <c r="G104">
        <v>0</v>
      </c>
      <c r="H104" t="s">
        <v>12</v>
      </c>
      <c r="I104" t="s">
        <v>14</v>
      </c>
      <c r="J104">
        <v>2117.34</v>
      </c>
      <c r="K104" t="str">
        <f t="shared" si="10"/>
        <v>20-25</v>
      </c>
      <c r="L104">
        <f t="shared" si="11"/>
        <v>0</v>
      </c>
      <c r="M104">
        <f t="shared" si="12"/>
        <v>0</v>
      </c>
      <c r="N104">
        <f t="shared" si="13"/>
        <v>0</v>
      </c>
      <c r="O104">
        <f t="shared" si="14"/>
        <v>1</v>
      </c>
      <c r="P104">
        <v>0.29315891196537713</v>
      </c>
      <c r="Q104">
        <f t="shared" si="15"/>
        <v>0</v>
      </c>
      <c r="R104">
        <f t="shared" si="16"/>
        <v>0</v>
      </c>
      <c r="S104">
        <f t="shared" si="17"/>
        <v>1</v>
      </c>
      <c r="T104">
        <f t="shared" si="18"/>
        <v>5951.7599999999984</v>
      </c>
      <c r="U104">
        <f t="shared" si="19"/>
        <v>-3834.4199999999983</v>
      </c>
    </row>
    <row r="105" spans="1:21" x14ac:dyDescent="0.3">
      <c r="A105">
        <v>104</v>
      </c>
      <c r="B105">
        <v>42</v>
      </c>
      <c r="C105" t="s">
        <v>16</v>
      </c>
      <c r="D105">
        <v>30.5</v>
      </c>
      <c r="E105">
        <v>99</v>
      </c>
      <c r="F105" t="s">
        <v>12</v>
      </c>
      <c r="G105">
        <v>0</v>
      </c>
      <c r="H105" t="s">
        <v>12</v>
      </c>
      <c r="I105" t="s">
        <v>14</v>
      </c>
      <c r="J105">
        <v>2128.4299999999998</v>
      </c>
      <c r="K105" t="str">
        <f t="shared" si="10"/>
        <v>30-35</v>
      </c>
      <c r="L105">
        <f t="shared" si="11"/>
        <v>0</v>
      </c>
      <c r="M105">
        <f t="shared" si="12"/>
        <v>0</v>
      </c>
      <c r="N105">
        <f t="shared" si="13"/>
        <v>0</v>
      </c>
      <c r="O105">
        <f t="shared" si="14"/>
        <v>1</v>
      </c>
      <c r="P105">
        <v>3.0104459633108482E-2</v>
      </c>
      <c r="Q105">
        <f t="shared" si="15"/>
        <v>0</v>
      </c>
      <c r="R105">
        <f t="shared" si="16"/>
        <v>0</v>
      </c>
      <c r="S105">
        <f t="shared" si="17"/>
        <v>1</v>
      </c>
      <c r="T105">
        <f t="shared" si="18"/>
        <v>8572.5999999999985</v>
      </c>
      <c r="U105">
        <f t="shared" si="19"/>
        <v>-6444.1699999999983</v>
      </c>
    </row>
    <row r="106" spans="1:21" x14ac:dyDescent="0.3">
      <c r="A106">
        <v>105</v>
      </c>
      <c r="B106">
        <v>52</v>
      </c>
      <c r="C106" t="s">
        <v>16</v>
      </c>
      <c r="D106">
        <v>32.1</v>
      </c>
      <c r="E106">
        <v>94</v>
      </c>
      <c r="F106" t="s">
        <v>11</v>
      </c>
      <c r="G106">
        <v>0</v>
      </c>
      <c r="H106" t="s">
        <v>12</v>
      </c>
      <c r="I106" t="s">
        <v>14</v>
      </c>
      <c r="J106">
        <v>2130.6799999999998</v>
      </c>
      <c r="K106" t="str">
        <f t="shared" si="10"/>
        <v>30-35</v>
      </c>
      <c r="L106">
        <f t="shared" si="11"/>
        <v>0</v>
      </c>
      <c r="M106">
        <f t="shared" si="12"/>
        <v>0</v>
      </c>
      <c r="N106">
        <f t="shared" si="13"/>
        <v>0</v>
      </c>
      <c r="O106">
        <f t="shared" si="14"/>
        <v>1</v>
      </c>
      <c r="P106">
        <v>0.88533300128905257</v>
      </c>
      <c r="Q106">
        <f t="shared" si="15"/>
        <v>0</v>
      </c>
      <c r="R106">
        <f t="shared" si="16"/>
        <v>1</v>
      </c>
      <c r="S106">
        <f t="shared" si="17"/>
        <v>1</v>
      </c>
      <c r="T106">
        <f t="shared" si="18"/>
        <v>7829.5900000000011</v>
      </c>
      <c r="U106">
        <f t="shared" si="19"/>
        <v>-5698.9100000000017</v>
      </c>
    </row>
    <row r="107" spans="1:21" x14ac:dyDescent="0.3">
      <c r="A107">
        <v>106</v>
      </c>
      <c r="B107">
        <v>43</v>
      </c>
      <c r="C107" t="s">
        <v>16</v>
      </c>
      <c r="D107">
        <v>35.200000000000003</v>
      </c>
      <c r="E107">
        <v>80</v>
      </c>
      <c r="F107" t="s">
        <v>12</v>
      </c>
      <c r="G107">
        <v>0</v>
      </c>
      <c r="H107" t="s">
        <v>12</v>
      </c>
      <c r="I107" t="s">
        <v>14</v>
      </c>
      <c r="J107">
        <v>2134.9</v>
      </c>
      <c r="K107" t="str">
        <f t="shared" si="10"/>
        <v>35+</v>
      </c>
      <c r="L107">
        <f t="shared" si="11"/>
        <v>0</v>
      </c>
      <c r="M107">
        <f t="shared" si="12"/>
        <v>0</v>
      </c>
      <c r="N107">
        <f t="shared" si="13"/>
        <v>0</v>
      </c>
      <c r="O107">
        <f t="shared" si="14"/>
        <v>1</v>
      </c>
      <c r="P107">
        <v>0.35730084165644904</v>
      </c>
      <c r="Q107">
        <f t="shared" si="15"/>
        <v>0</v>
      </c>
      <c r="R107">
        <f t="shared" si="16"/>
        <v>0</v>
      </c>
      <c r="S107">
        <f t="shared" si="17"/>
        <v>1</v>
      </c>
      <c r="T107">
        <f t="shared" si="18"/>
        <v>5940.9600000000009</v>
      </c>
      <c r="U107">
        <f t="shared" si="19"/>
        <v>-3806.0600000000009</v>
      </c>
    </row>
    <row r="108" spans="1:21" x14ac:dyDescent="0.3">
      <c r="A108">
        <v>107</v>
      </c>
      <c r="B108">
        <v>42</v>
      </c>
      <c r="C108" t="s">
        <v>16</v>
      </c>
      <c r="D108">
        <v>36.6</v>
      </c>
      <c r="E108">
        <v>90</v>
      </c>
      <c r="F108" t="s">
        <v>12</v>
      </c>
      <c r="G108">
        <v>0</v>
      </c>
      <c r="H108" t="s">
        <v>12</v>
      </c>
      <c r="I108" t="s">
        <v>14</v>
      </c>
      <c r="J108">
        <v>2136.88</v>
      </c>
      <c r="K108" t="str">
        <f t="shared" si="10"/>
        <v>35+</v>
      </c>
      <c r="L108">
        <f t="shared" si="11"/>
        <v>0</v>
      </c>
      <c r="M108">
        <f t="shared" si="12"/>
        <v>0</v>
      </c>
      <c r="N108">
        <f t="shared" si="13"/>
        <v>0</v>
      </c>
      <c r="O108">
        <f t="shared" si="14"/>
        <v>1</v>
      </c>
      <c r="P108">
        <v>0.15860751864286726</v>
      </c>
      <c r="Q108">
        <f t="shared" si="15"/>
        <v>0</v>
      </c>
      <c r="R108">
        <f t="shared" si="16"/>
        <v>0</v>
      </c>
      <c r="S108">
        <f t="shared" si="17"/>
        <v>1</v>
      </c>
      <c r="T108">
        <f t="shared" si="18"/>
        <v>7657.84</v>
      </c>
      <c r="U108">
        <f t="shared" si="19"/>
        <v>-5520.96</v>
      </c>
    </row>
    <row r="109" spans="1:21" x14ac:dyDescent="0.3">
      <c r="A109">
        <v>108</v>
      </c>
      <c r="B109">
        <v>33</v>
      </c>
      <c r="C109" t="s">
        <v>10</v>
      </c>
      <c r="D109">
        <v>25.7</v>
      </c>
      <c r="E109">
        <v>100</v>
      </c>
      <c r="F109" t="s">
        <v>11</v>
      </c>
      <c r="G109">
        <v>0</v>
      </c>
      <c r="H109" t="s">
        <v>12</v>
      </c>
      <c r="I109" t="s">
        <v>13</v>
      </c>
      <c r="J109">
        <v>2137.65</v>
      </c>
      <c r="K109" t="str">
        <f t="shared" si="10"/>
        <v>25-30</v>
      </c>
      <c r="L109">
        <f t="shared" si="11"/>
        <v>0</v>
      </c>
      <c r="M109">
        <f t="shared" si="12"/>
        <v>1</v>
      </c>
      <c r="N109">
        <f t="shared" si="13"/>
        <v>0</v>
      </c>
      <c r="O109">
        <f t="shared" si="14"/>
        <v>0</v>
      </c>
      <c r="P109">
        <v>0.99599502784293215</v>
      </c>
      <c r="Q109">
        <f t="shared" si="15"/>
        <v>0</v>
      </c>
      <c r="R109">
        <f t="shared" si="16"/>
        <v>1</v>
      </c>
      <c r="S109">
        <f t="shared" si="17"/>
        <v>0</v>
      </c>
      <c r="T109">
        <f t="shared" si="18"/>
        <v>7122.61</v>
      </c>
      <c r="U109">
        <f t="shared" si="19"/>
        <v>-4984.9599999999991</v>
      </c>
    </row>
    <row r="110" spans="1:21" x14ac:dyDescent="0.3">
      <c r="A110">
        <v>109</v>
      </c>
      <c r="B110">
        <v>26</v>
      </c>
      <c r="C110" t="s">
        <v>16</v>
      </c>
      <c r="D110">
        <v>37.4</v>
      </c>
      <c r="E110">
        <v>83</v>
      </c>
      <c r="F110" t="s">
        <v>11</v>
      </c>
      <c r="G110">
        <v>0</v>
      </c>
      <c r="H110" t="s">
        <v>12</v>
      </c>
      <c r="I110" t="s">
        <v>14</v>
      </c>
      <c r="J110">
        <v>2138.0700000000002</v>
      </c>
      <c r="K110" t="str">
        <f t="shared" si="10"/>
        <v>35+</v>
      </c>
      <c r="L110">
        <f t="shared" si="11"/>
        <v>0</v>
      </c>
      <c r="M110">
        <f t="shared" si="12"/>
        <v>0</v>
      </c>
      <c r="N110">
        <f t="shared" si="13"/>
        <v>0</v>
      </c>
      <c r="O110">
        <f t="shared" si="14"/>
        <v>1</v>
      </c>
      <c r="P110">
        <v>0.72633569603728632</v>
      </c>
      <c r="Q110">
        <f t="shared" si="15"/>
        <v>0</v>
      </c>
      <c r="R110">
        <f t="shared" si="16"/>
        <v>1</v>
      </c>
      <c r="S110">
        <f t="shared" si="17"/>
        <v>1</v>
      </c>
      <c r="T110">
        <f t="shared" si="18"/>
        <v>6560.53</v>
      </c>
      <c r="U110">
        <f t="shared" si="19"/>
        <v>-4422.4599999999991</v>
      </c>
    </row>
    <row r="111" spans="1:21" x14ac:dyDescent="0.3">
      <c r="A111">
        <v>110</v>
      </c>
      <c r="B111">
        <v>41</v>
      </c>
      <c r="C111" t="s">
        <v>16</v>
      </c>
      <c r="D111">
        <v>24.3</v>
      </c>
      <c r="E111">
        <v>91</v>
      </c>
      <c r="F111" t="s">
        <v>11</v>
      </c>
      <c r="G111">
        <v>0</v>
      </c>
      <c r="H111" t="s">
        <v>12</v>
      </c>
      <c r="I111" t="s">
        <v>15</v>
      </c>
      <c r="J111">
        <v>2150.4699999999998</v>
      </c>
      <c r="K111" t="str">
        <f t="shared" si="10"/>
        <v>20-25</v>
      </c>
      <c r="L111">
        <f t="shared" si="11"/>
        <v>0</v>
      </c>
      <c r="M111">
        <f t="shared" si="12"/>
        <v>0</v>
      </c>
      <c r="N111">
        <f t="shared" si="13"/>
        <v>1</v>
      </c>
      <c r="O111">
        <f t="shared" si="14"/>
        <v>0</v>
      </c>
      <c r="P111">
        <v>0.79948990240476037</v>
      </c>
      <c r="Q111">
        <f t="shared" si="15"/>
        <v>0</v>
      </c>
      <c r="R111">
        <f t="shared" si="16"/>
        <v>1</v>
      </c>
      <c r="S111">
        <f t="shared" si="17"/>
        <v>1</v>
      </c>
      <c r="T111">
        <f t="shared" si="18"/>
        <v>6689.93</v>
      </c>
      <c r="U111">
        <f t="shared" si="19"/>
        <v>-4539.4600000000009</v>
      </c>
    </row>
    <row r="112" spans="1:21" x14ac:dyDescent="0.3">
      <c r="A112">
        <v>111</v>
      </c>
      <c r="B112">
        <v>27</v>
      </c>
      <c r="C112" t="s">
        <v>16</v>
      </c>
      <c r="D112">
        <v>27.1</v>
      </c>
      <c r="E112">
        <v>88</v>
      </c>
      <c r="F112" t="s">
        <v>11</v>
      </c>
      <c r="G112">
        <v>0</v>
      </c>
      <c r="H112" t="s">
        <v>12</v>
      </c>
      <c r="I112" t="s">
        <v>15</v>
      </c>
      <c r="J112">
        <v>2154.36</v>
      </c>
      <c r="K112" t="str">
        <f t="shared" si="10"/>
        <v>25-30</v>
      </c>
      <c r="L112">
        <f t="shared" si="11"/>
        <v>0</v>
      </c>
      <c r="M112">
        <f t="shared" si="12"/>
        <v>0</v>
      </c>
      <c r="N112">
        <f t="shared" si="13"/>
        <v>1</v>
      </c>
      <c r="O112">
        <f t="shared" si="14"/>
        <v>0</v>
      </c>
      <c r="P112">
        <v>0.5104429919056005</v>
      </c>
      <c r="Q112">
        <f t="shared" si="15"/>
        <v>0</v>
      </c>
      <c r="R112">
        <f t="shared" si="16"/>
        <v>1</v>
      </c>
      <c r="S112">
        <f t="shared" si="17"/>
        <v>1</v>
      </c>
      <c r="T112">
        <f t="shared" si="18"/>
        <v>6468.48</v>
      </c>
      <c r="U112">
        <f t="shared" si="19"/>
        <v>-4314.119999999999</v>
      </c>
    </row>
    <row r="113" spans="1:21" x14ac:dyDescent="0.3">
      <c r="A113">
        <v>112</v>
      </c>
      <c r="B113">
        <v>37</v>
      </c>
      <c r="C113" t="s">
        <v>16</v>
      </c>
      <c r="D113">
        <v>28.1</v>
      </c>
      <c r="E113">
        <v>80</v>
      </c>
      <c r="F113" t="s">
        <v>12</v>
      </c>
      <c r="G113">
        <v>0</v>
      </c>
      <c r="H113" t="s">
        <v>12</v>
      </c>
      <c r="I113" t="s">
        <v>13</v>
      </c>
      <c r="J113">
        <v>2155.6799999999998</v>
      </c>
      <c r="K113" t="str">
        <f t="shared" si="10"/>
        <v>25-30</v>
      </c>
      <c r="L113">
        <f t="shared" si="11"/>
        <v>0</v>
      </c>
      <c r="M113">
        <f t="shared" si="12"/>
        <v>1</v>
      </c>
      <c r="N113">
        <f t="shared" si="13"/>
        <v>0</v>
      </c>
      <c r="O113">
        <f t="shared" si="14"/>
        <v>0</v>
      </c>
      <c r="P113">
        <v>0.63300919219666996</v>
      </c>
      <c r="Q113">
        <f t="shared" si="15"/>
        <v>0</v>
      </c>
      <c r="R113">
        <f t="shared" si="16"/>
        <v>0</v>
      </c>
      <c r="S113">
        <f t="shared" si="17"/>
        <v>1</v>
      </c>
      <c r="T113">
        <f t="shared" si="18"/>
        <v>4644.9000000000005</v>
      </c>
      <c r="U113">
        <f t="shared" si="19"/>
        <v>-2489.2200000000007</v>
      </c>
    </row>
    <row r="114" spans="1:21" x14ac:dyDescent="0.3">
      <c r="A114">
        <v>113</v>
      </c>
      <c r="B114">
        <v>43</v>
      </c>
      <c r="C114" t="s">
        <v>16</v>
      </c>
      <c r="D114">
        <v>28.8</v>
      </c>
      <c r="E114">
        <v>88</v>
      </c>
      <c r="F114" t="s">
        <v>11</v>
      </c>
      <c r="G114">
        <v>0</v>
      </c>
      <c r="H114" t="s">
        <v>12</v>
      </c>
      <c r="I114" t="s">
        <v>13</v>
      </c>
      <c r="J114">
        <v>2156.75</v>
      </c>
      <c r="K114" t="str">
        <f t="shared" si="10"/>
        <v>25-30</v>
      </c>
      <c r="L114">
        <f t="shared" si="11"/>
        <v>0</v>
      </c>
      <c r="M114">
        <f t="shared" si="12"/>
        <v>1</v>
      </c>
      <c r="N114">
        <f t="shared" si="13"/>
        <v>0</v>
      </c>
      <c r="O114">
        <f t="shared" si="14"/>
        <v>0</v>
      </c>
      <c r="P114">
        <v>0.35738756319234055</v>
      </c>
      <c r="Q114">
        <f t="shared" si="15"/>
        <v>0</v>
      </c>
      <c r="R114">
        <f t="shared" si="16"/>
        <v>1</v>
      </c>
      <c r="S114">
        <f t="shared" si="17"/>
        <v>1</v>
      </c>
      <c r="T114">
        <f t="shared" si="18"/>
        <v>5904.73</v>
      </c>
      <c r="U114">
        <f t="shared" si="19"/>
        <v>-3747.9799999999996</v>
      </c>
    </row>
    <row r="115" spans="1:21" x14ac:dyDescent="0.3">
      <c r="A115">
        <v>114</v>
      </c>
      <c r="B115">
        <v>30</v>
      </c>
      <c r="C115" t="s">
        <v>16</v>
      </c>
      <c r="D115">
        <v>36</v>
      </c>
      <c r="E115">
        <v>80</v>
      </c>
      <c r="F115" t="s">
        <v>12</v>
      </c>
      <c r="G115">
        <v>0</v>
      </c>
      <c r="H115" t="s">
        <v>12</v>
      </c>
      <c r="I115" t="s">
        <v>15</v>
      </c>
      <c r="J115">
        <v>2166.73</v>
      </c>
      <c r="K115" t="str">
        <f t="shared" si="10"/>
        <v>35+</v>
      </c>
      <c r="L115">
        <f t="shared" si="11"/>
        <v>0</v>
      </c>
      <c r="M115">
        <f t="shared" si="12"/>
        <v>0</v>
      </c>
      <c r="N115">
        <f t="shared" si="13"/>
        <v>1</v>
      </c>
      <c r="O115">
        <f t="shared" si="14"/>
        <v>0</v>
      </c>
      <c r="P115">
        <v>0.91135675360114654</v>
      </c>
      <c r="Q115">
        <f t="shared" si="15"/>
        <v>0</v>
      </c>
      <c r="R115">
        <f t="shared" si="16"/>
        <v>0</v>
      </c>
      <c r="S115">
        <f t="shared" si="17"/>
        <v>1</v>
      </c>
      <c r="T115">
        <f t="shared" si="18"/>
        <v>6017.9299999999994</v>
      </c>
      <c r="U115">
        <f t="shared" si="19"/>
        <v>-3851.1999999999994</v>
      </c>
    </row>
    <row r="116" spans="1:21" x14ac:dyDescent="0.3">
      <c r="A116">
        <v>115</v>
      </c>
      <c r="B116">
        <v>47</v>
      </c>
      <c r="C116" t="s">
        <v>16</v>
      </c>
      <c r="D116">
        <v>25.1</v>
      </c>
      <c r="E116">
        <v>80</v>
      </c>
      <c r="F116" t="s">
        <v>12</v>
      </c>
      <c r="G116">
        <v>0</v>
      </c>
      <c r="H116" t="s">
        <v>12</v>
      </c>
      <c r="I116" t="s">
        <v>13</v>
      </c>
      <c r="J116">
        <v>2196.4699999999998</v>
      </c>
      <c r="K116" t="str">
        <f t="shared" si="10"/>
        <v>25-30</v>
      </c>
      <c r="L116">
        <f t="shared" si="11"/>
        <v>0</v>
      </c>
      <c r="M116">
        <f t="shared" si="12"/>
        <v>1</v>
      </c>
      <c r="N116">
        <f t="shared" si="13"/>
        <v>0</v>
      </c>
      <c r="O116">
        <f t="shared" si="14"/>
        <v>0</v>
      </c>
      <c r="P116">
        <v>0.73187014903617398</v>
      </c>
      <c r="Q116">
        <f t="shared" si="15"/>
        <v>0</v>
      </c>
      <c r="R116">
        <f t="shared" si="16"/>
        <v>0</v>
      </c>
      <c r="S116">
        <f t="shared" si="17"/>
        <v>1</v>
      </c>
      <c r="T116">
        <f t="shared" si="18"/>
        <v>4375.6000000000013</v>
      </c>
      <c r="U116">
        <f t="shared" si="19"/>
        <v>-2179.1300000000015</v>
      </c>
    </row>
    <row r="117" spans="1:21" x14ac:dyDescent="0.3">
      <c r="A117">
        <v>116</v>
      </c>
      <c r="B117">
        <v>26</v>
      </c>
      <c r="C117" t="s">
        <v>16</v>
      </c>
      <c r="D117">
        <v>26.3</v>
      </c>
      <c r="E117">
        <v>87</v>
      </c>
      <c r="F117" t="s">
        <v>11</v>
      </c>
      <c r="G117">
        <v>0</v>
      </c>
      <c r="H117" t="s">
        <v>12</v>
      </c>
      <c r="I117" t="s">
        <v>13</v>
      </c>
      <c r="J117">
        <v>2198.19</v>
      </c>
      <c r="K117" t="str">
        <f t="shared" si="10"/>
        <v>25-30</v>
      </c>
      <c r="L117">
        <f t="shared" si="11"/>
        <v>0</v>
      </c>
      <c r="M117">
        <f t="shared" si="12"/>
        <v>1</v>
      </c>
      <c r="N117">
        <f t="shared" si="13"/>
        <v>0</v>
      </c>
      <c r="O117">
        <f t="shared" si="14"/>
        <v>0</v>
      </c>
      <c r="P117">
        <v>3.7131384639720322E-2</v>
      </c>
      <c r="Q117">
        <f t="shared" si="15"/>
        <v>0</v>
      </c>
      <c r="R117">
        <f t="shared" si="16"/>
        <v>1</v>
      </c>
      <c r="S117">
        <f t="shared" si="17"/>
        <v>1</v>
      </c>
      <c r="T117">
        <f t="shared" si="18"/>
        <v>5553.15</v>
      </c>
      <c r="U117">
        <f t="shared" si="19"/>
        <v>-3354.9599999999996</v>
      </c>
    </row>
    <row r="118" spans="1:21" x14ac:dyDescent="0.3">
      <c r="A118">
        <v>117</v>
      </c>
      <c r="B118">
        <v>49</v>
      </c>
      <c r="C118" t="s">
        <v>16</v>
      </c>
      <c r="D118">
        <v>28.2</v>
      </c>
      <c r="E118">
        <v>98</v>
      </c>
      <c r="F118" t="s">
        <v>11</v>
      </c>
      <c r="G118">
        <v>0</v>
      </c>
      <c r="H118" t="s">
        <v>12</v>
      </c>
      <c r="I118" t="s">
        <v>13</v>
      </c>
      <c r="J118">
        <v>2200.83</v>
      </c>
      <c r="K118" t="str">
        <f t="shared" si="10"/>
        <v>25-30</v>
      </c>
      <c r="L118">
        <f t="shared" si="11"/>
        <v>0</v>
      </c>
      <c r="M118">
        <f t="shared" si="12"/>
        <v>1</v>
      </c>
      <c r="N118">
        <f t="shared" si="13"/>
        <v>0</v>
      </c>
      <c r="O118">
        <f t="shared" si="14"/>
        <v>0</v>
      </c>
      <c r="P118">
        <v>6.0439127165402562E-2</v>
      </c>
      <c r="Q118">
        <f t="shared" si="15"/>
        <v>0</v>
      </c>
      <c r="R118">
        <f t="shared" si="16"/>
        <v>1</v>
      </c>
      <c r="S118">
        <f t="shared" si="17"/>
        <v>1</v>
      </c>
      <c r="T118">
        <f t="shared" si="18"/>
        <v>7441.65</v>
      </c>
      <c r="U118">
        <f t="shared" si="19"/>
        <v>-5240.82</v>
      </c>
    </row>
    <row r="119" spans="1:21" x14ac:dyDescent="0.3">
      <c r="A119">
        <v>118</v>
      </c>
      <c r="B119">
        <v>59</v>
      </c>
      <c r="C119" t="s">
        <v>16</v>
      </c>
      <c r="D119">
        <v>24.1</v>
      </c>
      <c r="E119">
        <v>82</v>
      </c>
      <c r="F119" t="s">
        <v>12</v>
      </c>
      <c r="G119">
        <v>1</v>
      </c>
      <c r="H119" t="s">
        <v>12</v>
      </c>
      <c r="I119" t="s">
        <v>13</v>
      </c>
      <c r="J119">
        <v>2201.1</v>
      </c>
      <c r="K119" t="str">
        <f t="shared" si="10"/>
        <v>20-25</v>
      </c>
      <c r="L119">
        <f t="shared" si="11"/>
        <v>0</v>
      </c>
      <c r="M119">
        <f t="shared" si="12"/>
        <v>1</v>
      </c>
      <c r="N119">
        <f t="shared" si="13"/>
        <v>0</v>
      </c>
      <c r="O119">
        <f t="shared" si="14"/>
        <v>0</v>
      </c>
      <c r="P119">
        <v>0.63207090318068115</v>
      </c>
      <c r="Q119">
        <f t="shared" si="15"/>
        <v>0</v>
      </c>
      <c r="R119">
        <f t="shared" si="16"/>
        <v>0</v>
      </c>
      <c r="S119">
        <f t="shared" si="17"/>
        <v>1</v>
      </c>
      <c r="T119">
        <f t="shared" si="18"/>
        <v>5332.1600000000008</v>
      </c>
      <c r="U119">
        <f t="shared" si="19"/>
        <v>-3131.0600000000009</v>
      </c>
    </row>
    <row r="120" spans="1:21" x14ac:dyDescent="0.3">
      <c r="A120">
        <v>119</v>
      </c>
      <c r="B120">
        <v>58</v>
      </c>
      <c r="C120" t="s">
        <v>16</v>
      </c>
      <c r="D120">
        <v>30.1</v>
      </c>
      <c r="E120">
        <v>81</v>
      </c>
      <c r="F120" t="s">
        <v>11</v>
      </c>
      <c r="G120">
        <v>0</v>
      </c>
      <c r="H120" t="s">
        <v>12</v>
      </c>
      <c r="I120" t="s">
        <v>13</v>
      </c>
      <c r="J120">
        <v>2203.4699999999998</v>
      </c>
      <c r="K120" t="str">
        <f t="shared" si="10"/>
        <v>30-35</v>
      </c>
      <c r="L120">
        <f t="shared" si="11"/>
        <v>0</v>
      </c>
      <c r="M120">
        <f t="shared" si="12"/>
        <v>1</v>
      </c>
      <c r="N120">
        <f t="shared" si="13"/>
        <v>0</v>
      </c>
      <c r="O120">
        <f t="shared" si="14"/>
        <v>0</v>
      </c>
      <c r="P120">
        <v>3.2268799692133254E-2</v>
      </c>
      <c r="Q120">
        <f t="shared" si="15"/>
        <v>0</v>
      </c>
      <c r="R120">
        <f t="shared" si="16"/>
        <v>1</v>
      </c>
      <c r="S120">
        <f t="shared" si="17"/>
        <v>1</v>
      </c>
      <c r="T120">
        <f t="shared" si="18"/>
        <v>4879.5500000000011</v>
      </c>
      <c r="U120">
        <f t="shared" si="19"/>
        <v>-2676.0800000000013</v>
      </c>
    </row>
    <row r="121" spans="1:21" x14ac:dyDescent="0.3">
      <c r="A121">
        <v>120</v>
      </c>
      <c r="B121">
        <v>32</v>
      </c>
      <c r="C121" t="s">
        <v>16</v>
      </c>
      <c r="D121">
        <v>30.3</v>
      </c>
      <c r="E121">
        <v>94</v>
      </c>
      <c r="F121" t="s">
        <v>11</v>
      </c>
      <c r="G121">
        <v>0</v>
      </c>
      <c r="H121" t="s">
        <v>12</v>
      </c>
      <c r="I121" t="s">
        <v>13</v>
      </c>
      <c r="J121">
        <v>2203.7399999999998</v>
      </c>
      <c r="K121" t="str">
        <f t="shared" si="10"/>
        <v>30-35</v>
      </c>
      <c r="L121">
        <f t="shared" si="11"/>
        <v>0</v>
      </c>
      <c r="M121">
        <f t="shared" si="12"/>
        <v>1</v>
      </c>
      <c r="N121">
        <f t="shared" si="13"/>
        <v>0</v>
      </c>
      <c r="O121">
        <f t="shared" si="14"/>
        <v>0</v>
      </c>
      <c r="P121">
        <v>0.27570706585478666</v>
      </c>
      <c r="Q121">
        <f t="shared" si="15"/>
        <v>0</v>
      </c>
      <c r="R121">
        <f t="shared" si="16"/>
        <v>1</v>
      </c>
      <c r="S121">
        <f t="shared" si="17"/>
        <v>1</v>
      </c>
      <c r="T121">
        <f t="shared" si="18"/>
        <v>7004.6</v>
      </c>
      <c r="U121">
        <f t="shared" si="19"/>
        <v>-4800.8600000000006</v>
      </c>
    </row>
    <row r="122" spans="1:21" x14ac:dyDescent="0.3">
      <c r="A122">
        <v>121</v>
      </c>
      <c r="B122">
        <v>37</v>
      </c>
      <c r="C122" t="s">
        <v>16</v>
      </c>
      <c r="D122">
        <v>31.9</v>
      </c>
      <c r="E122">
        <v>89</v>
      </c>
      <c r="F122" t="s">
        <v>12</v>
      </c>
      <c r="G122">
        <v>0</v>
      </c>
      <c r="H122" t="s">
        <v>12</v>
      </c>
      <c r="I122" t="s">
        <v>13</v>
      </c>
      <c r="J122">
        <v>2205.98</v>
      </c>
      <c r="K122" t="str">
        <f t="shared" si="10"/>
        <v>30-35</v>
      </c>
      <c r="L122">
        <f t="shared" si="11"/>
        <v>0</v>
      </c>
      <c r="M122">
        <f t="shared" si="12"/>
        <v>1</v>
      </c>
      <c r="N122">
        <f t="shared" si="13"/>
        <v>0</v>
      </c>
      <c r="O122">
        <f t="shared" si="14"/>
        <v>0</v>
      </c>
      <c r="P122">
        <v>0.50103290041036552</v>
      </c>
      <c r="Q122">
        <f t="shared" si="15"/>
        <v>0</v>
      </c>
      <c r="R122">
        <f t="shared" si="16"/>
        <v>0</v>
      </c>
      <c r="S122">
        <f t="shared" si="17"/>
        <v>1</v>
      </c>
      <c r="T122">
        <f t="shared" si="18"/>
        <v>6406.11</v>
      </c>
      <c r="U122">
        <f t="shared" si="19"/>
        <v>-4200.1299999999992</v>
      </c>
    </row>
    <row r="123" spans="1:21" x14ac:dyDescent="0.3">
      <c r="A123">
        <v>122</v>
      </c>
      <c r="B123">
        <v>48</v>
      </c>
      <c r="C123" t="s">
        <v>16</v>
      </c>
      <c r="D123">
        <v>33.200000000000003</v>
      </c>
      <c r="E123">
        <v>97</v>
      </c>
      <c r="F123" t="s">
        <v>12</v>
      </c>
      <c r="G123">
        <v>0</v>
      </c>
      <c r="H123" t="s">
        <v>12</v>
      </c>
      <c r="I123" t="s">
        <v>13</v>
      </c>
      <c r="J123">
        <v>2207.6999999999998</v>
      </c>
      <c r="K123" t="str">
        <f t="shared" si="10"/>
        <v>30-35</v>
      </c>
      <c r="L123">
        <f t="shared" si="11"/>
        <v>0</v>
      </c>
      <c r="M123">
        <f t="shared" si="12"/>
        <v>1</v>
      </c>
      <c r="N123">
        <f t="shared" si="13"/>
        <v>0</v>
      </c>
      <c r="O123">
        <f t="shared" si="14"/>
        <v>0</v>
      </c>
      <c r="P123">
        <v>0.9995379318311951</v>
      </c>
      <c r="Q123">
        <f t="shared" si="15"/>
        <v>0</v>
      </c>
      <c r="R123">
        <f t="shared" si="16"/>
        <v>0</v>
      </c>
      <c r="S123">
        <f t="shared" si="17"/>
        <v>1</v>
      </c>
      <c r="T123">
        <f t="shared" si="18"/>
        <v>7779.9000000000005</v>
      </c>
      <c r="U123">
        <f t="shared" si="19"/>
        <v>-5572.2000000000007</v>
      </c>
    </row>
    <row r="124" spans="1:21" x14ac:dyDescent="0.3">
      <c r="A124">
        <v>123</v>
      </c>
      <c r="B124">
        <v>52</v>
      </c>
      <c r="C124" t="s">
        <v>16</v>
      </c>
      <c r="D124">
        <v>35.6</v>
      </c>
      <c r="E124">
        <v>89</v>
      </c>
      <c r="F124" t="s">
        <v>12</v>
      </c>
      <c r="G124">
        <v>0</v>
      </c>
      <c r="H124" t="s">
        <v>12</v>
      </c>
      <c r="I124" t="s">
        <v>13</v>
      </c>
      <c r="J124">
        <v>2211.13</v>
      </c>
      <c r="K124" t="str">
        <f t="shared" si="10"/>
        <v>35+</v>
      </c>
      <c r="L124">
        <f t="shared" si="11"/>
        <v>0</v>
      </c>
      <c r="M124">
        <f t="shared" si="12"/>
        <v>1</v>
      </c>
      <c r="N124">
        <f t="shared" si="13"/>
        <v>0</v>
      </c>
      <c r="O124">
        <f t="shared" si="14"/>
        <v>0</v>
      </c>
      <c r="P124">
        <v>0.11486293329593267</v>
      </c>
      <c r="Q124">
        <f t="shared" si="15"/>
        <v>0</v>
      </c>
      <c r="R124">
        <f t="shared" si="16"/>
        <v>0</v>
      </c>
      <c r="S124">
        <f t="shared" si="17"/>
        <v>1</v>
      </c>
      <c r="T124">
        <f t="shared" si="18"/>
        <v>6703.2600000000011</v>
      </c>
      <c r="U124">
        <f t="shared" si="19"/>
        <v>-4492.130000000001</v>
      </c>
    </row>
    <row r="125" spans="1:21" x14ac:dyDescent="0.3">
      <c r="A125">
        <v>124</v>
      </c>
      <c r="B125">
        <v>55</v>
      </c>
      <c r="C125" t="s">
        <v>16</v>
      </c>
      <c r="D125">
        <v>40.200000000000003</v>
      </c>
      <c r="E125">
        <v>82</v>
      </c>
      <c r="F125" t="s">
        <v>12</v>
      </c>
      <c r="G125">
        <v>0</v>
      </c>
      <c r="H125" t="s">
        <v>12</v>
      </c>
      <c r="I125" t="s">
        <v>13</v>
      </c>
      <c r="J125">
        <v>2217.4699999999998</v>
      </c>
      <c r="K125" t="str">
        <f t="shared" si="10"/>
        <v>35+</v>
      </c>
      <c r="L125">
        <f t="shared" si="11"/>
        <v>0</v>
      </c>
      <c r="M125">
        <f t="shared" si="12"/>
        <v>1</v>
      </c>
      <c r="N125">
        <f t="shared" si="13"/>
        <v>0</v>
      </c>
      <c r="O125">
        <f t="shared" si="14"/>
        <v>0</v>
      </c>
      <c r="P125">
        <v>0.12194725847491261</v>
      </c>
      <c r="Q125">
        <f t="shared" si="15"/>
        <v>0</v>
      </c>
      <c r="R125">
        <f t="shared" si="16"/>
        <v>0</v>
      </c>
      <c r="S125">
        <f t="shared" si="17"/>
        <v>1</v>
      </c>
      <c r="T125">
        <f t="shared" si="18"/>
        <v>5975.5900000000029</v>
      </c>
      <c r="U125">
        <f t="shared" si="19"/>
        <v>-3758.1200000000031</v>
      </c>
    </row>
    <row r="126" spans="1:21" x14ac:dyDescent="0.3">
      <c r="A126">
        <v>125</v>
      </c>
      <c r="B126">
        <v>33</v>
      </c>
      <c r="C126" t="s">
        <v>16</v>
      </c>
      <c r="D126">
        <v>40.299999999999997</v>
      </c>
      <c r="E126">
        <v>94</v>
      </c>
      <c r="F126" t="s">
        <v>11</v>
      </c>
      <c r="G126">
        <v>0</v>
      </c>
      <c r="H126" t="s">
        <v>12</v>
      </c>
      <c r="I126" t="s">
        <v>13</v>
      </c>
      <c r="J126">
        <v>2217.6</v>
      </c>
      <c r="K126" t="str">
        <f t="shared" si="10"/>
        <v>35+</v>
      </c>
      <c r="L126">
        <f t="shared" si="11"/>
        <v>0</v>
      </c>
      <c r="M126">
        <f t="shared" si="12"/>
        <v>1</v>
      </c>
      <c r="N126">
        <f t="shared" si="13"/>
        <v>0</v>
      </c>
      <c r="O126">
        <f t="shared" si="14"/>
        <v>0</v>
      </c>
      <c r="P126">
        <v>0.19309090261018946</v>
      </c>
      <c r="Q126">
        <f t="shared" si="15"/>
        <v>0</v>
      </c>
      <c r="R126">
        <f t="shared" si="16"/>
        <v>1</v>
      </c>
      <c r="S126">
        <f t="shared" si="17"/>
        <v>1</v>
      </c>
      <c r="T126">
        <f t="shared" si="18"/>
        <v>7858.32</v>
      </c>
      <c r="U126">
        <f t="shared" si="19"/>
        <v>-5640.7199999999993</v>
      </c>
    </row>
    <row r="127" spans="1:21" x14ac:dyDescent="0.3">
      <c r="A127">
        <v>126</v>
      </c>
      <c r="B127">
        <v>53</v>
      </c>
      <c r="C127" t="s">
        <v>16</v>
      </c>
      <c r="D127">
        <v>37.299999999999997</v>
      </c>
      <c r="E127">
        <v>88</v>
      </c>
      <c r="F127" t="s">
        <v>11</v>
      </c>
      <c r="G127">
        <v>1</v>
      </c>
      <c r="H127" t="s">
        <v>12</v>
      </c>
      <c r="I127" t="s">
        <v>13</v>
      </c>
      <c r="J127">
        <v>2219.4499999999998</v>
      </c>
      <c r="K127" t="str">
        <f t="shared" si="10"/>
        <v>35+</v>
      </c>
      <c r="L127">
        <f t="shared" si="11"/>
        <v>0</v>
      </c>
      <c r="M127">
        <f t="shared" si="12"/>
        <v>1</v>
      </c>
      <c r="N127">
        <f t="shared" si="13"/>
        <v>0</v>
      </c>
      <c r="O127">
        <f t="shared" si="14"/>
        <v>0</v>
      </c>
      <c r="P127">
        <v>0.34574930489144995</v>
      </c>
      <c r="Q127">
        <f t="shared" si="15"/>
        <v>0</v>
      </c>
      <c r="R127">
        <f t="shared" si="16"/>
        <v>1</v>
      </c>
      <c r="S127">
        <f t="shared" si="17"/>
        <v>1</v>
      </c>
      <c r="T127">
        <f t="shared" si="18"/>
        <v>7356.9199999999983</v>
      </c>
      <c r="U127">
        <f t="shared" si="19"/>
        <v>-5137.4699999999984</v>
      </c>
    </row>
    <row r="128" spans="1:21" x14ac:dyDescent="0.3">
      <c r="A128">
        <v>127</v>
      </c>
      <c r="B128">
        <v>26</v>
      </c>
      <c r="C128" t="s">
        <v>10</v>
      </c>
      <c r="D128">
        <v>25.6</v>
      </c>
      <c r="E128">
        <v>86</v>
      </c>
      <c r="F128" t="s">
        <v>12</v>
      </c>
      <c r="G128">
        <v>1</v>
      </c>
      <c r="H128" t="s">
        <v>12</v>
      </c>
      <c r="I128" t="s">
        <v>14</v>
      </c>
      <c r="J128">
        <v>2221.56</v>
      </c>
      <c r="K128" t="str">
        <f t="shared" si="10"/>
        <v>25-30</v>
      </c>
      <c r="L128">
        <f t="shared" si="11"/>
        <v>0</v>
      </c>
      <c r="M128">
        <f t="shared" si="12"/>
        <v>0</v>
      </c>
      <c r="N128">
        <f t="shared" si="13"/>
        <v>0</v>
      </c>
      <c r="O128">
        <f t="shared" si="14"/>
        <v>1</v>
      </c>
      <c r="P128">
        <v>0.48450624225708205</v>
      </c>
      <c r="Q128">
        <f t="shared" si="15"/>
        <v>0</v>
      </c>
      <c r="R128">
        <f t="shared" si="16"/>
        <v>0</v>
      </c>
      <c r="S128">
        <f t="shared" si="17"/>
        <v>0</v>
      </c>
      <c r="T128">
        <f t="shared" si="18"/>
        <v>6392.7500000000009</v>
      </c>
      <c r="U128">
        <f t="shared" si="19"/>
        <v>-4171.1900000000005</v>
      </c>
    </row>
    <row r="129" spans="1:21" x14ac:dyDescent="0.3">
      <c r="A129">
        <v>128</v>
      </c>
      <c r="B129">
        <v>49</v>
      </c>
      <c r="C129" t="s">
        <v>10</v>
      </c>
      <c r="D129">
        <v>28.9</v>
      </c>
      <c r="E129">
        <v>81</v>
      </c>
      <c r="F129" t="s">
        <v>12</v>
      </c>
      <c r="G129">
        <v>0</v>
      </c>
      <c r="H129" t="s">
        <v>12</v>
      </c>
      <c r="I129" t="s">
        <v>14</v>
      </c>
      <c r="J129">
        <v>2250.84</v>
      </c>
      <c r="K129" t="str">
        <f t="shared" si="10"/>
        <v>25-30</v>
      </c>
      <c r="L129">
        <f t="shared" si="11"/>
        <v>0</v>
      </c>
      <c r="M129">
        <f t="shared" si="12"/>
        <v>0</v>
      </c>
      <c r="N129">
        <f t="shared" si="13"/>
        <v>0</v>
      </c>
      <c r="O129">
        <f t="shared" si="14"/>
        <v>1</v>
      </c>
      <c r="P129">
        <v>0.73849601147656074</v>
      </c>
      <c r="Q129">
        <f t="shared" si="15"/>
        <v>0</v>
      </c>
      <c r="R129">
        <f t="shared" si="16"/>
        <v>0</v>
      </c>
      <c r="S129">
        <f t="shared" si="17"/>
        <v>0</v>
      </c>
      <c r="T129">
        <f t="shared" si="18"/>
        <v>5109.2700000000004</v>
      </c>
      <c r="U129">
        <f t="shared" si="19"/>
        <v>-2858.4300000000003</v>
      </c>
    </row>
    <row r="130" spans="1:21" x14ac:dyDescent="0.3">
      <c r="A130">
        <v>129</v>
      </c>
      <c r="B130">
        <v>31</v>
      </c>
      <c r="C130" t="s">
        <v>10</v>
      </c>
      <c r="D130">
        <v>31.7</v>
      </c>
      <c r="E130">
        <v>90</v>
      </c>
      <c r="F130" t="s">
        <v>12</v>
      </c>
      <c r="G130">
        <v>0</v>
      </c>
      <c r="H130" t="s">
        <v>12</v>
      </c>
      <c r="I130" t="s">
        <v>14</v>
      </c>
      <c r="J130">
        <v>2254.8000000000002</v>
      </c>
      <c r="K130" t="str">
        <f t="shared" si="10"/>
        <v>30-35</v>
      </c>
      <c r="L130">
        <f t="shared" si="11"/>
        <v>0</v>
      </c>
      <c r="M130">
        <f t="shared" si="12"/>
        <v>0</v>
      </c>
      <c r="N130">
        <f t="shared" si="13"/>
        <v>0</v>
      </c>
      <c r="O130">
        <f t="shared" si="14"/>
        <v>1</v>
      </c>
      <c r="P130">
        <v>0.69493257283006826</v>
      </c>
      <c r="Q130">
        <f t="shared" si="15"/>
        <v>0</v>
      </c>
      <c r="R130">
        <f t="shared" si="16"/>
        <v>0</v>
      </c>
      <c r="S130">
        <f t="shared" si="17"/>
        <v>0</v>
      </c>
      <c r="T130">
        <f t="shared" si="18"/>
        <v>6808.0199999999995</v>
      </c>
      <c r="U130">
        <f t="shared" si="19"/>
        <v>-4553.2199999999993</v>
      </c>
    </row>
    <row r="131" spans="1:21" x14ac:dyDescent="0.3">
      <c r="A131">
        <v>130</v>
      </c>
      <c r="B131">
        <v>42</v>
      </c>
      <c r="C131" t="s">
        <v>16</v>
      </c>
      <c r="D131">
        <v>29</v>
      </c>
      <c r="E131">
        <v>81</v>
      </c>
      <c r="F131" t="s">
        <v>11</v>
      </c>
      <c r="G131">
        <v>0</v>
      </c>
      <c r="H131" t="s">
        <v>12</v>
      </c>
      <c r="I131" t="s">
        <v>14</v>
      </c>
      <c r="J131">
        <v>2257.48</v>
      </c>
      <c r="K131" t="str">
        <f t="shared" ref="K131:K194" si="20">IF(D131&lt;20, "&lt;20", IF(D131&lt;25, "20-25", IF(D131&lt;30, "25-30", IF(D131&lt;35, "30-35", "35+"))))</f>
        <v>25-30</v>
      </c>
      <c r="L131">
        <f t="shared" ref="L131:L194" si="21">D131*Q131</f>
        <v>0</v>
      </c>
      <c r="M131">
        <f t="shared" ref="M131:M194" si="22">IF(I131="southeast", 1, 0)</f>
        <v>0</v>
      </c>
      <c r="N131">
        <f t="shared" ref="N131:N194" si="23">IF(I131="southwest", 1, 0)</f>
        <v>0</v>
      </c>
      <c r="O131">
        <f t="shared" ref="O131:O194" si="24">IF(I131="northwest", 1, 0)</f>
        <v>1</v>
      </c>
      <c r="P131">
        <v>0.93224884942020569</v>
      </c>
      <c r="Q131">
        <f t="shared" ref="Q131:Q194" si="25">IF(H131="Yes", 1, 0)</f>
        <v>0</v>
      </c>
      <c r="R131">
        <f t="shared" ref="R131:R194" si="26">IF(F131="yes", 1, 0)</f>
        <v>1</v>
      </c>
      <c r="S131">
        <f t="shared" ref="S131:S194" si="27">IF(C131="female", 1, 0)</f>
        <v>1</v>
      </c>
      <c r="T131">
        <f t="shared" ref="T131:T194" si="28">-7277.71 + (-1.28*B131) + (85.5*D131) + (738.24*G131) + (159.59*E131) + (1259.19*L131) + (-3644.73*M131) + (-2956.11*N131) + (-2948.04*O131) + (-17828.85*Q131) + (-69.06*R131) + (444.95*S131)</f>
        <v>5502.67</v>
      </c>
      <c r="U131">
        <f t="shared" ref="U131:U194" si="29">J131-T131</f>
        <v>-3245.19</v>
      </c>
    </row>
    <row r="132" spans="1:21" x14ac:dyDescent="0.3">
      <c r="A132">
        <v>131</v>
      </c>
      <c r="B132">
        <v>30</v>
      </c>
      <c r="C132" t="s">
        <v>16</v>
      </c>
      <c r="D132">
        <v>31.9</v>
      </c>
      <c r="E132">
        <v>89</v>
      </c>
      <c r="F132" t="s">
        <v>12</v>
      </c>
      <c r="G132">
        <v>0</v>
      </c>
      <c r="H132" t="s">
        <v>12</v>
      </c>
      <c r="I132" t="s">
        <v>14</v>
      </c>
      <c r="J132">
        <v>2261.5700000000002</v>
      </c>
      <c r="K132" t="str">
        <f t="shared" si="20"/>
        <v>30-35</v>
      </c>
      <c r="L132">
        <f t="shared" si="21"/>
        <v>0</v>
      </c>
      <c r="M132">
        <f t="shared" si="22"/>
        <v>0</v>
      </c>
      <c r="N132">
        <f t="shared" si="23"/>
        <v>0</v>
      </c>
      <c r="O132">
        <f t="shared" si="24"/>
        <v>1</v>
      </c>
      <c r="P132">
        <v>0.49339231818038576</v>
      </c>
      <c r="Q132">
        <f t="shared" si="25"/>
        <v>0</v>
      </c>
      <c r="R132">
        <f t="shared" si="26"/>
        <v>0</v>
      </c>
      <c r="S132">
        <f t="shared" si="27"/>
        <v>1</v>
      </c>
      <c r="T132">
        <f t="shared" si="28"/>
        <v>7111.76</v>
      </c>
      <c r="U132">
        <f t="shared" si="29"/>
        <v>-4850.1900000000005</v>
      </c>
    </row>
    <row r="133" spans="1:21" x14ac:dyDescent="0.3">
      <c r="A133">
        <v>132</v>
      </c>
      <c r="B133">
        <v>45</v>
      </c>
      <c r="C133" t="s">
        <v>10</v>
      </c>
      <c r="D133">
        <v>20.8</v>
      </c>
      <c r="E133">
        <v>88</v>
      </c>
      <c r="F133" t="s">
        <v>12</v>
      </c>
      <c r="G133">
        <v>0</v>
      </c>
      <c r="H133" t="s">
        <v>12</v>
      </c>
      <c r="I133" t="s">
        <v>14</v>
      </c>
      <c r="J133">
        <v>2302.3000000000002</v>
      </c>
      <c r="K133" t="str">
        <f t="shared" si="20"/>
        <v>20-25</v>
      </c>
      <c r="L133">
        <f t="shared" si="21"/>
        <v>0</v>
      </c>
      <c r="M133">
        <f t="shared" si="22"/>
        <v>0</v>
      </c>
      <c r="N133">
        <f t="shared" si="23"/>
        <v>0</v>
      </c>
      <c r="O133">
        <f t="shared" si="24"/>
        <v>1</v>
      </c>
      <c r="P133">
        <v>0.94072711994661795</v>
      </c>
      <c r="Q133">
        <f t="shared" si="25"/>
        <v>0</v>
      </c>
      <c r="R133">
        <f t="shared" si="26"/>
        <v>0</v>
      </c>
      <c r="S133">
        <f t="shared" si="27"/>
        <v>0</v>
      </c>
      <c r="T133">
        <f t="shared" si="28"/>
        <v>5538.97</v>
      </c>
      <c r="U133">
        <f t="shared" si="29"/>
        <v>-3236.67</v>
      </c>
    </row>
    <row r="134" spans="1:21" x14ac:dyDescent="0.3">
      <c r="A134">
        <v>133</v>
      </c>
      <c r="B134">
        <v>49</v>
      </c>
      <c r="C134" t="s">
        <v>10</v>
      </c>
      <c r="D134">
        <v>26.2</v>
      </c>
      <c r="E134">
        <v>91</v>
      </c>
      <c r="F134" t="s">
        <v>12</v>
      </c>
      <c r="G134">
        <v>2</v>
      </c>
      <c r="H134" t="s">
        <v>12</v>
      </c>
      <c r="I134" t="s">
        <v>13</v>
      </c>
      <c r="J134">
        <v>2304</v>
      </c>
      <c r="K134" t="str">
        <f t="shared" si="20"/>
        <v>25-30</v>
      </c>
      <c r="L134">
        <f t="shared" si="21"/>
        <v>0</v>
      </c>
      <c r="M134">
        <f t="shared" si="22"/>
        <v>1</v>
      </c>
      <c r="N134">
        <f t="shared" si="23"/>
        <v>0</v>
      </c>
      <c r="O134">
        <f t="shared" si="24"/>
        <v>0</v>
      </c>
      <c r="P134">
        <v>0.44817037384513159</v>
      </c>
      <c r="Q134">
        <f t="shared" si="25"/>
        <v>0</v>
      </c>
      <c r="R134">
        <f t="shared" si="26"/>
        <v>0</v>
      </c>
      <c r="S134">
        <f t="shared" si="27"/>
        <v>0</v>
      </c>
      <c r="T134">
        <f t="shared" si="28"/>
        <v>7254.1100000000006</v>
      </c>
      <c r="U134">
        <f t="shared" si="29"/>
        <v>-4950.1100000000006</v>
      </c>
    </row>
    <row r="135" spans="1:21" x14ac:dyDescent="0.3">
      <c r="A135">
        <v>134</v>
      </c>
      <c r="B135">
        <v>47</v>
      </c>
      <c r="C135" t="s">
        <v>10</v>
      </c>
      <c r="D135">
        <v>35.4</v>
      </c>
      <c r="E135">
        <v>95</v>
      </c>
      <c r="F135" t="s">
        <v>12</v>
      </c>
      <c r="G135">
        <v>0</v>
      </c>
      <c r="H135" t="s">
        <v>12</v>
      </c>
      <c r="I135" t="s">
        <v>13</v>
      </c>
      <c r="J135">
        <v>2322.62</v>
      </c>
      <c r="K135" t="str">
        <f t="shared" si="20"/>
        <v>35+</v>
      </c>
      <c r="L135">
        <f t="shared" si="21"/>
        <v>0</v>
      </c>
      <c r="M135">
        <f t="shared" si="22"/>
        <v>1</v>
      </c>
      <c r="N135">
        <f t="shared" si="23"/>
        <v>0</v>
      </c>
      <c r="O135">
        <f t="shared" si="24"/>
        <v>0</v>
      </c>
      <c r="P135">
        <v>0.84714485436639275</v>
      </c>
      <c r="Q135">
        <f t="shared" si="25"/>
        <v>0</v>
      </c>
      <c r="R135">
        <f t="shared" si="26"/>
        <v>0</v>
      </c>
      <c r="S135">
        <f t="shared" si="27"/>
        <v>0</v>
      </c>
      <c r="T135">
        <f t="shared" si="28"/>
        <v>7205.1500000000015</v>
      </c>
      <c r="U135">
        <f t="shared" si="29"/>
        <v>-4882.5300000000016</v>
      </c>
    </row>
    <row r="136" spans="1:21" x14ac:dyDescent="0.3">
      <c r="A136">
        <v>135</v>
      </c>
      <c r="B136">
        <v>47</v>
      </c>
      <c r="C136" t="s">
        <v>16</v>
      </c>
      <c r="D136">
        <v>28.4</v>
      </c>
      <c r="E136">
        <v>87</v>
      </c>
      <c r="F136" t="s">
        <v>11</v>
      </c>
      <c r="G136">
        <v>1</v>
      </c>
      <c r="H136" t="s">
        <v>12</v>
      </c>
      <c r="I136" t="s">
        <v>15</v>
      </c>
      <c r="J136">
        <v>2331.52</v>
      </c>
      <c r="K136" t="str">
        <f t="shared" si="20"/>
        <v>25-30</v>
      </c>
      <c r="L136">
        <f t="shared" si="21"/>
        <v>0</v>
      </c>
      <c r="M136">
        <f t="shared" si="22"/>
        <v>0</v>
      </c>
      <c r="N136">
        <f t="shared" si="23"/>
        <v>1</v>
      </c>
      <c r="O136">
        <f t="shared" si="24"/>
        <v>0</v>
      </c>
      <c r="P136">
        <v>0.96606755134075706</v>
      </c>
      <c r="Q136">
        <f t="shared" si="25"/>
        <v>0</v>
      </c>
      <c r="R136">
        <f t="shared" si="26"/>
        <v>1</v>
      </c>
      <c r="S136">
        <f t="shared" si="27"/>
        <v>1</v>
      </c>
      <c r="T136">
        <f t="shared" si="28"/>
        <v>7132.6799999999985</v>
      </c>
      <c r="U136">
        <f t="shared" si="29"/>
        <v>-4801.159999999998</v>
      </c>
    </row>
    <row r="137" spans="1:21" x14ac:dyDescent="0.3">
      <c r="A137">
        <v>136</v>
      </c>
      <c r="B137">
        <v>29</v>
      </c>
      <c r="C137" t="s">
        <v>10</v>
      </c>
      <c r="D137">
        <v>23.7</v>
      </c>
      <c r="E137">
        <v>89</v>
      </c>
      <c r="F137" t="s">
        <v>11</v>
      </c>
      <c r="G137">
        <v>0</v>
      </c>
      <c r="H137" t="s">
        <v>12</v>
      </c>
      <c r="I137" t="s">
        <v>14</v>
      </c>
      <c r="J137">
        <v>2352.9699999999998</v>
      </c>
      <c r="K137" t="str">
        <f t="shared" si="20"/>
        <v>20-25</v>
      </c>
      <c r="L137">
        <f t="shared" si="21"/>
        <v>0</v>
      </c>
      <c r="M137">
        <f t="shared" si="22"/>
        <v>0</v>
      </c>
      <c r="N137">
        <f t="shared" si="23"/>
        <v>0</v>
      </c>
      <c r="O137">
        <f t="shared" si="24"/>
        <v>1</v>
      </c>
      <c r="P137">
        <v>5.1981070840706689E-2</v>
      </c>
      <c r="Q137">
        <f t="shared" si="25"/>
        <v>0</v>
      </c>
      <c r="R137">
        <f t="shared" si="26"/>
        <v>1</v>
      </c>
      <c r="S137">
        <f t="shared" si="27"/>
        <v>0</v>
      </c>
      <c r="T137">
        <f t="shared" si="28"/>
        <v>5897.93</v>
      </c>
      <c r="U137">
        <f t="shared" si="29"/>
        <v>-3544.9600000000005</v>
      </c>
    </row>
    <row r="138" spans="1:21" x14ac:dyDescent="0.3">
      <c r="A138">
        <v>137</v>
      </c>
      <c r="B138">
        <v>40</v>
      </c>
      <c r="C138" t="s">
        <v>10</v>
      </c>
      <c r="D138">
        <v>32.4</v>
      </c>
      <c r="E138">
        <v>81</v>
      </c>
      <c r="F138" t="s">
        <v>12</v>
      </c>
      <c r="G138">
        <v>1</v>
      </c>
      <c r="H138" t="s">
        <v>12</v>
      </c>
      <c r="I138" t="s">
        <v>14</v>
      </c>
      <c r="J138">
        <v>2362.23</v>
      </c>
      <c r="K138" t="str">
        <f t="shared" si="20"/>
        <v>30-35</v>
      </c>
      <c r="L138">
        <f t="shared" si="21"/>
        <v>0</v>
      </c>
      <c r="M138">
        <f t="shared" si="22"/>
        <v>0</v>
      </c>
      <c r="N138">
        <f t="shared" si="23"/>
        <v>0</v>
      </c>
      <c r="O138">
        <f t="shared" si="24"/>
        <v>1</v>
      </c>
      <c r="P138">
        <v>8.2945096426828235E-2</v>
      </c>
      <c r="Q138">
        <f t="shared" si="25"/>
        <v>0</v>
      </c>
      <c r="R138">
        <f t="shared" si="26"/>
        <v>0</v>
      </c>
      <c r="S138">
        <f t="shared" si="27"/>
        <v>0</v>
      </c>
      <c r="T138">
        <f t="shared" si="28"/>
        <v>6158.28</v>
      </c>
      <c r="U138">
        <f t="shared" si="29"/>
        <v>-3796.0499999999997</v>
      </c>
    </row>
    <row r="139" spans="1:21" x14ac:dyDescent="0.3">
      <c r="A139">
        <v>138</v>
      </c>
      <c r="B139">
        <v>21</v>
      </c>
      <c r="C139" t="s">
        <v>10</v>
      </c>
      <c r="D139">
        <v>23.8</v>
      </c>
      <c r="E139">
        <v>95</v>
      </c>
      <c r="F139" t="s">
        <v>11</v>
      </c>
      <c r="G139">
        <v>0</v>
      </c>
      <c r="H139" t="s">
        <v>12</v>
      </c>
      <c r="I139" t="s">
        <v>13</v>
      </c>
      <c r="J139">
        <v>2395.17</v>
      </c>
      <c r="K139" t="str">
        <f t="shared" si="20"/>
        <v>20-25</v>
      </c>
      <c r="L139">
        <f t="shared" si="21"/>
        <v>0</v>
      </c>
      <c r="M139">
        <f t="shared" si="22"/>
        <v>1</v>
      </c>
      <c r="N139">
        <f t="shared" si="23"/>
        <v>0</v>
      </c>
      <c r="O139">
        <f t="shared" si="24"/>
        <v>0</v>
      </c>
      <c r="P139">
        <v>0.80855538455537834</v>
      </c>
      <c r="Q139">
        <f t="shared" si="25"/>
        <v>0</v>
      </c>
      <c r="R139">
        <f t="shared" si="26"/>
        <v>1</v>
      </c>
      <c r="S139">
        <f t="shared" si="27"/>
        <v>0</v>
      </c>
      <c r="T139">
        <f t="shared" si="28"/>
        <v>6177.5700000000006</v>
      </c>
      <c r="U139">
        <f t="shared" si="29"/>
        <v>-3782.4000000000005</v>
      </c>
    </row>
    <row r="140" spans="1:21" x14ac:dyDescent="0.3">
      <c r="A140">
        <v>139</v>
      </c>
      <c r="B140">
        <v>32</v>
      </c>
      <c r="C140" t="s">
        <v>10</v>
      </c>
      <c r="D140">
        <v>24.5</v>
      </c>
      <c r="E140">
        <v>90</v>
      </c>
      <c r="F140" t="s">
        <v>11</v>
      </c>
      <c r="G140">
        <v>0</v>
      </c>
      <c r="H140" t="s">
        <v>12</v>
      </c>
      <c r="I140" t="s">
        <v>13</v>
      </c>
      <c r="J140">
        <v>2396.1</v>
      </c>
      <c r="K140" t="str">
        <f t="shared" si="20"/>
        <v>20-25</v>
      </c>
      <c r="L140">
        <f t="shared" si="21"/>
        <v>0</v>
      </c>
      <c r="M140">
        <f t="shared" si="22"/>
        <v>1</v>
      </c>
      <c r="N140">
        <f t="shared" si="23"/>
        <v>0</v>
      </c>
      <c r="O140">
        <f t="shared" si="24"/>
        <v>0</v>
      </c>
      <c r="P140">
        <v>0.4725575772325511</v>
      </c>
      <c r="Q140">
        <f t="shared" si="25"/>
        <v>0</v>
      </c>
      <c r="R140">
        <f t="shared" si="26"/>
        <v>1</v>
      </c>
      <c r="S140">
        <f t="shared" si="27"/>
        <v>0</v>
      </c>
      <c r="T140">
        <f t="shared" si="28"/>
        <v>5425.39</v>
      </c>
      <c r="U140">
        <f t="shared" si="29"/>
        <v>-3029.2900000000004</v>
      </c>
    </row>
    <row r="141" spans="1:21" x14ac:dyDescent="0.3">
      <c r="A141">
        <v>140</v>
      </c>
      <c r="B141">
        <v>26</v>
      </c>
      <c r="C141" t="s">
        <v>16</v>
      </c>
      <c r="D141">
        <v>35.700000000000003</v>
      </c>
      <c r="E141">
        <v>90</v>
      </c>
      <c r="F141" t="s">
        <v>11</v>
      </c>
      <c r="G141">
        <v>0</v>
      </c>
      <c r="H141" t="s">
        <v>12</v>
      </c>
      <c r="I141" t="s">
        <v>14</v>
      </c>
      <c r="J141">
        <v>2404.73</v>
      </c>
      <c r="K141" t="str">
        <f t="shared" si="20"/>
        <v>35+</v>
      </c>
      <c r="L141">
        <f t="shared" si="21"/>
        <v>0</v>
      </c>
      <c r="M141">
        <f t="shared" si="22"/>
        <v>0</v>
      </c>
      <c r="N141">
        <f t="shared" si="23"/>
        <v>0</v>
      </c>
      <c r="O141">
        <f t="shared" si="24"/>
        <v>1</v>
      </c>
      <c r="P141">
        <v>0.54997162500488228</v>
      </c>
      <c r="Q141">
        <f t="shared" si="25"/>
        <v>0</v>
      </c>
      <c r="R141">
        <f t="shared" si="26"/>
        <v>1</v>
      </c>
      <c r="S141">
        <f t="shared" si="27"/>
        <v>1</v>
      </c>
      <c r="T141">
        <f t="shared" si="28"/>
        <v>7532.31</v>
      </c>
      <c r="U141">
        <f t="shared" si="29"/>
        <v>-5127.58</v>
      </c>
    </row>
    <row r="142" spans="1:21" x14ac:dyDescent="0.3">
      <c r="A142">
        <v>141</v>
      </c>
      <c r="B142">
        <v>47</v>
      </c>
      <c r="C142" t="s">
        <v>10</v>
      </c>
      <c r="D142">
        <v>35.200000000000003</v>
      </c>
      <c r="E142">
        <v>80</v>
      </c>
      <c r="F142" t="s">
        <v>12</v>
      </c>
      <c r="G142">
        <v>1</v>
      </c>
      <c r="H142" t="s">
        <v>12</v>
      </c>
      <c r="I142" t="s">
        <v>15</v>
      </c>
      <c r="J142">
        <v>2416.96</v>
      </c>
      <c r="K142" t="str">
        <f t="shared" si="20"/>
        <v>35+</v>
      </c>
      <c r="L142">
        <f t="shared" si="21"/>
        <v>0</v>
      </c>
      <c r="M142">
        <f t="shared" si="22"/>
        <v>0</v>
      </c>
      <c r="N142">
        <f t="shared" si="23"/>
        <v>1</v>
      </c>
      <c r="O142">
        <f t="shared" si="24"/>
        <v>0</v>
      </c>
      <c r="P142">
        <v>0.8060976057337218</v>
      </c>
      <c r="Q142">
        <f t="shared" si="25"/>
        <v>0</v>
      </c>
      <c r="R142">
        <f t="shared" si="26"/>
        <v>0</v>
      </c>
      <c r="S142">
        <f t="shared" si="27"/>
        <v>0</v>
      </c>
      <c r="T142">
        <f t="shared" si="28"/>
        <v>6221.0600000000013</v>
      </c>
      <c r="U142">
        <f t="shared" si="29"/>
        <v>-3804.1000000000013</v>
      </c>
    </row>
    <row r="143" spans="1:21" x14ac:dyDescent="0.3">
      <c r="A143">
        <v>142</v>
      </c>
      <c r="B143">
        <v>46</v>
      </c>
      <c r="C143" t="s">
        <v>10</v>
      </c>
      <c r="D143">
        <v>50.4</v>
      </c>
      <c r="E143">
        <v>89</v>
      </c>
      <c r="F143" t="s">
        <v>11</v>
      </c>
      <c r="G143">
        <v>1</v>
      </c>
      <c r="H143" t="s">
        <v>12</v>
      </c>
      <c r="I143" t="s">
        <v>13</v>
      </c>
      <c r="J143">
        <v>2438.06</v>
      </c>
      <c r="K143" t="str">
        <f t="shared" si="20"/>
        <v>35+</v>
      </c>
      <c r="L143">
        <f t="shared" si="21"/>
        <v>0</v>
      </c>
      <c r="M143">
        <f t="shared" si="22"/>
        <v>1</v>
      </c>
      <c r="N143">
        <f t="shared" si="23"/>
        <v>0</v>
      </c>
      <c r="O143">
        <f t="shared" si="24"/>
        <v>0</v>
      </c>
      <c r="P143">
        <v>7.6238901257465908E-2</v>
      </c>
      <c r="Q143">
        <f t="shared" si="25"/>
        <v>0</v>
      </c>
      <c r="R143">
        <f t="shared" si="26"/>
        <v>1</v>
      </c>
      <c r="S143">
        <f t="shared" si="27"/>
        <v>0</v>
      </c>
      <c r="T143">
        <f t="shared" si="28"/>
        <v>8200.5700000000015</v>
      </c>
      <c r="U143">
        <f t="shared" si="29"/>
        <v>-5762.510000000002</v>
      </c>
    </row>
    <row r="144" spans="1:21" x14ac:dyDescent="0.3">
      <c r="A144">
        <v>143</v>
      </c>
      <c r="B144">
        <v>44</v>
      </c>
      <c r="C144" t="s">
        <v>16</v>
      </c>
      <c r="D144">
        <v>28.8</v>
      </c>
      <c r="E144">
        <v>94</v>
      </c>
      <c r="F144" t="s">
        <v>11</v>
      </c>
      <c r="G144">
        <v>0</v>
      </c>
      <c r="H144" t="s">
        <v>12</v>
      </c>
      <c r="I144" t="s">
        <v>13</v>
      </c>
      <c r="J144">
        <v>2457.21</v>
      </c>
      <c r="K144" t="str">
        <f t="shared" si="20"/>
        <v>25-30</v>
      </c>
      <c r="L144">
        <f t="shared" si="21"/>
        <v>0</v>
      </c>
      <c r="M144">
        <f t="shared" si="22"/>
        <v>1</v>
      </c>
      <c r="N144">
        <f t="shared" si="23"/>
        <v>0</v>
      </c>
      <c r="O144">
        <f t="shared" si="24"/>
        <v>0</v>
      </c>
      <c r="P144">
        <v>0.55284901497639238</v>
      </c>
      <c r="Q144">
        <f t="shared" si="25"/>
        <v>0</v>
      </c>
      <c r="R144">
        <f t="shared" si="26"/>
        <v>1</v>
      </c>
      <c r="S144">
        <f t="shared" si="27"/>
        <v>1</v>
      </c>
      <c r="T144">
        <f t="shared" si="28"/>
        <v>6860.9900000000016</v>
      </c>
      <c r="U144">
        <f t="shared" si="29"/>
        <v>-4403.7800000000016</v>
      </c>
    </row>
    <row r="145" spans="1:21" x14ac:dyDescent="0.3">
      <c r="A145">
        <v>144</v>
      </c>
      <c r="B145">
        <v>41</v>
      </c>
      <c r="C145" t="s">
        <v>16</v>
      </c>
      <c r="D145">
        <v>22.6</v>
      </c>
      <c r="E145">
        <v>91</v>
      </c>
      <c r="F145" t="s">
        <v>11</v>
      </c>
      <c r="G145">
        <v>0</v>
      </c>
      <c r="H145" t="s">
        <v>12</v>
      </c>
      <c r="I145" t="s">
        <v>15</v>
      </c>
      <c r="J145">
        <v>2457.5</v>
      </c>
      <c r="K145" t="str">
        <f t="shared" si="20"/>
        <v>20-25</v>
      </c>
      <c r="L145">
        <f t="shared" si="21"/>
        <v>0</v>
      </c>
      <c r="M145">
        <f t="shared" si="22"/>
        <v>0</v>
      </c>
      <c r="N145">
        <f t="shared" si="23"/>
        <v>1</v>
      </c>
      <c r="O145">
        <f t="shared" si="24"/>
        <v>0</v>
      </c>
      <c r="P145">
        <v>0.74066166162785618</v>
      </c>
      <c r="Q145">
        <f t="shared" si="25"/>
        <v>0</v>
      </c>
      <c r="R145">
        <f t="shared" si="26"/>
        <v>1</v>
      </c>
      <c r="S145">
        <f t="shared" si="27"/>
        <v>1</v>
      </c>
      <c r="T145">
        <f t="shared" si="28"/>
        <v>6544.58</v>
      </c>
      <c r="U145">
        <f t="shared" si="29"/>
        <v>-4087.08</v>
      </c>
    </row>
    <row r="146" spans="1:21" x14ac:dyDescent="0.3">
      <c r="A146">
        <v>145</v>
      </c>
      <c r="B146">
        <v>37</v>
      </c>
      <c r="C146" t="s">
        <v>16</v>
      </c>
      <c r="D146">
        <v>30.6</v>
      </c>
      <c r="E146">
        <v>96</v>
      </c>
      <c r="F146" t="s">
        <v>11</v>
      </c>
      <c r="G146">
        <v>0</v>
      </c>
      <c r="H146" t="s">
        <v>12</v>
      </c>
      <c r="I146" t="s">
        <v>13</v>
      </c>
      <c r="J146">
        <v>2459.7199999999998</v>
      </c>
      <c r="K146" t="str">
        <f t="shared" si="20"/>
        <v>30-35</v>
      </c>
      <c r="L146">
        <f t="shared" si="21"/>
        <v>0</v>
      </c>
      <c r="M146">
        <f t="shared" si="22"/>
        <v>1</v>
      </c>
      <c r="N146">
        <f t="shared" si="23"/>
        <v>0</v>
      </c>
      <c r="O146">
        <f t="shared" si="24"/>
        <v>0</v>
      </c>
      <c r="P146">
        <v>0.47684368574699709</v>
      </c>
      <c r="Q146">
        <f t="shared" si="25"/>
        <v>0</v>
      </c>
      <c r="R146">
        <f t="shared" si="26"/>
        <v>1</v>
      </c>
      <c r="S146">
        <f t="shared" si="27"/>
        <v>1</v>
      </c>
      <c r="T146">
        <f t="shared" si="28"/>
        <v>7343.0299999999988</v>
      </c>
      <c r="U146">
        <f t="shared" si="29"/>
        <v>-4883.3099999999995</v>
      </c>
    </row>
    <row r="147" spans="1:21" x14ac:dyDescent="0.3">
      <c r="A147">
        <v>146</v>
      </c>
      <c r="B147">
        <v>29</v>
      </c>
      <c r="C147" t="s">
        <v>16</v>
      </c>
      <c r="D147">
        <v>27.7</v>
      </c>
      <c r="E147">
        <v>80</v>
      </c>
      <c r="F147" t="s">
        <v>11</v>
      </c>
      <c r="G147">
        <v>0</v>
      </c>
      <c r="H147" t="s">
        <v>12</v>
      </c>
      <c r="I147" t="s">
        <v>13</v>
      </c>
      <c r="J147">
        <v>2464.62</v>
      </c>
      <c r="K147" t="str">
        <f t="shared" si="20"/>
        <v>25-30</v>
      </c>
      <c r="L147">
        <f t="shared" si="21"/>
        <v>0</v>
      </c>
      <c r="M147">
        <f t="shared" si="22"/>
        <v>1</v>
      </c>
      <c r="N147">
        <f t="shared" si="23"/>
        <v>0</v>
      </c>
      <c r="O147">
        <f t="shared" si="24"/>
        <v>0</v>
      </c>
      <c r="P147">
        <v>0.34337383796364507</v>
      </c>
      <c r="Q147">
        <f t="shared" si="25"/>
        <v>0</v>
      </c>
      <c r="R147">
        <f t="shared" si="26"/>
        <v>1</v>
      </c>
      <c r="S147">
        <f t="shared" si="27"/>
        <v>1</v>
      </c>
      <c r="T147">
        <f t="shared" si="28"/>
        <v>4551.880000000001</v>
      </c>
      <c r="U147">
        <f t="shared" si="29"/>
        <v>-2087.2600000000011</v>
      </c>
    </row>
    <row r="148" spans="1:21" x14ac:dyDescent="0.3">
      <c r="A148">
        <v>147</v>
      </c>
      <c r="B148">
        <v>47</v>
      </c>
      <c r="C148" t="s">
        <v>16</v>
      </c>
      <c r="D148">
        <v>34</v>
      </c>
      <c r="E148">
        <v>84</v>
      </c>
      <c r="F148" t="s">
        <v>12</v>
      </c>
      <c r="G148">
        <v>0</v>
      </c>
      <c r="H148" t="s">
        <v>12</v>
      </c>
      <c r="I148" t="s">
        <v>13</v>
      </c>
      <c r="J148">
        <v>2473.33</v>
      </c>
      <c r="K148" t="str">
        <f t="shared" si="20"/>
        <v>30-35</v>
      </c>
      <c r="L148">
        <f t="shared" si="21"/>
        <v>0</v>
      </c>
      <c r="M148">
        <f t="shared" si="22"/>
        <v>1</v>
      </c>
      <c r="N148">
        <f t="shared" si="23"/>
        <v>0</v>
      </c>
      <c r="O148">
        <f t="shared" si="24"/>
        <v>0</v>
      </c>
      <c r="P148">
        <v>0.70002988240724051</v>
      </c>
      <c r="Q148">
        <f t="shared" si="25"/>
        <v>0</v>
      </c>
      <c r="R148">
        <f t="shared" si="26"/>
        <v>0</v>
      </c>
      <c r="S148">
        <f t="shared" si="27"/>
        <v>1</v>
      </c>
      <c r="T148">
        <f t="shared" si="28"/>
        <v>5774.9099999999989</v>
      </c>
      <c r="U148">
        <f t="shared" si="29"/>
        <v>-3301.579999999999</v>
      </c>
    </row>
    <row r="149" spans="1:21" x14ac:dyDescent="0.3">
      <c r="A149">
        <v>148</v>
      </c>
      <c r="B149">
        <v>35</v>
      </c>
      <c r="C149" t="s">
        <v>16</v>
      </c>
      <c r="D149">
        <v>39.5</v>
      </c>
      <c r="E149">
        <v>82</v>
      </c>
      <c r="F149" t="s">
        <v>11</v>
      </c>
      <c r="G149">
        <v>0</v>
      </c>
      <c r="H149" t="s">
        <v>12</v>
      </c>
      <c r="I149" t="s">
        <v>13</v>
      </c>
      <c r="J149">
        <v>2480.98</v>
      </c>
      <c r="K149" t="str">
        <f t="shared" si="20"/>
        <v>35+</v>
      </c>
      <c r="L149">
        <f t="shared" si="21"/>
        <v>0</v>
      </c>
      <c r="M149">
        <f t="shared" si="22"/>
        <v>1</v>
      </c>
      <c r="N149">
        <f t="shared" si="23"/>
        <v>0</v>
      </c>
      <c r="O149">
        <f t="shared" si="24"/>
        <v>0</v>
      </c>
      <c r="P149">
        <v>0.1386027243933865</v>
      </c>
      <c r="Q149">
        <f t="shared" si="25"/>
        <v>0</v>
      </c>
      <c r="R149">
        <f t="shared" si="26"/>
        <v>1</v>
      </c>
      <c r="S149">
        <f t="shared" si="27"/>
        <v>1</v>
      </c>
      <c r="T149">
        <f t="shared" si="28"/>
        <v>5872.2800000000007</v>
      </c>
      <c r="U149">
        <f t="shared" si="29"/>
        <v>-3391.3000000000006</v>
      </c>
    </row>
    <row r="150" spans="1:21" x14ac:dyDescent="0.3">
      <c r="A150">
        <v>149</v>
      </c>
      <c r="B150">
        <v>48</v>
      </c>
      <c r="C150" t="s">
        <v>10</v>
      </c>
      <c r="D150">
        <v>23.1</v>
      </c>
      <c r="E150">
        <v>91</v>
      </c>
      <c r="F150" t="s">
        <v>11</v>
      </c>
      <c r="G150">
        <v>0</v>
      </c>
      <c r="H150" t="s">
        <v>12</v>
      </c>
      <c r="I150" t="s">
        <v>13</v>
      </c>
      <c r="J150">
        <v>2483.7399999999998</v>
      </c>
      <c r="K150" t="str">
        <f t="shared" si="20"/>
        <v>20-25</v>
      </c>
      <c r="L150">
        <f t="shared" si="21"/>
        <v>0</v>
      </c>
      <c r="M150">
        <f t="shared" si="22"/>
        <v>1</v>
      </c>
      <c r="N150">
        <f t="shared" si="23"/>
        <v>0</v>
      </c>
      <c r="O150">
        <f t="shared" si="24"/>
        <v>0</v>
      </c>
      <c r="P150">
        <v>0.92118702614260262</v>
      </c>
      <c r="Q150">
        <f t="shared" si="25"/>
        <v>0</v>
      </c>
      <c r="R150">
        <f t="shared" si="26"/>
        <v>1</v>
      </c>
      <c r="S150">
        <f t="shared" si="27"/>
        <v>0</v>
      </c>
      <c r="T150">
        <f t="shared" si="28"/>
        <v>5444.8</v>
      </c>
      <c r="U150">
        <f t="shared" si="29"/>
        <v>-2961.0600000000004</v>
      </c>
    </row>
    <row r="151" spans="1:21" x14ac:dyDescent="0.3">
      <c r="A151">
        <v>150</v>
      </c>
      <c r="B151">
        <v>22</v>
      </c>
      <c r="C151" t="s">
        <v>10</v>
      </c>
      <c r="D151">
        <v>30.5</v>
      </c>
      <c r="E151">
        <v>82</v>
      </c>
      <c r="F151" t="s">
        <v>12</v>
      </c>
      <c r="G151">
        <v>0</v>
      </c>
      <c r="H151" t="s">
        <v>12</v>
      </c>
      <c r="I151" t="s">
        <v>15</v>
      </c>
      <c r="J151">
        <v>2494.02</v>
      </c>
      <c r="K151" t="str">
        <f t="shared" si="20"/>
        <v>30-35</v>
      </c>
      <c r="L151">
        <f t="shared" si="21"/>
        <v>0</v>
      </c>
      <c r="M151">
        <f t="shared" si="22"/>
        <v>0</v>
      </c>
      <c r="N151">
        <f t="shared" si="23"/>
        <v>1</v>
      </c>
      <c r="O151">
        <f t="shared" si="24"/>
        <v>0</v>
      </c>
      <c r="P151">
        <v>0.33903340613784771</v>
      </c>
      <c r="Q151">
        <f t="shared" si="25"/>
        <v>0</v>
      </c>
      <c r="R151">
        <f t="shared" si="26"/>
        <v>0</v>
      </c>
      <c r="S151">
        <f t="shared" si="27"/>
        <v>0</v>
      </c>
      <c r="T151">
        <f t="shared" si="28"/>
        <v>5432.1500000000015</v>
      </c>
      <c r="U151">
        <f t="shared" si="29"/>
        <v>-2938.1300000000015</v>
      </c>
    </row>
    <row r="152" spans="1:21" x14ac:dyDescent="0.3">
      <c r="A152">
        <v>151</v>
      </c>
      <c r="B152">
        <v>41</v>
      </c>
      <c r="C152" t="s">
        <v>10</v>
      </c>
      <c r="D152">
        <v>32.700000000000003</v>
      </c>
      <c r="E152">
        <v>93</v>
      </c>
      <c r="F152" t="s">
        <v>12</v>
      </c>
      <c r="G152">
        <v>0</v>
      </c>
      <c r="H152" t="s">
        <v>12</v>
      </c>
      <c r="I152" t="s">
        <v>13</v>
      </c>
      <c r="J152">
        <v>2497.04</v>
      </c>
      <c r="K152" t="str">
        <f t="shared" si="20"/>
        <v>30-35</v>
      </c>
      <c r="L152">
        <f t="shared" si="21"/>
        <v>0</v>
      </c>
      <c r="M152">
        <f t="shared" si="22"/>
        <v>1</v>
      </c>
      <c r="N152">
        <f t="shared" si="23"/>
        <v>0</v>
      </c>
      <c r="O152">
        <f t="shared" si="24"/>
        <v>0</v>
      </c>
      <c r="P152">
        <v>0.64107226817314789</v>
      </c>
      <c r="Q152">
        <f t="shared" si="25"/>
        <v>0</v>
      </c>
      <c r="R152">
        <f t="shared" si="26"/>
        <v>0</v>
      </c>
      <c r="S152">
        <f t="shared" si="27"/>
        <v>0</v>
      </c>
      <c r="T152">
        <f t="shared" si="28"/>
        <v>6662.8000000000029</v>
      </c>
      <c r="U152">
        <f t="shared" si="29"/>
        <v>-4165.7600000000029</v>
      </c>
    </row>
    <row r="153" spans="1:21" x14ac:dyDescent="0.3">
      <c r="A153">
        <v>152</v>
      </c>
      <c r="B153">
        <v>26</v>
      </c>
      <c r="C153" t="s">
        <v>10</v>
      </c>
      <c r="D153">
        <v>33.700000000000003</v>
      </c>
      <c r="E153">
        <v>99</v>
      </c>
      <c r="F153" t="s">
        <v>12</v>
      </c>
      <c r="G153">
        <v>0</v>
      </c>
      <c r="H153" t="s">
        <v>12</v>
      </c>
      <c r="I153" t="s">
        <v>13</v>
      </c>
      <c r="J153">
        <v>2498.41</v>
      </c>
      <c r="K153" t="str">
        <f t="shared" si="20"/>
        <v>30-35</v>
      </c>
      <c r="L153">
        <f t="shared" si="21"/>
        <v>0</v>
      </c>
      <c r="M153">
        <f t="shared" si="22"/>
        <v>1</v>
      </c>
      <c r="N153">
        <f t="shared" si="23"/>
        <v>0</v>
      </c>
      <c r="O153">
        <f t="shared" si="24"/>
        <v>0</v>
      </c>
      <c r="P153">
        <v>0.90291371927632258</v>
      </c>
      <c r="Q153">
        <f t="shared" si="25"/>
        <v>0</v>
      </c>
      <c r="R153">
        <f t="shared" si="26"/>
        <v>0</v>
      </c>
      <c r="S153">
        <f t="shared" si="27"/>
        <v>0</v>
      </c>
      <c r="T153">
        <f t="shared" si="28"/>
        <v>7725.0400000000009</v>
      </c>
      <c r="U153">
        <f t="shared" si="29"/>
        <v>-5226.630000000001</v>
      </c>
    </row>
    <row r="154" spans="1:21" x14ac:dyDescent="0.3">
      <c r="A154">
        <v>153</v>
      </c>
      <c r="B154">
        <v>18</v>
      </c>
      <c r="C154" t="s">
        <v>10</v>
      </c>
      <c r="D154">
        <v>27.6</v>
      </c>
      <c r="E154">
        <v>94</v>
      </c>
      <c r="F154" t="s">
        <v>11</v>
      </c>
      <c r="G154">
        <v>0</v>
      </c>
      <c r="H154" t="s">
        <v>12</v>
      </c>
      <c r="I154" t="s">
        <v>14</v>
      </c>
      <c r="J154">
        <v>2523.17</v>
      </c>
      <c r="K154" t="str">
        <f t="shared" si="20"/>
        <v>25-30</v>
      </c>
      <c r="L154">
        <f t="shared" si="21"/>
        <v>0</v>
      </c>
      <c r="M154">
        <f t="shared" si="22"/>
        <v>0</v>
      </c>
      <c r="N154">
        <f t="shared" si="23"/>
        <v>0</v>
      </c>
      <c r="O154">
        <f t="shared" si="24"/>
        <v>1</v>
      </c>
      <c r="P154">
        <v>0.96903456235014862</v>
      </c>
      <c r="Q154">
        <f t="shared" si="25"/>
        <v>0</v>
      </c>
      <c r="R154">
        <f t="shared" si="26"/>
        <v>1</v>
      </c>
      <c r="S154">
        <f t="shared" si="27"/>
        <v>0</v>
      </c>
      <c r="T154">
        <f t="shared" si="28"/>
        <v>7043.4100000000017</v>
      </c>
      <c r="U154">
        <f t="shared" si="29"/>
        <v>-4520.2400000000016</v>
      </c>
    </row>
    <row r="155" spans="1:21" x14ac:dyDescent="0.3">
      <c r="A155">
        <v>154</v>
      </c>
      <c r="B155">
        <v>28</v>
      </c>
      <c r="C155" t="s">
        <v>16</v>
      </c>
      <c r="D155">
        <v>20.2</v>
      </c>
      <c r="E155">
        <v>82</v>
      </c>
      <c r="F155" t="s">
        <v>12</v>
      </c>
      <c r="G155">
        <v>0</v>
      </c>
      <c r="H155" t="s">
        <v>12</v>
      </c>
      <c r="I155" t="s">
        <v>14</v>
      </c>
      <c r="J155">
        <v>2527.8200000000002</v>
      </c>
      <c r="K155" t="str">
        <f t="shared" si="20"/>
        <v>20-25</v>
      </c>
      <c r="L155">
        <f t="shared" si="21"/>
        <v>0</v>
      </c>
      <c r="M155">
        <f t="shared" si="22"/>
        <v>0</v>
      </c>
      <c r="N155">
        <f t="shared" si="23"/>
        <v>0</v>
      </c>
      <c r="O155">
        <f t="shared" si="24"/>
        <v>1</v>
      </c>
      <c r="P155">
        <v>5.1603474680423256E-2</v>
      </c>
      <c r="Q155">
        <f t="shared" si="25"/>
        <v>0</v>
      </c>
      <c r="R155">
        <f t="shared" si="26"/>
        <v>0</v>
      </c>
      <c r="S155">
        <f t="shared" si="27"/>
        <v>1</v>
      </c>
      <c r="T155">
        <f t="shared" si="28"/>
        <v>4996.84</v>
      </c>
      <c r="U155">
        <f t="shared" si="29"/>
        <v>-2469.02</v>
      </c>
    </row>
    <row r="156" spans="1:21" x14ac:dyDescent="0.3">
      <c r="A156">
        <v>155</v>
      </c>
      <c r="B156">
        <v>33</v>
      </c>
      <c r="C156" t="s">
        <v>10</v>
      </c>
      <c r="D156">
        <v>35.6</v>
      </c>
      <c r="E156">
        <v>98</v>
      </c>
      <c r="F156" t="s">
        <v>12</v>
      </c>
      <c r="G156">
        <v>0</v>
      </c>
      <c r="H156" t="s">
        <v>12</v>
      </c>
      <c r="I156" t="s">
        <v>14</v>
      </c>
      <c r="J156">
        <v>2534.39</v>
      </c>
      <c r="K156" t="str">
        <f t="shared" si="20"/>
        <v>35+</v>
      </c>
      <c r="L156">
        <f t="shared" si="21"/>
        <v>0</v>
      </c>
      <c r="M156">
        <f t="shared" si="22"/>
        <v>0</v>
      </c>
      <c r="N156">
        <f t="shared" si="23"/>
        <v>0</v>
      </c>
      <c r="O156">
        <f t="shared" si="24"/>
        <v>1</v>
      </c>
      <c r="P156">
        <v>0.4435545320548222</v>
      </c>
      <c r="Q156">
        <f t="shared" si="25"/>
        <v>0</v>
      </c>
      <c r="R156">
        <f t="shared" si="26"/>
        <v>0</v>
      </c>
      <c r="S156">
        <f t="shared" si="27"/>
        <v>0</v>
      </c>
      <c r="T156">
        <f t="shared" si="28"/>
        <v>8415.630000000001</v>
      </c>
      <c r="U156">
        <f t="shared" si="29"/>
        <v>-5881.2400000000016</v>
      </c>
    </row>
    <row r="157" spans="1:21" x14ac:dyDescent="0.3">
      <c r="A157">
        <v>156</v>
      </c>
      <c r="B157">
        <v>49</v>
      </c>
      <c r="C157" t="s">
        <v>10</v>
      </c>
      <c r="D157">
        <v>31.1</v>
      </c>
      <c r="E157">
        <v>88</v>
      </c>
      <c r="F157" t="s">
        <v>11</v>
      </c>
      <c r="G157">
        <v>2</v>
      </c>
      <c r="H157" t="s">
        <v>12</v>
      </c>
      <c r="I157" t="s">
        <v>13</v>
      </c>
      <c r="J157">
        <v>2566.4699999999998</v>
      </c>
      <c r="K157" t="str">
        <f t="shared" si="20"/>
        <v>30-35</v>
      </c>
      <c r="L157">
        <f t="shared" si="21"/>
        <v>0</v>
      </c>
      <c r="M157">
        <f t="shared" si="22"/>
        <v>1</v>
      </c>
      <c r="N157">
        <f t="shared" si="23"/>
        <v>0</v>
      </c>
      <c r="O157">
        <f t="shared" si="24"/>
        <v>0</v>
      </c>
      <c r="P157">
        <v>0.74510163566453624</v>
      </c>
      <c r="Q157">
        <f t="shared" si="25"/>
        <v>0</v>
      </c>
      <c r="R157">
        <f t="shared" si="26"/>
        <v>1</v>
      </c>
      <c r="S157">
        <f t="shared" si="27"/>
        <v>0</v>
      </c>
      <c r="T157">
        <f t="shared" si="28"/>
        <v>7125.2300000000005</v>
      </c>
      <c r="U157">
        <f t="shared" si="29"/>
        <v>-4558.76</v>
      </c>
    </row>
    <row r="158" spans="1:21" x14ac:dyDescent="0.3">
      <c r="A158">
        <v>157</v>
      </c>
      <c r="B158">
        <v>33</v>
      </c>
      <c r="C158" t="s">
        <v>16</v>
      </c>
      <c r="D158">
        <v>17.399999999999999</v>
      </c>
      <c r="E158">
        <v>87</v>
      </c>
      <c r="F158" t="s">
        <v>12</v>
      </c>
      <c r="G158">
        <v>1</v>
      </c>
      <c r="H158" t="s">
        <v>12</v>
      </c>
      <c r="I158" t="s">
        <v>15</v>
      </c>
      <c r="J158">
        <v>2585.27</v>
      </c>
      <c r="K158" t="str">
        <f t="shared" si="20"/>
        <v>&lt;20</v>
      </c>
      <c r="L158">
        <f t="shared" si="21"/>
        <v>0</v>
      </c>
      <c r="M158">
        <f t="shared" si="22"/>
        <v>0</v>
      </c>
      <c r="N158">
        <f t="shared" si="23"/>
        <v>1</v>
      </c>
      <c r="O158">
        <f t="shared" si="24"/>
        <v>0</v>
      </c>
      <c r="P158">
        <v>0.73338216033803372</v>
      </c>
      <c r="Q158">
        <f t="shared" si="25"/>
        <v>0</v>
      </c>
      <c r="R158">
        <f t="shared" si="26"/>
        <v>0</v>
      </c>
      <c r="S158">
        <f t="shared" si="27"/>
        <v>1</v>
      </c>
      <c r="T158">
        <f t="shared" si="28"/>
        <v>6279.1599999999989</v>
      </c>
      <c r="U158">
        <f t="shared" si="29"/>
        <v>-3693.889999999999</v>
      </c>
    </row>
    <row r="159" spans="1:21" x14ac:dyDescent="0.3">
      <c r="A159">
        <v>158</v>
      </c>
      <c r="B159">
        <v>43</v>
      </c>
      <c r="C159" t="s">
        <v>16</v>
      </c>
      <c r="D159">
        <v>22.1</v>
      </c>
      <c r="E159">
        <v>82</v>
      </c>
      <c r="F159" t="s">
        <v>11</v>
      </c>
      <c r="G159">
        <v>0</v>
      </c>
      <c r="H159" t="s">
        <v>12</v>
      </c>
      <c r="I159" t="s">
        <v>13</v>
      </c>
      <c r="J159">
        <v>2585.85</v>
      </c>
      <c r="K159" t="str">
        <f t="shared" si="20"/>
        <v>20-25</v>
      </c>
      <c r="L159">
        <f t="shared" si="21"/>
        <v>0</v>
      </c>
      <c r="M159">
        <f t="shared" si="22"/>
        <v>1</v>
      </c>
      <c r="N159">
        <f t="shared" si="23"/>
        <v>0</v>
      </c>
      <c r="O159">
        <f t="shared" si="24"/>
        <v>0</v>
      </c>
      <c r="P159">
        <v>0.49270141509172594</v>
      </c>
      <c r="Q159">
        <f t="shared" si="25"/>
        <v>0</v>
      </c>
      <c r="R159">
        <f t="shared" si="26"/>
        <v>1</v>
      </c>
      <c r="S159">
        <f t="shared" si="27"/>
        <v>1</v>
      </c>
      <c r="T159">
        <f t="shared" si="28"/>
        <v>4374.3400000000011</v>
      </c>
      <c r="U159">
        <f t="shared" si="29"/>
        <v>-1788.4900000000011</v>
      </c>
    </row>
    <row r="160" spans="1:21" x14ac:dyDescent="0.3">
      <c r="A160">
        <v>159</v>
      </c>
      <c r="B160">
        <v>57</v>
      </c>
      <c r="C160" t="s">
        <v>16</v>
      </c>
      <c r="D160">
        <v>26.4</v>
      </c>
      <c r="E160">
        <v>86</v>
      </c>
      <c r="F160" t="s">
        <v>12</v>
      </c>
      <c r="G160">
        <v>1</v>
      </c>
      <c r="H160" t="s">
        <v>12</v>
      </c>
      <c r="I160" t="s">
        <v>15</v>
      </c>
      <c r="J160">
        <v>2597.7800000000002</v>
      </c>
      <c r="K160" t="str">
        <f t="shared" si="20"/>
        <v>25-30</v>
      </c>
      <c r="L160">
        <f t="shared" si="21"/>
        <v>0</v>
      </c>
      <c r="M160">
        <f t="shared" si="22"/>
        <v>0</v>
      </c>
      <c r="N160">
        <f t="shared" si="23"/>
        <v>1</v>
      </c>
      <c r="O160">
        <f t="shared" si="24"/>
        <v>0</v>
      </c>
      <c r="P160">
        <v>0.19277361657286907</v>
      </c>
      <c r="Q160">
        <f t="shared" si="25"/>
        <v>0</v>
      </c>
      <c r="R160">
        <f t="shared" si="26"/>
        <v>0</v>
      </c>
      <c r="S160">
        <f t="shared" si="27"/>
        <v>1</v>
      </c>
      <c r="T160">
        <f t="shared" si="28"/>
        <v>6858.3499999999976</v>
      </c>
      <c r="U160">
        <f t="shared" si="29"/>
        <v>-4260.5699999999979</v>
      </c>
    </row>
    <row r="161" spans="1:21" x14ac:dyDescent="0.3">
      <c r="A161">
        <v>160</v>
      </c>
      <c r="B161">
        <v>30</v>
      </c>
      <c r="C161" t="s">
        <v>16</v>
      </c>
      <c r="D161">
        <v>30.3</v>
      </c>
      <c r="E161">
        <v>94</v>
      </c>
      <c r="F161" t="s">
        <v>11</v>
      </c>
      <c r="G161">
        <v>0</v>
      </c>
      <c r="H161" t="s">
        <v>12</v>
      </c>
      <c r="I161" t="s">
        <v>15</v>
      </c>
      <c r="J161">
        <v>2632.99</v>
      </c>
      <c r="K161" t="str">
        <f t="shared" si="20"/>
        <v>30-35</v>
      </c>
      <c r="L161">
        <f t="shared" si="21"/>
        <v>0</v>
      </c>
      <c r="M161">
        <f t="shared" si="22"/>
        <v>0</v>
      </c>
      <c r="N161">
        <f t="shared" si="23"/>
        <v>1</v>
      </c>
      <c r="O161">
        <f t="shared" si="24"/>
        <v>0</v>
      </c>
      <c r="P161">
        <v>0.15774805609800302</v>
      </c>
      <c r="Q161">
        <f t="shared" si="25"/>
        <v>0</v>
      </c>
      <c r="R161">
        <f t="shared" si="26"/>
        <v>1</v>
      </c>
      <c r="S161">
        <f t="shared" si="27"/>
        <v>1</v>
      </c>
      <c r="T161">
        <f t="shared" si="28"/>
        <v>7695.7800000000007</v>
      </c>
      <c r="U161">
        <f t="shared" si="29"/>
        <v>-5062.7900000000009</v>
      </c>
    </row>
    <row r="162" spans="1:21" x14ac:dyDescent="0.3">
      <c r="A162">
        <v>161</v>
      </c>
      <c r="B162">
        <v>42</v>
      </c>
      <c r="C162" t="s">
        <v>10</v>
      </c>
      <c r="D162">
        <v>28.3</v>
      </c>
      <c r="E162">
        <v>86</v>
      </c>
      <c r="F162" t="s">
        <v>11</v>
      </c>
      <c r="G162">
        <v>1</v>
      </c>
      <c r="H162" t="s">
        <v>12</v>
      </c>
      <c r="I162" t="s">
        <v>14</v>
      </c>
      <c r="J162">
        <v>2639.04</v>
      </c>
      <c r="K162" t="str">
        <f t="shared" si="20"/>
        <v>25-30</v>
      </c>
      <c r="L162">
        <f t="shared" si="21"/>
        <v>0</v>
      </c>
      <c r="M162">
        <f t="shared" si="22"/>
        <v>0</v>
      </c>
      <c r="N162">
        <f t="shared" si="23"/>
        <v>0</v>
      </c>
      <c r="O162">
        <f t="shared" si="24"/>
        <v>1</v>
      </c>
      <c r="P162">
        <v>0.4005015795438549</v>
      </c>
      <c r="Q162">
        <f t="shared" si="25"/>
        <v>0</v>
      </c>
      <c r="R162">
        <f t="shared" si="26"/>
        <v>1</v>
      </c>
      <c r="S162">
        <f t="shared" si="27"/>
        <v>0</v>
      </c>
      <c r="T162">
        <f t="shared" si="28"/>
        <v>6534.0599999999995</v>
      </c>
      <c r="U162">
        <f t="shared" si="29"/>
        <v>-3895.0199999999995</v>
      </c>
    </row>
    <row r="163" spans="1:21" x14ac:dyDescent="0.3">
      <c r="A163">
        <v>162</v>
      </c>
      <c r="B163">
        <v>21</v>
      </c>
      <c r="C163" t="s">
        <v>10</v>
      </c>
      <c r="D163">
        <v>31.4</v>
      </c>
      <c r="E163">
        <v>91</v>
      </c>
      <c r="F163" t="s">
        <v>12</v>
      </c>
      <c r="G163">
        <v>1</v>
      </c>
      <c r="H163" t="s">
        <v>12</v>
      </c>
      <c r="I163" t="s">
        <v>14</v>
      </c>
      <c r="J163">
        <v>2643.27</v>
      </c>
      <c r="K163" t="str">
        <f t="shared" si="20"/>
        <v>30-35</v>
      </c>
      <c r="L163">
        <f t="shared" si="21"/>
        <v>0</v>
      </c>
      <c r="M163">
        <f t="shared" si="22"/>
        <v>0</v>
      </c>
      <c r="N163">
        <f t="shared" si="23"/>
        <v>0</v>
      </c>
      <c r="O163">
        <f t="shared" si="24"/>
        <v>1</v>
      </c>
      <c r="P163">
        <v>0.62972285076669288</v>
      </c>
      <c r="Q163">
        <f t="shared" si="25"/>
        <v>0</v>
      </c>
      <c r="R163">
        <f t="shared" si="26"/>
        <v>0</v>
      </c>
      <c r="S163">
        <f t="shared" si="27"/>
        <v>0</v>
      </c>
      <c r="T163">
        <f t="shared" si="28"/>
        <v>7693.0000000000009</v>
      </c>
      <c r="U163">
        <f t="shared" si="29"/>
        <v>-5049.7300000000014</v>
      </c>
    </row>
    <row r="164" spans="1:21" x14ac:dyDescent="0.3">
      <c r="A164">
        <v>163</v>
      </c>
      <c r="B164">
        <v>47</v>
      </c>
      <c r="C164" t="s">
        <v>10</v>
      </c>
      <c r="D164">
        <v>17.7</v>
      </c>
      <c r="E164">
        <v>92</v>
      </c>
      <c r="F164" t="s">
        <v>11</v>
      </c>
      <c r="G164">
        <v>0</v>
      </c>
      <c r="H164" t="s">
        <v>12</v>
      </c>
      <c r="I164" t="s">
        <v>14</v>
      </c>
      <c r="J164">
        <v>2680.95</v>
      </c>
      <c r="K164" t="str">
        <f t="shared" si="20"/>
        <v>&lt;20</v>
      </c>
      <c r="L164">
        <f t="shared" si="21"/>
        <v>0</v>
      </c>
      <c r="M164">
        <f t="shared" si="22"/>
        <v>0</v>
      </c>
      <c r="N164">
        <f t="shared" si="23"/>
        <v>0</v>
      </c>
      <c r="O164">
        <f t="shared" si="24"/>
        <v>1</v>
      </c>
      <c r="P164">
        <v>0.3163583833559237</v>
      </c>
      <c r="Q164">
        <f t="shared" si="25"/>
        <v>0</v>
      </c>
      <c r="R164">
        <f t="shared" si="26"/>
        <v>1</v>
      </c>
      <c r="S164">
        <f t="shared" si="27"/>
        <v>0</v>
      </c>
      <c r="T164">
        <f t="shared" si="28"/>
        <v>5840.66</v>
      </c>
      <c r="U164">
        <f t="shared" si="29"/>
        <v>-3159.71</v>
      </c>
    </row>
    <row r="165" spans="1:21" x14ac:dyDescent="0.3">
      <c r="A165">
        <v>164</v>
      </c>
      <c r="B165">
        <v>28</v>
      </c>
      <c r="C165" t="s">
        <v>10</v>
      </c>
      <c r="D165">
        <v>38.1</v>
      </c>
      <c r="E165">
        <v>81</v>
      </c>
      <c r="F165" t="s">
        <v>11</v>
      </c>
      <c r="G165">
        <v>0</v>
      </c>
      <c r="H165" t="s">
        <v>12</v>
      </c>
      <c r="I165" t="s">
        <v>13</v>
      </c>
      <c r="J165">
        <v>2689.5</v>
      </c>
      <c r="K165" t="str">
        <f t="shared" si="20"/>
        <v>35+</v>
      </c>
      <c r="L165">
        <f t="shared" si="21"/>
        <v>0</v>
      </c>
      <c r="M165">
        <f t="shared" si="22"/>
        <v>1</v>
      </c>
      <c r="N165">
        <f t="shared" si="23"/>
        <v>0</v>
      </c>
      <c r="O165">
        <f t="shared" si="24"/>
        <v>0</v>
      </c>
      <c r="P165">
        <v>0.5700438469658734</v>
      </c>
      <c r="Q165">
        <f t="shared" si="25"/>
        <v>0</v>
      </c>
      <c r="R165">
        <f t="shared" si="26"/>
        <v>1</v>
      </c>
      <c r="S165">
        <f t="shared" si="27"/>
        <v>0</v>
      </c>
      <c r="T165">
        <f t="shared" si="28"/>
        <v>5157.0000000000009</v>
      </c>
      <c r="U165">
        <f t="shared" si="29"/>
        <v>-2467.5000000000009</v>
      </c>
    </row>
    <row r="166" spans="1:21" x14ac:dyDescent="0.3">
      <c r="A166">
        <v>165</v>
      </c>
      <c r="B166">
        <v>52</v>
      </c>
      <c r="C166" t="s">
        <v>16</v>
      </c>
      <c r="D166">
        <v>28.1</v>
      </c>
      <c r="E166">
        <v>90</v>
      </c>
      <c r="F166" t="s">
        <v>11</v>
      </c>
      <c r="G166">
        <v>0</v>
      </c>
      <c r="H166" t="s">
        <v>12</v>
      </c>
      <c r="I166" t="s">
        <v>14</v>
      </c>
      <c r="J166">
        <v>2690.11</v>
      </c>
      <c r="K166" t="str">
        <f t="shared" si="20"/>
        <v>25-30</v>
      </c>
      <c r="L166">
        <f t="shared" si="21"/>
        <v>0</v>
      </c>
      <c r="M166">
        <f t="shared" si="22"/>
        <v>0</v>
      </c>
      <c r="N166">
        <f t="shared" si="23"/>
        <v>0</v>
      </c>
      <c r="O166">
        <f t="shared" si="24"/>
        <v>1</v>
      </c>
      <c r="P166">
        <v>0.89893102919334766</v>
      </c>
      <c r="Q166">
        <f t="shared" si="25"/>
        <v>0</v>
      </c>
      <c r="R166">
        <f t="shared" si="26"/>
        <v>1</v>
      </c>
      <c r="S166">
        <f t="shared" si="27"/>
        <v>1</v>
      </c>
      <c r="T166">
        <f t="shared" si="28"/>
        <v>6849.2300000000005</v>
      </c>
      <c r="U166">
        <f t="shared" si="29"/>
        <v>-4159.1200000000008</v>
      </c>
    </row>
    <row r="167" spans="1:21" x14ac:dyDescent="0.3">
      <c r="A167">
        <v>166</v>
      </c>
      <c r="B167">
        <v>30</v>
      </c>
      <c r="C167" t="s">
        <v>10</v>
      </c>
      <c r="D167">
        <v>31.1</v>
      </c>
      <c r="E167">
        <v>91</v>
      </c>
      <c r="F167" t="s">
        <v>12</v>
      </c>
      <c r="G167">
        <v>0</v>
      </c>
      <c r="H167" t="s">
        <v>12</v>
      </c>
      <c r="I167" t="s">
        <v>14</v>
      </c>
      <c r="J167">
        <v>2699.57</v>
      </c>
      <c r="K167" t="str">
        <f t="shared" si="20"/>
        <v>30-35</v>
      </c>
      <c r="L167">
        <f t="shared" si="21"/>
        <v>0</v>
      </c>
      <c r="M167">
        <f t="shared" si="22"/>
        <v>0</v>
      </c>
      <c r="N167">
        <f t="shared" si="23"/>
        <v>0</v>
      </c>
      <c r="O167">
        <f t="shared" si="24"/>
        <v>1</v>
      </c>
      <c r="P167">
        <v>0.50670452172263636</v>
      </c>
      <c r="Q167">
        <f t="shared" si="25"/>
        <v>0</v>
      </c>
      <c r="R167">
        <f t="shared" si="26"/>
        <v>0</v>
      </c>
      <c r="S167">
        <f t="shared" si="27"/>
        <v>0</v>
      </c>
      <c r="T167">
        <f t="shared" si="28"/>
        <v>6917.5900000000011</v>
      </c>
      <c r="U167">
        <f t="shared" si="29"/>
        <v>-4218.0200000000004</v>
      </c>
    </row>
    <row r="168" spans="1:21" x14ac:dyDescent="0.3">
      <c r="A168">
        <v>167</v>
      </c>
      <c r="B168">
        <v>51</v>
      </c>
      <c r="C168" t="s">
        <v>16</v>
      </c>
      <c r="D168">
        <v>24.5</v>
      </c>
      <c r="E168">
        <v>80</v>
      </c>
      <c r="F168" t="s">
        <v>11</v>
      </c>
      <c r="G168">
        <v>1</v>
      </c>
      <c r="H168" t="s">
        <v>12</v>
      </c>
      <c r="I168" t="s">
        <v>14</v>
      </c>
      <c r="J168">
        <v>2709.11</v>
      </c>
      <c r="K168" t="str">
        <f t="shared" si="20"/>
        <v>20-25</v>
      </c>
      <c r="L168">
        <f t="shared" si="21"/>
        <v>0</v>
      </c>
      <c r="M168">
        <f t="shared" si="22"/>
        <v>0</v>
      </c>
      <c r="N168">
        <f t="shared" si="23"/>
        <v>0</v>
      </c>
      <c r="O168">
        <f t="shared" si="24"/>
        <v>1</v>
      </c>
      <c r="P168">
        <v>0.69071836082079674</v>
      </c>
      <c r="Q168">
        <f t="shared" si="25"/>
        <v>0</v>
      </c>
      <c r="R168">
        <f t="shared" si="26"/>
        <v>1</v>
      </c>
      <c r="S168">
        <f t="shared" si="27"/>
        <v>1</v>
      </c>
      <c r="T168">
        <f t="shared" si="28"/>
        <v>5685.05</v>
      </c>
      <c r="U168">
        <f t="shared" si="29"/>
        <v>-2975.94</v>
      </c>
    </row>
    <row r="169" spans="1:21" x14ac:dyDescent="0.3">
      <c r="A169">
        <v>168</v>
      </c>
      <c r="B169">
        <v>58</v>
      </c>
      <c r="C169" t="s">
        <v>16</v>
      </c>
      <c r="D169">
        <v>24.6</v>
      </c>
      <c r="E169">
        <v>87</v>
      </c>
      <c r="F169" t="s">
        <v>11</v>
      </c>
      <c r="G169">
        <v>1</v>
      </c>
      <c r="H169" t="s">
        <v>12</v>
      </c>
      <c r="I169" t="s">
        <v>14</v>
      </c>
      <c r="J169">
        <v>2709.24</v>
      </c>
      <c r="K169" t="str">
        <f t="shared" si="20"/>
        <v>20-25</v>
      </c>
      <c r="L169">
        <f t="shared" si="21"/>
        <v>0</v>
      </c>
      <c r="M169">
        <f t="shared" si="22"/>
        <v>0</v>
      </c>
      <c r="N169">
        <f t="shared" si="23"/>
        <v>0</v>
      </c>
      <c r="O169">
        <f t="shared" si="24"/>
        <v>1</v>
      </c>
      <c r="P169">
        <v>0.2029516616673378</v>
      </c>
      <c r="Q169">
        <f t="shared" si="25"/>
        <v>0</v>
      </c>
      <c r="R169">
        <f t="shared" si="26"/>
        <v>1</v>
      </c>
      <c r="S169">
        <f t="shared" si="27"/>
        <v>1</v>
      </c>
      <c r="T169">
        <f t="shared" si="28"/>
        <v>6801.7699999999995</v>
      </c>
      <c r="U169">
        <f t="shared" si="29"/>
        <v>-4092.5299999999997</v>
      </c>
    </row>
    <row r="170" spans="1:21" x14ac:dyDescent="0.3">
      <c r="A170">
        <v>169</v>
      </c>
      <c r="B170">
        <v>26</v>
      </c>
      <c r="C170" t="s">
        <v>16</v>
      </c>
      <c r="D170">
        <v>25.7</v>
      </c>
      <c r="E170">
        <v>88</v>
      </c>
      <c r="F170" t="s">
        <v>12</v>
      </c>
      <c r="G170">
        <v>1</v>
      </c>
      <c r="H170" t="s">
        <v>12</v>
      </c>
      <c r="I170" t="s">
        <v>14</v>
      </c>
      <c r="J170">
        <v>2710.83</v>
      </c>
      <c r="K170" t="str">
        <f t="shared" si="20"/>
        <v>25-30</v>
      </c>
      <c r="L170">
        <f t="shared" si="21"/>
        <v>0</v>
      </c>
      <c r="M170">
        <f t="shared" si="22"/>
        <v>0</v>
      </c>
      <c r="N170">
        <f t="shared" si="23"/>
        <v>0</v>
      </c>
      <c r="O170">
        <f t="shared" si="24"/>
        <v>1</v>
      </c>
      <c r="P170">
        <v>9.2977834547347982E-2</v>
      </c>
      <c r="Q170">
        <f t="shared" si="25"/>
        <v>0</v>
      </c>
      <c r="R170">
        <f t="shared" si="26"/>
        <v>0</v>
      </c>
      <c r="S170">
        <f t="shared" si="27"/>
        <v>1</v>
      </c>
      <c r="T170">
        <f t="shared" si="28"/>
        <v>7165.43</v>
      </c>
      <c r="U170">
        <f t="shared" si="29"/>
        <v>-4454.6000000000004</v>
      </c>
    </row>
    <row r="171" spans="1:21" x14ac:dyDescent="0.3">
      <c r="A171">
        <v>170</v>
      </c>
      <c r="B171">
        <v>41</v>
      </c>
      <c r="C171" t="s">
        <v>16</v>
      </c>
      <c r="D171">
        <v>31.8</v>
      </c>
      <c r="E171">
        <v>88</v>
      </c>
      <c r="F171" t="s">
        <v>11</v>
      </c>
      <c r="G171">
        <v>1</v>
      </c>
      <c r="H171" t="s">
        <v>12</v>
      </c>
      <c r="I171" t="s">
        <v>14</v>
      </c>
      <c r="J171">
        <v>2719.28</v>
      </c>
      <c r="K171" t="str">
        <f t="shared" si="20"/>
        <v>30-35</v>
      </c>
      <c r="L171">
        <f t="shared" si="21"/>
        <v>0</v>
      </c>
      <c r="M171">
        <f t="shared" si="22"/>
        <v>0</v>
      </c>
      <c r="N171">
        <f t="shared" si="23"/>
        <v>0</v>
      </c>
      <c r="O171">
        <f t="shared" si="24"/>
        <v>1</v>
      </c>
      <c r="P171">
        <v>6.8971080247054339E-2</v>
      </c>
      <c r="Q171">
        <f t="shared" si="25"/>
        <v>0</v>
      </c>
      <c r="R171">
        <f t="shared" si="26"/>
        <v>1</v>
      </c>
      <c r="S171">
        <f t="shared" si="27"/>
        <v>1</v>
      </c>
      <c r="T171">
        <f t="shared" si="28"/>
        <v>7598.72</v>
      </c>
      <c r="U171">
        <f t="shared" si="29"/>
        <v>-4879.4400000000005</v>
      </c>
    </row>
    <row r="172" spans="1:21" x14ac:dyDescent="0.3">
      <c r="A172">
        <v>171</v>
      </c>
      <c r="B172">
        <v>46</v>
      </c>
      <c r="C172" t="s">
        <v>10</v>
      </c>
      <c r="D172">
        <v>26.2</v>
      </c>
      <c r="E172">
        <v>84</v>
      </c>
      <c r="F172" t="s">
        <v>12</v>
      </c>
      <c r="G172">
        <v>0</v>
      </c>
      <c r="H172" t="s">
        <v>12</v>
      </c>
      <c r="I172" t="s">
        <v>13</v>
      </c>
      <c r="J172">
        <v>2721.32</v>
      </c>
      <c r="K172" t="str">
        <f t="shared" si="20"/>
        <v>25-30</v>
      </c>
      <c r="L172">
        <f t="shared" si="21"/>
        <v>0</v>
      </c>
      <c r="M172">
        <f t="shared" si="22"/>
        <v>1</v>
      </c>
      <c r="N172">
        <f t="shared" si="23"/>
        <v>0</v>
      </c>
      <c r="O172">
        <f t="shared" si="24"/>
        <v>0</v>
      </c>
      <c r="P172">
        <v>0.88360570998994015</v>
      </c>
      <c r="Q172">
        <f t="shared" si="25"/>
        <v>0</v>
      </c>
      <c r="R172">
        <f t="shared" si="26"/>
        <v>0</v>
      </c>
      <c r="S172">
        <f t="shared" si="27"/>
        <v>0</v>
      </c>
      <c r="T172">
        <f t="shared" si="28"/>
        <v>4664.34</v>
      </c>
      <c r="U172">
        <f t="shared" si="29"/>
        <v>-1943.02</v>
      </c>
    </row>
    <row r="173" spans="1:21" x14ac:dyDescent="0.3">
      <c r="A173">
        <v>172</v>
      </c>
      <c r="B173">
        <v>23</v>
      </c>
      <c r="C173" t="s">
        <v>10</v>
      </c>
      <c r="D173">
        <v>30.6</v>
      </c>
      <c r="E173">
        <v>96</v>
      </c>
      <c r="F173" t="s">
        <v>12</v>
      </c>
      <c r="G173">
        <v>0</v>
      </c>
      <c r="H173" t="s">
        <v>12</v>
      </c>
      <c r="I173" t="s">
        <v>13</v>
      </c>
      <c r="J173">
        <v>2727.4</v>
      </c>
      <c r="K173" t="str">
        <f t="shared" si="20"/>
        <v>30-35</v>
      </c>
      <c r="L173">
        <f t="shared" si="21"/>
        <v>0</v>
      </c>
      <c r="M173">
        <f t="shared" si="22"/>
        <v>1</v>
      </c>
      <c r="N173">
        <f t="shared" si="23"/>
        <v>0</v>
      </c>
      <c r="O173">
        <f t="shared" si="24"/>
        <v>0</v>
      </c>
      <c r="P173">
        <v>0.2617770335002424</v>
      </c>
      <c r="Q173">
        <f t="shared" si="25"/>
        <v>0</v>
      </c>
      <c r="R173">
        <f t="shared" si="26"/>
        <v>0</v>
      </c>
      <c r="S173">
        <f t="shared" si="27"/>
        <v>0</v>
      </c>
      <c r="T173">
        <f t="shared" si="28"/>
        <v>6985.0600000000013</v>
      </c>
      <c r="U173">
        <f t="shared" si="29"/>
        <v>-4257.6600000000017</v>
      </c>
    </row>
    <row r="174" spans="1:21" x14ac:dyDescent="0.3">
      <c r="A174">
        <v>173</v>
      </c>
      <c r="B174">
        <v>34</v>
      </c>
      <c r="C174" t="s">
        <v>16</v>
      </c>
      <c r="D174">
        <v>39.6</v>
      </c>
      <c r="E174">
        <v>91</v>
      </c>
      <c r="F174" t="s">
        <v>11</v>
      </c>
      <c r="G174">
        <v>1</v>
      </c>
      <c r="H174" t="s">
        <v>12</v>
      </c>
      <c r="I174" t="s">
        <v>14</v>
      </c>
      <c r="J174">
        <v>2730.11</v>
      </c>
      <c r="K174" t="str">
        <f t="shared" si="20"/>
        <v>35+</v>
      </c>
      <c r="L174">
        <f t="shared" si="21"/>
        <v>0</v>
      </c>
      <c r="M174">
        <f t="shared" si="22"/>
        <v>0</v>
      </c>
      <c r="N174">
        <f t="shared" si="23"/>
        <v>0</v>
      </c>
      <c r="O174">
        <f t="shared" si="24"/>
        <v>1</v>
      </c>
      <c r="P174">
        <v>0.24228186579258293</v>
      </c>
      <c r="Q174">
        <f t="shared" si="25"/>
        <v>0</v>
      </c>
      <c r="R174">
        <f t="shared" si="26"/>
        <v>1</v>
      </c>
      <c r="S174">
        <f t="shared" si="27"/>
        <v>1</v>
      </c>
      <c r="T174">
        <f t="shared" si="28"/>
        <v>8753.35</v>
      </c>
      <c r="U174">
        <f t="shared" si="29"/>
        <v>-6023.24</v>
      </c>
    </row>
    <row r="175" spans="1:21" x14ac:dyDescent="0.3">
      <c r="A175">
        <v>174</v>
      </c>
      <c r="B175">
        <v>29</v>
      </c>
      <c r="C175" t="s">
        <v>16</v>
      </c>
      <c r="D175">
        <v>23.2</v>
      </c>
      <c r="E175">
        <v>80</v>
      </c>
      <c r="F175" t="s">
        <v>12</v>
      </c>
      <c r="G175">
        <v>0</v>
      </c>
      <c r="H175" t="s">
        <v>12</v>
      </c>
      <c r="I175" t="s">
        <v>13</v>
      </c>
      <c r="J175">
        <v>2731.91</v>
      </c>
      <c r="K175" t="str">
        <f t="shared" si="20"/>
        <v>20-25</v>
      </c>
      <c r="L175">
        <f t="shared" si="21"/>
        <v>0</v>
      </c>
      <c r="M175">
        <f t="shared" si="22"/>
        <v>1</v>
      </c>
      <c r="N175">
        <f t="shared" si="23"/>
        <v>0</v>
      </c>
      <c r="O175">
        <f t="shared" si="24"/>
        <v>0</v>
      </c>
      <c r="P175">
        <v>0.27592997279615228</v>
      </c>
      <c r="Q175">
        <f t="shared" si="25"/>
        <v>0</v>
      </c>
      <c r="R175">
        <f t="shared" si="26"/>
        <v>0</v>
      </c>
      <c r="S175">
        <f t="shared" si="27"/>
        <v>1</v>
      </c>
      <c r="T175">
        <f t="shared" si="28"/>
        <v>4236.1900000000014</v>
      </c>
      <c r="U175">
        <f t="shared" si="29"/>
        <v>-1504.2800000000016</v>
      </c>
    </row>
    <row r="176" spans="1:21" x14ac:dyDescent="0.3">
      <c r="A176">
        <v>175</v>
      </c>
      <c r="B176">
        <v>58</v>
      </c>
      <c r="C176" t="s">
        <v>16</v>
      </c>
      <c r="D176">
        <v>30.4</v>
      </c>
      <c r="E176">
        <v>85</v>
      </c>
      <c r="F176" t="s">
        <v>11</v>
      </c>
      <c r="G176">
        <v>0</v>
      </c>
      <c r="H176" t="s">
        <v>12</v>
      </c>
      <c r="I176" t="s">
        <v>13</v>
      </c>
      <c r="J176">
        <v>2741.95</v>
      </c>
      <c r="K176" t="str">
        <f t="shared" si="20"/>
        <v>30-35</v>
      </c>
      <c r="L176">
        <f t="shared" si="21"/>
        <v>0</v>
      </c>
      <c r="M176">
        <f t="shared" si="22"/>
        <v>1</v>
      </c>
      <c r="N176">
        <f t="shared" si="23"/>
        <v>0</v>
      </c>
      <c r="O176">
        <f t="shared" si="24"/>
        <v>0</v>
      </c>
      <c r="P176">
        <v>0.59673688545900638</v>
      </c>
      <c r="Q176">
        <f t="shared" si="25"/>
        <v>0</v>
      </c>
      <c r="R176">
        <f t="shared" si="26"/>
        <v>1</v>
      </c>
      <c r="S176">
        <f t="shared" si="27"/>
        <v>1</v>
      </c>
      <c r="T176">
        <f t="shared" si="28"/>
        <v>5543.5599999999995</v>
      </c>
      <c r="U176">
        <f t="shared" si="29"/>
        <v>-2801.6099999999997</v>
      </c>
    </row>
    <row r="177" spans="1:21" x14ac:dyDescent="0.3">
      <c r="A177">
        <v>176</v>
      </c>
      <c r="B177">
        <v>59</v>
      </c>
      <c r="C177" t="s">
        <v>16</v>
      </c>
      <c r="D177">
        <v>39.799999999999997</v>
      </c>
      <c r="E177">
        <v>81</v>
      </c>
      <c r="F177" t="s">
        <v>11</v>
      </c>
      <c r="G177">
        <v>0</v>
      </c>
      <c r="H177" t="s">
        <v>12</v>
      </c>
      <c r="I177" t="s">
        <v>17</v>
      </c>
      <c r="J177">
        <v>2755.02</v>
      </c>
      <c r="K177" t="str">
        <f t="shared" si="20"/>
        <v>35+</v>
      </c>
      <c r="L177">
        <f t="shared" si="21"/>
        <v>0</v>
      </c>
      <c r="M177">
        <f t="shared" si="22"/>
        <v>0</v>
      </c>
      <c r="N177">
        <f t="shared" si="23"/>
        <v>0</v>
      </c>
      <c r="O177">
        <f t="shared" si="24"/>
        <v>0</v>
      </c>
      <c r="P177">
        <v>0.24027142442851401</v>
      </c>
      <c r="Q177">
        <f t="shared" si="25"/>
        <v>0</v>
      </c>
      <c r="R177">
        <f t="shared" si="26"/>
        <v>1</v>
      </c>
      <c r="S177">
        <f t="shared" si="27"/>
        <v>1</v>
      </c>
      <c r="T177">
        <f t="shared" si="28"/>
        <v>9352.35</v>
      </c>
      <c r="U177">
        <f t="shared" si="29"/>
        <v>-6597.33</v>
      </c>
    </row>
    <row r="178" spans="1:21" x14ac:dyDescent="0.3">
      <c r="A178">
        <v>177</v>
      </c>
      <c r="B178">
        <v>30</v>
      </c>
      <c r="C178" t="s">
        <v>10</v>
      </c>
      <c r="D178">
        <v>17.399999999999999</v>
      </c>
      <c r="E178">
        <v>89</v>
      </c>
      <c r="F178" t="s">
        <v>12</v>
      </c>
      <c r="G178">
        <v>1</v>
      </c>
      <c r="H178" t="s">
        <v>12</v>
      </c>
      <c r="I178" t="s">
        <v>14</v>
      </c>
      <c r="J178">
        <v>2775.19</v>
      </c>
      <c r="K178" t="str">
        <f t="shared" si="20"/>
        <v>&lt;20</v>
      </c>
      <c r="L178">
        <f t="shared" si="21"/>
        <v>0</v>
      </c>
      <c r="M178">
        <f t="shared" si="22"/>
        <v>0</v>
      </c>
      <c r="N178">
        <f t="shared" si="23"/>
        <v>0</v>
      </c>
      <c r="O178">
        <f t="shared" si="24"/>
        <v>1</v>
      </c>
      <c r="P178">
        <v>0.98604302335177363</v>
      </c>
      <c r="Q178">
        <f t="shared" si="25"/>
        <v>0</v>
      </c>
      <c r="R178">
        <f t="shared" si="26"/>
        <v>0</v>
      </c>
      <c r="S178">
        <f t="shared" si="27"/>
        <v>0</v>
      </c>
      <c r="T178">
        <f t="shared" si="28"/>
        <v>6165.3</v>
      </c>
      <c r="U178">
        <f t="shared" si="29"/>
        <v>-3390.11</v>
      </c>
    </row>
    <row r="179" spans="1:21" x14ac:dyDescent="0.3">
      <c r="A179">
        <v>178</v>
      </c>
      <c r="B179">
        <v>49</v>
      </c>
      <c r="C179" t="s">
        <v>10</v>
      </c>
      <c r="D179">
        <v>27.4</v>
      </c>
      <c r="E179">
        <v>91</v>
      </c>
      <c r="F179" t="s">
        <v>12</v>
      </c>
      <c r="G179">
        <v>1</v>
      </c>
      <c r="H179" t="s">
        <v>12</v>
      </c>
      <c r="I179" t="s">
        <v>14</v>
      </c>
      <c r="J179">
        <v>2789.06</v>
      </c>
      <c r="K179" t="str">
        <f t="shared" si="20"/>
        <v>25-30</v>
      </c>
      <c r="L179">
        <f t="shared" si="21"/>
        <v>0</v>
      </c>
      <c r="M179">
        <f t="shared" si="22"/>
        <v>0</v>
      </c>
      <c r="N179">
        <f t="shared" si="23"/>
        <v>0</v>
      </c>
      <c r="O179">
        <f t="shared" si="24"/>
        <v>1</v>
      </c>
      <c r="P179">
        <v>0.46241494401556882</v>
      </c>
      <c r="Q179">
        <f t="shared" si="25"/>
        <v>0</v>
      </c>
      <c r="R179">
        <f t="shared" si="26"/>
        <v>0</v>
      </c>
      <c r="S179">
        <f t="shared" si="27"/>
        <v>0</v>
      </c>
      <c r="T179">
        <f t="shared" si="28"/>
        <v>7315.1600000000008</v>
      </c>
      <c r="U179">
        <f t="shared" si="29"/>
        <v>-4526.1000000000004</v>
      </c>
    </row>
    <row r="180" spans="1:21" x14ac:dyDescent="0.3">
      <c r="A180">
        <v>179</v>
      </c>
      <c r="B180">
        <v>60</v>
      </c>
      <c r="C180" t="s">
        <v>16</v>
      </c>
      <c r="D180">
        <v>32.1</v>
      </c>
      <c r="E180">
        <v>98</v>
      </c>
      <c r="F180" t="s">
        <v>12</v>
      </c>
      <c r="G180">
        <v>2</v>
      </c>
      <c r="H180" t="s">
        <v>12</v>
      </c>
      <c r="I180" t="s">
        <v>13</v>
      </c>
      <c r="J180">
        <v>2801.26</v>
      </c>
      <c r="K180" t="str">
        <f t="shared" si="20"/>
        <v>30-35</v>
      </c>
      <c r="L180">
        <f t="shared" si="21"/>
        <v>0</v>
      </c>
      <c r="M180">
        <f t="shared" si="22"/>
        <v>1</v>
      </c>
      <c r="N180">
        <f t="shared" si="23"/>
        <v>0</v>
      </c>
      <c r="O180">
        <f t="shared" si="24"/>
        <v>0</v>
      </c>
      <c r="P180">
        <v>0.63518483337060361</v>
      </c>
      <c r="Q180">
        <f t="shared" si="25"/>
        <v>0</v>
      </c>
      <c r="R180">
        <f t="shared" si="26"/>
        <v>0</v>
      </c>
      <c r="S180">
        <f t="shared" si="27"/>
        <v>1</v>
      </c>
      <c r="T180">
        <f t="shared" si="28"/>
        <v>9306.5600000000013</v>
      </c>
      <c r="U180">
        <f t="shared" si="29"/>
        <v>-6505.3000000000011</v>
      </c>
    </row>
    <row r="181" spans="1:21" x14ac:dyDescent="0.3">
      <c r="A181">
        <v>180</v>
      </c>
      <c r="B181">
        <v>49</v>
      </c>
      <c r="C181" t="s">
        <v>10</v>
      </c>
      <c r="D181">
        <v>20.6</v>
      </c>
      <c r="E181">
        <v>92</v>
      </c>
      <c r="F181" t="s">
        <v>12</v>
      </c>
      <c r="G181">
        <v>2</v>
      </c>
      <c r="H181" t="s">
        <v>12</v>
      </c>
      <c r="I181" t="s">
        <v>14</v>
      </c>
      <c r="J181">
        <v>2803.7</v>
      </c>
      <c r="K181" t="str">
        <f t="shared" si="20"/>
        <v>20-25</v>
      </c>
      <c r="L181">
        <f t="shared" si="21"/>
        <v>0</v>
      </c>
      <c r="M181">
        <f t="shared" si="22"/>
        <v>0</v>
      </c>
      <c r="N181">
        <f t="shared" si="23"/>
        <v>0</v>
      </c>
      <c r="O181">
        <f t="shared" si="24"/>
        <v>1</v>
      </c>
      <c r="P181">
        <v>9.3874232775269073E-2</v>
      </c>
      <c r="Q181">
        <f t="shared" si="25"/>
        <v>0</v>
      </c>
      <c r="R181">
        <f t="shared" si="26"/>
        <v>0</v>
      </c>
      <c r="S181">
        <f t="shared" si="27"/>
        <v>0</v>
      </c>
      <c r="T181">
        <f t="shared" si="28"/>
        <v>7631.5900000000011</v>
      </c>
      <c r="U181">
        <f t="shared" si="29"/>
        <v>-4827.8900000000012</v>
      </c>
    </row>
    <row r="182" spans="1:21" x14ac:dyDescent="0.3">
      <c r="A182">
        <v>181</v>
      </c>
      <c r="B182">
        <v>45</v>
      </c>
      <c r="C182" t="s">
        <v>16</v>
      </c>
      <c r="D182">
        <v>24.2</v>
      </c>
      <c r="E182">
        <v>88</v>
      </c>
      <c r="F182" t="s">
        <v>12</v>
      </c>
      <c r="G182">
        <v>0</v>
      </c>
      <c r="H182" t="s">
        <v>12</v>
      </c>
      <c r="I182" t="s">
        <v>14</v>
      </c>
      <c r="J182">
        <v>2842.76</v>
      </c>
      <c r="K182" t="str">
        <f t="shared" si="20"/>
        <v>20-25</v>
      </c>
      <c r="L182">
        <f t="shared" si="21"/>
        <v>0</v>
      </c>
      <c r="M182">
        <f t="shared" si="22"/>
        <v>0</v>
      </c>
      <c r="N182">
        <f t="shared" si="23"/>
        <v>0</v>
      </c>
      <c r="O182">
        <f t="shared" si="24"/>
        <v>1</v>
      </c>
      <c r="P182">
        <v>0.59531486373986697</v>
      </c>
      <c r="Q182">
        <f t="shared" si="25"/>
        <v>0</v>
      </c>
      <c r="R182">
        <f t="shared" si="26"/>
        <v>0</v>
      </c>
      <c r="S182">
        <f t="shared" si="27"/>
        <v>1</v>
      </c>
      <c r="T182">
        <f t="shared" si="28"/>
        <v>6274.619999999999</v>
      </c>
      <c r="U182">
        <f t="shared" si="29"/>
        <v>-3431.8599999999988</v>
      </c>
    </row>
    <row r="183" spans="1:21" x14ac:dyDescent="0.3">
      <c r="A183">
        <v>182</v>
      </c>
      <c r="B183">
        <v>54</v>
      </c>
      <c r="C183" t="s">
        <v>16</v>
      </c>
      <c r="D183">
        <v>29.9</v>
      </c>
      <c r="E183">
        <v>90</v>
      </c>
      <c r="F183" t="s">
        <v>12</v>
      </c>
      <c r="G183">
        <v>0</v>
      </c>
      <c r="H183" t="s">
        <v>12</v>
      </c>
      <c r="I183" t="s">
        <v>14</v>
      </c>
      <c r="J183">
        <v>2850.68</v>
      </c>
      <c r="K183" t="str">
        <f t="shared" si="20"/>
        <v>25-30</v>
      </c>
      <c r="L183">
        <f t="shared" si="21"/>
        <v>0</v>
      </c>
      <c r="M183">
        <f t="shared" si="22"/>
        <v>0</v>
      </c>
      <c r="N183">
        <f t="shared" si="23"/>
        <v>0</v>
      </c>
      <c r="O183">
        <f t="shared" si="24"/>
        <v>1</v>
      </c>
      <c r="P183">
        <v>0.5144091843766011</v>
      </c>
      <c r="Q183">
        <f t="shared" si="25"/>
        <v>0</v>
      </c>
      <c r="R183">
        <f t="shared" si="26"/>
        <v>0</v>
      </c>
      <c r="S183">
        <f t="shared" si="27"/>
        <v>1</v>
      </c>
      <c r="T183">
        <f t="shared" si="28"/>
        <v>7069.630000000001</v>
      </c>
      <c r="U183">
        <f t="shared" si="29"/>
        <v>-4218.9500000000007</v>
      </c>
    </row>
    <row r="184" spans="1:21" x14ac:dyDescent="0.3">
      <c r="A184">
        <v>183</v>
      </c>
      <c r="B184">
        <v>27</v>
      </c>
      <c r="C184" t="s">
        <v>16</v>
      </c>
      <c r="D184">
        <v>33.299999999999997</v>
      </c>
      <c r="E184">
        <v>92</v>
      </c>
      <c r="F184" t="s">
        <v>11</v>
      </c>
      <c r="G184">
        <v>0</v>
      </c>
      <c r="H184" t="s">
        <v>12</v>
      </c>
      <c r="I184" t="s">
        <v>14</v>
      </c>
      <c r="J184">
        <v>2855.44</v>
      </c>
      <c r="K184" t="str">
        <f t="shared" si="20"/>
        <v>30-35</v>
      </c>
      <c r="L184">
        <f t="shared" si="21"/>
        <v>0</v>
      </c>
      <c r="M184">
        <f t="shared" si="22"/>
        <v>0</v>
      </c>
      <c r="N184">
        <f t="shared" si="23"/>
        <v>0</v>
      </c>
      <c r="O184">
        <f t="shared" si="24"/>
        <v>1</v>
      </c>
      <c r="P184">
        <v>0.47875285226974762</v>
      </c>
      <c r="Q184">
        <f t="shared" si="25"/>
        <v>0</v>
      </c>
      <c r="R184">
        <f t="shared" si="26"/>
        <v>1</v>
      </c>
      <c r="S184">
        <f t="shared" si="27"/>
        <v>1</v>
      </c>
      <c r="T184">
        <f t="shared" si="28"/>
        <v>7645.0099999999993</v>
      </c>
      <c r="U184">
        <f t="shared" si="29"/>
        <v>-4789.57</v>
      </c>
    </row>
    <row r="185" spans="1:21" x14ac:dyDescent="0.3">
      <c r="A185">
        <v>184</v>
      </c>
      <c r="B185">
        <v>37</v>
      </c>
      <c r="C185" t="s">
        <v>10</v>
      </c>
      <c r="D185">
        <v>27.2</v>
      </c>
      <c r="E185">
        <v>87</v>
      </c>
      <c r="F185" t="s">
        <v>11</v>
      </c>
      <c r="G185">
        <v>0</v>
      </c>
      <c r="H185" t="s">
        <v>12</v>
      </c>
      <c r="I185" t="s">
        <v>15</v>
      </c>
      <c r="J185">
        <v>2866.09</v>
      </c>
      <c r="K185" t="str">
        <f t="shared" si="20"/>
        <v>25-30</v>
      </c>
      <c r="L185">
        <f t="shared" si="21"/>
        <v>0</v>
      </c>
      <c r="M185">
        <f t="shared" si="22"/>
        <v>0</v>
      </c>
      <c r="N185">
        <f t="shared" si="23"/>
        <v>1</v>
      </c>
      <c r="O185">
        <f t="shared" si="24"/>
        <v>0</v>
      </c>
      <c r="P185">
        <v>2.1653967290824472E-3</v>
      </c>
      <c r="Q185">
        <f t="shared" si="25"/>
        <v>0</v>
      </c>
      <c r="R185">
        <f t="shared" si="26"/>
        <v>1</v>
      </c>
      <c r="S185">
        <f t="shared" si="27"/>
        <v>0</v>
      </c>
      <c r="T185">
        <f t="shared" si="28"/>
        <v>5859.69</v>
      </c>
      <c r="U185">
        <f t="shared" si="29"/>
        <v>-2993.5999999999995</v>
      </c>
    </row>
    <row r="186" spans="1:21" x14ac:dyDescent="0.3">
      <c r="A186">
        <v>185</v>
      </c>
      <c r="B186">
        <v>48</v>
      </c>
      <c r="C186" t="s">
        <v>10</v>
      </c>
      <c r="D186">
        <v>27.9</v>
      </c>
      <c r="E186">
        <v>82</v>
      </c>
      <c r="F186" t="s">
        <v>11</v>
      </c>
      <c r="G186">
        <v>0</v>
      </c>
      <c r="H186" t="s">
        <v>12</v>
      </c>
      <c r="I186" t="s">
        <v>13</v>
      </c>
      <c r="J186">
        <v>2867.12</v>
      </c>
      <c r="K186" t="str">
        <f t="shared" si="20"/>
        <v>25-30</v>
      </c>
      <c r="L186">
        <f t="shared" si="21"/>
        <v>0</v>
      </c>
      <c r="M186">
        <f t="shared" si="22"/>
        <v>1</v>
      </c>
      <c r="N186">
        <f t="shared" si="23"/>
        <v>0</v>
      </c>
      <c r="O186">
        <f t="shared" si="24"/>
        <v>0</v>
      </c>
      <c r="P186">
        <v>0.29595098484054516</v>
      </c>
      <c r="Q186">
        <f t="shared" si="25"/>
        <v>0</v>
      </c>
      <c r="R186">
        <f t="shared" si="26"/>
        <v>1</v>
      </c>
      <c r="S186">
        <f t="shared" si="27"/>
        <v>0</v>
      </c>
      <c r="T186">
        <f t="shared" si="28"/>
        <v>4418.8900000000003</v>
      </c>
      <c r="U186">
        <f t="shared" si="29"/>
        <v>-1551.7700000000004</v>
      </c>
    </row>
    <row r="187" spans="1:21" x14ac:dyDescent="0.3">
      <c r="A187">
        <v>186</v>
      </c>
      <c r="B187">
        <v>49</v>
      </c>
      <c r="C187" t="s">
        <v>10</v>
      </c>
      <c r="D187">
        <v>29.5</v>
      </c>
      <c r="E187">
        <v>92</v>
      </c>
      <c r="F187" t="s">
        <v>12</v>
      </c>
      <c r="G187">
        <v>0</v>
      </c>
      <c r="H187" t="s">
        <v>12</v>
      </c>
      <c r="I187" t="s">
        <v>17</v>
      </c>
      <c r="J187">
        <v>2897.32</v>
      </c>
      <c r="K187" t="str">
        <f t="shared" si="20"/>
        <v>25-30</v>
      </c>
      <c r="L187">
        <f t="shared" si="21"/>
        <v>0</v>
      </c>
      <c r="M187">
        <f t="shared" si="22"/>
        <v>0</v>
      </c>
      <c r="N187">
        <f t="shared" si="23"/>
        <v>0</v>
      </c>
      <c r="O187">
        <f t="shared" si="24"/>
        <v>0</v>
      </c>
      <c r="P187">
        <v>0.69914110658238837</v>
      </c>
      <c r="Q187">
        <f t="shared" si="25"/>
        <v>0</v>
      </c>
      <c r="R187">
        <f t="shared" si="26"/>
        <v>0</v>
      </c>
      <c r="S187">
        <f t="shared" si="27"/>
        <v>0</v>
      </c>
      <c r="T187">
        <f t="shared" si="28"/>
        <v>9864.1</v>
      </c>
      <c r="U187">
        <f t="shared" si="29"/>
        <v>-6966.7800000000007</v>
      </c>
    </row>
    <row r="188" spans="1:21" x14ac:dyDescent="0.3">
      <c r="A188">
        <v>187</v>
      </c>
      <c r="B188">
        <v>25</v>
      </c>
      <c r="C188" t="s">
        <v>16</v>
      </c>
      <c r="D188">
        <v>34.9</v>
      </c>
      <c r="E188">
        <v>100</v>
      </c>
      <c r="F188" t="s">
        <v>12</v>
      </c>
      <c r="G188">
        <v>0</v>
      </c>
      <c r="H188" t="s">
        <v>12</v>
      </c>
      <c r="I188" t="s">
        <v>17</v>
      </c>
      <c r="J188">
        <v>2899.49</v>
      </c>
      <c r="K188" t="str">
        <f t="shared" si="20"/>
        <v>30-35</v>
      </c>
      <c r="L188">
        <f t="shared" si="21"/>
        <v>0</v>
      </c>
      <c r="M188">
        <f t="shared" si="22"/>
        <v>0</v>
      </c>
      <c r="N188">
        <f t="shared" si="23"/>
        <v>0</v>
      </c>
      <c r="O188">
        <f t="shared" si="24"/>
        <v>0</v>
      </c>
      <c r="P188">
        <v>0.390819447188546</v>
      </c>
      <c r="Q188">
        <f t="shared" si="25"/>
        <v>0</v>
      </c>
      <c r="R188">
        <f t="shared" si="26"/>
        <v>0</v>
      </c>
      <c r="S188">
        <f t="shared" si="27"/>
        <v>1</v>
      </c>
      <c r="T188">
        <f t="shared" si="28"/>
        <v>12078.19</v>
      </c>
      <c r="U188">
        <f t="shared" si="29"/>
        <v>-9178.7000000000007</v>
      </c>
    </row>
    <row r="189" spans="1:21" x14ac:dyDescent="0.3">
      <c r="A189">
        <v>188</v>
      </c>
      <c r="B189">
        <v>20</v>
      </c>
      <c r="C189" t="s">
        <v>10</v>
      </c>
      <c r="D189">
        <v>29.2</v>
      </c>
      <c r="E189">
        <v>95</v>
      </c>
      <c r="F189" t="s">
        <v>12</v>
      </c>
      <c r="G189">
        <v>1</v>
      </c>
      <c r="H189" t="s">
        <v>12</v>
      </c>
      <c r="I189" t="s">
        <v>13</v>
      </c>
      <c r="J189">
        <v>2902.91</v>
      </c>
      <c r="K189" t="str">
        <f t="shared" si="20"/>
        <v>25-30</v>
      </c>
      <c r="L189">
        <f t="shared" si="21"/>
        <v>0</v>
      </c>
      <c r="M189">
        <f t="shared" si="22"/>
        <v>1</v>
      </c>
      <c r="N189">
        <f t="shared" si="23"/>
        <v>0</v>
      </c>
      <c r="O189">
        <f t="shared" si="24"/>
        <v>0</v>
      </c>
      <c r="P189">
        <v>0.15927533919089687</v>
      </c>
      <c r="Q189">
        <f t="shared" si="25"/>
        <v>0</v>
      </c>
      <c r="R189">
        <f t="shared" si="26"/>
        <v>0</v>
      </c>
      <c r="S189">
        <f t="shared" si="27"/>
        <v>0</v>
      </c>
      <c r="T189">
        <f t="shared" si="28"/>
        <v>7447.85</v>
      </c>
      <c r="U189">
        <f t="shared" si="29"/>
        <v>-4544.9400000000005</v>
      </c>
    </row>
    <row r="190" spans="1:21" x14ac:dyDescent="0.3">
      <c r="A190">
        <v>189</v>
      </c>
      <c r="B190">
        <v>35</v>
      </c>
      <c r="C190" t="s">
        <v>10</v>
      </c>
      <c r="D190">
        <v>30</v>
      </c>
      <c r="E190">
        <v>86</v>
      </c>
      <c r="F190" t="s">
        <v>12</v>
      </c>
      <c r="G190">
        <v>1</v>
      </c>
      <c r="H190" t="s">
        <v>12</v>
      </c>
      <c r="I190" t="s">
        <v>15</v>
      </c>
      <c r="J190">
        <v>2904.09</v>
      </c>
      <c r="K190" t="str">
        <f t="shared" si="20"/>
        <v>30-35</v>
      </c>
      <c r="L190">
        <f t="shared" si="21"/>
        <v>0</v>
      </c>
      <c r="M190">
        <f t="shared" si="22"/>
        <v>0</v>
      </c>
      <c r="N190">
        <f t="shared" si="23"/>
        <v>1</v>
      </c>
      <c r="O190">
        <f t="shared" si="24"/>
        <v>0</v>
      </c>
      <c r="P190">
        <v>0.74172393829260252</v>
      </c>
      <c r="Q190">
        <f t="shared" si="25"/>
        <v>0</v>
      </c>
      <c r="R190">
        <f t="shared" si="26"/>
        <v>0</v>
      </c>
      <c r="S190">
        <f t="shared" si="27"/>
        <v>0</v>
      </c>
      <c r="T190">
        <f t="shared" si="28"/>
        <v>6749.3599999999988</v>
      </c>
      <c r="U190">
        <f t="shared" si="29"/>
        <v>-3845.2699999999986</v>
      </c>
    </row>
    <row r="191" spans="1:21" x14ac:dyDescent="0.3">
      <c r="A191">
        <v>190</v>
      </c>
      <c r="B191">
        <v>37</v>
      </c>
      <c r="C191" t="s">
        <v>16</v>
      </c>
      <c r="D191">
        <v>23.4</v>
      </c>
      <c r="E191">
        <v>96</v>
      </c>
      <c r="F191" t="s">
        <v>12</v>
      </c>
      <c r="G191">
        <v>2</v>
      </c>
      <c r="H191" t="s">
        <v>12</v>
      </c>
      <c r="I191" t="s">
        <v>15</v>
      </c>
      <c r="J191">
        <v>2913.57</v>
      </c>
      <c r="K191" t="str">
        <f t="shared" si="20"/>
        <v>20-25</v>
      </c>
      <c r="L191">
        <f t="shared" si="21"/>
        <v>0</v>
      </c>
      <c r="M191">
        <f t="shared" si="22"/>
        <v>0</v>
      </c>
      <c r="N191">
        <f t="shared" si="23"/>
        <v>1</v>
      </c>
      <c r="O191">
        <f t="shared" si="24"/>
        <v>0</v>
      </c>
      <c r="P191">
        <v>0.1066249958075639</v>
      </c>
      <c r="Q191">
        <f t="shared" si="25"/>
        <v>0</v>
      </c>
      <c r="R191">
        <f t="shared" si="26"/>
        <v>0</v>
      </c>
      <c r="S191">
        <f t="shared" si="27"/>
        <v>1</v>
      </c>
      <c r="T191">
        <f t="shared" si="28"/>
        <v>8961.59</v>
      </c>
      <c r="U191">
        <f t="shared" si="29"/>
        <v>-6048.02</v>
      </c>
    </row>
    <row r="192" spans="1:21" x14ac:dyDescent="0.3">
      <c r="A192">
        <v>191</v>
      </c>
      <c r="B192">
        <v>28</v>
      </c>
      <c r="C192" t="s">
        <v>10</v>
      </c>
      <c r="D192">
        <v>46.5</v>
      </c>
      <c r="E192">
        <v>94</v>
      </c>
      <c r="F192" t="s">
        <v>12</v>
      </c>
      <c r="G192">
        <v>1</v>
      </c>
      <c r="H192" t="s">
        <v>12</v>
      </c>
      <c r="I192" t="s">
        <v>13</v>
      </c>
      <c r="J192">
        <v>2927.06</v>
      </c>
      <c r="K192" t="str">
        <f t="shared" si="20"/>
        <v>35+</v>
      </c>
      <c r="L192">
        <f t="shared" si="21"/>
        <v>0</v>
      </c>
      <c r="M192">
        <f t="shared" si="22"/>
        <v>1</v>
      </c>
      <c r="N192">
        <f t="shared" si="23"/>
        <v>0</v>
      </c>
      <c r="O192">
        <f t="shared" si="24"/>
        <v>0</v>
      </c>
      <c r="P192">
        <v>0.14521830258803192</v>
      </c>
      <c r="Q192">
        <f t="shared" si="25"/>
        <v>0</v>
      </c>
      <c r="R192">
        <f t="shared" si="26"/>
        <v>0</v>
      </c>
      <c r="S192">
        <f t="shared" si="27"/>
        <v>0</v>
      </c>
      <c r="T192">
        <f t="shared" si="28"/>
        <v>8757.1700000000019</v>
      </c>
      <c r="U192">
        <f t="shared" si="29"/>
        <v>-5830.1100000000024</v>
      </c>
    </row>
    <row r="193" spans="1:21" x14ac:dyDescent="0.3">
      <c r="A193">
        <v>192</v>
      </c>
      <c r="B193">
        <v>28</v>
      </c>
      <c r="C193" t="s">
        <v>16</v>
      </c>
      <c r="D193">
        <v>24.1</v>
      </c>
      <c r="E193">
        <v>80</v>
      </c>
      <c r="F193" t="s">
        <v>12</v>
      </c>
      <c r="G193">
        <v>0</v>
      </c>
      <c r="H193" t="s">
        <v>12</v>
      </c>
      <c r="I193" t="s">
        <v>15</v>
      </c>
      <c r="J193">
        <v>2974.13</v>
      </c>
      <c r="K193" t="str">
        <f t="shared" si="20"/>
        <v>20-25</v>
      </c>
      <c r="L193">
        <f t="shared" si="21"/>
        <v>0</v>
      </c>
      <c r="M193">
        <f t="shared" si="22"/>
        <v>0</v>
      </c>
      <c r="N193">
        <f t="shared" si="23"/>
        <v>1</v>
      </c>
      <c r="O193">
        <f t="shared" si="24"/>
        <v>0</v>
      </c>
      <c r="P193">
        <v>0.6560372055268695</v>
      </c>
      <c r="Q193">
        <f t="shared" si="25"/>
        <v>0</v>
      </c>
      <c r="R193">
        <f t="shared" si="26"/>
        <v>0</v>
      </c>
      <c r="S193">
        <f t="shared" si="27"/>
        <v>1</v>
      </c>
      <c r="T193">
        <f t="shared" si="28"/>
        <v>5003.04</v>
      </c>
      <c r="U193">
        <f t="shared" si="29"/>
        <v>-2028.9099999999999</v>
      </c>
    </row>
    <row r="194" spans="1:21" x14ac:dyDescent="0.3">
      <c r="A194">
        <v>193</v>
      </c>
      <c r="B194">
        <v>55</v>
      </c>
      <c r="C194" t="s">
        <v>16</v>
      </c>
      <c r="D194">
        <v>34.5</v>
      </c>
      <c r="E194">
        <v>87</v>
      </c>
      <c r="F194" t="s">
        <v>11</v>
      </c>
      <c r="G194">
        <v>0</v>
      </c>
      <c r="H194" t="s">
        <v>12</v>
      </c>
      <c r="I194" t="s">
        <v>14</v>
      </c>
      <c r="J194">
        <v>3021.81</v>
      </c>
      <c r="K194" t="str">
        <f t="shared" si="20"/>
        <v>30-35</v>
      </c>
      <c r="L194">
        <f t="shared" si="21"/>
        <v>0</v>
      </c>
      <c r="M194">
        <f t="shared" si="22"/>
        <v>0</v>
      </c>
      <c r="N194">
        <f t="shared" si="23"/>
        <v>0</v>
      </c>
      <c r="O194">
        <f t="shared" si="24"/>
        <v>1</v>
      </c>
      <c r="P194">
        <v>0.34680328816467521</v>
      </c>
      <c r="Q194">
        <f t="shared" si="25"/>
        <v>0</v>
      </c>
      <c r="R194">
        <f t="shared" si="26"/>
        <v>1</v>
      </c>
      <c r="S194">
        <f t="shared" si="27"/>
        <v>1</v>
      </c>
      <c r="T194">
        <f t="shared" si="28"/>
        <v>6913.8200000000006</v>
      </c>
      <c r="U194">
        <f t="shared" si="29"/>
        <v>-3892.0100000000007</v>
      </c>
    </row>
    <row r="195" spans="1:21" x14ac:dyDescent="0.3">
      <c r="A195">
        <v>194</v>
      </c>
      <c r="B195">
        <v>54</v>
      </c>
      <c r="C195" t="s">
        <v>16</v>
      </c>
      <c r="D195">
        <v>25.3</v>
      </c>
      <c r="E195">
        <v>100</v>
      </c>
      <c r="F195" t="s">
        <v>12</v>
      </c>
      <c r="G195">
        <v>0</v>
      </c>
      <c r="H195" t="s">
        <v>12</v>
      </c>
      <c r="I195" t="s">
        <v>17</v>
      </c>
      <c r="J195">
        <v>3044.21</v>
      </c>
      <c r="K195" t="str">
        <f t="shared" ref="K195:K258" si="30">IF(D195&lt;20, "&lt;20", IF(D195&lt;25, "20-25", IF(D195&lt;30, "25-30", IF(D195&lt;35, "30-35", "35+"))))</f>
        <v>25-30</v>
      </c>
      <c r="L195">
        <f t="shared" ref="L195:L258" si="31">D195*Q195</f>
        <v>0</v>
      </c>
      <c r="M195">
        <f t="shared" ref="M195:M258" si="32">IF(I195="southeast", 1, 0)</f>
        <v>0</v>
      </c>
      <c r="N195">
        <f t="shared" ref="N195:N258" si="33">IF(I195="southwest", 1, 0)</f>
        <v>0</v>
      </c>
      <c r="O195">
        <f t="shared" ref="O195:O258" si="34">IF(I195="northwest", 1, 0)</f>
        <v>0</v>
      </c>
      <c r="P195">
        <v>1.4418805632485765E-2</v>
      </c>
      <c r="Q195">
        <f t="shared" ref="Q195:Q258" si="35">IF(H195="Yes", 1, 0)</f>
        <v>0</v>
      </c>
      <c r="R195">
        <f t="shared" ref="R195:R258" si="36">IF(F195="yes", 1, 0)</f>
        <v>0</v>
      </c>
      <c r="S195">
        <f t="shared" ref="S195:S258" si="37">IF(C195="female", 1, 0)</f>
        <v>1</v>
      </c>
      <c r="T195">
        <f t="shared" ref="T195:T258" si="38">-7277.71 + (-1.28*B195) + (85.5*D195) + (738.24*G195) + (159.59*E195) + (1259.19*L195) + (-3644.73*M195) + (-2956.11*N195) + (-2948.04*O195) + (-17828.85*Q195) + (-69.06*R195) + (444.95*S195)</f>
        <v>11220.27</v>
      </c>
      <c r="U195">
        <f t="shared" ref="U195:U258" si="39">J195-T195</f>
        <v>-8176.06</v>
      </c>
    </row>
    <row r="196" spans="1:21" x14ac:dyDescent="0.3">
      <c r="A196">
        <v>195</v>
      </c>
      <c r="B196">
        <v>57</v>
      </c>
      <c r="C196" t="s">
        <v>16</v>
      </c>
      <c r="D196">
        <v>26.6</v>
      </c>
      <c r="E196">
        <v>83</v>
      </c>
      <c r="F196" t="s">
        <v>12</v>
      </c>
      <c r="G196">
        <v>0</v>
      </c>
      <c r="H196" t="s">
        <v>12</v>
      </c>
      <c r="I196" t="s">
        <v>17</v>
      </c>
      <c r="J196">
        <v>3046.06</v>
      </c>
      <c r="K196" t="str">
        <f t="shared" si="30"/>
        <v>25-30</v>
      </c>
      <c r="L196">
        <f t="shared" si="31"/>
        <v>0</v>
      </c>
      <c r="M196">
        <f t="shared" si="32"/>
        <v>0</v>
      </c>
      <c r="N196">
        <f t="shared" si="33"/>
        <v>0</v>
      </c>
      <c r="O196">
        <f t="shared" si="34"/>
        <v>0</v>
      </c>
      <c r="P196">
        <v>0.81714661952574175</v>
      </c>
      <c r="Q196">
        <f t="shared" si="35"/>
        <v>0</v>
      </c>
      <c r="R196">
        <f t="shared" si="36"/>
        <v>0</v>
      </c>
      <c r="S196">
        <f t="shared" si="37"/>
        <v>1</v>
      </c>
      <c r="T196">
        <f t="shared" si="38"/>
        <v>8614.5500000000011</v>
      </c>
      <c r="U196">
        <f t="shared" si="39"/>
        <v>-5568.4900000000016</v>
      </c>
    </row>
    <row r="197" spans="1:21" x14ac:dyDescent="0.3">
      <c r="A197">
        <v>196</v>
      </c>
      <c r="B197">
        <v>33</v>
      </c>
      <c r="C197" t="s">
        <v>16</v>
      </c>
      <c r="D197">
        <v>31.8</v>
      </c>
      <c r="E197">
        <v>98</v>
      </c>
      <c r="F197" t="s">
        <v>11</v>
      </c>
      <c r="G197">
        <v>2</v>
      </c>
      <c r="H197" t="s">
        <v>12</v>
      </c>
      <c r="I197" t="s">
        <v>13</v>
      </c>
      <c r="J197">
        <v>3056.39</v>
      </c>
      <c r="K197" t="str">
        <f t="shared" si="30"/>
        <v>30-35</v>
      </c>
      <c r="L197">
        <f t="shared" si="31"/>
        <v>0</v>
      </c>
      <c r="M197">
        <f t="shared" si="32"/>
        <v>1</v>
      </c>
      <c r="N197">
        <f t="shared" si="33"/>
        <v>0</v>
      </c>
      <c r="O197">
        <f t="shared" si="34"/>
        <v>0</v>
      </c>
      <c r="P197">
        <v>0.48703715395381619</v>
      </c>
      <c r="Q197">
        <f t="shared" si="35"/>
        <v>0</v>
      </c>
      <c r="R197">
        <f t="shared" si="36"/>
        <v>1</v>
      </c>
      <c r="S197">
        <f t="shared" si="37"/>
        <v>1</v>
      </c>
      <c r="T197">
        <f t="shared" si="38"/>
        <v>9246.4100000000017</v>
      </c>
      <c r="U197">
        <f t="shared" si="39"/>
        <v>-6190.0200000000023</v>
      </c>
    </row>
    <row r="198" spans="1:21" x14ac:dyDescent="0.3">
      <c r="A198">
        <v>197</v>
      </c>
      <c r="B198">
        <v>30</v>
      </c>
      <c r="C198" t="s">
        <v>10</v>
      </c>
      <c r="D198">
        <v>30.9</v>
      </c>
      <c r="E198">
        <v>89</v>
      </c>
      <c r="F198" t="s">
        <v>11</v>
      </c>
      <c r="G198">
        <v>0</v>
      </c>
      <c r="H198" t="s">
        <v>12</v>
      </c>
      <c r="I198" t="s">
        <v>14</v>
      </c>
      <c r="J198">
        <v>3062.51</v>
      </c>
      <c r="K198" t="str">
        <f t="shared" si="30"/>
        <v>30-35</v>
      </c>
      <c r="L198">
        <f t="shared" si="31"/>
        <v>0</v>
      </c>
      <c r="M198">
        <f t="shared" si="32"/>
        <v>0</v>
      </c>
      <c r="N198">
        <f t="shared" si="33"/>
        <v>0</v>
      </c>
      <c r="O198">
        <f t="shared" si="34"/>
        <v>1</v>
      </c>
      <c r="P198">
        <v>0.33013776486653734</v>
      </c>
      <c r="Q198">
        <f t="shared" si="35"/>
        <v>0</v>
      </c>
      <c r="R198">
        <f t="shared" si="36"/>
        <v>1</v>
      </c>
      <c r="S198">
        <f t="shared" si="37"/>
        <v>0</v>
      </c>
      <c r="T198">
        <f t="shared" si="38"/>
        <v>6512.25</v>
      </c>
      <c r="U198">
        <f t="shared" si="39"/>
        <v>-3449.74</v>
      </c>
    </row>
    <row r="199" spans="1:21" x14ac:dyDescent="0.3">
      <c r="A199">
        <v>198</v>
      </c>
      <c r="B199">
        <v>49</v>
      </c>
      <c r="C199" t="s">
        <v>10</v>
      </c>
      <c r="D199">
        <v>26</v>
      </c>
      <c r="E199">
        <v>98</v>
      </c>
      <c r="F199" t="s">
        <v>11</v>
      </c>
      <c r="G199">
        <v>0</v>
      </c>
      <c r="H199" t="s">
        <v>12</v>
      </c>
      <c r="I199" t="s">
        <v>17</v>
      </c>
      <c r="J199">
        <v>3070.81</v>
      </c>
      <c r="K199" t="str">
        <f t="shared" si="30"/>
        <v>25-30</v>
      </c>
      <c r="L199">
        <f t="shared" si="31"/>
        <v>0</v>
      </c>
      <c r="M199">
        <f t="shared" si="32"/>
        <v>0</v>
      </c>
      <c r="N199">
        <f t="shared" si="33"/>
        <v>0</v>
      </c>
      <c r="O199">
        <f t="shared" si="34"/>
        <v>0</v>
      </c>
      <c r="P199">
        <v>0.36955253164278445</v>
      </c>
      <c r="Q199">
        <f t="shared" si="35"/>
        <v>0</v>
      </c>
      <c r="R199">
        <f t="shared" si="36"/>
        <v>1</v>
      </c>
      <c r="S199">
        <f t="shared" si="37"/>
        <v>0</v>
      </c>
      <c r="T199">
        <f t="shared" si="38"/>
        <v>10453.33</v>
      </c>
      <c r="U199">
        <f t="shared" si="39"/>
        <v>-7382.52</v>
      </c>
    </row>
    <row r="200" spans="1:21" x14ac:dyDescent="0.3">
      <c r="A200">
        <v>199</v>
      </c>
      <c r="B200">
        <v>25</v>
      </c>
      <c r="C200" t="s">
        <v>10</v>
      </c>
      <c r="D200">
        <v>23</v>
      </c>
      <c r="E200">
        <v>81</v>
      </c>
      <c r="F200" t="s">
        <v>11</v>
      </c>
      <c r="G200">
        <v>0</v>
      </c>
      <c r="H200" t="s">
        <v>12</v>
      </c>
      <c r="I200" t="s">
        <v>17</v>
      </c>
      <c r="J200">
        <v>1704.57</v>
      </c>
      <c r="K200" t="str">
        <f t="shared" si="30"/>
        <v>20-25</v>
      </c>
      <c r="L200">
        <f t="shared" si="31"/>
        <v>0</v>
      </c>
      <c r="M200">
        <f t="shared" si="32"/>
        <v>0</v>
      </c>
      <c r="N200">
        <f t="shared" si="33"/>
        <v>0</v>
      </c>
      <c r="O200">
        <f t="shared" si="34"/>
        <v>0</v>
      </c>
      <c r="P200">
        <v>0.83006041599244851</v>
      </c>
      <c r="Q200">
        <f t="shared" si="35"/>
        <v>0</v>
      </c>
      <c r="R200">
        <f t="shared" si="36"/>
        <v>1</v>
      </c>
      <c r="S200">
        <f t="shared" si="37"/>
        <v>0</v>
      </c>
      <c r="T200">
        <f t="shared" si="38"/>
        <v>7514.52</v>
      </c>
      <c r="U200">
        <f t="shared" si="39"/>
        <v>-5809.9500000000007</v>
      </c>
    </row>
    <row r="201" spans="1:21" x14ac:dyDescent="0.3">
      <c r="A201">
        <v>200</v>
      </c>
      <c r="B201">
        <v>38</v>
      </c>
      <c r="C201" t="s">
        <v>10</v>
      </c>
      <c r="D201">
        <v>23.8</v>
      </c>
      <c r="E201">
        <v>99</v>
      </c>
      <c r="F201" t="s">
        <v>11</v>
      </c>
      <c r="G201">
        <v>2</v>
      </c>
      <c r="H201" t="s">
        <v>12</v>
      </c>
      <c r="I201" t="s">
        <v>14</v>
      </c>
      <c r="J201">
        <v>3077.1</v>
      </c>
      <c r="K201" t="str">
        <f t="shared" si="30"/>
        <v>20-25</v>
      </c>
      <c r="L201">
        <f t="shared" si="31"/>
        <v>0</v>
      </c>
      <c r="M201">
        <f t="shared" si="32"/>
        <v>0</v>
      </c>
      <c r="N201">
        <f t="shared" si="33"/>
        <v>0</v>
      </c>
      <c r="O201">
        <f t="shared" si="34"/>
        <v>1</v>
      </c>
      <c r="P201">
        <v>0.96642425995260994</v>
      </c>
      <c r="Q201">
        <f t="shared" si="35"/>
        <v>0</v>
      </c>
      <c r="R201">
        <f t="shared" si="36"/>
        <v>1</v>
      </c>
      <c r="S201">
        <f t="shared" si="37"/>
        <v>0</v>
      </c>
      <c r="T201">
        <f t="shared" si="38"/>
        <v>8967.3399999999983</v>
      </c>
      <c r="U201">
        <f t="shared" si="39"/>
        <v>-5890.239999999998</v>
      </c>
    </row>
    <row r="202" spans="1:21" x14ac:dyDescent="0.3">
      <c r="A202">
        <v>201</v>
      </c>
      <c r="B202">
        <v>60</v>
      </c>
      <c r="C202" t="s">
        <v>16</v>
      </c>
      <c r="D202">
        <v>25.8</v>
      </c>
      <c r="E202">
        <v>100</v>
      </c>
      <c r="F202" t="s">
        <v>11</v>
      </c>
      <c r="G202">
        <v>0</v>
      </c>
      <c r="H202" t="s">
        <v>12</v>
      </c>
      <c r="I202" t="s">
        <v>15</v>
      </c>
      <c r="J202">
        <v>3161.45</v>
      </c>
      <c r="K202" t="str">
        <f t="shared" si="30"/>
        <v>25-30</v>
      </c>
      <c r="L202">
        <f t="shared" si="31"/>
        <v>0</v>
      </c>
      <c r="M202">
        <f t="shared" si="32"/>
        <v>0</v>
      </c>
      <c r="N202">
        <f t="shared" si="33"/>
        <v>1</v>
      </c>
      <c r="O202">
        <f t="shared" si="34"/>
        <v>0</v>
      </c>
      <c r="P202">
        <v>0.60045498166543276</v>
      </c>
      <c r="Q202">
        <f t="shared" si="35"/>
        <v>0</v>
      </c>
      <c r="R202">
        <f t="shared" si="36"/>
        <v>1</v>
      </c>
      <c r="S202">
        <f t="shared" si="37"/>
        <v>1</v>
      </c>
      <c r="T202">
        <f t="shared" si="38"/>
        <v>8230.1699999999983</v>
      </c>
      <c r="U202">
        <f t="shared" si="39"/>
        <v>-5068.7199999999984</v>
      </c>
    </row>
    <row r="203" spans="1:21" x14ac:dyDescent="0.3">
      <c r="A203">
        <v>202</v>
      </c>
      <c r="B203">
        <v>59</v>
      </c>
      <c r="C203" t="s">
        <v>16</v>
      </c>
      <c r="D203">
        <v>16.8</v>
      </c>
      <c r="E203">
        <v>96</v>
      </c>
      <c r="F203" t="s">
        <v>11</v>
      </c>
      <c r="G203">
        <v>1</v>
      </c>
      <c r="H203" t="s">
        <v>12</v>
      </c>
      <c r="I203" t="s">
        <v>17</v>
      </c>
      <c r="J203">
        <v>3167.46</v>
      </c>
      <c r="K203" t="str">
        <f t="shared" si="30"/>
        <v>&lt;20</v>
      </c>
      <c r="L203">
        <f t="shared" si="31"/>
        <v>0</v>
      </c>
      <c r="M203">
        <f t="shared" si="32"/>
        <v>0</v>
      </c>
      <c r="N203">
        <f t="shared" si="33"/>
        <v>0</v>
      </c>
      <c r="O203">
        <f t="shared" si="34"/>
        <v>0</v>
      </c>
      <c r="P203">
        <v>0.28159003615623102</v>
      </c>
      <c r="Q203">
        <f t="shared" si="35"/>
        <v>0</v>
      </c>
      <c r="R203">
        <f t="shared" si="36"/>
        <v>1</v>
      </c>
      <c r="S203">
        <f t="shared" si="37"/>
        <v>1</v>
      </c>
      <c r="T203">
        <f t="shared" si="38"/>
        <v>10517.94</v>
      </c>
      <c r="U203">
        <f t="shared" si="39"/>
        <v>-7350.4800000000005</v>
      </c>
    </row>
    <row r="204" spans="1:21" x14ac:dyDescent="0.3">
      <c r="A204">
        <v>203</v>
      </c>
      <c r="B204">
        <v>52</v>
      </c>
      <c r="C204" t="s">
        <v>16</v>
      </c>
      <c r="D204">
        <v>33.1</v>
      </c>
      <c r="E204">
        <v>87</v>
      </c>
      <c r="F204" t="s">
        <v>12</v>
      </c>
      <c r="G204">
        <v>0</v>
      </c>
      <c r="H204" t="s">
        <v>12</v>
      </c>
      <c r="I204" t="s">
        <v>13</v>
      </c>
      <c r="J204">
        <v>3171.61</v>
      </c>
      <c r="K204" t="str">
        <f t="shared" si="30"/>
        <v>30-35</v>
      </c>
      <c r="L204">
        <f t="shared" si="31"/>
        <v>0</v>
      </c>
      <c r="M204">
        <f t="shared" si="32"/>
        <v>1</v>
      </c>
      <c r="N204">
        <f t="shared" si="33"/>
        <v>0</v>
      </c>
      <c r="O204">
        <f t="shared" si="34"/>
        <v>0</v>
      </c>
      <c r="P204">
        <v>0.44238605284754717</v>
      </c>
      <c r="Q204">
        <f t="shared" si="35"/>
        <v>0</v>
      </c>
      <c r="R204">
        <f t="shared" si="36"/>
        <v>0</v>
      </c>
      <c r="S204">
        <f t="shared" si="37"/>
        <v>1</v>
      </c>
      <c r="T204">
        <f t="shared" si="38"/>
        <v>6170.3300000000008</v>
      </c>
      <c r="U204">
        <f t="shared" si="39"/>
        <v>-2998.7200000000007</v>
      </c>
    </row>
    <row r="205" spans="1:21" x14ac:dyDescent="0.3">
      <c r="A205">
        <v>204</v>
      </c>
      <c r="B205">
        <v>35</v>
      </c>
      <c r="C205" t="s">
        <v>16</v>
      </c>
      <c r="D205">
        <v>33.4</v>
      </c>
      <c r="E205">
        <v>99</v>
      </c>
      <c r="F205" t="s">
        <v>12</v>
      </c>
      <c r="G205">
        <v>0</v>
      </c>
      <c r="H205" t="s">
        <v>12</v>
      </c>
      <c r="I205" t="s">
        <v>15</v>
      </c>
      <c r="J205">
        <v>3172.02</v>
      </c>
      <c r="K205" t="str">
        <f t="shared" si="30"/>
        <v>30-35</v>
      </c>
      <c r="L205">
        <f t="shared" si="31"/>
        <v>0</v>
      </c>
      <c r="M205">
        <f t="shared" si="32"/>
        <v>0</v>
      </c>
      <c r="N205">
        <f t="shared" si="33"/>
        <v>1</v>
      </c>
      <c r="O205">
        <f t="shared" si="34"/>
        <v>0</v>
      </c>
      <c r="P205">
        <v>0.31231580114868362</v>
      </c>
      <c r="Q205">
        <f t="shared" si="35"/>
        <v>0</v>
      </c>
      <c r="R205">
        <f t="shared" si="36"/>
        <v>0</v>
      </c>
      <c r="S205">
        <f t="shared" si="37"/>
        <v>1</v>
      </c>
      <c r="T205">
        <f t="shared" si="38"/>
        <v>8821.4399999999987</v>
      </c>
      <c r="U205">
        <f t="shared" si="39"/>
        <v>-5649.4199999999983</v>
      </c>
    </row>
    <row r="206" spans="1:21" x14ac:dyDescent="0.3">
      <c r="A206">
        <v>205</v>
      </c>
      <c r="B206">
        <v>35</v>
      </c>
      <c r="C206" t="s">
        <v>16</v>
      </c>
      <c r="D206">
        <v>22.2</v>
      </c>
      <c r="E206">
        <v>93</v>
      </c>
      <c r="F206" t="s">
        <v>12</v>
      </c>
      <c r="G206">
        <v>0</v>
      </c>
      <c r="H206" t="s">
        <v>12</v>
      </c>
      <c r="I206" t="s">
        <v>14</v>
      </c>
      <c r="J206">
        <v>3176.29</v>
      </c>
      <c r="K206" t="str">
        <f t="shared" si="30"/>
        <v>20-25</v>
      </c>
      <c r="L206">
        <f t="shared" si="31"/>
        <v>0</v>
      </c>
      <c r="M206">
        <f t="shared" si="32"/>
        <v>0</v>
      </c>
      <c r="N206">
        <f t="shared" si="33"/>
        <v>0</v>
      </c>
      <c r="O206">
        <f t="shared" si="34"/>
        <v>1</v>
      </c>
      <c r="P206">
        <v>0.94458102132988331</v>
      </c>
      <c r="Q206">
        <f t="shared" si="35"/>
        <v>0</v>
      </c>
      <c r="R206">
        <f t="shared" si="36"/>
        <v>0</v>
      </c>
      <c r="S206">
        <f t="shared" si="37"/>
        <v>1</v>
      </c>
      <c r="T206">
        <f t="shared" si="38"/>
        <v>6914.3700000000008</v>
      </c>
      <c r="U206">
        <f t="shared" si="39"/>
        <v>-3738.0800000000008</v>
      </c>
    </row>
    <row r="207" spans="1:21" x14ac:dyDescent="0.3">
      <c r="A207">
        <v>206</v>
      </c>
      <c r="B207">
        <v>48</v>
      </c>
      <c r="C207" t="s">
        <v>16</v>
      </c>
      <c r="D207">
        <v>22.6</v>
      </c>
      <c r="E207">
        <v>94</v>
      </c>
      <c r="F207" t="s">
        <v>12</v>
      </c>
      <c r="G207">
        <v>0</v>
      </c>
      <c r="H207" t="s">
        <v>12</v>
      </c>
      <c r="I207" t="s">
        <v>14</v>
      </c>
      <c r="J207">
        <v>3176.82</v>
      </c>
      <c r="K207" t="str">
        <f t="shared" si="30"/>
        <v>20-25</v>
      </c>
      <c r="L207">
        <f t="shared" si="31"/>
        <v>0</v>
      </c>
      <c r="M207">
        <f t="shared" si="32"/>
        <v>0</v>
      </c>
      <c r="N207">
        <f t="shared" si="33"/>
        <v>0</v>
      </c>
      <c r="O207">
        <f t="shared" si="34"/>
        <v>1</v>
      </c>
      <c r="P207">
        <v>9.4303214763219345E-2</v>
      </c>
      <c r="Q207">
        <f t="shared" si="35"/>
        <v>0</v>
      </c>
      <c r="R207">
        <f t="shared" si="36"/>
        <v>0</v>
      </c>
      <c r="S207">
        <f t="shared" si="37"/>
        <v>1</v>
      </c>
      <c r="T207">
        <f t="shared" si="38"/>
        <v>7091.52</v>
      </c>
      <c r="U207">
        <f t="shared" si="39"/>
        <v>-3914.7000000000003</v>
      </c>
    </row>
    <row r="208" spans="1:21" x14ac:dyDescent="0.3">
      <c r="A208">
        <v>207</v>
      </c>
      <c r="B208">
        <v>27</v>
      </c>
      <c r="C208" t="s">
        <v>16</v>
      </c>
      <c r="D208">
        <v>21.9</v>
      </c>
      <c r="E208">
        <v>80</v>
      </c>
      <c r="F208" t="s">
        <v>12</v>
      </c>
      <c r="G208">
        <v>2</v>
      </c>
      <c r="H208" t="s">
        <v>12</v>
      </c>
      <c r="I208" t="s">
        <v>13</v>
      </c>
      <c r="J208">
        <v>3180.51</v>
      </c>
      <c r="K208" t="str">
        <f t="shared" si="30"/>
        <v>20-25</v>
      </c>
      <c r="L208">
        <f t="shared" si="31"/>
        <v>0</v>
      </c>
      <c r="M208">
        <f t="shared" si="32"/>
        <v>1</v>
      </c>
      <c r="N208">
        <f t="shared" si="33"/>
        <v>0</v>
      </c>
      <c r="O208">
        <f t="shared" si="34"/>
        <v>0</v>
      </c>
      <c r="P208">
        <v>0.91676188376860002</v>
      </c>
      <c r="Q208">
        <f t="shared" si="35"/>
        <v>0</v>
      </c>
      <c r="R208">
        <f t="shared" si="36"/>
        <v>0</v>
      </c>
      <c r="S208">
        <f t="shared" si="37"/>
        <v>1</v>
      </c>
      <c r="T208">
        <f t="shared" si="38"/>
        <v>5604.0800000000008</v>
      </c>
      <c r="U208">
        <f t="shared" si="39"/>
        <v>-2423.5700000000006</v>
      </c>
    </row>
    <row r="209" spans="1:21" x14ac:dyDescent="0.3">
      <c r="A209">
        <v>208</v>
      </c>
      <c r="B209">
        <v>48</v>
      </c>
      <c r="C209" t="s">
        <v>16</v>
      </c>
      <c r="D209">
        <v>40.200000000000003</v>
      </c>
      <c r="E209">
        <v>82</v>
      </c>
      <c r="F209" t="s">
        <v>12</v>
      </c>
      <c r="G209">
        <v>0</v>
      </c>
      <c r="H209" t="s">
        <v>12</v>
      </c>
      <c r="I209" t="s">
        <v>14</v>
      </c>
      <c r="J209">
        <v>3201.25</v>
      </c>
      <c r="K209" t="str">
        <f t="shared" si="30"/>
        <v>35+</v>
      </c>
      <c r="L209">
        <f t="shared" si="31"/>
        <v>0</v>
      </c>
      <c r="M209">
        <f t="shared" si="32"/>
        <v>0</v>
      </c>
      <c r="N209">
        <f t="shared" si="33"/>
        <v>0</v>
      </c>
      <c r="O209">
        <f t="shared" si="34"/>
        <v>1</v>
      </c>
      <c r="P209">
        <v>0.58261982981048588</v>
      </c>
      <c r="Q209">
        <f t="shared" si="35"/>
        <v>0</v>
      </c>
      <c r="R209">
        <f t="shared" si="36"/>
        <v>0</v>
      </c>
      <c r="S209">
        <f t="shared" si="37"/>
        <v>1</v>
      </c>
      <c r="T209">
        <f t="shared" si="38"/>
        <v>6681.2400000000016</v>
      </c>
      <c r="U209">
        <f t="shared" si="39"/>
        <v>-3479.9900000000016</v>
      </c>
    </row>
    <row r="210" spans="1:21" x14ac:dyDescent="0.3">
      <c r="A210">
        <v>209</v>
      </c>
      <c r="B210">
        <v>45</v>
      </c>
      <c r="C210" t="s">
        <v>16</v>
      </c>
      <c r="D210">
        <v>23.5</v>
      </c>
      <c r="E210">
        <v>96</v>
      </c>
      <c r="F210" t="s">
        <v>12</v>
      </c>
      <c r="G210">
        <v>0</v>
      </c>
      <c r="H210" t="s">
        <v>12</v>
      </c>
      <c r="I210" t="s">
        <v>17</v>
      </c>
      <c r="J210">
        <v>3206.49</v>
      </c>
      <c r="K210" t="str">
        <f t="shared" si="30"/>
        <v>20-25</v>
      </c>
      <c r="L210">
        <f t="shared" si="31"/>
        <v>0</v>
      </c>
      <c r="M210">
        <f t="shared" si="32"/>
        <v>0</v>
      </c>
      <c r="N210">
        <f t="shared" si="33"/>
        <v>0</v>
      </c>
      <c r="O210">
        <f t="shared" si="34"/>
        <v>0</v>
      </c>
      <c r="P210">
        <v>0.85634790479126643</v>
      </c>
      <c r="Q210">
        <f t="shared" si="35"/>
        <v>0</v>
      </c>
      <c r="R210">
        <f t="shared" si="36"/>
        <v>0</v>
      </c>
      <c r="S210">
        <f t="shared" si="37"/>
        <v>1</v>
      </c>
      <c r="T210">
        <f t="shared" si="38"/>
        <v>10439.529999999999</v>
      </c>
      <c r="U210">
        <f t="shared" si="39"/>
        <v>-7233.0399999999991</v>
      </c>
    </row>
    <row r="211" spans="1:21" x14ac:dyDescent="0.3">
      <c r="A211">
        <v>210</v>
      </c>
      <c r="B211">
        <v>33</v>
      </c>
      <c r="C211" t="s">
        <v>16</v>
      </c>
      <c r="D211">
        <v>20.8</v>
      </c>
      <c r="E211">
        <v>87</v>
      </c>
      <c r="F211" t="s">
        <v>11</v>
      </c>
      <c r="G211">
        <v>1</v>
      </c>
      <c r="H211" t="s">
        <v>12</v>
      </c>
      <c r="I211" t="s">
        <v>15</v>
      </c>
      <c r="J211">
        <v>3208.79</v>
      </c>
      <c r="K211" t="str">
        <f t="shared" si="30"/>
        <v>20-25</v>
      </c>
      <c r="L211">
        <f t="shared" si="31"/>
        <v>0</v>
      </c>
      <c r="M211">
        <f t="shared" si="32"/>
        <v>0</v>
      </c>
      <c r="N211">
        <f t="shared" si="33"/>
        <v>1</v>
      </c>
      <c r="O211">
        <f t="shared" si="34"/>
        <v>0</v>
      </c>
      <c r="P211">
        <v>0.25195381911307047</v>
      </c>
      <c r="Q211">
        <f t="shared" si="35"/>
        <v>0</v>
      </c>
      <c r="R211">
        <f t="shared" si="36"/>
        <v>1</v>
      </c>
      <c r="S211">
        <f t="shared" si="37"/>
        <v>1</v>
      </c>
      <c r="T211">
        <f t="shared" si="38"/>
        <v>6500.7999999999993</v>
      </c>
      <c r="U211">
        <f t="shared" si="39"/>
        <v>-3292.0099999999993</v>
      </c>
    </row>
    <row r="212" spans="1:21" x14ac:dyDescent="0.3">
      <c r="A212">
        <v>211</v>
      </c>
      <c r="B212">
        <v>59</v>
      </c>
      <c r="C212" t="s">
        <v>16</v>
      </c>
      <c r="D212">
        <v>28.6</v>
      </c>
      <c r="E212">
        <v>82</v>
      </c>
      <c r="F212" t="s">
        <v>12</v>
      </c>
      <c r="G212">
        <v>0</v>
      </c>
      <c r="H212" t="s">
        <v>12</v>
      </c>
      <c r="I212" t="s">
        <v>17</v>
      </c>
      <c r="J212">
        <v>3213.62</v>
      </c>
      <c r="K212" t="str">
        <f t="shared" si="30"/>
        <v>25-30</v>
      </c>
      <c r="L212">
        <f t="shared" si="31"/>
        <v>0</v>
      </c>
      <c r="M212">
        <f t="shared" si="32"/>
        <v>0</v>
      </c>
      <c r="N212">
        <f t="shared" si="33"/>
        <v>0</v>
      </c>
      <c r="O212">
        <f t="shared" si="34"/>
        <v>0</v>
      </c>
      <c r="P212">
        <v>0.96367066805242174</v>
      </c>
      <c r="Q212">
        <f t="shared" si="35"/>
        <v>0</v>
      </c>
      <c r="R212">
        <f t="shared" si="36"/>
        <v>0</v>
      </c>
      <c r="S212">
        <f t="shared" si="37"/>
        <v>1</v>
      </c>
      <c r="T212">
        <f t="shared" si="38"/>
        <v>8623.4000000000015</v>
      </c>
      <c r="U212">
        <f t="shared" si="39"/>
        <v>-5409.7800000000016</v>
      </c>
    </row>
    <row r="213" spans="1:21" x14ac:dyDescent="0.3">
      <c r="A213">
        <v>212</v>
      </c>
      <c r="B213">
        <v>36</v>
      </c>
      <c r="C213" t="s">
        <v>16</v>
      </c>
      <c r="D213">
        <v>34</v>
      </c>
      <c r="E213">
        <v>88</v>
      </c>
      <c r="F213" t="s">
        <v>11</v>
      </c>
      <c r="G213">
        <v>1</v>
      </c>
      <c r="H213" t="s">
        <v>12</v>
      </c>
      <c r="I213" t="s">
        <v>13</v>
      </c>
      <c r="J213">
        <v>3227.12</v>
      </c>
      <c r="K213" t="str">
        <f t="shared" si="30"/>
        <v>30-35</v>
      </c>
      <c r="L213">
        <f t="shared" si="31"/>
        <v>0</v>
      </c>
      <c r="M213">
        <f t="shared" si="32"/>
        <v>1</v>
      </c>
      <c r="N213">
        <f t="shared" si="33"/>
        <v>0</v>
      </c>
      <c r="O213">
        <f t="shared" si="34"/>
        <v>0</v>
      </c>
      <c r="P213">
        <v>0.37844699623953371</v>
      </c>
      <c r="Q213">
        <f t="shared" si="35"/>
        <v>0</v>
      </c>
      <c r="R213">
        <f t="shared" si="36"/>
        <v>1</v>
      </c>
      <c r="S213">
        <f t="shared" si="37"/>
        <v>1</v>
      </c>
      <c r="T213">
        <f t="shared" si="38"/>
        <v>7096.5299999999988</v>
      </c>
      <c r="U213">
        <f t="shared" si="39"/>
        <v>-3869.4099999999989</v>
      </c>
    </row>
    <row r="214" spans="1:21" x14ac:dyDescent="0.3">
      <c r="A214">
        <v>213</v>
      </c>
      <c r="B214">
        <v>46</v>
      </c>
      <c r="C214" t="s">
        <v>16</v>
      </c>
      <c r="D214">
        <v>42.1</v>
      </c>
      <c r="E214">
        <v>89</v>
      </c>
      <c r="F214" t="s">
        <v>12</v>
      </c>
      <c r="G214">
        <v>1</v>
      </c>
      <c r="H214" t="s">
        <v>12</v>
      </c>
      <c r="I214" t="s">
        <v>13</v>
      </c>
      <c r="J214">
        <v>3238.44</v>
      </c>
      <c r="K214" t="str">
        <f t="shared" si="30"/>
        <v>35+</v>
      </c>
      <c r="L214">
        <f t="shared" si="31"/>
        <v>0</v>
      </c>
      <c r="M214">
        <f t="shared" si="32"/>
        <v>1</v>
      </c>
      <c r="N214">
        <f t="shared" si="33"/>
        <v>0</v>
      </c>
      <c r="O214">
        <f t="shared" si="34"/>
        <v>0</v>
      </c>
      <c r="P214">
        <v>0.94271062879031109</v>
      </c>
      <c r="Q214">
        <f t="shared" si="35"/>
        <v>0</v>
      </c>
      <c r="R214">
        <f t="shared" si="36"/>
        <v>0</v>
      </c>
      <c r="S214">
        <f t="shared" si="37"/>
        <v>1</v>
      </c>
      <c r="T214">
        <f t="shared" si="38"/>
        <v>8004.9299999999994</v>
      </c>
      <c r="U214">
        <f t="shared" si="39"/>
        <v>-4766.49</v>
      </c>
    </row>
    <row r="215" spans="1:21" x14ac:dyDescent="0.3">
      <c r="A215">
        <v>214</v>
      </c>
      <c r="B215">
        <v>35</v>
      </c>
      <c r="C215" t="s">
        <v>10</v>
      </c>
      <c r="D215">
        <v>20.399999999999999</v>
      </c>
      <c r="E215">
        <v>88</v>
      </c>
      <c r="F215" t="s">
        <v>12</v>
      </c>
      <c r="G215">
        <v>0</v>
      </c>
      <c r="H215" t="s">
        <v>12</v>
      </c>
      <c r="I215" t="s">
        <v>15</v>
      </c>
      <c r="J215">
        <v>3260.2</v>
      </c>
      <c r="K215" t="str">
        <f t="shared" si="30"/>
        <v>20-25</v>
      </c>
      <c r="L215">
        <f t="shared" si="31"/>
        <v>0</v>
      </c>
      <c r="M215">
        <f t="shared" si="32"/>
        <v>0</v>
      </c>
      <c r="N215">
        <f t="shared" si="33"/>
        <v>1</v>
      </c>
      <c r="O215">
        <f t="shared" si="34"/>
        <v>0</v>
      </c>
      <c r="P215">
        <v>6.464416412470575E-2</v>
      </c>
      <c r="Q215">
        <f t="shared" si="35"/>
        <v>0</v>
      </c>
      <c r="R215">
        <f t="shared" si="36"/>
        <v>0</v>
      </c>
      <c r="S215">
        <f t="shared" si="37"/>
        <v>0</v>
      </c>
      <c r="T215">
        <f t="shared" si="38"/>
        <v>5509.5</v>
      </c>
      <c r="U215">
        <f t="shared" si="39"/>
        <v>-2249.3000000000002</v>
      </c>
    </row>
    <row r="216" spans="1:21" x14ac:dyDescent="0.3">
      <c r="A216">
        <v>215</v>
      </c>
      <c r="B216">
        <v>43</v>
      </c>
      <c r="C216" t="s">
        <v>10</v>
      </c>
      <c r="D216">
        <v>35.4</v>
      </c>
      <c r="E216">
        <v>86</v>
      </c>
      <c r="F216" t="s">
        <v>11</v>
      </c>
      <c r="G216">
        <v>0</v>
      </c>
      <c r="H216" t="s">
        <v>12</v>
      </c>
      <c r="I216" t="s">
        <v>17</v>
      </c>
      <c r="J216">
        <v>3268.85</v>
      </c>
      <c r="K216" t="str">
        <f t="shared" si="30"/>
        <v>35+</v>
      </c>
      <c r="L216">
        <f t="shared" si="31"/>
        <v>0</v>
      </c>
      <c r="M216">
        <f t="shared" si="32"/>
        <v>0</v>
      </c>
      <c r="N216">
        <f t="shared" si="33"/>
        <v>0</v>
      </c>
      <c r="O216">
        <f t="shared" si="34"/>
        <v>0</v>
      </c>
      <c r="P216">
        <v>0.77791908132069443</v>
      </c>
      <c r="Q216">
        <f t="shared" si="35"/>
        <v>0</v>
      </c>
      <c r="R216">
        <f t="shared" si="36"/>
        <v>1</v>
      </c>
      <c r="S216">
        <f t="shared" si="37"/>
        <v>0</v>
      </c>
      <c r="T216">
        <f t="shared" si="38"/>
        <v>9349.6299999999992</v>
      </c>
      <c r="U216">
        <f t="shared" si="39"/>
        <v>-6080.7799999999988</v>
      </c>
    </row>
    <row r="217" spans="1:21" x14ac:dyDescent="0.3">
      <c r="A217">
        <v>216</v>
      </c>
      <c r="B217">
        <v>28</v>
      </c>
      <c r="C217" t="s">
        <v>10</v>
      </c>
      <c r="D217">
        <v>37.1</v>
      </c>
      <c r="E217">
        <v>90</v>
      </c>
      <c r="F217" t="s">
        <v>11</v>
      </c>
      <c r="G217">
        <v>1</v>
      </c>
      <c r="H217" t="s">
        <v>12</v>
      </c>
      <c r="I217" t="s">
        <v>15</v>
      </c>
      <c r="J217">
        <v>3277.16</v>
      </c>
      <c r="K217" t="str">
        <f t="shared" si="30"/>
        <v>35+</v>
      </c>
      <c r="L217">
        <f t="shared" si="31"/>
        <v>0</v>
      </c>
      <c r="M217">
        <f t="shared" si="32"/>
        <v>0</v>
      </c>
      <c r="N217">
        <f t="shared" si="33"/>
        <v>1</v>
      </c>
      <c r="O217">
        <f t="shared" si="34"/>
        <v>0</v>
      </c>
      <c r="P217">
        <v>4.24252209731657E-3</v>
      </c>
      <c r="Q217">
        <f t="shared" si="35"/>
        <v>0</v>
      </c>
      <c r="R217">
        <f t="shared" si="36"/>
        <v>1</v>
      </c>
      <c r="S217">
        <f t="shared" si="37"/>
        <v>0</v>
      </c>
      <c r="T217">
        <f t="shared" si="38"/>
        <v>7934.6699999999992</v>
      </c>
      <c r="U217">
        <f t="shared" si="39"/>
        <v>-4657.5099999999993</v>
      </c>
    </row>
    <row r="218" spans="1:21" x14ac:dyDescent="0.3">
      <c r="A218">
        <v>217</v>
      </c>
      <c r="B218">
        <v>26</v>
      </c>
      <c r="C218" t="s">
        <v>10</v>
      </c>
      <c r="D218">
        <v>25.7</v>
      </c>
      <c r="E218">
        <v>91</v>
      </c>
      <c r="F218" t="s">
        <v>12</v>
      </c>
      <c r="G218">
        <v>2</v>
      </c>
      <c r="H218" t="s">
        <v>12</v>
      </c>
      <c r="I218" t="s">
        <v>17</v>
      </c>
      <c r="J218">
        <v>3279.87</v>
      </c>
      <c r="K218" t="str">
        <f t="shared" si="30"/>
        <v>25-30</v>
      </c>
      <c r="L218">
        <f t="shared" si="31"/>
        <v>0</v>
      </c>
      <c r="M218">
        <f t="shared" si="32"/>
        <v>0</v>
      </c>
      <c r="N218">
        <f t="shared" si="33"/>
        <v>0</v>
      </c>
      <c r="O218">
        <f t="shared" si="34"/>
        <v>0</v>
      </c>
      <c r="P218">
        <v>0.33164619165575171</v>
      </c>
      <c r="Q218">
        <f t="shared" si="35"/>
        <v>0</v>
      </c>
      <c r="R218">
        <f t="shared" si="36"/>
        <v>0</v>
      </c>
      <c r="S218">
        <f t="shared" si="37"/>
        <v>0</v>
      </c>
      <c r="T218">
        <f t="shared" si="38"/>
        <v>10885.53</v>
      </c>
      <c r="U218">
        <f t="shared" si="39"/>
        <v>-7605.6600000000008</v>
      </c>
    </row>
    <row r="219" spans="1:21" x14ac:dyDescent="0.3">
      <c r="A219">
        <v>218</v>
      </c>
      <c r="B219">
        <v>23</v>
      </c>
      <c r="C219" t="s">
        <v>10</v>
      </c>
      <c r="D219">
        <v>33.9</v>
      </c>
      <c r="E219">
        <v>81</v>
      </c>
      <c r="F219" t="s">
        <v>12</v>
      </c>
      <c r="G219">
        <v>1</v>
      </c>
      <c r="H219" t="s">
        <v>12</v>
      </c>
      <c r="I219" t="s">
        <v>14</v>
      </c>
      <c r="J219">
        <v>3292.53</v>
      </c>
      <c r="K219" t="str">
        <f t="shared" si="30"/>
        <v>30-35</v>
      </c>
      <c r="L219">
        <f t="shared" si="31"/>
        <v>0</v>
      </c>
      <c r="M219">
        <f t="shared" si="32"/>
        <v>0</v>
      </c>
      <c r="N219">
        <f t="shared" si="33"/>
        <v>0</v>
      </c>
      <c r="O219">
        <f t="shared" si="34"/>
        <v>1</v>
      </c>
      <c r="P219">
        <v>0.61171289047599142</v>
      </c>
      <c r="Q219">
        <f t="shared" si="35"/>
        <v>0</v>
      </c>
      <c r="R219">
        <f t="shared" si="36"/>
        <v>0</v>
      </c>
      <c r="S219">
        <f t="shared" si="37"/>
        <v>0</v>
      </c>
      <c r="T219">
        <f t="shared" si="38"/>
        <v>6308.2900000000018</v>
      </c>
      <c r="U219">
        <f t="shared" si="39"/>
        <v>-3015.7600000000016</v>
      </c>
    </row>
    <row r="220" spans="1:21" x14ac:dyDescent="0.3">
      <c r="A220">
        <v>219</v>
      </c>
      <c r="B220">
        <v>48</v>
      </c>
      <c r="C220" t="s">
        <v>10</v>
      </c>
      <c r="D220">
        <v>25.8</v>
      </c>
      <c r="E220">
        <v>82</v>
      </c>
      <c r="F220" t="s">
        <v>11</v>
      </c>
      <c r="G220">
        <v>1</v>
      </c>
      <c r="H220" t="s">
        <v>12</v>
      </c>
      <c r="I220" t="s">
        <v>17</v>
      </c>
      <c r="J220">
        <v>3309.79</v>
      </c>
      <c r="K220" t="str">
        <f t="shared" si="30"/>
        <v>25-30</v>
      </c>
      <c r="L220">
        <f t="shared" si="31"/>
        <v>0</v>
      </c>
      <c r="M220">
        <f t="shared" si="32"/>
        <v>0</v>
      </c>
      <c r="N220">
        <f t="shared" si="33"/>
        <v>0</v>
      </c>
      <c r="O220">
        <f t="shared" si="34"/>
        <v>0</v>
      </c>
      <c r="P220">
        <v>0.17808140950326379</v>
      </c>
      <c r="Q220">
        <f t="shared" si="35"/>
        <v>0</v>
      </c>
      <c r="R220">
        <f t="shared" si="36"/>
        <v>1</v>
      </c>
      <c r="S220">
        <f t="shared" si="37"/>
        <v>0</v>
      </c>
      <c r="T220">
        <f t="shared" si="38"/>
        <v>8622.3100000000013</v>
      </c>
      <c r="U220">
        <f t="shared" si="39"/>
        <v>-5312.5200000000013</v>
      </c>
    </row>
    <row r="221" spans="1:21" x14ac:dyDescent="0.3">
      <c r="A221">
        <v>220</v>
      </c>
      <c r="B221">
        <v>49</v>
      </c>
      <c r="C221" t="s">
        <v>16</v>
      </c>
      <c r="D221">
        <v>25.9</v>
      </c>
      <c r="E221">
        <v>97</v>
      </c>
      <c r="F221" t="s">
        <v>12</v>
      </c>
      <c r="G221">
        <v>0</v>
      </c>
      <c r="H221" t="s">
        <v>12</v>
      </c>
      <c r="I221" t="s">
        <v>15</v>
      </c>
      <c r="J221">
        <v>3353.28</v>
      </c>
      <c r="K221" t="str">
        <f t="shared" si="30"/>
        <v>25-30</v>
      </c>
      <c r="L221">
        <f t="shared" si="31"/>
        <v>0</v>
      </c>
      <c r="M221">
        <f t="shared" si="32"/>
        <v>0</v>
      </c>
      <c r="N221">
        <f t="shared" si="33"/>
        <v>1</v>
      </c>
      <c r="O221">
        <f t="shared" si="34"/>
        <v>0</v>
      </c>
      <c r="P221">
        <v>0.83863403027275107</v>
      </c>
      <c r="Q221">
        <f t="shared" si="35"/>
        <v>0</v>
      </c>
      <c r="R221">
        <f t="shared" si="36"/>
        <v>0</v>
      </c>
      <c r="S221">
        <f t="shared" si="37"/>
        <v>1</v>
      </c>
      <c r="T221">
        <f t="shared" si="38"/>
        <v>7843.0899999999992</v>
      </c>
      <c r="U221">
        <f t="shared" si="39"/>
        <v>-4489.8099999999995</v>
      </c>
    </row>
    <row r="222" spans="1:21" x14ac:dyDescent="0.3">
      <c r="A222">
        <v>221</v>
      </c>
      <c r="B222">
        <v>41</v>
      </c>
      <c r="C222" t="s">
        <v>16</v>
      </c>
      <c r="D222">
        <v>21.5</v>
      </c>
      <c r="E222">
        <v>92</v>
      </c>
      <c r="F222" t="s">
        <v>12</v>
      </c>
      <c r="G222">
        <v>0</v>
      </c>
      <c r="H222" t="s">
        <v>12</v>
      </c>
      <c r="I222" t="s">
        <v>14</v>
      </c>
      <c r="J222">
        <v>3353.47</v>
      </c>
      <c r="K222" t="str">
        <f t="shared" si="30"/>
        <v>20-25</v>
      </c>
      <c r="L222">
        <f t="shared" si="31"/>
        <v>0</v>
      </c>
      <c r="M222">
        <f t="shared" si="32"/>
        <v>0</v>
      </c>
      <c r="N222">
        <f t="shared" si="33"/>
        <v>0</v>
      </c>
      <c r="O222">
        <f t="shared" si="34"/>
        <v>1</v>
      </c>
      <c r="P222">
        <v>0.53959190667879775</v>
      </c>
      <c r="Q222">
        <f t="shared" si="35"/>
        <v>0</v>
      </c>
      <c r="R222">
        <f t="shared" si="36"/>
        <v>0</v>
      </c>
      <c r="S222">
        <f t="shared" si="37"/>
        <v>1</v>
      </c>
      <c r="T222">
        <f t="shared" si="38"/>
        <v>6687.25</v>
      </c>
      <c r="U222">
        <f t="shared" si="39"/>
        <v>-3333.78</v>
      </c>
    </row>
    <row r="223" spans="1:21" x14ac:dyDescent="0.3">
      <c r="A223">
        <v>222</v>
      </c>
      <c r="B223">
        <v>28</v>
      </c>
      <c r="C223" t="s">
        <v>16</v>
      </c>
      <c r="D223">
        <v>35.5</v>
      </c>
      <c r="E223">
        <v>95</v>
      </c>
      <c r="F223" t="s">
        <v>11</v>
      </c>
      <c r="G223">
        <v>0</v>
      </c>
      <c r="H223" t="s">
        <v>12</v>
      </c>
      <c r="I223" t="s">
        <v>13</v>
      </c>
      <c r="J223">
        <v>3366.67</v>
      </c>
      <c r="K223" t="str">
        <f t="shared" si="30"/>
        <v>35+</v>
      </c>
      <c r="L223">
        <f t="shared" si="31"/>
        <v>0</v>
      </c>
      <c r="M223">
        <f t="shared" si="32"/>
        <v>1</v>
      </c>
      <c r="N223">
        <f t="shared" si="33"/>
        <v>0</v>
      </c>
      <c r="O223">
        <f t="shared" si="34"/>
        <v>0</v>
      </c>
      <c r="P223">
        <v>0.17725896667977681</v>
      </c>
      <c r="Q223">
        <f t="shared" si="35"/>
        <v>0</v>
      </c>
      <c r="R223">
        <f t="shared" si="36"/>
        <v>1</v>
      </c>
      <c r="S223">
        <f t="shared" si="37"/>
        <v>1</v>
      </c>
      <c r="T223">
        <f t="shared" si="38"/>
        <v>7613.91</v>
      </c>
      <c r="U223">
        <f t="shared" si="39"/>
        <v>-4247.24</v>
      </c>
    </row>
    <row r="224" spans="1:21" x14ac:dyDescent="0.3">
      <c r="A224">
        <v>223</v>
      </c>
      <c r="B224">
        <v>53</v>
      </c>
      <c r="C224" t="s">
        <v>16</v>
      </c>
      <c r="D224">
        <v>19.8</v>
      </c>
      <c r="E224">
        <v>93</v>
      </c>
      <c r="F224" t="s">
        <v>11</v>
      </c>
      <c r="G224">
        <v>1</v>
      </c>
      <c r="H224" t="s">
        <v>12</v>
      </c>
      <c r="I224" t="s">
        <v>15</v>
      </c>
      <c r="J224">
        <v>3378.91</v>
      </c>
      <c r="K224" t="str">
        <f t="shared" si="30"/>
        <v>&lt;20</v>
      </c>
      <c r="L224">
        <f t="shared" si="31"/>
        <v>0</v>
      </c>
      <c r="M224">
        <f t="shared" si="32"/>
        <v>0</v>
      </c>
      <c r="N224">
        <f t="shared" si="33"/>
        <v>1</v>
      </c>
      <c r="O224">
        <f t="shared" si="34"/>
        <v>0</v>
      </c>
      <c r="P224">
        <v>0.9997864988212708</v>
      </c>
      <c r="Q224">
        <f t="shared" si="35"/>
        <v>0</v>
      </c>
      <c r="R224">
        <f t="shared" si="36"/>
        <v>1</v>
      </c>
      <c r="S224">
        <f t="shared" si="37"/>
        <v>1</v>
      </c>
      <c r="T224">
        <f t="shared" si="38"/>
        <v>7347.24</v>
      </c>
      <c r="U224">
        <f t="shared" si="39"/>
        <v>-3968.33</v>
      </c>
    </row>
    <row r="225" spans="1:21" x14ac:dyDescent="0.3">
      <c r="A225">
        <v>224</v>
      </c>
      <c r="B225">
        <v>28</v>
      </c>
      <c r="C225" t="s">
        <v>16</v>
      </c>
      <c r="D225">
        <v>28.8</v>
      </c>
      <c r="E225">
        <v>99</v>
      </c>
      <c r="F225" t="s">
        <v>11</v>
      </c>
      <c r="G225">
        <v>0</v>
      </c>
      <c r="H225" t="s">
        <v>12</v>
      </c>
      <c r="I225" t="s">
        <v>17</v>
      </c>
      <c r="J225">
        <v>3385.4</v>
      </c>
      <c r="K225" t="str">
        <f t="shared" si="30"/>
        <v>25-30</v>
      </c>
      <c r="L225">
        <f t="shared" si="31"/>
        <v>0</v>
      </c>
      <c r="M225">
        <f t="shared" si="32"/>
        <v>0</v>
      </c>
      <c r="N225">
        <f t="shared" si="33"/>
        <v>0</v>
      </c>
      <c r="O225">
        <f t="shared" si="34"/>
        <v>0</v>
      </c>
      <c r="P225">
        <v>0.19906794440011044</v>
      </c>
      <c r="Q225">
        <f t="shared" si="35"/>
        <v>0</v>
      </c>
      <c r="R225">
        <f t="shared" si="36"/>
        <v>1</v>
      </c>
      <c r="S225">
        <f t="shared" si="37"/>
        <v>1</v>
      </c>
      <c r="T225">
        <f t="shared" si="38"/>
        <v>11324.150000000001</v>
      </c>
      <c r="U225">
        <f t="shared" si="39"/>
        <v>-7938.7500000000018</v>
      </c>
    </row>
    <row r="226" spans="1:21" x14ac:dyDescent="0.3">
      <c r="A226">
        <v>225</v>
      </c>
      <c r="B226">
        <v>40</v>
      </c>
      <c r="C226" t="s">
        <v>16</v>
      </c>
      <c r="D226">
        <v>29.5</v>
      </c>
      <c r="E226">
        <v>100</v>
      </c>
      <c r="F226" t="s">
        <v>12</v>
      </c>
      <c r="G226">
        <v>1</v>
      </c>
      <c r="H226" t="s">
        <v>12</v>
      </c>
      <c r="I226" t="s">
        <v>13</v>
      </c>
      <c r="J226">
        <v>3392.37</v>
      </c>
      <c r="K226" t="str">
        <f t="shared" si="30"/>
        <v>25-30</v>
      </c>
      <c r="L226">
        <f t="shared" si="31"/>
        <v>0</v>
      </c>
      <c r="M226">
        <f t="shared" si="32"/>
        <v>1</v>
      </c>
      <c r="N226">
        <f t="shared" si="33"/>
        <v>0</v>
      </c>
      <c r="O226">
        <f t="shared" si="34"/>
        <v>0</v>
      </c>
      <c r="P226">
        <v>0.19001386962887423</v>
      </c>
      <c r="Q226">
        <f t="shared" si="35"/>
        <v>0</v>
      </c>
      <c r="R226">
        <f t="shared" si="36"/>
        <v>0</v>
      </c>
      <c r="S226">
        <f t="shared" si="37"/>
        <v>1</v>
      </c>
      <c r="T226">
        <f t="shared" si="38"/>
        <v>8690.8000000000011</v>
      </c>
      <c r="U226">
        <f t="shared" si="39"/>
        <v>-5298.4300000000012</v>
      </c>
    </row>
    <row r="227" spans="1:21" x14ac:dyDescent="0.3">
      <c r="A227">
        <v>226</v>
      </c>
      <c r="B227">
        <v>60</v>
      </c>
      <c r="C227" t="s">
        <v>16</v>
      </c>
      <c r="D227">
        <v>29.9</v>
      </c>
      <c r="E227">
        <v>82</v>
      </c>
      <c r="F227" t="s">
        <v>11</v>
      </c>
      <c r="G227">
        <v>1</v>
      </c>
      <c r="H227" t="s">
        <v>12</v>
      </c>
      <c r="I227" t="s">
        <v>13</v>
      </c>
      <c r="J227">
        <v>3392.98</v>
      </c>
      <c r="K227" t="str">
        <f t="shared" si="30"/>
        <v>25-30</v>
      </c>
      <c r="L227">
        <f t="shared" si="31"/>
        <v>0</v>
      </c>
      <c r="M227">
        <f t="shared" si="32"/>
        <v>1</v>
      </c>
      <c r="N227">
        <f t="shared" si="33"/>
        <v>0</v>
      </c>
      <c r="O227">
        <f t="shared" si="34"/>
        <v>0</v>
      </c>
      <c r="P227">
        <v>0.24903318871557967</v>
      </c>
      <c r="Q227">
        <f t="shared" si="35"/>
        <v>0</v>
      </c>
      <c r="R227">
        <f t="shared" si="36"/>
        <v>1</v>
      </c>
      <c r="S227">
        <f t="shared" si="37"/>
        <v>1</v>
      </c>
      <c r="T227">
        <f t="shared" si="38"/>
        <v>5757.7200000000012</v>
      </c>
      <c r="U227">
        <f t="shared" si="39"/>
        <v>-2364.7400000000011</v>
      </c>
    </row>
    <row r="228" spans="1:21" x14ac:dyDescent="0.3">
      <c r="A228">
        <v>227</v>
      </c>
      <c r="B228">
        <v>35</v>
      </c>
      <c r="C228" t="s">
        <v>16</v>
      </c>
      <c r="D228">
        <v>38.700000000000003</v>
      </c>
      <c r="E228">
        <v>85</v>
      </c>
      <c r="F228" t="s">
        <v>12</v>
      </c>
      <c r="G228">
        <v>2</v>
      </c>
      <c r="H228" t="s">
        <v>12</v>
      </c>
      <c r="I228" t="s">
        <v>13</v>
      </c>
      <c r="J228">
        <v>3393.36</v>
      </c>
      <c r="K228" t="str">
        <f t="shared" si="30"/>
        <v>35+</v>
      </c>
      <c r="L228">
        <f t="shared" si="31"/>
        <v>0</v>
      </c>
      <c r="M228">
        <f t="shared" si="32"/>
        <v>1</v>
      </c>
      <c r="N228">
        <f t="shared" si="33"/>
        <v>0</v>
      </c>
      <c r="O228">
        <f t="shared" si="34"/>
        <v>0</v>
      </c>
      <c r="P228">
        <v>0.24881866215841253</v>
      </c>
      <c r="Q228">
        <f t="shared" si="35"/>
        <v>0</v>
      </c>
      <c r="R228">
        <f t="shared" si="36"/>
        <v>0</v>
      </c>
      <c r="S228">
        <f t="shared" si="37"/>
        <v>1</v>
      </c>
      <c r="T228">
        <f t="shared" si="38"/>
        <v>7828.19</v>
      </c>
      <c r="U228">
        <f t="shared" si="39"/>
        <v>-4434.83</v>
      </c>
    </row>
    <row r="229" spans="1:21" x14ac:dyDescent="0.3">
      <c r="A229">
        <v>228</v>
      </c>
      <c r="B229">
        <v>34</v>
      </c>
      <c r="C229" t="s">
        <v>16</v>
      </c>
      <c r="D229">
        <v>42.4</v>
      </c>
      <c r="E229">
        <v>92</v>
      </c>
      <c r="F229" t="s">
        <v>12</v>
      </c>
      <c r="G229">
        <v>1</v>
      </c>
      <c r="H229" t="s">
        <v>12</v>
      </c>
      <c r="I229" t="s">
        <v>15</v>
      </c>
      <c r="J229">
        <v>3410.32</v>
      </c>
      <c r="K229" t="str">
        <f t="shared" si="30"/>
        <v>35+</v>
      </c>
      <c r="L229">
        <f t="shared" si="31"/>
        <v>0</v>
      </c>
      <c r="M229">
        <f t="shared" si="32"/>
        <v>0</v>
      </c>
      <c r="N229">
        <f t="shared" si="33"/>
        <v>1</v>
      </c>
      <c r="O229">
        <f t="shared" si="34"/>
        <v>0</v>
      </c>
      <c r="P229">
        <v>0.11618475856317512</v>
      </c>
      <c r="Q229">
        <f t="shared" si="35"/>
        <v>0</v>
      </c>
      <c r="R229">
        <f t="shared" si="36"/>
        <v>0</v>
      </c>
      <c r="S229">
        <f t="shared" si="37"/>
        <v>1</v>
      </c>
      <c r="T229">
        <f t="shared" si="38"/>
        <v>9213.33</v>
      </c>
      <c r="U229">
        <f t="shared" si="39"/>
        <v>-5803.01</v>
      </c>
    </row>
    <row r="230" spans="1:21" x14ac:dyDescent="0.3">
      <c r="A230">
        <v>229</v>
      </c>
      <c r="B230">
        <v>40</v>
      </c>
      <c r="C230" t="s">
        <v>10</v>
      </c>
      <c r="D230">
        <v>34.799999999999997</v>
      </c>
      <c r="E230">
        <v>81</v>
      </c>
      <c r="F230" t="s">
        <v>12</v>
      </c>
      <c r="G230">
        <v>3</v>
      </c>
      <c r="H230" t="s">
        <v>12</v>
      </c>
      <c r="I230" t="s">
        <v>15</v>
      </c>
      <c r="J230">
        <v>3443.06</v>
      </c>
      <c r="K230" t="str">
        <f t="shared" si="30"/>
        <v>30-35</v>
      </c>
      <c r="L230">
        <f t="shared" si="31"/>
        <v>0</v>
      </c>
      <c r="M230">
        <f t="shared" si="32"/>
        <v>0</v>
      </c>
      <c r="N230">
        <f t="shared" si="33"/>
        <v>1</v>
      </c>
      <c r="O230">
        <f t="shared" si="34"/>
        <v>0</v>
      </c>
      <c r="P230">
        <v>0.80234922628082028</v>
      </c>
      <c r="Q230">
        <f t="shared" si="35"/>
        <v>0</v>
      </c>
      <c r="R230">
        <f t="shared" si="36"/>
        <v>0</v>
      </c>
      <c r="S230">
        <f t="shared" si="37"/>
        <v>0</v>
      </c>
      <c r="T230">
        <f t="shared" si="38"/>
        <v>7831.8899999999994</v>
      </c>
      <c r="U230">
        <f t="shared" si="39"/>
        <v>-4388.83</v>
      </c>
    </row>
    <row r="231" spans="1:21" x14ac:dyDescent="0.3">
      <c r="A231">
        <v>230</v>
      </c>
      <c r="B231">
        <v>42</v>
      </c>
      <c r="C231" t="s">
        <v>10</v>
      </c>
      <c r="D231">
        <v>38.9</v>
      </c>
      <c r="E231">
        <v>94</v>
      </c>
      <c r="F231" t="s">
        <v>12</v>
      </c>
      <c r="G231">
        <v>1</v>
      </c>
      <c r="H231" t="s">
        <v>12</v>
      </c>
      <c r="I231" t="s">
        <v>13</v>
      </c>
      <c r="J231">
        <v>3471.41</v>
      </c>
      <c r="K231" t="str">
        <f t="shared" si="30"/>
        <v>35+</v>
      </c>
      <c r="L231">
        <f t="shared" si="31"/>
        <v>0</v>
      </c>
      <c r="M231">
        <f t="shared" si="32"/>
        <v>1</v>
      </c>
      <c r="N231">
        <f t="shared" si="33"/>
        <v>0</v>
      </c>
      <c r="O231">
        <f t="shared" si="34"/>
        <v>0</v>
      </c>
      <c r="P231">
        <v>2.6428223088663216E-2</v>
      </c>
      <c r="Q231">
        <f t="shared" si="35"/>
        <v>0</v>
      </c>
      <c r="R231">
        <f t="shared" si="36"/>
        <v>0</v>
      </c>
      <c r="S231">
        <f t="shared" si="37"/>
        <v>0</v>
      </c>
      <c r="T231">
        <f t="shared" si="38"/>
        <v>8089.4500000000007</v>
      </c>
      <c r="U231">
        <f t="shared" si="39"/>
        <v>-4618.0400000000009</v>
      </c>
    </row>
    <row r="232" spans="1:21" x14ac:dyDescent="0.3">
      <c r="A232">
        <v>231</v>
      </c>
      <c r="B232">
        <v>22</v>
      </c>
      <c r="C232" t="s">
        <v>10</v>
      </c>
      <c r="D232">
        <v>30.4</v>
      </c>
      <c r="E232">
        <v>95</v>
      </c>
      <c r="F232" t="s">
        <v>11</v>
      </c>
      <c r="G232">
        <v>3</v>
      </c>
      <c r="H232" t="s">
        <v>12</v>
      </c>
      <c r="I232" t="s">
        <v>13</v>
      </c>
      <c r="J232">
        <v>3481.87</v>
      </c>
      <c r="K232" t="str">
        <f t="shared" si="30"/>
        <v>30-35</v>
      </c>
      <c r="L232">
        <f t="shared" si="31"/>
        <v>0</v>
      </c>
      <c r="M232">
        <f t="shared" si="32"/>
        <v>1</v>
      </c>
      <c r="N232">
        <f t="shared" si="33"/>
        <v>0</v>
      </c>
      <c r="O232">
        <f t="shared" si="34"/>
        <v>0</v>
      </c>
      <c r="P232">
        <v>5.5329836077178118E-2</v>
      </c>
      <c r="Q232">
        <f t="shared" si="35"/>
        <v>0</v>
      </c>
      <c r="R232">
        <f t="shared" si="36"/>
        <v>1</v>
      </c>
      <c r="S232">
        <f t="shared" si="37"/>
        <v>0</v>
      </c>
      <c r="T232">
        <f t="shared" si="38"/>
        <v>8955.3100000000031</v>
      </c>
      <c r="U232">
        <f t="shared" si="39"/>
        <v>-5473.4400000000032</v>
      </c>
    </row>
    <row r="233" spans="1:21" x14ac:dyDescent="0.3">
      <c r="A233">
        <v>232</v>
      </c>
      <c r="B233">
        <v>35</v>
      </c>
      <c r="C233" t="s">
        <v>10</v>
      </c>
      <c r="D233">
        <v>23.7</v>
      </c>
      <c r="E233">
        <v>88</v>
      </c>
      <c r="F233" t="s">
        <v>12</v>
      </c>
      <c r="G233">
        <v>2</v>
      </c>
      <c r="H233" t="s">
        <v>12</v>
      </c>
      <c r="I233" t="s">
        <v>15</v>
      </c>
      <c r="J233">
        <v>3484.33</v>
      </c>
      <c r="K233" t="str">
        <f t="shared" si="30"/>
        <v>20-25</v>
      </c>
      <c r="L233">
        <f t="shared" si="31"/>
        <v>0</v>
      </c>
      <c r="M233">
        <f t="shared" si="32"/>
        <v>0</v>
      </c>
      <c r="N233">
        <f t="shared" si="33"/>
        <v>1</v>
      </c>
      <c r="O233">
        <f t="shared" si="34"/>
        <v>0</v>
      </c>
      <c r="P233">
        <v>0.45073515783653284</v>
      </c>
      <c r="Q233">
        <f t="shared" si="35"/>
        <v>0</v>
      </c>
      <c r="R233">
        <f t="shared" si="36"/>
        <v>0</v>
      </c>
      <c r="S233">
        <f t="shared" si="37"/>
        <v>0</v>
      </c>
      <c r="T233">
        <f t="shared" si="38"/>
        <v>7268.1299999999992</v>
      </c>
      <c r="U233">
        <f t="shared" si="39"/>
        <v>-3783.7999999999993</v>
      </c>
    </row>
    <row r="234" spans="1:21" x14ac:dyDescent="0.3">
      <c r="A234">
        <v>233</v>
      </c>
      <c r="B234">
        <v>49</v>
      </c>
      <c r="C234" t="s">
        <v>10</v>
      </c>
      <c r="D234">
        <v>32.5</v>
      </c>
      <c r="E234">
        <v>93</v>
      </c>
      <c r="F234" t="s">
        <v>11</v>
      </c>
      <c r="G234">
        <v>1</v>
      </c>
      <c r="H234" t="s">
        <v>12</v>
      </c>
      <c r="I234" t="s">
        <v>13</v>
      </c>
      <c r="J234">
        <v>3490.55</v>
      </c>
      <c r="K234" t="str">
        <f t="shared" si="30"/>
        <v>30-35</v>
      </c>
      <c r="L234">
        <f t="shared" si="31"/>
        <v>0</v>
      </c>
      <c r="M234">
        <f t="shared" si="32"/>
        <v>1</v>
      </c>
      <c r="N234">
        <f t="shared" si="33"/>
        <v>0</v>
      </c>
      <c r="O234">
        <f t="shared" si="34"/>
        <v>0</v>
      </c>
      <c r="P234">
        <v>0.10424339526421778</v>
      </c>
      <c r="Q234">
        <f t="shared" si="35"/>
        <v>0</v>
      </c>
      <c r="R234">
        <f t="shared" si="36"/>
        <v>1</v>
      </c>
      <c r="S234">
        <f t="shared" si="37"/>
        <v>0</v>
      </c>
      <c r="T234">
        <f t="shared" si="38"/>
        <v>7304.64</v>
      </c>
      <c r="U234">
        <f t="shared" si="39"/>
        <v>-3814.09</v>
      </c>
    </row>
    <row r="235" spans="1:21" x14ac:dyDescent="0.3">
      <c r="A235">
        <v>234</v>
      </c>
      <c r="B235">
        <v>30</v>
      </c>
      <c r="C235" t="s">
        <v>16</v>
      </c>
      <c r="D235">
        <v>39.299999999999997</v>
      </c>
      <c r="E235">
        <v>92</v>
      </c>
      <c r="F235" t="s">
        <v>12</v>
      </c>
      <c r="G235">
        <v>2</v>
      </c>
      <c r="H235" t="s">
        <v>12</v>
      </c>
      <c r="I235" t="s">
        <v>13</v>
      </c>
      <c r="J235">
        <v>3500.61</v>
      </c>
      <c r="K235" t="str">
        <f t="shared" si="30"/>
        <v>35+</v>
      </c>
      <c r="L235">
        <f t="shared" si="31"/>
        <v>0</v>
      </c>
      <c r="M235">
        <f t="shared" si="32"/>
        <v>1</v>
      </c>
      <c r="N235">
        <f t="shared" si="33"/>
        <v>0</v>
      </c>
      <c r="O235">
        <f t="shared" si="34"/>
        <v>0</v>
      </c>
      <c r="P235">
        <v>0.20222047154978295</v>
      </c>
      <c r="Q235">
        <f t="shared" si="35"/>
        <v>0</v>
      </c>
      <c r="R235">
        <f t="shared" si="36"/>
        <v>0</v>
      </c>
      <c r="S235">
        <f t="shared" si="37"/>
        <v>1</v>
      </c>
      <c r="T235">
        <f t="shared" si="38"/>
        <v>9003.0200000000023</v>
      </c>
      <c r="U235">
        <f t="shared" si="39"/>
        <v>-5502.4100000000017</v>
      </c>
    </row>
    <row r="236" spans="1:21" x14ac:dyDescent="0.3">
      <c r="A236">
        <v>235</v>
      </c>
      <c r="B236">
        <v>21</v>
      </c>
      <c r="C236" t="s">
        <v>10</v>
      </c>
      <c r="D236">
        <v>28.5</v>
      </c>
      <c r="E236">
        <v>98</v>
      </c>
      <c r="F236" t="s">
        <v>11</v>
      </c>
      <c r="G236">
        <v>2</v>
      </c>
      <c r="H236" t="s">
        <v>12</v>
      </c>
      <c r="I236" t="s">
        <v>14</v>
      </c>
      <c r="J236">
        <v>3537.7</v>
      </c>
      <c r="K236" t="str">
        <f t="shared" si="30"/>
        <v>25-30</v>
      </c>
      <c r="L236">
        <f t="shared" si="31"/>
        <v>0</v>
      </c>
      <c r="M236">
        <f t="shared" si="32"/>
        <v>0</v>
      </c>
      <c r="N236">
        <f t="shared" si="33"/>
        <v>0</v>
      </c>
      <c r="O236">
        <f t="shared" si="34"/>
        <v>1</v>
      </c>
      <c r="P236">
        <v>0.28053263683359719</v>
      </c>
      <c r="Q236">
        <f t="shared" si="35"/>
        <v>0</v>
      </c>
      <c r="R236">
        <f t="shared" si="36"/>
        <v>1</v>
      </c>
      <c r="S236">
        <f t="shared" si="37"/>
        <v>0</v>
      </c>
      <c r="T236">
        <f t="shared" si="38"/>
        <v>9231.3599999999988</v>
      </c>
      <c r="U236">
        <f t="shared" si="39"/>
        <v>-5693.6599999999989</v>
      </c>
    </row>
    <row r="237" spans="1:21" x14ac:dyDescent="0.3">
      <c r="A237">
        <v>236</v>
      </c>
      <c r="B237">
        <v>58</v>
      </c>
      <c r="C237" t="s">
        <v>16</v>
      </c>
      <c r="D237">
        <v>27.7</v>
      </c>
      <c r="E237">
        <v>82</v>
      </c>
      <c r="F237" t="s">
        <v>12</v>
      </c>
      <c r="G237">
        <v>0</v>
      </c>
      <c r="H237" t="s">
        <v>12</v>
      </c>
      <c r="I237" t="s">
        <v>15</v>
      </c>
      <c r="J237">
        <v>3554.2</v>
      </c>
      <c r="K237" t="str">
        <f t="shared" si="30"/>
        <v>25-30</v>
      </c>
      <c r="L237">
        <f t="shared" si="31"/>
        <v>0</v>
      </c>
      <c r="M237">
        <f t="shared" si="32"/>
        <v>0</v>
      </c>
      <c r="N237">
        <f t="shared" si="33"/>
        <v>1</v>
      </c>
      <c r="O237">
        <f t="shared" si="34"/>
        <v>0</v>
      </c>
      <c r="P237">
        <v>0.52269382128201802</v>
      </c>
      <c r="Q237">
        <f t="shared" si="35"/>
        <v>0</v>
      </c>
      <c r="R237">
        <f t="shared" si="36"/>
        <v>0</v>
      </c>
      <c r="S237">
        <f t="shared" si="37"/>
        <v>1</v>
      </c>
      <c r="T237">
        <f t="shared" si="38"/>
        <v>5591.62</v>
      </c>
      <c r="U237">
        <f t="shared" si="39"/>
        <v>-2037.42</v>
      </c>
    </row>
    <row r="238" spans="1:21" x14ac:dyDescent="0.3">
      <c r="A238">
        <v>237</v>
      </c>
      <c r="B238">
        <v>59</v>
      </c>
      <c r="C238" t="s">
        <v>16</v>
      </c>
      <c r="D238">
        <v>34.799999999999997</v>
      </c>
      <c r="E238">
        <v>85</v>
      </c>
      <c r="F238" t="s">
        <v>11</v>
      </c>
      <c r="G238">
        <v>0</v>
      </c>
      <c r="H238" t="s">
        <v>12</v>
      </c>
      <c r="I238" t="s">
        <v>14</v>
      </c>
      <c r="J238">
        <v>3556.92</v>
      </c>
      <c r="K238" t="str">
        <f t="shared" si="30"/>
        <v>30-35</v>
      </c>
      <c r="L238">
        <f t="shared" si="31"/>
        <v>0</v>
      </c>
      <c r="M238">
        <f t="shared" si="32"/>
        <v>0</v>
      </c>
      <c r="N238">
        <f t="shared" si="33"/>
        <v>0</v>
      </c>
      <c r="O238">
        <f t="shared" si="34"/>
        <v>1</v>
      </c>
      <c r="P238">
        <v>0.68978194796056747</v>
      </c>
      <c r="Q238">
        <f t="shared" si="35"/>
        <v>0</v>
      </c>
      <c r="R238">
        <f t="shared" si="36"/>
        <v>1</v>
      </c>
      <c r="S238">
        <f t="shared" si="37"/>
        <v>1</v>
      </c>
      <c r="T238">
        <f t="shared" si="38"/>
        <v>6615.1699999999992</v>
      </c>
      <c r="U238">
        <f t="shared" si="39"/>
        <v>-3058.2499999999991</v>
      </c>
    </row>
    <row r="239" spans="1:21" x14ac:dyDescent="0.3">
      <c r="A239">
        <v>238</v>
      </c>
      <c r="B239">
        <v>48</v>
      </c>
      <c r="C239" t="s">
        <v>16</v>
      </c>
      <c r="D239">
        <v>25.2</v>
      </c>
      <c r="E239">
        <v>82</v>
      </c>
      <c r="F239" t="s">
        <v>12</v>
      </c>
      <c r="G239">
        <v>0</v>
      </c>
      <c r="H239" t="s">
        <v>12</v>
      </c>
      <c r="I239" t="s">
        <v>13</v>
      </c>
      <c r="J239">
        <v>3558.62</v>
      </c>
      <c r="K239" t="str">
        <f t="shared" si="30"/>
        <v>25-30</v>
      </c>
      <c r="L239">
        <f t="shared" si="31"/>
        <v>0</v>
      </c>
      <c r="M239">
        <f t="shared" si="32"/>
        <v>1</v>
      </c>
      <c r="N239">
        <f t="shared" si="33"/>
        <v>0</v>
      </c>
      <c r="O239">
        <f t="shared" si="34"/>
        <v>0</v>
      </c>
      <c r="P239">
        <v>0.95047181320179297</v>
      </c>
      <c r="Q239">
        <f t="shared" si="35"/>
        <v>0</v>
      </c>
      <c r="R239">
        <f t="shared" si="36"/>
        <v>0</v>
      </c>
      <c r="S239">
        <f t="shared" si="37"/>
        <v>1</v>
      </c>
      <c r="T239">
        <f t="shared" si="38"/>
        <v>4702.050000000002</v>
      </c>
      <c r="U239">
        <f t="shared" si="39"/>
        <v>-1143.4300000000021</v>
      </c>
    </row>
    <row r="240" spans="1:21" x14ac:dyDescent="0.3">
      <c r="A240">
        <v>239</v>
      </c>
      <c r="B240">
        <v>32</v>
      </c>
      <c r="C240" t="s">
        <v>16</v>
      </c>
      <c r="D240">
        <v>23.2</v>
      </c>
      <c r="E240">
        <v>89</v>
      </c>
      <c r="F240" t="s">
        <v>11</v>
      </c>
      <c r="G240">
        <v>1</v>
      </c>
      <c r="H240" t="s">
        <v>12</v>
      </c>
      <c r="I240" t="s">
        <v>13</v>
      </c>
      <c r="J240">
        <v>3561.89</v>
      </c>
      <c r="K240" t="str">
        <f t="shared" si="30"/>
        <v>20-25</v>
      </c>
      <c r="L240">
        <f t="shared" si="31"/>
        <v>0</v>
      </c>
      <c r="M240">
        <f t="shared" si="32"/>
        <v>1</v>
      </c>
      <c r="N240">
        <f t="shared" si="33"/>
        <v>0</v>
      </c>
      <c r="O240">
        <f t="shared" si="34"/>
        <v>0</v>
      </c>
      <c r="P240">
        <v>0.61067314931370997</v>
      </c>
      <c r="Q240">
        <f t="shared" si="35"/>
        <v>0</v>
      </c>
      <c r="R240">
        <f t="shared" si="36"/>
        <v>1</v>
      </c>
      <c r="S240">
        <f t="shared" si="37"/>
        <v>1</v>
      </c>
      <c r="T240">
        <f t="shared" si="38"/>
        <v>6337.84</v>
      </c>
      <c r="U240">
        <f t="shared" si="39"/>
        <v>-2775.9500000000003</v>
      </c>
    </row>
    <row r="241" spans="1:21" x14ac:dyDescent="0.3">
      <c r="A241">
        <v>240</v>
      </c>
      <c r="B241">
        <v>31</v>
      </c>
      <c r="C241" t="s">
        <v>16</v>
      </c>
      <c r="D241">
        <v>34.799999999999997</v>
      </c>
      <c r="E241">
        <v>88</v>
      </c>
      <c r="F241" t="s">
        <v>12</v>
      </c>
      <c r="G241">
        <v>1</v>
      </c>
      <c r="H241" t="s">
        <v>12</v>
      </c>
      <c r="I241" t="s">
        <v>15</v>
      </c>
      <c r="J241">
        <v>3578</v>
      </c>
      <c r="K241" t="str">
        <f t="shared" si="30"/>
        <v>30-35</v>
      </c>
      <c r="L241">
        <f t="shared" si="31"/>
        <v>0</v>
      </c>
      <c r="M241">
        <f t="shared" si="32"/>
        <v>0</v>
      </c>
      <c r="N241">
        <f t="shared" si="33"/>
        <v>1</v>
      </c>
      <c r="O241">
        <f t="shared" si="34"/>
        <v>0</v>
      </c>
      <c r="P241">
        <v>0.97400995457268835</v>
      </c>
      <c r="Q241">
        <f t="shared" si="35"/>
        <v>0</v>
      </c>
      <c r="R241">
        <f t="shared" si="36"/>
        <v>0</v>
      </c>
      <c r="S241">
        <f t="shared" si="37"/>
        <v>1</v>
      </c>
      <c r="T241">
        <f t="shared" si="38"/>
        <v>7929.0099999999975</v>
      </c>
      <c r="U241">
        <f t="shared" si="39"/>
        <v>-4351.0099999999975</v>
      </c>
    </row>
    <row r="242" spans="1:21" x14ac:dyDescent="0.3">
      <c r="A242">
        <v>241</v>
      </c>
      <c r="B242">
        <v>47</v>
      </c>
      <c r="C242" t="s">
        <v>16</v>
      </c>
      <c r="D242">
        <v>33.6</v>
      </c>
      <c r="E242">
        <v>84</v>
      </c>
      <c r="F242" t="s">
        <v>11</v>
      </c>
      <c r="G242">
        <v>2</v>
      </c>
      <c r="H242" t="s">
        <v>12</v>
      </c>
      <c r="I242" t="s">
        <v>14</v>
      </c>
      <c r="J242">
        <v>3579.83</v>
      </c>
      <c r="K242" t="str">
        <f t="shared" si="30"/>
        <v>30-35</v>
      </c>
      <c r="L242">
        <f t="shared" si="31"/>
        <v>0</v>
      </c>
      <c r="M242">
        <f t="shared" si="32"/>
        <v>0</v>
      </c>
      <c r="N242">
        <f t="shared" si="33"/>
        <v>0</v>
      </c>
      <c r="O242">
        <f t="shared" si="34"/>
        <v>1</v>
      </c>
      <c r="P242">
        <v>0.97024328993739617</v>
      </c>
      <c r="Q242">
        <f t="shared" si="35"/>
        <v>0</v>
      </c>
      <c r="R242">
        <f t="shared" si="36"/>
        <v>1</v>
      </c>
      <c r="S242">
        <f t="shared" si="37"/>
        <v>1</v>
      </c>
      <c r="T242">
        <f t="shared" si="38"/>
        <v>7844.8199999999988</v>
      </c>
      <c r="U242">
        <f t="shared" si="39"/>
        <v>-4264.9899999999989</v>
      </c>
    </row>
    <row r="243" spans="1:21" x14ac:dyDescent="0.3">
      <c r="A243">
        <v>242</v>
      </c>
      <c r="B243">
        <v>23</v>
      </c>
      <c r="C243" t="s">
        <v>10</v>
      </c>
      <c r="D243">
        <v>32.700000000000003</v>
      </c>
      <c r="E243">
        <v>82</v>
      </c>
      <c r="F243" t="s">
        <v>11</v>
      </c>
      <c r="G243">
        <v>3</v>
      </c>
      <c r="H243" t="s">
        <v>12</v>
      </c>
      <c r="I243" t="s">
        <v>15</v>
      </c>
      <c r="J243">
        <v>3591.48</v>
      </c>
      <c r="K243" t="str">
        <f t="shared" si="30"/>
        <v>30-35</v>
      </c>
      <c r="L243">
        <f t="shared" si="31"/>
        <v>0</v>
      </c>
      <c r="M243">
        <f t="shared" si="32"/>
        <v>0</v>
      </c>
      <c r="N243">
        <f t="shared" si="33"/>
        <v>1</v>
      </c>
      <c r="O243">
        <f t="shared" si="34"/>
        <v>0</v>
      </c>
      <c r="P243">
        <v>0.41258132331735597</v>
      </c>
      <c r="Q243">
        <f t="shared" si="35"/>
        <v>0</v>
      </c>
      <c r="R243">
        <f t="shared" si="36"/>
        <v>1</v>
      </c>
      <c r="S243">
        <f t="shared" si="37"/>
        <v>0</v>
      </c>
      <c r="T243">
        <f t="shared" si="38"/>
        <v>7764.6300000000019</v>
      </c>
      <c r="U243">
        <f t="shared" si="39"/>
        <v>-4173.1500000000015</v>
      </c>
    </row>
    <row r="244" spans="1:21" x14ac:dyDescent="0.3">
      <c r="A244">
        <v>243</v>
      </c>
      <c r="B244">
        <v>36</v>
      </c>
      <c r="C244" t="s">
        <v>16</v>
      </c>
      <c r="D244">
        <v>22.5</v>
      </c>
      <c r="E244">
        <v>91</v>
      </c>
      <c r="F244" t="s">
        <v>11</v>
      </c>
      <c r="G244">
        <v>1</v>
      </c>
      <c r="H244" t="s">
        <v>12</v>
      </c>
      <c r="I244" t="s">
        <v>14</v>
      </c>
      <c r="J244">
        <v>3594.17</v>
      </c>
      <c r="K244" t="str">
        <f t="shared" si="30"/>
        <v>20-25</v>
      </c>
      <c r="L244">
        <f t="shared" si="31"/>
        <v>0</v>
      </c>
      <c r="M244">
        <f t="shared" si="32"/>
        <v>0</v>
      </c>
      <c r="N244">
        <f t="shared" si="33"/>
        <v>0</v>
      </c>
      <c r="O244">
        <f t="shared" si="34"/>
        <v>1</v>
      </c>
      <c r="P244">
        <v>0.67568160532019972</v>
      </c>
      <c r="Q244">
        <f t="shared" si="35"/>
        <v>0</v>
      </c>
      <c r="R244">
        <f t="shared" si="36"/>
        <v>1</v>
      </c>
      <c r="S244">
        <f t="shared" si="37"/>
        <v>1</v>
      </c>
      <c r="T244">
        <f t="shared" si="38"/>
        <v>7288.7399999999989</v>
      </c>
      <c r="U244">
        <f t="shared" si="39"/>
        <v>-3694.5699999999988</v>
      </c>
    </row>
    <row r="245" spans="1:21" x14ac:dyDescent="0.3">
      <c r="A245">
        <v>244</v>
      </c>
      <c r="B245">
        <v>48</v>
      </c>
      <c r="C245" t="s">
        <v>10</v>
      </c>
      <c r="D245">
        <v>37.1</v>
      </c>
      <c r="E245">
        <v>97</v>
      </c>
      <c r="F245" t="s">
        <v>12</v>
      </c>
      <c r="G245">
        <v>3</v>
      </c>
      <c r="H245" t="s">
        <v>12</v>
      </c>
      <c r="I245" t="s">
        <v>15</v>
      </c>
      <c r="J245">
        <v>3597.6</v>
      </c>
      <c r="K245" t="str">
        <f t="shared" si="30"/>
        <v>35+</v>
      </c>
      <c r="L245">
        <f t="shared" si="31"/>
        <v>0</v>
      </c>
      <c r="M245">
        <f t="shared" si="32"/>
        <v>0</v>
      </c>
      <c r="N245">
        <f t="shared" si="33"/>
        <v>1</v>
      </c>
      <c r="O245">
        <f t="shared" si="34"/>
        <v>0</v>
      </c>
      <c r="P245">
        <v>0.24212570451049931</v>
      </c>
      <c r="Q245">
        <f t="shared" si="35"/>
        <v>0</v>
      </c>
      <c r="R245">
        <f t="shared" si="36"/>
        <v>0</v>
      </c>
      <c r="S245">
        <f t="shared" si="37"/>
        <v>0</v>
      </c>
      <c r="T245">
        <f t="shared" si="38"/>
        <v>10571.74</v>
      </c>
      <c r="U245">
        <f t="shared" si="39"/>
        <v>-6974.1399999999994</v>
      </c>
    </row>
    <row r="246" spans="1:21" x14ac:dyDescent="0.3">
      <c r="A246">
        <v>245</v>
      </c>
      <c r="B246">
        <v>18</v>
      </c>
      <c r="C246" t="s">
        <v>10</v>
      </c>
      <c r="D246">
        <v>25.5</v>
      </c>
      <c r="E246">
        <v>99</v>
      </c>
      <c r="F246" t="s">
        <v>11</v>
      </c>
      <c r="G246">
        <v>0</v>
      </c>
      <c r="H246" t="s">
        <v>12</v>
      </c>
      <c r="I246" t="s">
        <v>17</v>
      </c>
      <c r="J246">
        <v>3645.09</v>
      </c>
      <c r="K246" t="str">
        <f t="shared" si="30"/>
        <v>25-30</v>
      </c>
      <c r="L246">
        <f t="shared" si="31"/>
        <v>0</v>
      </c>
      <c r="M246">
        <f t="shared" si="32"/>
        <v>0</v>
      </c>
      <c r="N246">
        <f t="shared" si="33"/>
        <v>0</v>
      </c>
      <c r="O246">
        <f t="shared" si="34"/>
        <v>0</v>
      </c>
      <c r="P246">
        <v>0.86836036148304729</v>
      </c>
      <c r="Q246">
        <f t="shared" si="35"/>
        <v>0</v>
      </c>
      <c r="R246">
        <f t="shared" si="36"/>
        <v>1</v>
      </c>
      <c r="S246">
        <f t="shared" si="37"/>
        <v>0</v>
      </c>
      <c r="T246">
        <f t="shared" si="38"/>
        <v>10609.85</v>
      </c>
      <c r="U246">
        <f t="shared" si="39"/>
        <v>-6964.76</v>
      </c>
    </row>
    <row r="247" spans="1:21" x14ac:dyDescent="0.3">
      <c r="A247">
        <v>246</v>
      </c>
      <c r="B247">
        <v>23</v>
      </c>
      <c r="C247" t="s">
        <v>10</v>
      </c>
      <c r="D247">
        <v>31.4</v>
      </c>
      <c r="E247">
        <v>88</v>
      </c>
      <c r="F247" t="s">
        <v>12</v>
      </c>
      <c r="G247">
        <v>1</v>
      </c>
      <c r="H247" t="s">
        <v>12</v>
      </c>
      <c r="I247" t="s">
        <v>15</v>
      </c>
      <c r="J247">
        <v>3659.35</v>
      </c>
      <c r="K247" t="str">
        <f t="shared" si="30"/>
        <v>30-35</v>
      </c>
      <c r="L247">
        <f t="shared" si="31"/>
        <v>0</v>
      </c>
      <c r="M247">
        <f t="shared" si="32"/>
        <v>0</v>
      </c>
      <c r="N247">
        <f t="shared" si="33"/>
        <v>1</v>
      </c>
      <c r="O247">
        <f t="shared" si="34"/>
        <v>0</v>
      </c>
      <c r="P247">
        <v>0.94656832651272205</v>
      </c>
      <c r="Q247">
        <f t="shared" si="35"/>
        <v>0</v>
      </c>
      <c r="R247">
        <f t="shared" si="36"/>
        <v>0</v>
      </c>
      <c r="S247">
        <f t="shared" si="37"/>
        <v>0</v>
      </c>
      <c r="T247">
        <f t="shared" si="38"/>
        <v>7203.5999999999985</v>
      </c>
      <c r="U247">
        <f t="shared" si="39"/>
        <v>-3544.2499999999986</v>
      </c>
    </row>
    <row r="248" spans="1:21" x14ac:dyDescent="0.3">
      <c r="A248">
        <v>247</v>
      </c>
      <c r="B248">
        <v>20</v>
      </c>
      <c r="C248" t="s">
        <v>10</v>
      </c>
      <c r="D248">
        <v>45.9</v>
      </c>
      <c r="E248">
        <v>97</v>
      </c>
      <c r="F248" t="s">
        <v>12</v>
      </c>
      <c r="G248">
        <v>2</v>
      </c>
      <c r="H248" t="s">
        <v>12</v>
      </c>
      <c r="I248" t="s">
        <v>15</v>
      </c>
      <c r="J248">
        <v>3693.43</v>
      </c>
      <c r="K248" t="str">
        <f t="shared" si="30"/>
        <v>35+</v>
      </c>
      <c r="L248">
        <f t="shared" si="31"/>
        <v>0</v>
      </c>
      <c r="M248">
        <f t="shared" si="32"/>
        <v>0</v>
      </c>
      <c r="N248">
        <f t="shared" si="33"/>
        <v>1</v>
      </c>
      <c r="O248">
        <f t="shared" si="34"/>
        <v>0</v>
      </c>
      <c r="P248">
        <v>0.66323771898590445</v>
      </c>
      <c r="Q248">
        <f t="shared" si="35"/>
        <v>0</v>
      </c>
      <c r="R248">
        <f t="shared" si="36"/>
        <v>0</v>
      </c>
      <c r="S248">
        <f t="shared" si="37"/>
        <v>0</v>
      </c>
      <c r="T248">
        <f t="shared" si="38"/>
        <v>10621.739999999998</v>
      </c>
      <c r="U248">
        <f t="shared" si="39"/>
        <v>-6928.3099999999977</v>
      </c>
    </row>
    <row r="249" spans="1:21" x14ac:dyDescent="0.3">
      <c r="A249">
        <v>248</v>
      </c>
      <c r="B249">
        <v>31</v>
      </c>
      <c r="C249" t="s">
        <v>10</v>
      </c>
      <c r="D249">
        <v>30.3</v>
      </c>
      <c r="E249">
        <v>92</v>
      </c>
      <c r="F249" t="s">
        <v>12</v>
      </c>
      <c r="G249">
        <v>0</v>
      </c>
      <c r="H249" t="s">
        <v>12</v>
      </c>
      <c r="I249" t="s">
        <v>13</v>
      </c>
      <c r="J249">
        <v>3704.35</v>
      </c>
      <c r="K249" t="str">
        <f t="shared" si="30"/>
        <v>30-35</v>
      </c>
      <c r="L249">
        <f t="shared" si="31"/>
        <v>0</v>
      </c>
      <c r="M249">
        <f t="shared" si="32"/>
        <v>1</v>
      </c>
      <c r="N249">
        <f t="shared" si="33"/>
        <v>0</v>
      </c>
      <c r="O249">
        <f t="shared" si="34"/>
        <v>0</v>
      </c>
      <c r="P249">
        <v>0.40330992842405866</v>
      </c>
      <c r="Q249">
        <f t="shared" si="35"/>
        <v>0</v>
      </c>
      <c r="R249">
        <f t="shared" si="36"/>
        <v>0</v>
      </c>
      <c r="S249">
        <f t="shared" si="37"/>
        <v>0</v>
      </c>
      <c r="T249">
        <f t="shared" si="38"/>
        <v>6310.8100000000013</v>
      </c>
      <c r="U249">
        <f t="shared" si="39"/>
        <v>-2606.4600000000014</v>
      </c>
    </row>
    <row r="250" spans="1:21" x14ac:dyDescent="0.3">
      <c r="A250">
        <v>249</v>
      </c>
      <c r="B250">
        <v>35</v>
      </c>
      <c r="C250" t="s">
        <v>16</v>
      </c>
      <c r="D250">
        <v>17.3</v>
      </c>
      <c r="E250">
        <v>82</v>
      </c>
      <c r="F250" t="s">
        <v>11</v>
      </c>
      <c r="G250">
        <v>0</v>
      </c>
      <c r="H250" t="s">
        <v>12</v>
      </c>
      <c r="I250" t="s">
        <v>17</v>
      </c>
      <c r="J250">
        <v>3732.63</v>
      </c>
      <c r="K250" t="str">
        <f t="shared" si="30"/>
        <v>&lt;20</v>
      </c>
      <c r="L250">
        <f t="shared" si="31"/>
        <v>0</v>
      </c>
      <c r="M250">
        <f t="shared" si="32"/>
        <v>0</v>
      </c>
      <c r="N250">
        <f t="shared" si="33"/>
        <v>0</v>
      </c>
      <c r="O250">
        <f t="shared" si="34"/>
        <v>0</v>
      </c>
      <c r="P250">
        <v>0.14286399078148815</v>
      </c>
      <c r="Q250">
        <f t="shared" si="35"/>
        <v>0</v>
      </c>
      <c r="R250">
        <f t="shared" si="36"/>
        <v>1</v>
      </c>
      <c r="S250">
        <f t="shared" si="37"/>
        <v>1</v>
      </c>
      <c r="T250">
        <f t="shared" si="38"/>
        <v>7618.91</v>
      </c>
      <c r="U250">
        <f t="shared" si="39"/>
        <v>-3886.2799999999997</v>
      </c>
    </row>
    <row r="251" spans="1:21" x14ac:dyDescent="0.3">
      <c r="A251">
        <v>250</v>
      </c>
      <c r="B251">
        <v>49</v>
      </c>
      <c r="C251" t="s">
        <v>16</v>
      </c>
      <c r="D251">
        <v>26</v>
      </c>
      <c r="E251">
        <v>88</v>
      </c>
      <c r="F251" t="s">
        <v>12</v>
      </c>
      <c r="G251">
        <v>0</v>
      </c>
      <c r="H251" t="s">
        <v>12</v>
      </c>
      <c r="I251" t="s">
        <v>14</v>
      </c>
      <c r="J251">
        <v>3736.46</v>
      </c>
      <c r="K251" t="str">
        <f t="shared" si="30"/>
        <v>25-30</v>
      </c>
      <c r="L251">
        <f t="shared" si="31"/>
        <v>0</v>
      </c>
      <c r="M251">
        <f t="shared" si="32"/>
        <v>0</v>
      </c>
      <c r="N251">
        <f t="shared" si="33"/>
        <v>0</v>
      </c>
      <c r="O251">
        <f t="shared" si="34"/>
        <v>1</v>
      </c>
      <c r="P251">
        <v>0.16328209653836712</v>
      </c>
      <c r="Q251">
        <f t="shared" si="35"/>
        <v>0</v>
      </c>
      <c r="R251">
        <f t="shared" si="36"/>
        <v>0</v>
      </c>
      <c r="S251">
        <f t="shared" si="37"/>
        <v>1</v>
      </c>
      <c r="T251">
        <f t="shared" si="38"/>
        <v>6423.4</v>
      </c>
      <c r="U251">
        <f t="shared" si="39"/>
        <v>-2686.9399999999996</v>
      </c>
    </row>
    <row r="252" spans="1:21" x14ac:dyDescent="0.3">
      <c r="A252">
        <v>251</v>
      </c>
      <c r="B252">
        <v>45</v>
      </c>
      <c r="C252" t="s">
        <v>16</v>
      </c>
      <c r="D252">
        <v>25.7</v>
      </c>
      <c r="E252">
        <v>80</v>
      </c>
      <c r="F252" t="s">
        <v>12</v>
      </c>
      <c r="G252">
        <v>0</v>
      </c>
      <c r="H252" t="s">
        <v>12</v>
      </c>
      <c r="I252" t="s">
        <v>13</v>
      </c>
      <c r="J252">
        <v>3756.62</v>
      </c>
      <c r="K252" t="str">
        <f t="shared" si="30"/>
        <v>25-30</v>
      </c>
      <c r="L252">
        <f t="shared" si="31"/>
        <v>0</v>
      </c>
      <c r="M252">
        <f t="shared" si="32"/>
        <v>1</v>
      </c>
      <c r="N252">
        <f t="shared" si="33"/>
        <v>0</v>
      </c>
      <c r="O252">
        <f t="shared" si="34"/>
        <v>0</v>
      </c>
      <c r="P252">
        <v>7.2101471671711659E-3</v>
      </c>
      <c r="Q252">
        <f t="shared" si="35"/>
        <v>0</v>
      </c>
      <c r="R252">
        <f t="shared" si="36"/>
        <v>0</v>
      </c>
      <c r="S252">
        <f t="shared" si="37"/>
        <v>1</v>
      </c>
      <c r="T252">
        <f t="shared" si="38"/>
        <v>4429.46</v>
      </c>
      <c r="U252">
        <f t="shared" si="39"/>
        <v>-672.84000000000015</v>
      </c>
    </row>
    <row r="253" spans="1:21" x14ac:dyDescent="0.3">
      <c r="A253">
        <v>252</v>
      </c>
      <c r="B253">
        <v>30</v>
      </c>
      <c r="C253" t="s">
        <v>16</v>
      </c>
      <c r="D253">
        <v>26.6</v>
      </c>
      <c r="E253">
        <v>89</v>
      </c>
      <c r="F253" t="s">
        <v>11</v>
      </c>
      <c r="G253">
        <v>0</v>
      </c>
      <c r="H253" t="s">
        <v>12</v>
      </c>
      <c r="I253" t="s">
        <v>13</v>
      </c>
      <c r="J253">
        <v>3757.84</v>
      </c>
      <c r="K253" t="str">
        <f t="shared" si="30"/>
        <v>25-30</v>
      </c>
      <c r="L253">
        <f t="shared" si="31"/>
        <v>0</v>
      </c>
      <c r="M253">
        <f t="shared" si="32"/>
        <v>1</v>
      </c>
      <c r="N253">
        <f t="shared" si="33"/>
        <v>0</v>
      </c>
      <c r="O253">
        <f t="shared" si="34"/>
        <v>0</v>
      </c>
      <c r="P253">
        <v>0.92206669449546363</v>
      </c>
      <c r="Q253">
        <f t="shared" si="35"/>
        <v>0</v>
      </c>
      <c r="R253">
        <f t="shared" si="36"/>
        <v>1</v>
      </c>
      <c r="S253">
        <f t="shared" si="37"/>
        <v>1</v>
      </c>
      <c r="T253">
        <f t="shared" si="38"/>
        <v>5892.8600000000006</v>
      </c>
      <c r="U253">
        <f t="shared" si="39"/>
        <v>-2135.0200000000004</v>
      </c>
    </row>
    <row r="254" spans="1:21" x14ac:dyDescent="0.3">
      <c r="A254">
        <v>253</v>
      </c>
      <c r="B254">
        <v>52</v>
      </c>
      <c r="C254" t="s">
        <v>16</v>
      </c>
      <c r="D254">
        <v>29.1</v>
      </c>
      <c r="E254">
        <v>90</v>
      </c>
      <c r="F254" t="s">
        <v>12</v>
      </c>
      <c r="G254">
        <v>0</v>
      </c>
      <c r="H254" t="s">
        <v>12</v>
      </c>
      <c r="I254" t="s">
        <v>15</v>
      </c>
      <c r="J254">
        <v>3761.29</v>
      </c>
      <c r="K254" t="str">
        <f t="shared" si="30"/>
        <v>25-30</v>
      </c>
      <c r="L254">
        <f t="shared" si="31"/>
        <v>0</v>
      </c>
      <c r="M254">
        <f t="shared" si="32"/>
        <v>0</v>
      </c>
      <c r="N254">
        <f t="shared" si="33"/>
        <v>1</v>
      </c>
      <c r="O254">
        <f t="shared" si="34"/>
        <v>0</v>
      </c>
      <c r="P254">
        <v>8.7745935877493242E-2</v>
      </c>
      <c r="Q254">
        <f t="shared" si="35"/>
        <v>0</v>
      </c>
      <c r="R254">
        <f t="shared" si="36"/>
        <v>0</v>
      </c>
      <c r="S254">
        <f t="shared" si="37"/>
        <v>1</v>
      </c>
      <c r="T254">
        <f t="shared" si="38"/>
        <v>6995.72</v>
      </c>
      <c r="U254">
        <f t="shared" si="39"/>
        <v>-3234.4300000000003</v>
      </c>
    </row>
    <row r="255" spans="1:21" x14ac:dyDescent="0.3">
      <c r="A255">
        <v>254</v>
      </c>
      <c r="B255">
        <v>44</v>
      </c>
      <c r="C255" t="s">
        <v>16</v>
      </c>
      <c r="D255">
        <v>37.6</v>
      </c>
      <c r="E255">
        <v>84</v>
      </c>
      <c r="F255" t="s">
        <v>12</v>
      </c>
      <c r="G255">
        <v>1</v>
      </c>
      <c r="H255" t="s">
        <v>12</v>
      </c>
      <c r="I255" t="s">
        <v>13</v>
      </c>
      <c r="J255">
        <v>3766.88</v>
      </c>
      <c r="K255" t="str">
        <f t="shared" si="30"/>
        <v>35+</v>
      </c>
      <c r="L255">
        <f t="shared" si="31"/>
        <v>0</v>
      </c>
      <c r="M255">
        <f t="shared" si="32"/>
        <v>1</v>
      </c>
      <c r="N255">
        <f t="shared" si="33"/>
        <v>0</v>
      </c>
      <c r="O255">
        <f t="shared" si="34"/>
        <v>0</v>
      </c>
      <c r="P255">
        <v>0.92114007911311324</v>
      </c>
      <c r="Q255">
        <f t="shared" si="35"/>
        <v>0</v>
      </c>
      <c r="R255">
        <f t="shared" si="36"/>
        <v>0</v>
      </c>
      <c r="S255">
        <f t="shared" si="37"/>
        <v>1</v>
      </c>
      <c r="T255">
        <f t="shared" si="38"/>
        <v>6824.79</v>
      </c>
      <c r="U255">
        <f t="shared" si="39"/>
        <v>-3057.91</v>
      </c>
    </row>
    <row r="256" spans="1:21" x14ac:dyDescent="0.3">
      <c r="A256">
        <v>255</v>
      </c>
      <c r="B256">
        <v>31</v>
      </c>
      <c r="C256" t="s">
        <v>10</v>
      </c>
      <c r="D256">
        <v>23.8</v>
      </c>
      <c r="E256">
        <v>83</v>
      </c>
      <c r="F256" t="s">
        <v>12</v>
      </c>
      <c r="G256">
        <v>2</v>
      </c>
      <c r="H256" t="s">
        <v>12</v>
      </c>
      <c r="I256" t="s">
        <v>15</v>
      </c>
      <c r="J256">
        <v>3847.67</v>
      </c>
      <c r="K256" t="str">
        <f t="shared" si="30"/>
        <v>20-25</v>
      </c>
      <c r="L256">
        <f t="shared" si="31"/>
        <v>0</v>
      </c>
      <c r="M256">
        <f t="shared" si="32"/>
        <v>0</v>
      </c>
      <c r="N256">
        <f t="shared" si="33"/>
        <v>1</v>
      </c>
      <c r="O256">
        <f t="shared" si="34"/>
        <v>0</v>
      </c>
      <c r="P256">
        <v>0.57231909973817074</v>
      </c>
      <c r="Q256">
        <f t="shared" si="35"/>
        <v>0</v>
      </c>
      <c r="R256">
        <f t="shared" si="36"/>
        <v>0</v>
      </c>
      <c r="S256">
        <f t="shared" si="37"/>
        <v>0</v>
      </c>
      <c r="T256">
        <f t="shared" si="38"/>
        <v>6483.85</v>
      </c>
      <c r="U256">
        <f t="shared" si="39"/>
        <v>-2636.1800000000003</v>
      </c>
    </row>
    <row r="257" spans="1:21" x14ac:dyDescent="0.3">
      <c r="A257">
        <v>256</v>
      </c>
      <c r="B257">
        <v>25</v>
      </c>
      <c r="C257" t="s">
        <v>10</v>
      </c>
      <c r="D257">
        <v>30.9</v>
      </c>
      <c r="E257">
        <v>86</v>
      </c>
      <c r="F257" t="s">
        <v>11</v>
      </c>
      <c r="G257">
        <v>0</v>
      </c>
      <c r="H257" t="s">
        <v>12</v>
      </c>
      <c r="I257" t="s">
        <v>17</v>
      </c>
      <c r="J257">
        <v>3857.76</v>
      </c>
      <c r="K257" t="str">
        <f t="shared" si="30"/>
        <v>30-35</v>
      </c>
      <c r="L257">
        <f t="shared" si="31"/>
        <v>0</v>
      </c>
      <c r="M257">
        <f t="shared" si="32"/>
        <v>0</v>
      </c>
      <c r="N257">
        <f t="shared" si="33"/>
        <v>0</v>
      </c>
      <c r="O257">
        <f t="shared" si="34"/>
        <v>0</v>
      </c>
      <c r="P257">
        <v>0.17958526138791742</v>
      </c>
      <c r="Q257">
        <f t="shared" si="35"/>
        <v>0</v>
      </c>
      <c r="R257">
        <f t="shared" si="36"/>
        <v>1</v>
      </c>
      <c r="S257">
        <f t="shared" si="37"/>
        <v>0</v>
      </c>
      <c r="T257">
        <f t="shared" si="38"/>
        <v>8987.92</v>
      </c>
      <c r="U257">
        <f t="shared" si="39"/>
        <v>-5130.16</v>
      </c>
    </row>
    <row r="258" spans="1:21" x14ac:dyDescent="0.3">
      <c r="A258">
        <v>257</v>
      </c>
      <c r="B258">
        <v>34</v>
      </c>
      <c r="C258" t="s">
        <v>10</v>
      </c>
      <c r="D258">
        <v>20.2</v>
      </c>
      <c r="E258">
        <v>80</v>
      </c>
      <c r="F258" t="s">
        <v>12</v>
      </c>
      <c r="G258">
        <v>3</v>
      </c>
      <c r="H258" t="s">
        <v>12</v>
      </c>
      <c r="I258" t="s">
        <v>17</v>
      </c>
      <c r="J258">
        <v>3861.21</v>
      </c>
      <c r="K258" t="str">
        <f t="shared" si="30"/>
        <v>20-25</v>
      </c>
      <c r="L258">
        <f t="shared" si="31"/>
        <v>0</v>
      </c>
      <c r="M258">
        <f t="shared" si="32"/>
        <v>0</v>
      </c>
      <c r="N258">
        <f t="shared" si="33"/>
        <v>0</v>
      </c>
      <c r="O258">
        <f t="shared" si="34"/>
        <v>0</v>
      </c>
      <c r="P258">
        <v>0.74493050527792881</v>
      </c>
      <c r="Q258">
        <f t="shared" si="35"/>
        <v>0</v>
      </c>
      <c r="R258">
        <f t="shared" si="36"/>
        <v>0</v>
      </c>
      <c r="S258">
        <f t="shared" si="37"/>
        <v>0</v>
      </c>
      <c r="T258">
        <f t="shared" si="38"/>
        <v>9387.7900000000009</v>
      </c>
      <c r="U258">
        <f t="shared" si="39"/>
        <v>-5526.5800000000008</v>
      </c>
    </row>
    <row r="259" spans="1:21" x14ac:dyDescent="0.3">
      <c r="A259">
        <v>258</v>
      </c>
      <c r="B259">
        <v>33</v>
      </c>
      <c r="C259" t="s">
        <v>10</v>
      </c>
      <c r="D259">
        <v>28.9</v>
      </c>
      <c r="E259">
        <v>87</v>
      </c>
      <c r="F259" t="s">
        <v>12</v>
      </c>
      <c r="G259">
        <v>0</v>
      </c>
      <c r="H259" t="s">
        <v>12</v>
      </c>
      <c r="I259" t="s">
        <v>14</v>
      </c>
      <c r="J259">
        <v>3866.86</v>
      </c>
      <c r="K259" t="str">
        <f t="shared" ref="K259:K322" si="40">IF(D259&lt;20, "&lt;20", IF(D259&lt;25, "20-25", IF(D259&lt;30, "25-30", IF(D259&lt;35, "30-35", "35+"))))</f>
        <v>25-30</v>
      </c>
      <c r="L259">
        <f t="shared" ref="L259:L322" si="41">D259*Q259</f>
        <v>0</v>
      </c>
      <c r="M259">
        <f t="shared" ref="M259:M322" si="42">IF(I259="southeast", 1, 0)</f>
        <v>0</v>
      </c>
      <c r="N259">
        <f t="shared" ref="N259:N322" si="43">IF(I259="southwest", 1, 0)</f>
        <v>0</v>
      </c>
      <c r="O259">
        <f t="shared" ref="O259:O322" si="44">IF(I259="northwest", 1, 0)</f>
        <v>1</v>
      </c>
      <c r="P259">
        <v>0.16873636957898608</v>
      </c>
      <c r="Q259">
        <f t="shared" ref="Q259:Q322" si="45">IF(H259="Yes", 1, 0)</f>
        <v>0</v>
      </c>
      <c r="R259">
        <f t="shared" ref="R259:R322" si="46">IF(F259="yes", 1, 0)</f>
        <v>0</v>
      </c>
      <c r="S259">
        <f t="shared" ref="S259:S322" si="47">IF(C259="female", 1, 0)</f>
        <v>0</v>
      </c>
      <c r="T259">
        <f t="shared" ref="T259:T322" si="48">-7277.71 + (-1.28*B259) + (85.5*D259) + (738.24*G259) + (159.59*E259) + (1259.19*L259) + (-3644.73*M259) + (-2956.11*N259) + (-2948.04*O259) + (-17828.85*Q259) + (-69.06*R259) + (444.95*S259)</f>
        <v>6087.29</v>
      </c>
      <c r="U259">
        <f t="shared" ref="U259:U322" si="49">J259-T259</f>
        <v>-2220.4299999999998</v>
      </c>
    </row>
    <row r="260" spans="1:21" x14ac:dyDescent="0.3">
      <c r="A260">
        <v>259</v>
      </c>
      <c r="B260">
        <v>32</v>
      </c>
      <c r="C260" t="s">
        <v>10</v>
      </c>
      <c r="D260">
        <v>39.5</v>
      </c>
      <c r="E260">
        <v>88</v>
      </c>
      <c r="F260" t="s">
        <v>11</v>
      </c>
      <c r="G260">
        <v>1</v>
      </c>
      <c r="H260" t="s">
        <v>12</v>
      </c>
      <c r="I260" t="s">
        <v>13</v>
      </c>
      <c r="J260">
        <v>3875.73</v>
      </c>
      <c r="K260" t="str">
        <f t="shared" si="40"/>
        <v>35+</v>
      </c>
      <c r="L260">
        <f t="shared" si="41"/>
        <v>0</v>
      </c>
      <c r="M260">
        <f t="shared" si="42"/>
        <v>1</v>
      </c>
      <c r="N260">
        <f t="shared" si="43"/>
        <v>0</v>
      </c>
      <c r="O260">
        <f t="shared" si="44"/>
        <v>0</v>
      </c>
      <c r="P260">
        <v>0.77108827870680963</v>
      </c>
      <c r="Q260">
        <f t="shared" si="45"/>
        <v>0</v>
      </c>
      <c r="R260">
        <f t="shared" si="46"/>
        <v>1</v>
      </c>
      <c r="S260">
        <f t="shared" si="47"/>
        <v>0</v>
      </c>
      <c r="T260">
        <f t="shared" si="48"/>
        <v>7126.95</v>
      </c>
      <c r="U260">
        <f t="shared" si="49"/>
        <v>-3251.22</v>
      </c>
    </row>
    <row r="261" spans="1:21" x14ac:dyDescent="0.3">
      <c r="A261">
        <v>260</v>
      </c>
      <c r="B261">
        <v>18</v>
      </c>
      <c r="C261" t="s">
        <v>10</v>
      </c>
      <c r="D261">
        <v>30.9</v>
      </c>
      <c r="E261">
        <v>92</v>
      </c>
      <c r="F261" t="s">
        <v>12</v>
      </c>
      <c r="G261">
        <v>2</v>
      </c>
      <c r="H261" t="s">
        <v>12</v>
      </c>
      <c r="I261" t="s">
        <v>14</v>
      </c>
      <c r="J261">
        <v>3877.3</v>
      </c>
      <c r="K261" t="str">
        <f t="shared" si="40"/>
        <v>30-35</v>
      </c>
      <c r="L261">
        <f t="shared" si="41"/>
        <v>0</v>
      </c>
      <c r="M261">
        <f t="shared" si="42"/>
        <v>0</v>
      </c>
      <c r="N261">
        <f t="shared" si="43"/>
        <v>0</v>
      </c>
      <c r="O261">
        <f t="shared" si="44"/>
        <v>1</v>
      </c>
      <c r="P261">
        <v>0.30353083846409623</v>
      </c>
      <c r="Q261">
        <f t="shared" si="45"/>
        <v>0</v>
      </c>
      <c r="R261">
        <f t="shared" si="46"/>
        <v>0</v>
      </c>
      <c r="S261">
        <f t="shared" si="47"/>
        <v>0</v>
      </c>
      <c r="T261">
        <f t="shared" si="48"/>
        <v>8551.9200000000019</v>
      </c>
      <c r="U261">
        <f t="shared" si="49"/>
        <v>-4674.6200000000017</v>
      </c>
    </row>
    <row r="262" spans="1:21" x14ac:dyDescent="0.3">
      <c r="A262">
        <v>261</v>
      </c>
      <c r="B262">
        <v>28</v>
      </c>
      <c r="C262" t="s">
        <v>10</v>
      </c>
      <c r="D262">
        <v>26.8</v>
      </c>
      <c r="E262">
        <v>92</v>
      </c>
      <c r="F262" t="s">
        <v>12</v>
      </c>
      <c r="G262">
        <v>3</v>
      </c>
      <c r="H262" t="s">
        <v>12</v>
      </c>
      <c r="I262" t="s">
        <v>15</v>
      </c>
      <c r="J262">
        <v>3906.13</v>
      </c>
      <c r="K262" t="str">
        <f t="shared" si="40"/>
        <v>25-30</v>
      </c>
      <c r="L262">
        <f t="shared" si="41"/>
        <v>0</v>
      </c>
      <c r="M262">
        <f t="shared" si="42"/>
        <v>0</v>
      </c>
      <c r="N262">
        <f t="shared" si="43"/>
        <v>1</v>
      </c>
      <c r="O262">
        <f t="shared" si="44"/>
        <v>0</v>
      </c>
      <c r="P262">
        <v>0.94327181838158014</v>
      </c>
      <c r="Q262">
        <f t="shared" si="45"/>
        <v>0</v>
      </c>
      <c r="R262">
        <f t="shared" si="46"/>
        <v>0</v>
      </c>
      <c r="S262">
        <f t="shared" si="47"/>
        <v>0</v>
      </c>
      <c r="T262">
        <f t="shared" si="48"/>
        <v>8918.7400000000016</v>
      </c>
      <c r="U262">
        <f t="shared" si="49"/>
        <v>-5012.6100000000015</v>
      </c>
    </row>
    <row r="263" spans="1:21" x14ac:dyDescent="0.3">
      <c r="A263">
        <v>262</v>
      </c>
      <c r="B263">
        <v>42</v>
      </c>
      <c r="C263" t="s">
        <v>16</v>
      </c>
      <c r="D263">
        <v>34.6</v>
      </c>
      <c r="E263">
        <v>80</v>
      </c>
      <c r="F263" t="s">
        <v>12</v>
      </c>
      <c r="G263">
        <v>2</v>
      </c>
      <c r="H263" t="s">
        <v>12</v>
      </c>
      <c r="I263" t="s">
        <v>17</v>
      </c>
      <c r="J263">
        <v>3925.76</v>
      </c>
      <c r="K263" t="str">
        <f t="shared" si="40"/>
        <v>30-35</v>
      </c>
      <c r="L263">
        <f t="shared" si="41"/>
        <v>0</v>
      </c>
      <c r="M263">
        <f t="shared" si="42"/>
        <v>0</v>
      </c>
      <c r="N263">
        <f t="shared" si="43"/>
        <v>0</v>
      </c>
      <c r="O263">
        <f t="shared" si="44"/>
        <v>0</v>
      </c>
      <c r="P263">
        <v>0.63474175114161524</v>
      </c>
      <c r="Q263">
        <f t="shared" si="45"/>
        <v>0</v>
      </c>
      <c r="R263">
        <f t="shared" si="46"/>
        <v>0</v>
      </c>
      <c r="S263">
        <f t="shared" si="47"/>
        <v>1</v>
      </c>
      <c r="T263">
        <f t="shared" si="48"/>
        <v>10315.460000000001</v>
      </c>
      <c r="U263">
        <f t="shared" si="49"/>
        <v>-6389.7000000000007</v>
      </c>
    </row>
    <row r="264" spans="1:21" x14ac:dyDescent="0.3">
      <c r="A264">
        <v>263</v>
      </c>
      <c r="B264">
        <v>36</v>
      </c>
      <c r="C264" t="s">
        <v>10</v>
      </c>
      <c r="D264">
        <v>34.200000000000003</v>
      </c>
      <c r="E264">
        <v>96</v>
      </c>
      <c r="F264" t="s">
        <v>11</v>
      </c>
      <c r="G264">
        <v>0</v>
      </c>
      <c r="H264" t="s">
        <v>12</v>
      </c>
      <c r="I264" t="s">
        <v>13</v>
      </c>
      <c r="J264">
        <v>3935.18</v>
      </c>
      <c r="K264" t="str">
        <f t="shared" si="40"/>
        <v>30-35</v>
      </c>
      <c r="L264">
        <f t="shared" si="41"/>
        <v>0</v>
      </c>
      <c r="M264">
        <f t="shared" si="42"/>
        <v>1</v>
      </c>
      <c r="N264">
        <f t="shared" si="43"/>
        <v>0</v>
      </c>
      <c r="O264">
        <f t="shared" si="44"/>
        <v>0</v>
      </c>
      <c r="P264">
        <v>0.39335693578770503</v>
      </c>
      <c r="Q264">
        <f t="shared" si="45"/>
        <v>0</v>
      </c>
      <c r="R264">
        <f t="shared" si="46"/>
        <v>1</v>
      </c>
      <c r="S264">
        <f t="shared" si="47"/>
        <v>0</v>
      </c>
      <c r="T264">
        <f t="shared" si="48"/>
        <v>7207.1600000000008</v>
      </c>
      <c r="U264">
        <f t="shared" si="49"/>
        <v>-3271.9800000000009</v>
      </c>
    </row>
    <row r="265" spans="1:21" x14ac:dyDescent="0.3">
      <c r="A265">
        <v>264</v>
      </c>
      <c r="B265">
        <v>46</v>
      </c>
      <c r="C265" t="s">
        <v>16</v>
      </c>
      <c r="D265">
        <v>31.2</v>
      </c>
      <c r="E265">
        <v>88</v>
      </c>
      <c r="F265" t="s">
        <v>11</v>
      </c>
      <c r="G265">
        <v>0</v>
      </c>
      <c r="H265" t="s">
        <v>12</v>
      </c>
      <c r="I265" t="s">
        <v>17</v>
      </c>
      <c r="J265">
        <v>3943.6</v>
      </c>
      <c r="K265" t="str">
        <f t="shared" si="40"/>
        <v>30-35</v>
      </c>
      <c r="L265">
        <f t="shared" si="41"/>
        <v>0</v>
      </c>
      <c r="M265">
        <f t="shared" si="42"/>
        <v>0</v>
      </c>
      <c r="N265">
        <f t="shared" si="43"/>
        <v>0</v>
      </c>
      <c r="O265">
        <f t="shared" si="44"/>
        <v>0</v>
      </c>
      <c r="P265">
        <v>0.77940342137014484</v>
      </c>
      <c r="Q265">
        <f t="shared" si="45"/>
        <v>0</v>
      </c>
      <c r="R265">
        <f t="shared" si="46"/>
        <v>1</v>
      </c>
      <c r="S265">
        <f t="shared" si="47"/>
        <v>1</v>
      </c>
      <c r="T265">
        <f t="shared" si="48"/>
        <v>9750.8200000000015</v>
      </c>
      <c r="U265">
        <f t="shared" si="49"/>
        <v>-5807.2200000000012</v>
      </c>
    </row>
    <row r="266" spans="1:21" x14ac:dyDescent="0.3">
      <c r="A266">
        <v>265</v>
      </c>
      <c r="B266">
        <v>46</v>
      </c>
      <c r="C266" t="s">
        <v>16</v>
      </c>
      <c r="D266">
        <v>29.6</v>
      </c>
      <c r="E266">
        <v>86</v>
      </c>
      <c r="F266" t="s">
        <v>11</v>
      </c>
      <c r="G266">
        <v>1</v>
      </c>
      <c r="H266" t="s">
        <v>12</v>
      </c>
      <c r="I266" t="s">
        <v>13</v>
      </c>
      <c r="J266">
        <v>3947.41</v>
      </c>
      <c r="K266" t="str">
        <f t="shared" si="40"/>
        <v>25-30</v>
      </c>
      <c r="L266">
        <f t="shared" si="41"/>
        <v>0</v>
      </c>
      <c r="M266">
        <f t="shared" si="42"/>
        <v>1</v>
      </c>
      <c r="N266">
        <f t="shared" si="43"/>
        <v>0</v>
      </c>
      <c r="O266">
        <f t="shared" si="44"/>
        <v>0</v>
      </c>
      <c r="P266">
        <v>0.58078392460799733</v>
      </c>
      <c r="Q266">
        <f t="shared" si="45"/>
        <v>0</v>
      </c>
      <c r="R266">
        <f t="shared" si="46"/>
        <v>1</v>
      </c>
      <c r="S266">
        <f t="shared" si="47"/>
        <v>1</v>
      </c>
      <c r="T266">
        <f t="shared" si="48"/>
        <v>6388.3499999999985</v>
      </c>
      <c r="U266">
        <f t="shared" si="49"/>
        <v>-2440.9399999999987</v>
      </c>
    </row>
    <row r="267" spans="1:21" x14ac:dyDescent="0.3">
      <c r="A267">
        <v>266</v>
      </c>
      <c r="B267">
        <v>38</v>
      </c>
      <c r="C267" t="s">
        <v>16</v>
      </c>
      <c r="D267">
        <v>31.3</v>
      </c>
      <c r="E267">
        <v>86</v>
      </c>
      <c r="F267" t="s">
        <v>11</v>
      </c>
      <c r="G267">
        <v>1</v>
      </c>
      <c r="H267" t="s">
        <v>12</v>
      </c>
      <c r="I267" t="s">
        <v>14</v>
      </c>
      <c r="J267">
        <v>3956.07</v>
      </c>
      <c r="K267" t="str">
        <f t="shared" si="40"/>
        <v>30-35</v>
      </c>
      <c r="L267">
        <f t="shared" si="41"/>
        <v>0</v>
      </c>
      <c r="M267">
        <f t="shared" si="42"/>
        <v>0</v>
      </c>
      <c r="N267">
        <f t="shared" si="43"/>
        <v>0</v>
      </c>
      <c r="O267">
        <f t="shared" si="44"/>
        <v>1</v>
      </c>
      <c r="P267">
        <v>0.19953382948913223</v>
      </c>
      <c r="Q267">
        <f t="shared" si="45"/>
        <v>0</v>
      </c>
      <c r="R267">
        <f t="shared" si="46"/>
        <v>1</v>
      </c>
      <c r="S267">
        <f t="shared" si="47"/>
        <v>1</v>
      </c>
      <c r="T267">
        <f t="shared" si="48"/>
        <v>7240.6299999999983</v>
      </c>
      <c r="U267">
        <f t="shared" si="49"/>
        <v>-3284.5599999999981</v>
      </c>
    </row>
    <row r="268" spans="1:21" x14ac:dyDescent="0.3">
      <c r="A268">
        <v>267</v>
      </c>
      <c r="B268">
        <v>53</v>
      </c>
      <c r="C268" t="s">
        <v>16</v>
      </c>
      <c r="D268">
        <v>28.9</v>
      </c>
      <c r="E268">
        <v>93</v>
      </c>
      <c r="F268" t="s">
        <v>12</v>
      </c>
      <c r="G268">
        <v>0</v>
      </c>
      <c r="H268" t="s">
        <v>12</v>
      </c>
      <c r="I268" t="s">
        <v>13</v>
      </c>
      <c r="J268">
        <v>3972.92</v>
      </c>
      <c r="K268" t="str">
        <f t="shared" si="40"/>
        <v>25-30</v>
      </c>
      <c r="L268">
        <f t="shared" si="41"/>
        <v>0</v>
      </c>
      <c r="M268">
        <f t="shared" si="42"/>
        <v>1</v>
      </c>
      <c r="N268">
        <f t="shared" si="43"/>
        <v>0</v>
      </c>
      <c r="O268">
        <f t="shared" si="44"/>
        <v>0</v>
      </c>
      <c r="P268">
        <v>4.5426939734964256E-2</v>
      </c>
      <c r="Q268">
        <f t="shared" si="45"/>
        <v>0</v>
      </c>
      <c r="R268">
        <f t="shared" si="46"/>
        <v>0</v>
      </c>
      <c r="S268">
        <f t="shared" si="47"/>
        <v>1</v>
      </c>
      <c r="T268">
        <f t="shared" si="48"/>
        <v>6767.4900000000007</v>
      </c>
      <c r="U268">
        <f t="shared" si="49"/>
        <v>-2794.5700000000006</v>
      </c>
    </row>
    <row r="269" spans="1:21" x14ac:dyDescent="0.3">
      <c r="A269">
        <v>268</v>
      </c>
      <c r="B269">
        <v>35</v>
      </c>
      <c r="C269" t="s">
        <v>16</v>
      </c>
      <c r="D269">
        <v>29.9</v>
      </c>
      <c r="E269">
        <v>93</v>
      </c>
      <c r="F269" t="s">
        <v>11</v>
      </c>
      <c r="G269">
        <v>2</v>
      </c>
      <c r="H269" t="s">
        <v>12</v>
      </c>
      <c r="I269" t="s">
        <v>13</v>
      </c>
      <c r="J269">
        <v>3981.98</v>
      </c>
      <c r="K269" t="str">
        <f t="shared" si="40"/>
        <v>25-30</v>
      </c>
      <c r="L269">
        <f t="shared" si="41"/>
        <v>0</v>
      </c>
      <c r="M269">
        <f t="shared" si="42"/>
        <v>1</v>
      </c>
      <c r="N269">
        <f t="shared" si="43"/>
        <v>0</v>
      </c>
      <c r="O269">
        <f t="shared" si="44"/>
        <v>0</v>
      </c>
      <c r="P269">
        <v>0.76235337260710057</v>
      </c>
      <c r="Q269">
        <f t="shared" si="45"/>
        <v>0</v>
      </c>
      <c r="R269">
        <f t="shared" si="46"/>
        <v>1</v>
      </c>
      <c r="S269">
        <f t="shared" si="47"/>
        <v>1</v>
      </c>
      <c r="T269">
        <f t="shared" si="48"/>
        <v>8283.4500000000007</v>
      </c>
      <c r="U269">
        <f t="shared" si="49"/>
        <v>-4301.4700000000012</v>
      </c>
    </row>
    <row r="270" spans="1:21" x14ac:dyDescent="0.3">
      <c r="A270">
        <v>269</v>
      </c>
      <c r="B270">
        <v>48</v>
      </c>
      <c r="C270" t="s">
        <v>16</v>
      </c>
      <c r="D270">
        <v>34.200000000000003</v>
      </c>
      <c r="E270">
        <v>99</v>
      </c>
      <c r="F270" t="s">
        <v>11</v>
      </c>
      <c r="G270">
        <v>2</v>
      </c>
      <c r="H270" t="s">
        <v>12</v>
      </c>
      <c r="I270" t="s">
        <v>15</v>
      </c>
      <c r="J270">
        <v>3987.93</v>
      </c>
      <c r="K270" t="str">
        <f t="shared" si="40"/>
        <v>30-35</v>
      </c>
      <c r="L270">
        <f t="shared" si="41"/>
        <v>0</v>
      </c>
      <c r="M270">
        <f t="shared" si="42"/>
        <v>0</v>
      </c>
      <c r="N270">
        <f t="shared" si="43"/>
        <v>1</v>
      </c>
      <c r="O270">
        <f t="shared" si="44"/>
        <v>0</v>
      </c>
      <c r="P270">
        <v>0.71105067759483287</v>
      </c>
      <c r="Q270">
        <f t="shared" si="45"/>
        <v>0</v>
      </c>
      <c r="R270">
        <f t="shared" si="46"/>
        <v>1</v>
      </c>
      <c r="S270">
        <f t="shared" si="47"/>
        <v>1</v>
      </c>
      <c r="T270">
        <f t="shared" si="48"/>
        <v>10280.620000000001</v>
      </c>
      <c r="U270">
        <f t="shared" si="49"/>
        <v>-6292.6900000000005</v>
      </c>
    </row>
    <row r="271" spans="1:21" x14ac:dyDescent="0.3">
      <c r="A271">
        <v>270</v>
      </c>
      <c r="B271">
        <v>49</v>
      </c>
      <c r="C271" t="s">
        <v>16</v>
      </c>
      <c r="D271">
        <v>41.1</v>
      </c>
      <c r="E271">
        <v>88</v>
      </c>
      <c r="F271" t="s">
        <v>11</v>
      </c>
      <c r="G271">
        <v>0</v>
      </c>
      <c r="H271" t="s">
        <v>12</v>
      </c>
      <c r="I271" t="s">
        <v>15</v>
      </c>
      <c r="J271">
        <v>3989.84</v>
      </c>
      <c r="K271" t="str">
        <f t="shared" si="40"/>
        <v>35+</v>
      </c>
      <c r="L271">
        <f t="shared" si="41"/>
        <v>0</v>
      </c>
      <c r="M271">
        <f t="shared" si="42"/>
        <v>0</v>
      </c>
      <c r="N271">
        <f t="shared" si="43"/>
        <v>1</v>
      </c>
      <c r="O271">
        <f t="shared" si="44"/>
        <v>0</v>
      </c>
      <c r="P271">
        <v>0.8146012574282484</v>
      </c>
      <c r="Q271">
        <f t="shared" si="45"/>
        <v>0</v>
      </c>
      <c r="R271">
        <f t="shared" si="46"/>
        <v>1</v>
      </c>
      <c r="S271">
        <f t="shared" si="47"/>
        <v>1</v>
      </c>
      <c r="T271">
        <f t="shared" si="48"/>
        <v>7637.32</v>
      </c>
      <c r="U271">
        <f t="shared" si="49"/>
        <v>-3647.4799999999996</v>
      </c>
    </row>
    <row r="272" spans="1:21" x14ac:dyDescent="0.3">
      <c r="A272">
        <v>271</v>
      </c>
      <c r="B272">
        <v>46</v>
      </c>
      <c r="C272" t="s">
        <v>16</v>
      </c>
      <c r="D272">
        <v>44.2</v>
      </c>
      <c r="E272">
        <v>91</v>
      </c>
      <c r="F272" t="s">
        <v>11</v>
      </c>
      <c r="G272">
        <v>0</v>
      </c>
      <c r="H272" t="s">
        <v>12</v>
      </c>
      <c r="I272" t="s">
        <v>13</v>
      </c>
      <c r="J272">
        <v>3994.18</v>
      </c>
      <c r="K272" t="str">
        <f t="shared" si="40"/>
        <v>35+</v>
      </c>
      <c r="L272">
        <f t="shared" si="41"/>
        <v>0</v>
      </c>
      <c r="M272">
        <f t="shared" si="42"/>
        <v>1</v>
      </c>
      <c r="N272">
        <f t="shared" si="43"/>
        <v>0</v>
      </c>
      <c r="O272">
        <f t="shared" si="44"/>
        <v>0</v>
      </c>
      <c r="P272">
        <v>0.99537272765714491</v>
      </c>
      <c r="Q272">
        <f t="shared" si="45"/>
        <v>0</v>
      </c>
      <c r="R272">
        <f t="shared" si="46"/>
        <v>1</v>
      </c>
      <c r="S272">
        <f t="shared" si="47"/>
        <v>1</v>
      </c>
      <c r="T272">
        <f t="shared" si="48"/>
        <v>7696.3600000000006</v>
      </c>
      <c r="U272">
        <f t="shared" si="49"/>
        <v>-3702.1800000000007</v>
      </c>
    </row>
    <row r="273" spans="1:21" x14ac:dyDescent="0.3">
      <c r="A273">
        <v>272</v>
      </c>
      <c r="B273">
        <v>48</v>
      </c>
      <c r="C273" t="s">
        <v>10</v>
      </c>
      <c r="D273">
        <v>20</v>
      </c>
      <c r="E273">
        <v>82</v>
      </c>
      <c r="F273" t="s">
        <v>12</v>
      </c>
      <c r="G273">
        <v>3</v>
      </c>
      <c r="H273" t="s">
        <v>12</v>
      </c>
      <c r="I273" t="s">
        <v>17</v>
      </c>
      <c r="J273">
        <v>4005.42</v>
      </c>
      <c r="K273" t="str">
        <f t="shared" si="40"/>
        <v>20-25</v>
      </c>
      <c r="L273">
        <f t="shared" si="41"/>
        <v>0</v>
      </c>
      <c r="M273">
        <f t="shared" si="42"/>
        <v>0</v>
      </c>
      <c r="N273">
        <f t="shared" si="43"/>
        <v>0</v>
      </c>
      <c r="O273">
        <f t="shared" si="44"/>
        <v>0</v>
      </c>
      <c r="P273">
        <v>0.98913404016571238</v>
      </c>
      <c r="Q273">
        <f t="shared" si="45"/>
        <v>0</v>
      </c>
      <c r="R273">
        <f t="shared" si="46"/>
        <v>0</v>
      </c>
      <c r="S273">
        <f t="shared" si="47"/>
        <v>0</v>
      </c>
      <c r="T273">
        <f t="shared" si="48"/>
        <v>9671.9500000000007</v>
      </c>
      <c r="U273">
        <f t="shared" si="49"/>
        <v>-5666.5300000000007</v>
      </c>
    </row>
    <row r="274" spans="1:21" x14ac:dyDescent="0.3">
      <c r="A274">
        <v>273</v>
      </c>
      <c r="B274">
        <v>44</v>
      </c>
      <c r="C274" t="s">
        <v>10</v>
      </c>
      <c r="D274">
        <v>24.1</v>
      </c>
      <c r="E274">
        <v>86</v>
      </c>
      <c r="F274" t="s">
        <v>12</v>
      </c>
      <c r="G274">
        <v>1</v>
      </c>
      <c r="H274" t="s">
        <v>12</v>
      </c>
      <c r="I274" t="s">
        <v>14</v>
      </c>
      <c r="J274">
        <v>4032.24</v>
      </c>
      <c r="K274" t="str">
        <f t="shared" si="40"/>
        <v>20-25</v>
      </c>
      <c r="L274">
        <f t="shared" si="41"/>
        <v>0</v>
      </c>
      <c r="M274">
        <f t="shared" si="42"/>
        <v>0</v>
      </c>
      <c r="N274">
        <f t="shared" si="43"/>
        <v>0</v>
      </c>
      <c r="O274">
        <f t="shared" si="44"/>
        <v>1</v>
      </c>
      <c r="P274">
        <v>0.80184701639166533</v>
      </c>
      <c r="Q274">
        <f t="shared" si="45"/>
        <v>0</v>
      </c>
      <c r="R274">
        <f t="shared" si="46"/>
        <v>0</v>
      </c>
      <c r="S274">
        <f t="shared" si="47"/>
        <v>0</v>
      </c>
      <c r="T274">
        <f t="shared" si="48"/>
        <v>6241.46</v>
      </c>
      <c r="U274">
        <f t="shared" si="49"/>
        <v>-2209.2200000000003</v>
      </c>
    </row>
    <row r="275" spans="1:21" x14ac:dyDescent="0.3">
      <c r="A275">
        <v>274</v>
      </c>
      <c r="B275">
        <v>43</v>
      </c>
      <c r="C275" t="s">
        <v>10</v>
      </c>
      <c r="D275">
        <v>29</v>
      </c>
      <c r="E275">
        <v>91</v>
      </c>
      <c r="F275" t="s">
        <v>12</v>
      </c>
      <c r="G275">
        <v>1</v>
      </c>
      <c r="H275" t="s">
        <v>12</v>
      </c>
      <c r="I275" t="s">
        <v>17</v>
      </c>
      <c r="J275">
        <v>4040.56</v>
      </c>
      <c r="K275" t="str">
        <f t="shared" si="40"/>
        <v>25-30</v>
      </c>
      <c r="L275">
        <f t="shared" si="41"/>
        <v>0</v>
      </c>
      <c r="M275">
        <f t="shared" si="42"/>
        <v>0</v>
      </c>
      <c r="N275">
        <f t="shared" si="43"/>
        <v>0</v>
      </c>
      <c r="O275">
        <f t="shared" si="44"/>
        <v>0</v>
      </c>
      <c r="P275">
        <v>0.44117816414346744</v>
      </c>
      <c r="Q275">
        <f t="shared" si="45"/>
        <v>0</v>
      </c>
      <c r="R275">
        <f t="shared" si="46"/>
        <v>0</v>
      </c>
      <c r="S275">
        <f t="shared" si="47"/>
        <v>0</v>
      </c>
      <c r="T275">
        <f t="shared" si="48"/>
        <v>10407.68</v>
      </c>
      <c r="U275">
        <f t="shared" si="49"/>
        <v>-6367.1200000000008</v>
      </c>
    </row>
    <row r="276" spans="1:21" x14ac:dyDescent="0.3">
      <c r="A276">
        <v>275</v>
      </c>
      <c r="B276">
        <v>24</v>
      </c>
      <c r="C276" t="s">
        <v>10</v>
      </c>
      <c r="D276">
        <v>37.299999999999997</v>
      </c>
      <c r="E276">
        <v>99</v>
      </c>
      <c r="F276" t="s">
        <v>11</v>
      </c>
      <c r="G276">
        <v>2</v>
      </c>
      <c r="H276" t="s">
        <v>12</v>
      </c>
      <c r="I276" t="s">
        <v>13</v>
      </c>
      <c r="J276">
        <v>4058.12</v>
      </c>
      <c r="K276" t="str">
        <f t="shared" si="40"/>
        <v>35+</v>
      </c>
      <c r="L276">
        <f t="shared" si="41"/>
        <v>0</v>
      </c>
      <c r="M276">
        <f t="shared" si="42"/>
        <v>1</v>
      </c>
      <c r="N276">
        <f t="shared" si="43"/>
        <v>0</v>
      </c>
      <c r="O276">
        <f t="shared" si="44"/>
        <v>0</v>
      </c>
      <c r="P276">
        <v>0.81822610429284248</v>
      </c>
      <c r="Q276">
        <f t="shared" si="45"/>
        <v>0</v>
      </c>
      <c r="R276">
        <f t="shared" si="46"/>
        <v>1</v>
      </c>
      <c r="S276">
        <f t="shared" si="47"/>
        <v>0</v>
      </c>
      <c r="T276">
        <f t="shared" si="48"/>
        <v>9442.82</v>
      </c>
      <c r="U276">
        <f t="shared" si="49"/>
        <v>-5384.7</v>
      </c>
    </row>
    <row r="277" spans="1:21" x14ac:dyDescent="0.3">
      <c r="A277">
        <v>276</v>
      </c>
      <c r="B277">
        <v>37</v>
      </c>
      <c r="C277" t="s">
        <v>10</v>
      </c>
      <c r="D277">
        <v>33.200000000000003</v>
      </c>
      <c r="E277">
        <v>90</v>
      </c>
      <c r="F277" t="s">
        <v>11</v>
      </c>
      <c r="G277">
        <v>2</v>
      </c>
      <c r="H277" t="s">
        <v>12</v>
      </c>
      <c r="I277" t="s">
        <v>14</v>
      </c>
      <c r="J277">
        <v>4058.71</v>
      </c>
      <c r="K277" t="str">
        <f t="shared" si="40"/>
        <v>30-35</v>
      </c>
      <c r="L277">
        <f t="shared" si="41"/>
        <v>0</v>
      </c>
      <c r="M277">
        <f t="shared" si="42"/>
        <v>0</v>
      </c>
      <c r="N277">
        <f t="shared" si="43"/>
        <v>0</v>
      </c>
      <c r="O277">
        <f t="shared" si="44"/>
        <v>1</v>
      </c>
      <c r="P277">
        <v>0.62238766880941698</v>
      </c>
      <c r="Q277">
        <f t="shared" si="45"/>
        <v>0</v>
      </c>
      <c r="R277">
        <f t="shared" si="46"/>
        <v>1</v>
      </c>
      <c r="S277">
        <f t="shared" si="47"/>
        <v>0</v>
      </c>
      <c r="T277">
        <f t="shared" si="48"/>
        <v>8336.01</v>
      </c>
      <c r="U277">
        <f t="shared" si="49"/>
        <v>-4277.3</v>
      </c>
    </row>
    <row r="278" spans="1:21" x14ac:dyDescent="0.3">
      <c r="A278">
        <v>277</v>
      </c>
      <c r="B278">
        <v>23</v>
      </c>
      <c r="C278" t="s">
        <v>10</v>
      </c>
      <c r="D278">
        <v>30</v>
      </c>
      <c r="E278">
        <v>95</v>
      </c>
      <c r="F278" t="s">
        <v>11</v>
      </c>
      <c r="G278">
        <v>1</v>
      </c>
      <c r="H278" t="s">
        <v>12</v>
      </c>
      <c r="I278" t="s">
        <v>13</v>
      </c>
      <c r="J278">
        <v>4074.45</v>
      </c>
      <c r="K278" t="str">
        <f t="shared" si="40"/>
        <v>30-35</v>
      </c>
      <c r="L278">
        <f t="shared" si="41"/>
        <v>0</v>
      </c>
      <c r="M278">
        <f t="shared" si="42"/>
        <v>1</v>
      </c>
      <c r="N278">
        <f t="shared" si="43"/>
        <v>0</v>
      </c>
      <c r="O278">
        <f t="shared" si="44"/>
        <v>0</v>
      </c>
      <c r="P278">
        <v>0.98248696578397043</v>
      </c>
      <c r="Q278">
        <f t="shared" si="45"/>
        <v>0</v>
      </c>
      <c r="R278">
        <f t="shared" si="46"/>
        <v>1</v>
      </c>
      <c r="S278">
        <f t="shared" si="47"/>
        <v>0</v>
      </c>
      <c r="T278">
        <f t="shared" si="48"/>
        <v>7443.3500000000013</v>
      </c>
      <c r="U278">
        <f t="shared" si="49"/>
        <v>-3368.9000000000015</v>
      </c>
    </row>
    <row r="279" spans="1:21" x14ac:dyDescent="0.3">
      <c r="A279">
        <v>278</v>
      </c>
      <c r="B279">
        <v>26</v>
      </c>
      <c r="C279" t="s">
        <v>10</v>
      </c>
      <c r="D279">
        <v>31.5</v>
      </c>
      <c r="E279">
        <v>95</v>
      </c>
      <c r="F279" t="s">
        <v>11</v>
      </c>
      <c r="G279">
        <v>1</v>
      </c>
      <c r="H279" t="s">
        <v>12</v>
      </c>
      <c r="I279" t="s">
        <v>15</v>
      </c>
      <c r="J279">
        <v>4076.5</v>
      </c>
      <c r="K279" t="str">
        <f t="shared" si="40"/>
        <v>30-35</v>
      </c>
      <c r="L279">
        <f t="shared" si="41"/>
        <v>0</v>
      </c>
      <c r="M279">
        <f t="shared" si="42"/>
        <v>0</v>
      </c>
      <c r="N279">
        <f t="shared" si="43"/>
        <v>1</v>
      </c>
      <c r="O279">
        <f t="shared" si="44"/>
        <v>0</v>
      </c>
      <c r="P279">
        <v>0.19277772611386967</v>
      </c>
      <c r="Q279">
        <f t="shared" si="45"/>
        <v>0</v>
      </c>
      <c r="R279">
        <f t="shared" si="46"/>
        <v>1</v>
      </c>
      <c r="S279">
        <f t="shared" si="47"/>
        <v>0</v>
      </c>
      <c r="T279">
        <f t="shared" si="48"/>
        <v>8256.380000000001</v>
      </c>
      <c r="U279">
        <f t="shared" si="49"/>
        <v>-4179.880000000001</v>
      </c>
    </row>
    <row r="280" spans="1:21" x14ac:dyDescent="0.3">
      <c r="A280">
        <v>279</v>
      </c>
      <c r="B280">
        <v>49</v>
      </c>
      <c r="C280" t="s">
        <v>16</v>
      </c>
      <c r="D280">
        <v>25.9</v>
      </c>
      <c r="E280">
        <v>80</v>
      </c>
      <c r="F280" t="s">
        <v>11</v>
      </c>
      <c r="G280">
        <v>1</v>
      </c>
      <c r="H280" t="s">
        <v>12</v>
      </c>
      <c r="I280" t="s">
        <v>14</v>
      </c>
      <c r="J280">
        <v>4133.6400000000003</v>
      </c>
      <c r="K280" t="str">
        <f t="shared" si="40"/>
        <v>25-30</v>
      </c>
      <c r="L280">
        <f t="shared" si="41"/>
        <v>0</v>
      </c>
      <c r="M280">
        <f t="shared" si="42"/>
        <v>0</v>
      </c>
      <c r="N280">
        <f t="shared" si="43"/>
        <v>0</v>
      </c>
      <c r="O280">
        <f t="shared" si="44"/>
        <v>1</v>
      </c>
      <c r="P280">
        <v>0.24333557995404387</v>
      </c>
      <c r="Q280">
        <f t="shared" si="45"/>
        <v>0</v>
      </c>
      <c r="R280">
        <f t="shared" si="46"/>
        <v>1</v>
      </c>
      <c r="S280">
        <f t="shared" si="47"/>
        <v>1</v>
      </c>
      <c r="T280">
        <f t="shared" si="48"/>
        <v>5807.3099999999986</v>
      </c>
      <c r="U280">
        <f t="shared" si="49"/>
        <v>-1673.6699999999983</v>
      </c>
    </row>
    <row r="281" spans="1:21" x14ac:dyDescent="0.3">
      <c r="A281">
        <v>280</v>
      </c>
      <c r="B281">
        <v>47</v>
      </c>
      <c r="C281" t="s">
        <v>16</v>
      </c>
      <c r="D281">
        <v>21.8</v>
      </c>
      <c r="E281">
        <v>98</v>
      </c>
      <c r="F281" t="s">
        <v>12</v>
      </c>
      <c r="G281">
        <v>0</v>
      </c>
      <c r="H281" t="s">
        <v>12</v>
      </c>
      <c r="I281" t="s">
        <v>14</v>
      </c>
      <c r="J281">
        <v>4134.08</v>
      </c>
      <c r="K281" t="str">
        <f t="shared" si="40"/>
        <v>20-25</v>
      </c>
      <c r="L281">
        <f t="shared" si="41"/>
        <v>0</v>
      </c>
      <c r="M281">
        <f t="shared" si="42"/>
        <v>0</v>
      </c>
      <c r="N281">
        <f t="shared" si="43"/>
        <v>0</v>
      </c>
      <c r="O281">
        <f t="shared" si="44"/>
        <v>1</v>
      </c>
      <c r="P281">
        <v>0.18123541054567893</v>
      </c>
      <c r="Q281">
        <f t="shared" si="45"/>
        <v>0</v>
      </c>
      <c r="R281">
        <f t="shared" si="46"/>
        <v>0</v>
      </c>
      <c r="S281">
        <f t="shared" si="47"/>
        <v>1</v>
      </c>
      <c r="T281">
        <f t="shared" si="48"/>
        <v>7662.76</v>
      </c>
      <c r="U281">
        <f t="shared" si="49"/>
        <v>-3528.6800000000003</v>
      </c>
    </row>
    <row r="282" spans="1:21" x14ac:dyDescent="0.3">
      <c r="A282">
        <v>281</v>
      </c>
      <c r="B282">
        <v>25</v>
      </c>
      <c r="C282" t="s">
        <v>16</v>
      </c>
      <c r="D282">
        <v>27.9</v>
      </c>
      <c r="E282">
        <v>88</v>
      </c>
      <c r="F282" t="s">
        <v>11</v>
      </c>
      <c r="G282">
        <v>0</v>
      </c>
      <c r="H282" t="s">
        <v>12</v>
      </c>
      <c r="I282" t="s">
        <v>13</v>
      </c>
      <c r="J282">
        <v>4137.5200000000004</v>
      </c>
      <c r="K282" t="str">
        <f t="shared" si="40"/>
        <v>25-30</v>
      </c>
      <c r="L282">
        <f t="shared" si="41"/>
        <v>0</v>
      </c>
      <c r="M282">
        <f t="shared" si="42"/>
        <v>1</v>
      </c>
      <c r="N282">
        <f t="shared" si="43"/>
        <v>0</v>
      </c>
      <c r="O282">
        <f t="shared" si="44"/>
        <v>0</v>
      </c>
      <c r="P282">
        <v>0.9275093557842109</v>
      </c>
      <c r="Q282">
        <f t="shared" si="45"/>
        <v>0</v>
      </c>
      <c r="R282">
        <f t="shared" si="46"/>
        <v>1</v>
      </c>
      <c r="S282">
        <f t="shared" si="47"/>
        <v>1</v>
      </c>
      <c r="T282">
        <f t="shared" si="48"/>
        <v>5850.82</v>
      </c>
      <c r="U282">
        <f t="shared" si="49"/>
        <v>-1713.2999999999993</v>
      </c>
    </row>
    <row r="283" spans="1:21" x14ac:dyDescent="0.3">
      <c r="A283">
        <v>282</v>
      </c>
      <c r="B283">
        <v>59</v>
      </c>
      <c r="C283" t="s">
        <v>16</v>
      </c>
      <c r="D283">
        <v>32.4</v>
      </c>
      <c r="E283">
        <v>94</v>
      </c>
      <c r="F283" t="s">
        <v>12</v>
      </c>
      <c r="G283">
        <v>1</v>
      </c>
      <c r="H283" t="s">
        <v>12</v>
      </c>
      <c r="I283" t="s">
        <v>15</v>
      </c>
      <c r="J283">
        <v>4149.74</v>
      </c>
      <c r="K283" t="str">
        <f t="shared" si="40"/>
        <v>30-35</v>
      </c>
      <c r="L283">
        <f t="shared" si="41"/>
        <v>0</v>
      </c>
      <c r="M283">
        <f t="shared" si="42"/>
        <v>0</v>
      </c>
      <c r="N283">
        <f t="shared" si="43"/>
        <v>1</v>
      </c>
      <c r="O283">
        <f t="shared" si="44"/>
        <v>0</v>
      </c>
      <c r="P283">
        <v>0.91812039164926507</v>
      </c>
      <c r="Q283">
        <f t="shared" si="45"/>
        <v>0</v>
      </c>
      <c r="R283">
        <f t="shared" si="46"/>
        <v>0</v>
      </c>
      <c r="S283">
        <f t="shared" si="47"/>
        <v>1</v>
      </c>
      <c r="T283">
        <f t="shared" si="48"/>
        <v>8645.51</v>
      </c>
      <c r="U283">
        <f t="shared" si="49"/>
        <v>-4495.7700000000004</v>
      </c>
    </row>
    <row r="284" spans="1:21" x14ac:dyDescent="0.3">
      <c r="A284">
        <v>283</v>
      </c>
      <c r="B284">
        <v>48</v>
      </c>
      <c r="C284" t="s">
        <v>16</v>
      </c>
      <c r="D284">
        <v>33.299999999999997</v>
      </c>
      <c r="E284">
        <v>100</v>
      </c>
      <c r="F284" t="s">
        <v>11</v>
      </c>
      <c r="G284">
        <v>1</v>
      </c>
      <c r="H284" t="s">
        <v>12</v>
      </c>
      <c r="I284" t="s">
        <v>13</v>
      </c>
      <c r="J284">
        <v>4151.03</v>
      </c>
      <c r="K284" t="str">
        <f t="shared" si="40"/>
        <v>30-35</v>
      </c>
      <c r="L284">
        <f t="shared" si="41"/>
        <v>0</v>
      </c>
      <c r="M284">
        <f t="shared" si="42"/>
        <v>1</v>
      </c>
      <c r="N284">
        <f t="shared" si="43"/>
        <v>0</v>
      </c>
      <c r="O284">
        <f t="shared" si="44"/>
        <v>0</v>
      </c>
      <c r="P284">
        <v>0.59136894797953532</v>
      </c>
      <c r="Q284">
        <f t="shared" si="45"/>
        <v>0</v>
      </c>
      <c r="R284">
        <f t="shared" si="46"/>
        <v>1</v>
      </c>
      <c r="S284">
        <f t="shared" si="47"/>
        <v>1</v>
      </c>
      <c r="T284">
        <f t="shared" si="48"/>
        <v>8936.4000000000015</v>
      </c>
      <c r="U284">
        <f t="shared" si="49"/>
        <v>-4785.3700000000017</v>
      </c>
    </row>
    <row r="285" spans="1:21" x14ac:dyDescent="0.3">
      <c r="A285">
        <v>284</v>
      </c>
      <c r="B285">
        <v>34</v>
      </c>
      <c r="C285" t="s">
        <v>16</v>
      </c>
      <c r="D285">
        <v>24.3</v>
      </c>
      <c r="E285">
        <v>90</v>
      </c>
      <c r="F285" t="s">
        <v>11</v>
      </c>
      <c r="G285">
        <v>0</v>
      </c>
      <c r="H285" t="s">
        <v>12</v>
      </c>
      <c r="I285" t="s">
        <v>13</v>
      </c>
      <c r="J285">
        <v>4185.1000000000004</v>
      </c>
      <c r="K285" t="str">
        <f t="shared" si="40"/>
        <v>20-25</v>
      </c>
      <c r="L285">
        <f t="shared" si="41"/>
        <v>0</v>
      </c>
      <c r="M285">
        <f t="shared" si="42"/>
        <v>1</v>
      </c>
      <c r="N285">
        <f t="shared" si="43"/>
        <v>0</v>
      </c>
      <c r="O285">
        <f t="shared" si="44"/>
        <v>0</v>
      </c>
      <c r="P285">
        <v>7.0377541409070044E-2</v>
      </c>
      <c r="Q285">
        <f t="shared" si="45"/>
        <v>0</v>
      </c>
      <c r="R285">
        <f t="shared" si="46"/>
        <v>1</v>
      </c>
      <c r="S285">
        <f t="shared" si="47"/>
        <v>1</v>
      </c>
      <c r="T285">
        <f t="shared" si="48"/>
        <v>5850.68</v>
      </c>
      <c r="U285">
        <f t="shared" si="49"/>
        <v>-1665.58</v>
      </c>
    </row>
    <row r="286" spans="1:21" x14ac:dyDescent="0.3">
      <c r="A286">
        <v>285</v>
      </c>
      <c r="B286">
        <v>25</v>
      </c>
      <c r="C286" t="s">
        <v>16</v>
      </c>
      <c r="D286">
        <v>26.8</v>
      </c>
      <c r="E286">
        <v>98</v>
      </c>
      <c r="F286" t="s">
        <v>12</v>
      </c>
      <c r="G286">
        <v>2</v>
      </c>
      <c r="H286" t="s">
        <v>12</v>
      </c>
      <c r="I286" t="s">
        <v>14</v>
      </c>
      <c r="J286">
        <v>4189.1099999999997</v>
      </c>
      <c r="K286" t="str">
        <f t="shared" si="40"/>
        <v>25-30</v>
      </c>
      <c r="L286">
        <f t="shared" si="41"/>
        <v>0</v>
      </c>
      <c r="M286">
        <f t="shared" si="42"/>
        <v>0</v>
      </c>
      <c r="N286">
        <f t="shared" si="43"/>
        <v>0</v>
      </c>
      <c r="O286">
        <f t="shared" si="44"/>
        <v>1</v>
      </c>
      <c r="P286">
        <v>0.49151445917894454</v>
      </c>
      <c r="Q286">
        <f t="shared" si="45"/>
        <v>0</v>
      </c>
      <c r="R286">
        <f t="shared" si="46"/>
        <v>0</v>
      </c>
      <c r="S286">
        <f t="shared" si="47"/>
        <v>1</v>
      </c>
      <c r="T286">
        <f t="shared" si="48"/>
        <v>9594.9000000000015</v>
      </c>
      <c r="U286">
        <f t="shared" si="49"/>
        <v>-5405.7900000000018</v>
      </c>
    </row>
    <row r="287" spans="1:21" x14ac:dyDescent="0.3">
      <c r="A287">
        <v>286</v>
      </c>
      <c r="B287">
        <v>27</v>
      </c>
      <c r="C287" t="s">
        <v>16</v>
      </c>
      <c r="D287">
        <v>30.1</v>
      </c>
      <c r="E287">
        <v>81</v>
      </c>
      <c r="F287" t="s">
        <v>12</v>
      </c>
      <c r="G287">
        <v>3</v>
      </c>
      <c r="H287" t="s">
        <v>12</v>
      </c>
      <c r="I287" t="s">
        <v>15</v>
      </c>
      <c r="J287">
        <v>4234.93</v>
      </c>
      <c r="K287" t="str">
        <f t="shared" si="40"/>
        <v>30-35</v>
      </c>
      <c r="L287">
        <f t="shared" si="41"/>
        <v>0</v>
      </c>
      <c r="M287">
        <f t="shared" si="42"/>
        <v>0</v>
      </c>
      <c r="N287">
        <f t="shared" si="43"/>
        <v>1</v>
      </c>
      <c r="O287">
        <f t="shared" si="44"/>
        <v>0</v>
      </c>
      <c r="P287">
        <v>0.32912007432873969</v>
      </c>
      <c r="Q287">
        <f t="shared" si="45"/>
        <v>0</v>
      </c>
      <c r="R287">
        <f t="shared" si="46"/>
        <v>0</v>
      </c>
      <c r="S287">
        <f t="shared" si="47"/>
        <v>1</v>
      </c>
      <c r="T287">
        <f t="shared" si="48"/>
        <v>7891.63</v>
      </c>
      <c r="U287">
        <f t="shared" si="49"/>
        <v>-3656.7</v>
      </c>
    </row>
    <row r="288" spans="1:21" x14ac:dyDescent="0.3">
      <c r="A288">
        <v>287</v>
      </c>
      <c r="B288">
        <v>30</v>
      </c>
      <c r="C288" t="s">
        <v>10</v>
      </c>
      <c r="D288">
        <v>27.6</v>
      </c>
      <c r="E288">
        <v>90</v>
      </c>
      <c r="F288" t="s">
        <v>12</v>
      </c>
      <c r="G288">
        <v>1</v>
      </c>
      <c r="H288" t="s">
        <v>12</v>
      </c>
      <c r="I288" t="s">
        <v>13</v>
      </c>
      <c r="J288">
        <v>4237.13</v>
      </c>
      <c r="K288" t="str">
        <f t="shared" si="40"/>
        <v>25-30</v>
      </c>
      <c r="L288">
        <f t="shared" si="41"/>
        <v>0</v>
      </c>
      <c r="M288">
        <f t="shared" si="42"/>
        <v>1</v>
      </c>
      <c r="N288">
        <f t="shared" si="43"/>
        <v>0</v>
      </c>
      <c r="O288">
        <f t="shared" si="44"/>
        <v>0</v>
      </c>
      <c r="P288">
        <v>0.63444918544324347</v>
      </c>
      <c r="Q288">
        <f t="shared" si="45"/>
        <v>0</v>
      </c>
      <c r="R288">
        <f t="shared" si="46"/>
        <v>0</v>
      </c>
      <c r="S288">
        <f t="shared" si="47"/>
        <v>0</v>
      </c>
      <c r="T288">
        <f t="shared" si="48"/>
        <v>6500.3000000000011</v>
      </c>
      <c r="U288">
        <f t="shared" si="49"/>
        <v>-2263.170000000001</v>
      </c>
    </row>
    <row r="289" spans="1:21" x14ac:dyDescent="0.3">
      <c r="A289">
        <v>288</v>
      </c>
      <c r="B289">
        <v>35</v>
      </c>
      <c r="C289" t="s">
        <v>10</v>
      </c>
      <c r="D289">
        <v>25.9</v>
      </c>
      <c r="E289">
        <v>84</v>
      </c>
      <c r="F289" t="s">
        <v>11</v>
      </c>
      <c r="G289">
        <v>1</v>
      </c>
      <c r="H289" t="s">
        <v>12</v>
      </c>
      <c r="I289" t="s">
        <v>14</v>
      </c>
      <c r="J289">
        <v>4239.8900000000003</v>
      </c>
      <c r="K289" t="str">
        <f t="shared" si="40"/>
        <v>25-30</v>
      </c>
      <c r="L289">
        <f t="shared" si="41"/>
        <v>0</v>
      </c>
      <c r="M289">
        <f t="shared" si="42"/>
        <v>0</v>
      </c>
      <c r="N289">
        <f t="shared" si="43"/>
        <v>0</v>
      </c>
      <c r="O289">
        <f t="shared" si="44"/>
        <v>1</v>
      </c>
      <c r="P289">
        <v>0.41985412154330837</v>
      </c>
      <c r="Q289">
        <f t="shared" si="45"/>
        <v>0</v>
      </c>
      <c r="R289">
        <f t="shared" si="46"/>
        <v>1</v>
      </c>
      <c r="S289">
        <f t="shared" si="47"/>
        <v>0</v>
      </c>
      <c r="T289">
        <f t="shared" si="48"/>
        <v>6018.6399999999976</v>
      </c>
      <c r="U289">
        <f t="shared" si="49"/>
        <v>-1778.7499999999973</v>
      </c>
    </row>
    <row r="290" spans="1:21" x14ac:dyDescent="0.3">
      <c r="A290">
        <v>289</v>
      </c>
      <c r="B290">
        <v>37</v>
      </c>
      <c r="C290" t="s">
        <v>10</v>
      </c>
      <c r="D290">
        <v>28.6</v>
      </c>
      <c r="E290">
        <v>93</v>
      </c>
      <c r="F290" t="s">
        <v>11</v>
      </c>
      <c r="G290">
        <v>1</v>
      </c>
      <c r="H290" t="s">
        <v>12</v>
      </c>
      <c r="I290" t="s">
        <v>14</v>
      </c>
      <c r="J290">
        <v>4243.59</v>
      </c>
      <c r="K290" t="str">
        <f t="shared" si="40"/>
        <v>25-30</v>
      </c>
      <c r="L290">
        <f t="shared" si="41"/>
        <v>0</v>
      </c>
      <c r="M290">
        <f t="shared" si="42"/>
        <v>0</v>
      </c>
      <c r="N290">
        <f t="shared" si="43"/>
        <v>0</v>
      </c>
      <c r="O290">
        <f t="shared" si="44"/>
        <v>1</v>
      </c>
      <c r="P290">
        <v>0.85410879509087589</v>
      </c>
      <c r="Q290">
        <f t="shared" si="45"/>
        <v>0</v>
      </c>
      <c r="R290">
        <f t="shared" si="46"/>
        <v>1</v>
      </c>
      <c r="S290">
        <f t="shared" si="47"/>
        <v>0</v>
      </c>
      <c r="T290">
        <f t="shared" si="48"/>
        <v>7683.24</v>
      </c>
      <c r="U290">
        <f t="shared" si="49"/>
        <v>-3439.6499999999996</v>
      </c>
    </row>
    <row r="291" spans="1:21" x14ac:dyDescent="0.3">
      <c r="A291">
        <v>290</v>
      </c>
      <c r="B291">
        <v>35</v>
      </c>
      <c r="C291" t="s">
        <v>10</v>
      </c>
      <c r="D291">
        <v>30.3</v>
      </c>
      <c r="E291">
        <v>80</v>
      </c>
      <c r="F291" t="s">
        <v>12</v>
      </c>
      <c r="G291">
        <v>3</v>
      </c>
      <c r="H291" t="s">
        <v>12</v>
      </c>
      <c r="I291" t="s">
        <v>15</v>
      </c>
      <c r="J291">
        <v>4260.74</v>
      </c>
      <c r="K291" t="str">
        <f t="shared" si="40"/>
        <v>30-35</v>
      </c>
      <c r="L291">
        <f t="shared" si="41"/>
        <v>0</v>
      </c>
      <c r="M291">
        <f t="shared" si="42"/>
        <v>0</v>
      </c>
      <c r="N291">
        <f t="shared" si="43"/>
        <v>1</v>
      </c>
      <c r="O291">
        <f t="shared" si="44"/>
        <v>0</v>
      </c>
      <c r="P291">
        <v>0.36006590174889475</v>
      </c>
      <c r="Q291">
        <f t="shared" si="45"/>
        <v>0</v>
      </c>
      <c r="R291">
        <f t="shared" si="46"/>
        <v>0</v>
      </c>
      <c r="S291">
        <f t="shared" si="47"/>
        <v>0</v>
      </c>
      <c r="T291">
        <f t="shared" si="48"/>
        <v>7293.9500000000007</v>
      </c>
      <c r="U291">
        <f t="shared" si="49"/>
        <v>-3033.2100000000009</v>
      </c>
    </row>
    <row r="292" spans="1:21" x14ac:dyDescent="0.3">
      <c r="A292">
        <v>291</v>
      </c>
      <c r="B292">
        <v>49</v>
      </c>
      <c r="C292" t="s">
        <v>10</v>
      </c>
      <c r="D292">
        <v>44.2</v>
      </c>
      <c r="E292">
        <v>80</v>
      </c>
      <c r="F292" t="s">
        <v>12</v>
      </c>
      <c r="G292">
        <v>2</v>
      </c>
      <c r="H292" t="s">
        <v>12</v>
      </c>
      <c r="I292" t="s">
        <v>13</v>
      </c>
      <c r="J292">
        <v>4266.17</v>
      </c>
      <c r="K292" t="str">
        <f t="shared" si="40"/>
        <v>35+</v>
      </c>
      <c r="L292">
        <f t="shared" si="41"/>
        <v>0</v>
      </c>
      <c r="M292">
        <f t="shared" si="42"/>
        <v>1</v>
      </c>
      <c r="N292">
        <f t="shared" si="43"/>
        <v>0</v>
      </c>
      <c r="O292">
        <f t="shared" si="44"/>
        <v>0</v>
      </c>
      <c r="P292">
        <v>0.63452620770164103</v>
      </c>
      <c r="Q292">
        <f t="shared" si="45"/>
        <v>0</v>
      </c>
      <c r="R292">
        <f t="shared" si="46"/>
        <v>0</v>
      </c>
      <c r="S292">
        <f t="shared" si="47"/>
        <v>0</v>
      </c>
      <c r="T292">
        <f t="shared" si="48"/>
        <v>7037.6200000000008</v>
      </c>
      <c r="U292">
        <f t="shared" si="49"/>
        <v>-2771.4500000000007</v>
      </c>
    </row>
    <row r="293" spans="1:21" x14ac:dyDescent="0.3">
      <c r="A293">
        <v>292</v>
      </c>
      <c r="B293">
        <v>25</v>
      </c>
      <c r="C293" t="s">
        <v>16</v>
      </c>
      <c r="D293">
        <v>21.3</v>
      </c>
      <c r="E293">
        <v>95</v>
      </c>
      <c r="F293" t="s">
        <v>11</v>
      </c>
      <c r="G293">
        <v>3</v>
      </c>
      <c r="H293" t="s">
        <v>12</v>
      </c>
      <c r="I293" t="s">
        <v>14</v>
      </c>
      <c r="J293">
        <v>4296.2700000000004</v>
      </c>
      <c r="K293" t="str">
        <f t="shared" si="40"/>
        <v>20-25</v>
      </c>
      <c r="L293">
        <f t="shared" si="41"/>
        <v>0</v>
      </c>
      <c r="M293">
        <f t="shared" si="42"/>
        <v>0</v>
      </c>
      <c r="N293">
        <f t="shared" si="43"/>
        <v>0</v>
      </c>
      <c r="O293">
        <f t="shared" si="44"/>
        <v>1</v>
      </c>
      <c r="P293">
        <v>9.4432466132015502E-2</v>
      </c>
      <c r="Q293">
        <f t="shared" si="45"/>
        <v>0</v>
      </c>
      <c r="R293">
        <f t="shared" si="46"/>
        <v>1</v>
      </c>
      <c r="S293">
        <f t="shared" si="47"/>
        <v>1</v>
      </c>
      <c r="T293">
        <f t="shared" si="48"/>
        <v>9315.0600000000031</v>
      </c>
      <c r="U293">
        <f t="shared" si="49"/>
        <v>-5018.7900000000027</v>
      </c>
    </row>
    <row r="294" spans="1:21" x14ac:dyDescent="0.3">
      <c r="A294">
        <v>293</v>
      </c>
      <c r="B294">
        <v>21</v>
      </c>
      <c r="C294" t="s">
        <v>10</v>
      </c>
      <c r="D294">
        <v>35.799999999999997</v>
      </c>
      <c r="E294">
        <v>88</v>
      </c>
      <c r="F294" t="s">
        <v>12</v>
      </c>
      <c r="G294">
        <v>0</v>
      </c>
      <c r="H294" t="s">
        <v>12</v>
      </c>
      <c r="I294" t="s">
        <v>14</v>
      </c>
      <c r="J294">
        <v>4320.41</v>
      </c>
      <c r="K294" t="str">
        <f t="shared" si="40"/>
        <v>35+</v>
      </c>
      <c r="L294">
        <f t="shared" si="41"/>
        <v>0</v>
      </c>
      <c r="M294">
        <f t="shared" si="42"/>
        <v>0</v>
      </c>
      <c r="N294">
        <f t="shared" si="43"/>
        <v>0</v>
      </c>
      <c r="O294">
        <f t="shared" si="44"/>
        <v>1</v>
      </c>
      <c r="P294">
        <v>0.21639617496186225</v>
      </c>
      <c r="Q294">
        <f t="shared" si="45"/>
        <v>0</v>
      </c>
      <c r="R294">
        <f t="shared" si="46"/>
        <v>0</v>
      </c>
      <c r="S294">
        <f t="shared" si="47"/>
        <v>0</v>
      </c>
      <c r="T294">
        <f t="shared" si="48"/>
        <v>6852.19</v>
      </c>
      <c r="U294">
        <f t="shared" si="49"/>
        <v>-2531.7799999999997</v>
      </c>
    </row>
    <row r="295" spans="1:21" x14ac:dyDescent="0.3">
      <c r="A295">
        <v>294</v>
      </c>
      <c r="B295">
        <v>37</v>
      </c>
      <c r="C295" t="s">
        <v>16</v>
      </c>
      <c r="D295">
        <v>28.9</v>
      </c>
      <c r="E295">
        <v>87</v>
      </c>
      <c r="F295" t="s">
        <v>12</v>
      </c>
      <c r="G295">
        <v>1</v>
      </c>
      <c r="H295" t="s">
        <v>12</v>
      </c>
      <c r="I295" t="s">
        <v>13</v>
      </c>
      <c r="J295">
        <v>4337.74</v>
      </c>
      <c r="K295" t="str">
        <f t="shared" si="40"/>
        <v>25-30</v>
      </c>
      <c r="L295">
        <f t="shared" si="41"/>
        <v>0</v>
      </c>
      <c r="M295">
        <f t="shared" si="42"/>
        <v>1</v>
      </c>
      <c r="N295">
        <f t="shared" si="43"/>
        <v>0</v>
      </c>
      <c r="O295">
        <f t="shared" si="44"/>
        <v>0</v>
      </c>
      <c r="P295">
        <v>0.85050568766244827</v>
      </c>
      <c r="Q295">
        <f t="shared" si="45"/>
        <v>0</v>
      </c>
      <c r="R295">
        <f t="shared" si="46"/>
        <v>0</v>
      </c>
      <c r="S295">
        <f t="shared" si="47"/>
        <v>1</v>
      </c>
      <c r="T295">
        <f t="shared" si="48"/>
        <v>6568.670000000001</v>
      </c>
      <c r="U295">
        <f t="shared" si="49"/>
        <v>-2230.9300000000012</v>
      </c>
    </row>
    <row r="296" spans="1:21" x14ac:dyDescent="0.3">
      <c r="A296">
        <v>295</v>
      </c>
      <c r="B296">
        <v>57</v>
      </c>
      <c r="C296" t="s">
        <v>16</v>
      </c>
      <c r="D296">
        <v>26.5</v>
      </c>
      <c r="E296">
        <v>90</v>
      </c>
      <c r="F296" t="s">
        <v>11</v>
      </c>
      <c r="G296">
        <v>2</v>
      </c>
      <c r="H296" t="s">
        <v>12</v>
      </c>
      <c r="I296" t="s">
        <v>13</v>
      </c>
      <c r="J296">
        <v>4340.4399999999996</v>
      </c>
      <c r="K296" t="str">
        <f t="shared" si="40"/>
        <v>25-30</v>
      </c>
      <c r="L296">
        <f t="shared" si="41"/>
        <v>0</v>
      </c>
      <c r="M296">
        <f t="shared" si="42"/>
        <v>1</v>
      </c>
      <c r="N296">
        <f t="shared" si="43"/>
        <v>0</v>
      </c>
      <c r="O296">
        <f t="shared" si="44"/>
        <v>0</v>
      </c>
      <c r="P296">
        <v>0.21721701322360187</v>
      </c>
      <c r="Q296">
        <f t="shared" si="45"/>
        <v>0</v>
      </c>
      <c r="R296">
        <f t="shared" si="46"/>
        <v>1</v>
      </c>
      <c r="S296">
        <f t="shared" si="47"/>
        <v>1</v>
      </c>
      <c r="T296">
        <f t="shared" si="48"/>
        <v>7485.82</v>
      </c>
      <c r="U296">
        <f t="shared" si="49"/>
        <v>-3145.38</v>
      </c>
    </row>
    <row r="297" spans="1:21" x14ac:dyDescent="0.3">
      <c r="A297">
        <v>296</v>
      </c>
      <c r="B297">
        <v>32</v>
      </c>
      <c r="C297" t="s">
        <v>16</v>
      </c>
      <c r="D297">
        <v>31.1</v>
      </c>
      <c r="E297">
        <v>88</v>
      </c>
      <c r="F297" t="s">
        <v>12</v>
      </c>
      <c r="G297">
        <v>0</v>
      </c>
      <c r="H297" t="s">
        <v>12</v>
      </c>
      <c r="I297" t="s">
        <v>13</v>
      </c>
      <c r="J297">
        <v>4347.0200000000004</v>
      </c>
      <c r="K297" t="str">
        <f t="shared" si="40"/>
        <v>30-35</v>
      </c>
      <c r="L297">
        <f t="shared" si="41"/>
        <v>0</v>
      </c>
      <c r="M297">
        <f t="shared" si="42"/>
        <v>1</v>
      </c>
      <c r="N297">
        <f t="shared" si="43"/>
        <v>0</v>
      </c>
      <c r="O297">
        <f t="shared" si="44"/>
        <v>0</v>
      </c>
      <c r="P297">
        <v>0.22005183871252765</v>
      </c>
      <c r="Q297">
        <f t="shared" si="45"/>
        <v>0</v>
      </c>
      <c r="R297">
        <f t="shared" si="46"/>
        <v>0</v>
      </c>
      <c r="S297">
        <f t="shared" si="47"/>
        <v>1</v>
      </c>
      <c r="T297">
        <f t="shared" si="48"/>
        <v>6184.5199999999995</v>
      </c>
      <c r="U297">
        <f t="shared" si="49"/>
        <v>-1837.4999999999991</v>
      </c>
    </row>
    <row r="298" spans="1:21" x14ac:dyDescent="0.3">
      <c r="A298">
        <v>297</v>
      </c>
      <c r="B298">
        <v>25</v>
      </c>
      <c r="C298" t="s">
        <v>16</v>
      </c>
      <c r="D298">
        <v>33</v>
      </c>
      <c r="E298">
        <v>89</v>
      </c>
      <c r="F298" t="s">
        <v>11</v>
      </c>
      <c r="G298">
        <v>2</v>
      </c>
      <c r="H298" t="s">
        <v>12</v>
      </c>
      <c r="I298" t="s">
        <v>13</v>
      </c>
      <c r="J298">
        <v>4349.46</v>
      </c>
      <c r="K298" t="str">
        <f t="shared" si="40"/>
        <v>30-35</v>
      </c>
      <c r="L298">
        <f t="shared" si="41"/>
        <v>0</v>
      </c>
      <c r="M298">
        <f t="shared" si="42"/>
        <v>1</v>
      </c>
      <c r="N298">
        <f t="shared" si="43"/>
        <v>0</v>
      </c>
      <c r="O298">
        <f t="shared" si="44"/>
        <v>0</v>
      </c>
      <c r="P298">
        <v>6.1670940223647053E-3</v>
      </c>
      <c r="Q298">
        <f t="shared" si="45"/>
        <v>0</v>
      </c>
      <c r="R298">
        <f t="shared" si="46"/>
        <v>1</v>
      </c>
      <c r="S298">
        <f t="shared" si="47"/>
        <v>1</v>
      </c>
      <c r="T298">
        <f t="shared" si="48"/>
        <v>7922.9400000000005</v>
      </c>
      <c r="U298">
        <f t="shared" si="49"/>
        <v>-3573.4800000000005</v>
      </c>
    </row>
    <row r="299" spans="1:21" x14ac:dyDescent="0.3">
      <c r="A299">
        <v>298</v>
      </c>
      <c r="B299">
        <v>40</v>
      </c>
      <c r="C299" t="s">
        <v>16</v>
      </c>
      <c r="D299">
        <v>29.3</v>
      </c>
      <c r="E299">
        <v>87</v>
      </c>
      <c r="F299" t="s">
        <v>11</v>
      </c>
      <c r="G299">
        <v>1</v>
      </c>
      <c r="H299" t="s">
        <v>12</v>
      </c>
      <c r="I299" t="s">
        <v>13</v>
      </c>
      <c r="J299">
        <v>4350.51</v>
      </c>
      <c r="K299" t="str">
        <f t="shared" si="40"/>
        <v>25-30</v>
      </c>
      <c r="L299">
        <f t="shared" si="41"/>
        <v>0</v>
      </c>
      <c r="M299">
        <f t="shared" si="42"/>
        <v>1</v>
      </c>
      <c r="N299">
        <f t="shared" si="43"/>
        <v>0</v>
      </c>
      <c r="O299">
        <f t="shared" si="44"/>
        <v>0</v>
      </c>
      <c r="P299">
        <v>0.22031648073005772</v>
      </c>
      <c r="Q299">
        <f t="shared" si="45"/>
        <v>0</v>
      </c>
      <c r="R299">
        <f t="shared" si="46"/>
        <v>1</v>
      </c>
      <c r="S299">
        <f t="shared" si="47"/>
        <v>1</v>
      </c>
      <c r="T299">
        <f t="shared" si="48"/>
        <v>6529.9699999999993</v>
      </c>
      <c r="U299">
        <f t="shared" si="49"/>
        <v>-2179.4599999999991</v>
      </c>
    </row>
    <row r="300" spans="1:21" x14ac:dyDescent="0.3">
      <c r="A300">
        <v>299</v>
      </c>
      <c r="B300">
        <v>30</v>
      </c>
      <c r="C300" t="s">
        <v>16</v>
      </c>
      <c r="D300">
        <v>29.7</v>
      </c>
      <c r="E300">
        <v>93</v>
      </c>
      <c r="F300" t="s">
        <v>12</v>
      </c>
      <c r="G300">
        <v>0</v>
      </c>
      <c r="H300" t="s">
        <v>12</v>
      </c>
      <c r="I300" t="s">
        <v>14</v>
      </c>
      <c r="J300">
        <v>4357.04</v>
      </c>
      <c r="K300" t="str">
        <f t="shared" si="40"/>
        <v>25-30</v>
      </c>
      <c r="L300">
        <f t="shared" si="41"/>
        <v>0</v>
      </c>
      <c r="M300">
        <f t="shared" si="42"/>
        <v>0</v>
      </c>
      <c r="N300">
        <f t="shared" si="43"/>
        <v>0</v>
      </c>
      <c r="O300">
        <f t="shared" si="44"/>
        <v>1</v>
      </c>
      <c r="P300">
        <v>0.39534890039061854</v>
      </c>
      <c r="Q300">
        <f t="shared" si="45"/>
        <v>0</v>
      </c>
      <c r="R300">
        <f t="shared" si="46"/>
        <v>0</v>
      </c>
      <c r="S300">
        <f t="shared" si="47"/>
        <v>1</v>
      </c>
      <c r="T300">
        <f t="shared" si="48"/>
        <v>7562.02</v>
      </c>
      <c r="U300">
        <f t="shared" si="49"/>
        <v>-3204.9800000000005</v>
      </c>
    </row>
    <row r="301" spans="1:21" x14ac:dyDescent="0.3">
      <c r="A301">
        <v>300</v>
      </c>
      <c r="B301">
        <v>31</v>
      </c>
      <c r="C301" t="s">
        <v>16</v>
      </c>
      <c r="D301">
        <v>24.3</v>
      </c>
      <c r="E301">
        <v>90</v>
      </c>
      <c r="F301" t="s">
        <v>11</v>
      </c>
      <c r="G301">
        <v>3</v>
      </c>
      <c r="H301" t="s">
        <v>12</v>
      </c>
      <c r="I301" t="s">
        <v>15</v>
      </c>
      <c r="J301">
        <v>4391.6499999999996</v>
      </c>
      <c r="K301" t="str">
        <f t="shared" si="40"/>
        <v>20-25</v>
      </c>
      <c r="L301">
        <f t="shared" si="41"/>
        <v>0</v>
      </c>
      <c r="M301">
        <f t="shared" si="42"/>
        <v>0</v>
      </c>
      <c r="N301">
        <f t="shared" si="43"/>
        <v>1</v>
      </c>
      <c r="O301">
        <f t="shared" si="44"/>
        <v>0</v>
      </c>
      <c r="P301">
        <v>0.58617680468837396</v>
      </c>
      <c r="Q301">
        <f t="shared" si="45"/>
        <v>0</v>
      </c>
      <c r="R301">
        <f t="shared" si="46"/>
        <v>1</v>
      </c>
      <c r="S301">
        <f t="shared" si="47"/>
        <v>1</v>
      </c>
      <c r="T301">
        <f t="shared" si="48"/>
        <v>8757.8600000000024</v>
      </c>
      <c r="U301">
        <f t="shared" si="49"/>
        <v>-4366.2100000000028</v>
      </c>
    </row>
    <row r="302" spans="1:21" x14ac:dyDescent="0.3">
      <c r="A302">
        <v>301</v>
      </c>
      <c r="B302">
        <v>37</v>
      </c>
      <c r="C302" t="s">
        <v>10</v>
      </c>
      <c r="D302">
        <v>29.7</v>
      </c>
      <c r="E302">
        <v>81</v>
      </c>
      <c r="F302" t="s">
        <v>12</v>
      </c>
      <c r="G302">
        <v>0</v>
      </c>
      <c r="H302" t="s">
        <v>12</v>
      </c>
      <c r="I302" t="s">
        <v>13</v>
      </c>
      <c r="J302">
        <v>4399.7299999999996</v>
      </c>
      <c r="K302" t="str">
        <f t="shared" si="40"/>
        <v>25-30</v>
      </c>
      <c r="L302">
        <f t="shared" si="41"/>
        <v>0</v>
      </c>
      <c r="M302">
        <f t="shared" si="42"/>
        <v>1</v>
      </c>
      <c r="N302">
        <f t="shared" si="43"/>
        <v>0</v>
      </c>
      <c r="O302">
        <f t="shared" si="44"/>
        <v>0</v>
      </c>
      <c r="P302">
        <v>0.73509751257151978</v>
      </c>
      <c r="Q302">
        <f t="shared" si="45"/>
        <v>0</v>
      </c>
      <c r="R302">
        <f t="shared" si="46"/>
        <v>0</v>
      </c>
      <c r="S302">
        <f t="shared" si="47"/>
        <v>0</v>
      </c>
      <c r="T302">
        <f t="shared" si="48"/>
        <v>4496.340000000002</v>
      </c>
      <c r="U302">
        <f t="shared" si="49"/>
        <v>-96.610000000002401</v>
      </c>
    </row>
    <row r="303" spans="1:21" x14ac:dyDescent="0.3">
      <c r="A303">
        <v>302</v>
      </c>
      <c r="B303">
        <v>26</v>
      </c>
      <c r="C303" t="s">
        <v>10</v>
      </c>
      <c r="D303">
        <v>31.5</v>
      </c>
      <c r="E303">
        <v>88</v>
      </c>
      <c r="F303" t="s">
        <v>11</v>
      </c>
      <c r="G303">
        <v>0</v>
      </c>
      <c r="H303" t="s">
        <v>12</v>
      </c>
      <c r="I303" t="s">
        <v>15</v>
      </c>
      <c r="J303">
        <v>4402.2299999999996</v>
      </c>
      <c r="K303" t="str">
        <f t="shared" si="40"/>
        <v>30-35</v>
      </c>
      <c r="L303">
        <f t="shared" si="41"/>
        <v>0</v>
      </c>
      <c r="M303">
        <f t="shared" si="42"/>
        <v>0</v>
      </c>
      <c r="N303">
        <f t="shared" si="43"/>
        <v>1</v>
      </c>
      <c r="O303">
        <f t="shared" si="44"/>
        <v>0</v>
      </c>
      <c r="P303">
        <v>0.91164143730089531</v>
      </c>
      <c r="Q303">
        <f t="shared" si="45"/>
        <v>0</v>
      </c>
      <c r="R303">
        <f t="shared" si="46"/>
        <v>1</v>
      </c>
      <c r="S303">
        <f t="shared" si="47"/>
        <v>0</v>
      </c>
      <c r="T303">
        <f t="shared" si="48"/>
        <v>6401.0099999999993</v>
      </c>
      <c r="U303">
        <f t="shared" si="49"/>
        <v>-1998.7799999999997</v>
      </c>
    </row>
    <row r="304" spans="1:21" x14ac:dyDescent="0.3">
      <c r="A304">
        <v>303</v>
      </c>
      <c r="B304">
        <v>41</v>
      </c>
      <c r="C304" t="s">
        <v>16</v>
      </c>
      <c r="D304">
        <v>27.7</v>
      </c>
      <c r="E304">
        <v>92</v>
      </c>
      <c r="F304" t="s">
        <v>11</v>
      </c>
      <c r="G304">
        <v>0</v>
      </c>
      <c r="H304" t="s">
        <v>12</v>
      </c>
      <c r="I304" t="s">
        <v>13</v>
      </c>
      <c r="J304">
        <v>4415.16</v>
      </c>
      <c r="K304" t="str">
        <f t="shared" si="40"/>
        <v>25-30</v>
      </c>
      <c r="L304">
        <f t="shared" si="41"/>
        <v>0</v>
      </c>
      <c r="M304">
        <f t="shared" si="42"/>
        <v>1</v>
      </c>
      <c r="N304">
        <f t="shared" si="43"/>
        <v>0</v>
      </c>
      <c r="O304">
        <f t="shared" si="44"/>
        <v>0</v>
      </c>
      <c r="P304">
        <v>0.67173875675972694</v>
      </c>
      <c r="Q304">
        <f t="shared" si="45"/>
        <v>0</v>
      </c>
      <c r="R304">
        <f t="shared" si="46"/>
        <v>1</v>
      </c>
      <c r="S304">
        <f t="shared" si="47"/>
        <v>1</v>
      </c>
      <c r="T304">
        <f t="shared" si="48"/>
        <v>6451.6</v>
      </c>
      <c r="U304">
        <f t="shared" si="49"/>
        <v>-2036.4400000000005</v>
      </c>
    </row>
    <row r="305" spans="1:21" x14ac:dyDescent="0.3">
      <c r="A305">
        <v>304</v>
      </c>
      <c r="B305">
        <v>46</v>
      </c>
      <c r="C305" t="s">
        <v>10</v>
      </c>
      <c r="D305">
        <v>22.5</v>
      </c>
      <c r="E305">
        <v>88</v>
      </c>
      <c r="F305" t="s">
        <v>11</v>
      </c>
      <c r="G305">
        <v>2</v>
      </c>
      <c r="H305" t="s">
        <v>12</v>
      </c>
      <c r="I305" t="s">
        <v>13</v>
      </c>
      <c r="J305">
        <v>4428.8900000000003</v>
      </c>
      <c r="K305" t="str">
        <f t="shared" si="40"/>
        <v>20-25</v>
      </c>
      <c r="L305">
        <f t="shared" si="41"/>
        <v>0</v>
      </c>
      <c r="M305">
        <f t="shared" si="42"/>
        <v>1</v>
      </c>
      <c r="N305">
        <f t="shared" si="43"/>
        <v>0</v>
      </c>
      <c r="O305">
        <f t="shared" si="44"/>
        <v>0</v>
      </c>
      <c r="P305">
        <v>0.26567897057492373</v>
      </c>
      <c r="Q305">
        <f t="shared" si="45"/>
        <v>0</v>
      </c>
      <c r="R305">
        <f t="shared" si="46"/>
        <v>1</v>
      </c>
      <c r="S305">
        <f t="shared" si="47"/>
        <v>0</v>
      </c>
      <c r="T305">
        <f t="shared" si="48"/>
        <v>6393.7699999999995</v>
      </c>
      <c r="U305">
        <f t="shared" si="49"/>
        <v>-1964.8799999999992</v>
      </c>
    </row>
    <row r="306" spans="1:21" x14ac:dyDescent="0.3">
      <c r="A306">
        <v>305</v>
      </c>
      <c r="B306">
        <v>32</v>
      </c>
      <c r="C306" t="s">
        <v>10</v>
      </c>
      <c r="D306">
        <v>31.7</v>
      </c>
      <c r="E306">
        <v>83</v>
      </c>
      <c r="F306" t="s">
        <v>11</v>
      </c>
      <c r="G306">
        <v>2</v>
      </c>
      <c r="H306" t="s">
        <v>12</v>
      </c>
      <c r="I306" t="s">
        <v>14</v>
      </c>
      <c r="J306">
        <v>4433.3900000000003</v>
      </c>
      <c r="K306" t="str">
        <f t="shared" si="40"/>
        <v>30-35</v>
      </c>
      <c r="L306">
        <f t="shared" si="41"/>
        <v>0</v>
      </c>
      <c r="M306">
        <f t="shared" si="42"/>
        <v>0</v>
      </c>
      <c r="N306">
        <f t="shared" si="43"/>
        <v>0</v>
      </c>
      <c r="O306">
        <f t="shared" si="44"/>
        <v>1</v>
      </c>
      <c r="P306">
        <v>0.31971687612859923</v>
      </c>
      <c r="Q306">
        <f t="shared" si="45"/>
        <v>0</v>
      </c>
      <c r="R306">
        <f t="shared" si="46"/>
        <v>1</v>
      </c>
      <c r="S306">
        <f t="shared" si="47"/>
        <v>0</v>
      </c>
      <c r="T306">
        <f t="shared" si="48"/>
        <v>7097.0300000000007</v>
      </c>
      <c r="U306">
        <f t="shared" si="49"/>
        <v>-2663.6400000000003</v>
      </c>
    </row>
    <row r="307" spans="1:21" x14ac:dyDescent="0.3">
      <c r="A307">
        <v>306</v>
      </c>
      <c r="B307">
        <v>34</v>
      </c>
      <c r="C307" t="s">
        <v>10</v>
      </c>
      <c r="D307">
        <v>32.1</v>
      </c>
      <c r="E307">
        <v>83</v>
      </c>
      <c r="F307" t="s">
        <v>11</v>
      </c>
      <c r="G307">
        <v>2</v>
      </c>
      <c r="H307" t="s">
        <v>12</v>
      </c>
      <c r="I307" t="s">
        <v>14</v>
      </c>
      <c r="J307">
        <v>4433.92</v>
      </c>
      <c r="K307" t="str">
        <f t="shared" si="40"/>
        <v>30-35</v>
      </c>
      <c r="L307">
        <f t="shared" si="41"/>
        <v>0</v>
      </c>
      <c r="M307">
        <f t="shared" si="42"/>
        <v>0</v>
      </c>
      <c r="N307">
        <f t="shared" si="43"/>
        <v>0</v>
      </c>
      <c r="O307">
        <f t="shared" si="44"/>
        <v>1</v>
      </c>
      <c r="P307">
        <v>0.57070905595009336</v>
      </c>
      <c r="Q307">
        <f t="shared" si="45"/>
        <v>0</v>
      </c>
      <c r="R307">
        <f t="shared" si="46"/>
        <v>1</v>
      </c>
      <c r="S307">
        <f t="shared" si="47"/>
        <v>0</v>
      </c>
      <c r="T307">
        <f t="shared" si="48"/>
        <v>7128.67</v>
      </c>
      <c r="U307">
        <f t="shared" si="49"/>
        <v>-2694.75</v>
      </c>
    </row>
    <row r="308" spans="1:21" x14ac:dyDescent="0.3">
      <c r="A308">
        <v>307</v>
      </c>
      <c r="B308">
        <v>44</v>
      </c>
      <c r="C308" t="s">
        <v>10</v>
      </c>
      <c r="D308">
        <v>27</v>
      </c>
      <c r="E308">
        <v>100</v>
      </c>
      <c r="F308" t="s">
        <v>11</v>
      </c>
      <c r="G308">
        <v>2</v>
      </c>
      <c r="H308" t="s">
        <v>12</v>
      </c>
      <c r="I308" t="s">
        <v>13</v>
      </c>
      <c r="J308">
        <v>4435.09</v>
      </c>
      <c r="K308" t="str">
        <f t="shared" si="40"/>
        <v>25-30</v>
      </c>
      <c r="L308">
        <f t="shared" si="41"/>
        <v>0</v>
      </c>
      <c r="M308">
        <f t="shared" si="42"/>
        <v>1</v>
      </c>
      <c r="N308">
        <f t="shared" si="43"/>
        <v>0</v>
      </c>
      <c r="O308">
        <f t="shared" si="44"/>
        <v>0</v>
      </c>
      <c r="P308">
        <v>0.20239586079948613</v>
      </c>
      <c r="Q308">
        <f t="shared" si="45"/>
        <v>0</v>
      </c>
      <c r="R308">
        <f t="shared" si="46"/>
        <v>1</v>
      </c>
      <c r="S308">
        <f t="shared" si="47"/>
        <v>0</v>
      </c>
      <c r="T308">
        <f t="shared" si="48"/>
        <v>8696.1600000000017</v>
      </c>
      <c r="U308">
        <f t="shared" si="49"/>
        <v>-4261.0700000000015</v>
      </c>
    </row>
    <row r="309" spans="1:21" x14ac:dyDescent="0.3">
      <c r="A309">
        <v>308</v>
      </c>
      <c r="B309">
        <v>46</v>
      </c>
      <c r="C309" t="s">
        <v>10</v>
      </c>
      <c r="D309">
        <v>29.3</v>
      </c>
      <c r="E309">
        <v>80</v>
      </c>
      <c r="F309" t="s">
        <v>11</v>
      </c>
      <c r="G309">
        <v>2</v>
      </c>
      <c r="H309" t="s">
        <v>12</v>
      </c>
      <c r="I309" t="s">
        <v>13</v>
      </c>
      <c r="J309">
        <v>4438.26</v>
      </c>
      <c r="K309" t="str">
        <f t="shared" si="40"/>
        <v>25-30</v>
      </c>
      <c r="L309">
        <f t="shared" si="41"/>
        <v>0</v>
      </c>
      <c r="M309">
        <f t="shared" si="42"/>
        <v>1</v>
      </c>
      <c r="N309">
        <f t="shared" si="43"/>
        <v>0</v>
      </c>
      <c r="O309">
        <f t="shared" si="44"/>
        <v>0</v>
      </c>
      <c r="P309">
        <v>0.57161172965079188</v>
      </c>
      <c r="Q309">
        <f t="shared" si="45"/>
        <v>0</v>
      </c>
      <c r="R309">
        <f t="shared" si="46"/>
        <v>1</v>
      </c>
      <c r="S309">
        <f t="shared" si="47"/>
        <v>0</v>
      </c>
      <c r="T309">
        <f t="shared" si="48"/>
        <v>5698.45</v>
      </c>
      <c r="U309">
        <f t="shared" si="49"/>
        <v>-1260.1899999999996</v>
      </c>
    </row>
    <row r="310" spans="1:21" x14ac:dyDescent="0.3">
      <c r="A310">
        <v>309</v>
      </c>
      <c r="B310">
        <v>41</v>
      </c>
      <c r="C310" t="s">
        <v>10</v>
      </c>
      <c r="D310">
        <v>26.9</v>
      </c>
      <c r="E310">
        <v>90</v>
      </c>
      <c r="F310" t="s">
        <v>12</v>
      </c>
      <c r="G310">
        <v>1</v>
      </c>
      <c r="H310" t="s">
        <v>12</v>
      </c>
      <c r="I310" t="s">
        <v>13</v>
      </c>
      <c r="J310">
        <v>4441.21</v>
      </c>
      <c r="K310" t="str">
        <f t="shared" si="40"/>
        <v>25-30</v>
      </c>
      <c r="L310">
        <f t="shared" si="41"/>
        <v>0</v>
      </c>
      <c r="M310">
        <f t="shared" si="42"/>
        <v>1</v>
      </c>
      <c r="N310">
        <f t="shared" si="43"/>
        <v>0</v>
      </c>
      <c r="O310">
        <f t="shared" si="44"/>
        <v>0</v>
      </c>
      <c r="P310">
        <v>0.73307053993498827</v>
      </c>
      <c r="Q310">
        <f t="shared" si="45"/>
        <v>0</v>
      </c>
      <c r="R310">
        <f t="shared" si="46"/>
        <v>0</v>
      </c>
      <c r="S310">
        <f t="shared" si="47"/>
        <v>0</v>
      </c>
      <c r="T310">
        <f t="shared" si="48"/>
        <v>6426.3700000000008</v>
      </c>
      <c r="U310">
        <f t="shared" si="49"/>
        <v>-1985.1600000000008</v>
      </c>
    </row>
    <row r="311" spans="1:21" x14ac:dyDescent="0.3">
      <c r="A311">
        <v>310</v>
      </c>
      <c r="B311">
        <v>32</v>
      </c>
      <c r="C311" t="s">
        <v>10</v>
      </c>
      <c r="D311">
        <v>33</v>
      </c>
      <c r="E311">
        <v>94</v>
      </c>
      <c r="F311" t="s">
        <v>11</v>
      </c>
      <c r="G311">
        <v>3</v>
      </c>
      <c r="H311" t="s">
        <v>12</v>
      </c>
      <c r="I311" t="s">
        <v>13</v>
      </c>
      <c r="J311">
        <v>4449.46</v>
      </c>
      <c r="K311" t="str">
        <f t="shared" si="40"/>
        <v>30-35</v>
      </c>
      <c r="L311">
        <f t="shared" si="41"/>
        <v>0</v>
      </c>
      <c r="M311">
        <f t="shared" si="42"/>
        <v>1</v>
      </c>
      <c r="N311">
        <f t="shared" si="43"/>
        <v>0</v>
      </c>
      <c r="O311">
        <f t="shared" si="44"/>
        <v>0</v>
      </c>
      <c r="P311">
        <v>0.7655249523131038</v>
      </c>
      <c r="Q311">
        <f t="shared" si="45"/>
        <v>0</v>
      </c>
      <c r="R311">
        <f t="shared" si="46"/>
        <v>1</v>
      </c>
      <c r="S311">
        <f t="shared" si="47"/>
        <v>0</v>
      </c>
      <c r="T311">
        <f t="shared" si="48"/>
        <v>9005.220000000003</v>
      </c>
      <c r="U311">
        <f t="shared" si="49"/>
        <v>-4555.7600000000029</v>
      </c>
    </row>
    <row r="312" spans="1:21" x14ac:dyDescent="0.3">
      <c r="A312">
        <v>311</v>
      </c>
      <c r="B312">
        <v>43</v>
      </c>
      <c r="C312" t="s">
        <v>10</v>
      </c>
      <c r="D312">
        <v>27.8</v>
      </c>
      <c r="E312">
        <v>81</v>
      </c>
      <c r="F312" t="s">
        <v>12</v>
      </c>
      <c r="G312">
        <v>1</v>
      </c>
      <c r="H312" t="s">
        <v>12</v>
      </c>
      <c r="I312" t="s">
        <v>14</v>
      </c>
      <c r="J312">
        <v>4454.3999999999996</v>
      </c>
      <c r="K312" t="str">
        <f t="shared" si="40"/>
        <v>25-30</v>
      </c>
      <c r="L312">
        <f t="shared" si="41"/>
        <v>0</v>
      </c>
      <c r="M312">
        <f t="shared" si="42"/>
        <v>0</v>
      </c>
      <c r="N312">
        <f t="shared" si="43"/>
        <v>0</v>
      </c>
      <c r="O312">
        <f t="shared" si="44"/>
        <v>1</v>
      </c>
      <c r="P312">
        <v>0.30624309657682758</v>
      </c>
      <c r="Q312">
        <f t="shared" si="45"/>
        <v>0</v>
      </c>
      <c r="R312">
        <f t="shared" si="46"/>
        <v>0</v>
      </c>
      <c r="S312">
        <f t="shared" si="47"/>
        <v>0</v>
      </c>
      <c r="T312">
        <f t="shared" si="48"/>
        <v>5761.14</v>
      </c>
      <c r="U312">
        <f t="shared" si="49"/>
        <v>-1306.7400000000007</v>
      </c>
    </row>
    <row r="313" spans="1:21" x14ac:dyDescent="0.3">
      <c r="A313">
        <v>312</v>
      </c>
      <c r="B313">
        <v>37</v>
      </c>
      <c r="C313" t="s">
        <v>10</v>
      </c>
      <c r="D313">
        <v>33.799999999999997</v>
      </c>
      <c r="E313">
        <v>90</v>
      </c>
      <c r="F313" t="s">
        <v>12</v>
      </c>
      <c r="G313">
        <v>1</v>
      </c>
      <c r="H313" t="s">
        <v>12</v>
      </c>
      <c r="I313" t="s">
        <v>14</v>
      </c>
      <c r="J313">
        <v>4462.72</v>
      </c>
      <c r="K313" t="str">
        <f t="shared" si="40"/>
        <v>30-35</v>
      </c>
      <c r="L313">
        <f t="shared" si="41"/>
        <v>0</v>
      </c>
      <c r="M313">
        <f t="shared" si="42"/>
        <v>0</v>
      </c>
      <c r="N313">
        <f t="shared" si="43"/>
        <v>0</v>
      </c>
      <c r="O313">
        <f t="shared" si="44"/>
        <v>1</v>
      </c>
      <c r="P313">
        <v>0.34461493449137992</v>
      </c>
      <c r="Q313">
        <f t="shared" si="45"/>
        <v>0</v>
      </c>
      <c r="R313">
        <f t="shared" si="46"/>
        <v>0</v>
      </c>
      <c r="S313">
        <f t="shared" si="47"/>
        <v>0</v>
      </c>
      <c r="T313">
        <f t="shared" si="48"/>
        <v>7718.13</v>
      </c>
      <c r="U313">
        <f t="shared" si="49"/>
        <v>-3255.41</v>
      </c>
    </row>
    <row r="314" spans="1:21" x14ac:dyDescent="0.3">
      <c r="A314">
        <v>313</v>
      </c>
      <c r="B314">
        <v>21</v>
      </c>
      <c r="C314" t="s">
        <v>10</v>
      </c>
      <c r="D314">
        <v>38.4</v>
      </c>
      <c r="E314">
        <v>87</v>
      </c>
      <c r="F314" t="s">
        <v>11</v>
      </c>
      <c r="G314">
        <v>2</v>
      </c>
      <c r="H314" t="s">
        <v>12</v>
      </c>
      <c r="I314" t="s">
        <v>13</v>
      </c>
      <c r="J314">
        <v>4463.21</v>
      </c>
      <c r="K314" t="str">
        <f t="shared" si="40"/>
        <v>35+</v>
      </c>
      <c r="L314">
        <f t="shared" si="41"/>
        <v>0</v>
      </c>
      <c r="M314">
        <f t="shared" si="42"/>
        <v>1</v>
      </c>
      <c r="N314">
        <f t="shared" si="43"/>
        <v>0</v>
      </c>
      <c r="O314">
        <f t="shared" si="44"/>
        <v>0</v>
      </c>
      <c r="P314">
        <v>0.7521234703237879</v>
      </c>
      <c r="Q314">
        <f t="shared" si="45"/>
        <v>0</v>
      </c>
      <c r="R314">
        <f t="shared" si="46"/>
        <v>1</v>
      </c>
      <c r="S314">
        <f t="shared" si="47"/>
        <v>0</v>
      </c>
      <c r="T314">
        <f t="shared" si="48"/>
        <v>7625.63</v>
      </c>
      <c r="U314">
        <f t="shared" si="49"/>
        <v>-3162.42</v>
      </c>
    </row>
    <row r="315" spans="1:21" x14ac:dyDescent="0.3">
      <c r="A315">
        <v>314</v>
      </c>
      <c r="B315">
        <v>45</v>
      </c>
      <c r="C315" t="s">
        <v>16</v>
      </c>
      <c r="D315">
        <v>35</v>
      </c>
      <c r="E315">
        <v>91</v>
      </c>
      <c r="F315" t="s">
        <v>11</v>
      </c>
      <c r="G315">
        <v>3</v>
      </c>
      <c r="H315" t="s">
        <v>12</v>
      </c>
      <c r="I315" t="s">
        <v>14</v>
      </c>
      <c r="J315">
        <v>4466.62</v>
      </c>
      <c r="K315" t="str">
        <f t="shared" si="40"/>
        <v>35+</v>
      </c>
      <c r="L315">
        <f t="shared" si="41"/>
        <v>0</v>
      </c>
      <c r="M315">
        <f t="shared" si="42"/>
        <v>0</v>
      </c>
      <c r="N315">
        <f t="shared" si="43"/>
        <v>0</v>
      </c>
      <c r="O315">
        <f t="shared" si="44"/>
        <v>1</v>
      </c>
      <c r="P315">
        <v>0.34740694877686384</v>
      </c>
      <c r="Q315">
        <f t="shared" si="45"/>
        <v>0</v>
      </c>
      <c r="R315">
        <f t="shared" si="46"/>
        <v>1</v>
      </c>
      <c r="S315">
        <f t="shared" si="47"/>
        <v>1</v>
      </c>
      <c r="T315">
        <f t="shared" si="48"/>
        <v>9822.4500000000025</v>
      </c>
      <c r="U315">
        <f t="shared" si="49"/>
        <v>-5355.8300000000027</v>
      </c>
    </row>
    <row r="316" spans="1:21" x14ac:dyDescent="0.3">
      <c r="A316">
        <v>315</v>
      </c>
      <c r="B316">
        <v>36</v>
      </c>
      <c r="C316" t="s">
        <v>10</v>
      </c>
      <c r="D316">
        <v>21.4</v>
      </c>
      <c r="E316">
        <v>89</v>
      </c>
      <c r="F316" t="s">
        <v>12</v>
      </c>
      <c r="G316">
        <v>0</v>
      </c>
      <c r="H316" t="s">
        <v>12</v>
      </c>
      <c r="I316" t="s">
        <v>13</v>
      </c>
      <c r="J316">
        <v>4500.34</v>
      </c>
      <c r="K316" t="str">
        <f t="shared" si="40"/>
        <v>20-25</v>
      </c>
      <c r="L316">
        <f t="shared" si="41"/>
        <v>0</v>
      </c>
      <c r="M316">
        <f t="shared" si="42"/>
        <v>1</v>
      </c>
      <c r="N316">
        <f t="shared" si="43"/>
        <v>0</v>
      </c>
      <c r="O316">
        <f t="shared" si="44"/>
        <v>0</v>
      </c>
      <c r="P316">
        <v>0.14686094420276841</v>
      </c>
      <c r="Q316">
        <f t="shared" si="45"/>
        <v>0</v>
      </c>
      <c r="R316">
        <f t="shared" si="46"/>
        <v>0</v>
      </c>
      <c r="S316">
        <f t="shared" si="47"/>
        <v>0</v>
      </c>
      <c r="T316">
        <f t="shared" si="48"/>
        <v>5064.6900000000005</v>
      </c>
      <c r="U316">
        <f t="shared" si="49"/>
        <v>-564.35000000000036</v>
      </c>
    </row>
    <row r="317" spans="1:21" x14ac:dyDescent="0.3">
      <c r="A317">
        <v>316</v>
      </c>
      <c r="B317">
        <v>44</v>
      </c>
      <c r="C317" t="s">
        <v>10</v>
      </c>
      <c r="D317">
        <v>33.700000000000003</v>
      </c>
      <c r="E317">
        <v>96</v>
      </c>
      <c r="F317" t="s">
        <v>12</v>
      </c>
      <c r="G317">
        <v>4</v>
      </c>
      <c r="H317" t="s">
        <v>12</v>
      </c>
      <c r="I317" t="s">
        <v>13</v>
      </c>
      <c r="J317">
        <v>4504.66</v>
      </c>
      <c r="K317" t="str">
        <f t="shared" si="40"/>
        <v>30-35</v>
      </c>
      <c r="L317">
        <f t="shared" si="41"/>
        <v>0</v>
      </c>
      <c r="M317">
        <f t="shared" si="42"/>
        <v>1</v>
      </c>
      <c r="N317">
        <f t="shared" si="43"/>
        <v>0</v>
      </c>
      <c r="O317">
        <f t="shared" si="44"/>
        <v>0</v>
      </c>
      <c r="P317">
        <v>1.2629174748795213E-2</v>
      </c>
      <c r="Q317">
        <f t="shared" si="45"/>
        <v>0</v>
      </c>
      <c r="R317">
        <f t="shared" si="46"/>
        <v>0</v>
      </c>
      <c r="S317">
        <f t="shared" si="47"/>
        <v>0</v>
      </c>
      <c r="T317">
        <f t="shared" si="48"/>
        <v>10176.19</v>
      </c>
      <c r="U317">
        <f t="shared" si="49"/>
        <v>-5671.5300000000007</v>
      </c>
    </row>
    <row r="318" spans="1:21" x14ac:dyDescent="0.3">
      <c r="A318">
        <v>317</v>
      </c>
      <c r="B318">
        <v>35</v>
      </c>
      <c r="C318" t="s">
        <v>10</v>
      </c>
      <c r="D318">
        <v>34.700000000000003</v>
      </c>
      <c r="E318">
        <v>83</v>
      </c>
      <c r="F318" t="s">
        <v>11</v>
      </c>
      <c r="G318">
        <v>0</v>
      </c>
      <c r="H318" t="s">
        <v>12</v>
      </c>
      <c r="I318" t="s">
        <v>13</v>
      </c>
      <c r="J318">
        <v>4518.83</v>
      </c>
      <c r="K318" t="str">
        <f t="shared" si="40"/>
        <v>30-35</v>
      </c>
      <c r="L318">
        <f t="shared" si="41"/>
        <v>0</v>
      </c>
      <c r="M318">
        <f t="shared" si="42"/>
        <v>1</v>
      </c>
      <c r="N318">
        <f t="shared" si="43"/>
        <v>0</v>
      </c>
      <c r="O318">
        <f t="shared" si="44"/>
        <v>0</v>
      </c>
      <c r="P318">
        <v>0.31134271747985687</v>
      </c>
      <c r="Q318">
        <f t="shared" si="45"/>
        <v>0</v>
      </c>
      <c r="R318">
        <f t="shared" si="46"/>
        <v>1</v>
      </c>
      <c r="S318">
        <f t="shared" si="47"/>
        <v>0</v>
      </c>
      <c r="T318">
        <f t="shared" si="48"/>
        <v>5176.5200000000013</v>
      </c>
      <c r="U318">
        <f t="shared" si="49"/>
        <v>-657.69000000000142</v>
      </c>
    </row>
    <row r="319" spans="1:21" x14ac:dyDescent="0.3">
      <c r="A319">
        <v>318</v>
      </c>
      <c r="B319">
        <v>51</v>
      </c>
      <c r="C319" t="s">
        <v>16</v>
      </c>
      <c r="D319">
        <v>28.4</v>
      </c>
      <c r="E319">
        <v>93</v>
      </c>
      <c r="F319" t="s">
        <v>12</v>
      </c>
      <c r="G319">
        <v>1</v>
      </c>
      <c r="H319" t="s">
        <v>12</v>
      </c>
      <c r="I319" t="s">
        <v>14</v>
      </c>
      <c r="J319">
        <v>4527.18</v>
      </c>
      <c r="K319" t="str">
        <f t="shared" si="40"/>
        <v>25-30</v>
      </c>
      <c r="L319">
        <f t="shared" si="41"/>
        <v>0</v>
      </c>
      <c r="M319">
        <f t="shared" si="42"/>
        <v>0</v>
      </c>
      <c r="N319">
        <f t="shared" si="43"/>
        <v>0</v>
      </c>
      <c r="O319">
        <f t="shared" si="44"/>
        <v>1</v>
      </c>
      <c r="P319">
        <v>0.45837233120448362</v>
      </c>
      <c r="Q319">
        <f t="shared" si="45"/>
        <v>0</v>
      </c>
      <c r="R319">
        <f t="shared" si="46"/>
        <v>0</v>
      </c>
      <c r="S319">
        <f t="shared" si="47"/>
        <v>1</v>
      </c>
      <c r="T319">
        <f t="shared" si="48"/>
        <v>8162.23</v>
      </c>
      <c r="U319">
        <f t="shared" si="49"/>
        <v>-3635.0499999999993</v>
      </c>
    </row>
    <row r="320" spans="1:21" x14ac:dyDescent="0.3">
      <c r="A320">
        <v>319</v>
      </c>
      <c r="B320">
        <v>47</v>
      </c>
      <c r="C320" t="s">
        <v>16</v>
      </c>
      <c r="D320">
        <v>24.6</v>
      </c>
      <c r="E320">
        <v>90</v>
      </c>
      <c r="F320" t="s">
        <v>11</v>
      </c>
      <c r="G320">
        <v>2</v>
      </c>
      <c r="H320" t="s">
        <v>12</v>
      </c>
      <c r="I320" t="s">
        <v>15</v>
      </c>
      <c r="J320">
        <v>4529.4799999999996</v>
      </c>
      <c r="K320" t="str">
        <f t="shared" si="40"/>
        <v>20-25</v>
      </c>
      <c r="L320">
        <f t="shared" si="41"/>
        <v>0</v>
      </c>
      <c r="M320">
        <f t="shared" si="42"/>
        <v>0</v>
      </c>
      <c r="N320">
        <f t="shared" si="43"/>
        <v>1</v>
      </c>
      <c r="O320">
        <f t="shared" si="44"/>
        <v>0</v>
      </c>
      <c r="P320">
        <v>0.8777761116132945</v>
      </c>
      <c r="Q320">
        <f t="shared" si="45"/>
        <v>0</v>
      </c>
      <c r="R320">
        <f t="shared" si="46"/>
        <v>1</v>
      </c>
      <c r="S320">
        <f t="shared" si="47"/>
        <v>1</v>
      </c>
      <c r="T320">
        <f t="shared" si="48"/>
        <v>8024.7899999999991</v>
      </c>
      <c r="U320">
        <f t="shared" si="49"/>
        <v>-3495.3099999999995</v>
      </c>
    </row>
    <row r="321" spans="1:21" x14ac:dyDescent="0.3">
      <c r="A321">
        <v>320</v>
      </c>
      <c r="B321">
        <v>26</v>
      </c>
      <c r="C321" t="s">
        <v>10</v>
      </c>
      <c r="D321">
        <v>42.9</v>
      </c>
      <c r="E321">
        <v>95</v>
      </c>
      <c r="F321" t="s">
        <v>11</v>
      </c>
      <c r="G321">
        <v>1</v>
      </c>
      <c r="H321" t="s">
        <v>12</v>
      </c>
      <c r="I321" t="s">
        <v>15</v>
      </c>
      <c r="J321">
        <v>4536.26</v>
      </c>
      <c r="K321" t="str">
        <f t="shared" si="40"/>
        <v>35+</v>
      </c>
      <c r="L321">
        <f t="shared" si="41"/>
        <v>0</v>
      </c>
      <c r="M321">
        <f t="shared" si="42"/>
        <v>0</v>
      </c>
      <c r="N321">
        <f t="shared" si="43"/>
        <v>1</v>
      </c>
      <c r="O321">
        <f t="shared" si="44"/>
        <v>0</v>
      </c>
      <c r="P321">
        <v>0.21099773656010767</v>
      </c>
      <c r="Q321">
        <f t="shared" si="45"/>
        <v>0</v>
      </c>
      <c r="R321">
        <f t="shared" si="46"/>
        <v>1</v>
      </c>
      <c r="S321">
        <f t="shared" si="47"/>
        <v>0</v>
      </c>
      <c r="T321">
        <f t="shared" si="48"/>
        <v>9231.08</v>
      </c>
      <c r="U321">
        <f t="shared" si="49"/>
        <v>-4694.82</v>
      </c>
    </row>
    <row r="322" spans="1:21" x14ac:dyDescent="0.3">
      <c r="A322">
        <v>321</v>
      </c>
      <c r="B322">
        <v>50</v>
      </c>
      <c r="C322" t="s">
        <v>16</v>
      </c>
      <c r="D322">
        <v>20.5</v>
      </c>
      <c r="E322">
        <v>89</v>
      </c>
      <c r="F322" t="s">
        <v>11</v>
      </c>
      <c r="G322">
        <v>0</v>
      </c>
      <c r="H322" t="s">
        <v>12</v>
      </c>
      <c r="I322" t="s">
        <v>13</v>
      </c>
      <c r="J322">
        <v>4544.2299999999996</v>
      </c>
      <c r="K322" t="str">
        <f t="shared" si="40"/>
        <v>20-25</v>
      </c>
      <c r="L322">
        <f t="shared" si="41"/>
        <v>0</v>
      </c>
      <c r="M322">
        <f t="shared" si="42"/>
        <v>1</v>
      </c>
      <c r="N322">
        <f t="shared" si="43"/>
        <v>0</v>
      </c>
      <c r="O322">
        <f t="shared" si="44"/>
        <v>0</v>
      </c>
      <c r="P322">
        <v>0.89201652341423243</v>
      </c>
      <c r="Q322">
        <f t="shared" si="45"/>
        <v>0</v>
      </c>
      <c r="R322">
        <f t="shared" si="46"/>
        <v>1</v>
      </c>
      <c r="S322">
        <f t="shared" si="47"/>
        <v>1</v>
      </c>
      <c r="T322">
        <f t="shared" si="48"/>
        <v>5345.7099999999991</v>
      </c>
      <c r="U322">
        <f t="shared" si="49"/>
        <v>-801.47999999999956</v>
      </c>
    </row>
    <row r="323" spans="1:21" x14ac:dyDescent="0.3">
      <c r="A323">
        <v>322</v>
      </c>
      <c r="B323">
        <v>43</v>
      </c>
      <c r="C323" t="s">
        <v>16</v>
      </c>
      <c r="D323">
        <v>31.4</v>
      </c>
      <c r="E323">
        <v>99</v>
      </c>
      <c r="F323" t="s">
        <v>12</v>
      </c>
      <c r="G323">
        <v>4</v>
      </c>
      <c r="H323" t="s">
        <v>12</v>
      </c>
      <c r="I323" t="s">
        <v>13</v>
      </c>
      <c r="J323">
        <v>4561.1899999999996</v>
      </c>
      <c r="K323" t="str">
        <f t="shared" ref="K323:K386" si="50">IF(D323&lt;20, "&lt;20", IF(D323&lt;25, "20-25", IF(D323&lt;30, "25-30", IF(D323&lt;35, "30-35", "35+"))))</f>
        <v>30-35</v>
      </c>
      <c r="L323">
        <f t="shared" ref="L323:L386" si="51">D323*Q323</f>
        <v>0</v>
      </c>
      <c r="M323">
        <f t="shared" ref="M323:M386" si="52">IF(I323="southeast", 1, 0)</f>
        <v>1</v>
      </c>
      <c r="N323">
        <f t="shared" ref="N323:N386" si="53">IF(I323="southwest", 1, 0)</f>
        <v>0</v>
      </c>
      <c r="O323">
        <f t="shared" ref="O323:O386" si="54">IF(I323="northwest", 1, 0)</f>
        <v>0</v>
      </c>
      <c r="P323">
        <v>3.3149116472621754E-2</v>
      </c>
      <c r="Q323">
        <f t="shared" ref="Q323:Q386" si="55">IF(H323="Yes", 1, 0)</f>
        <v>0</v>
      </c>
      <c r="R323">
        <f t="shared" ref="R323:R386" si="56">IF(F323="yes", 1, 0)</f>
        <v>0</v>
      </c>
      <c r="S323">
        <f t="shared" ref="S323:S386" si="57">IF(C323="female", 1, 0)</f>
        <v>1</v>
      </c>
      <c r="T323">
        <f t="shared" ref="T323:T386" si="58">-7277.71 + (-1.28*B323) + (85.5*D323) + (738.24*G323) + (159.59*E323) + (1259.19*L323) + (-3644.73*M323) + (-2956.11*N323) + (-2948.04*O323) + (-17828.85*Q323) + (-69.06*R323) + (444.95*S323)</f>
        <v>10904.54</v>
      </c>
      <c r="U323">
        <f t="shared" ref="U323:U386" si="59">J323-T323</f>
        <v>-6343.3500000000013</v>
      </c>
    </row>
    <row r="324" spans="1:21" x14ac:dyDescent="0.3">
      <c r="A324">
        <v>323</v>
      </c>
      <c r="B324">
        <v>55</v>
      </c>
      <c r="C324" t="s">
        <v>16</v>
      </c>
      <c r="D324">
        <v>29.6</v>
      </c>
      <c r="E324">
        <v>93</v>
      </c>
      <c r="F324" t="s">
        <v>11</v>
      </c>
      <c r="G324">
        <v>1</v>
      </c>
      <c r="H324" t="s">
        <v>12</v>
      </c>
      <c r="I324" t="s">
        <v>13</v>
      </c>
      <c r="J324">
        <v>4562.84</v>
      </c>
      <c r="K324" t="str">
        <f t="shared" si="50"/>
        <v>25-30</v>
      </c>
      <c r="L324">
        <f t="shared" si="51"/>
        <v>0</v>
      </c>
      <c r="M324">
        <f t="shared" si="52"/>
        <v>1</v>
      </c>
      <c r="N324">
        <f t="shared" si="53"/>
        <v>0</v>
      </c>
      <c r="O324">
        <f t="shared" si="54"/>
        <v>0</v>
      </c>
      <c r="P324">
        <v>0.83621582314489806</v>
      </c>
      <c r="Q324">
        <f t="shared" si="55"/>
        <v>0</v>
      </c>
      <c r="R324">
        <f t="shared" si="56"/>
        <v>1</v>
      </c>
      <c r="S324">
        <f t="shared" si="57"/>
        <v>1</v>
      </c>
      <c r="T324">
        <f t="shared" si="58"/>
        <v>7493.9600000000009</v>
      </c>
      <c r="U324">
        <f t="shared" si="59"/>
        <v>-2931.1200000000008</v>
      </c>
    </row>
    <row r="325" spans="1:21" x14ac:dyDescent="0.3">
      <c r="A325">
        <v>324</v>
      </c>
      <c r="B325">
        <v>26</v>
      </c>
      <c r="C325" t="s">
        <v>16</v>
      </c>
      <c r="D325">
        <v>29.4</v>
      </c>
      <c r="E325">
        <v>96</v>
      </c>
      <c r="F325" t="s">
        <v>11</v>
      </c>
      <c r="G325">
        <v>2</v>
      </c>
      <c r="H325" t="s">
        <v>12</v>
      </c>
      <c r="I325" t="s">
        <v>13</v>
      </c>
      <c r="J325">
        <v>4564.1899999999996</v>
      </c>
      <c r="K325" t="str">
        <f t="shared" si="50"/>
        <v>25-30</v>
      </c>
      <c r="L325">
        <f t="shared" si="51"/>
        <v>0</v>
      </c>
      <c r="M325">
        <f t="shared" si="52"/>
        <v>1</v>
      </c>
      <c r="N325">
        <f t="shared" si="53"/>
        <v>0</v>
      </c>
      <c r="O325">
        <f t="shared" si="54"/>
        <v>0</v>
      </c>
      <c r="P325">
        <v>0.92953637685667856</v>
      </c>
      <c r="Q325">
        <f t="shared" si="55"/>
        <v>0</v>
      </c>
      <c r="R325">
        <f t="shared" si="56"/>
        <v>1</v>
      </c>
      <c r="S325">
        <f t="shared" si="57"/>
        <v>1</v>
      </c>
      <c r="T325">
        <f t="shared" si="58"/>
        <v>8730.9900000000016</v>
      </c>
      <c r="U325">
        <f t="shared" si="59"/>
        <v>-4166.800000000002</v>
      </c>
    </row>
    <row r="326" spans="1:21" x14ac:dyDescent="0.3">
      <c r="A326">
        <v>325</v>
      </c>
      <c r="B326">
        <v>60</v>
      </c>
      <c r="C326" t="s">
        <v>16</v>
      </c>
      <c r="D326">
        <v>26.7</v>
      </c>
      <c r="E326">
        <v>94</v>
      </c>
      <c r="F326" t="s">
        <v>12</v>
      </c>
      <c r="G326">
        <v>0</v>
      </c>
      <c r="H326" t="s">
        <v>12</v>
      </c>
      <c r="I326" t="s">
        <v>14</v>
      </c>
      <c r="J326">
        <v>4571.41</v>
      </c>
      <c r="K326" t="str">
        <f t="shared" si="50"/>
        <v>25-30</v>
      </c>
      <c r="L326">
        <f t="shared" si="51"/>
        <v>0</v>
      </c>
      <c r="M326">
        <f t="shared" si="52"/>
        <v>0</v>
      </c>
      <c r="N326">
        <f t="shared" si="53"/>
        <v>0</v>
      </c>
      <c r="O326">
        <f t="shared" si="54"/>
        <v>1</v>
      </c>
      <c r="P326">
        <v>0.94096483272969667</v>
      </c>
      <c r="Q326">
        <f t="shared" si="55"/>
        <v>0</v>
      </c>
      <c r="R326">
        <f t="shared" si="56"/>
        <v>0</v>
      </c>
      <c r="S326">
        <f t="shared" si="57"/>
        <v>1</v>
      </c>
      <c r="T326">
        <f t="shared" si="58"/>
        <v>7426.7100000000009</v>
      </c>
      <c r="U326">
        <f t="shared" si="59"/>
        <v>-2855.3000000000011</v>
      </c>
    </row>
    <row r="327" spans="1:21" x14ac:dyDescent="0.3">
      <c r="A327">
        <v>326</v>
      </c>
      <c r="B327">
        <v>31</v>
      </c>
      <c r="C327" t="s">
        <v>16</v>
      </c>
      <c r="D327">
        <v>30.2</v>
      </c>
      <c r="E327">
        <v>83</v>
      </c>
      <c r="F327" t="s">
        <v>12</v>
      </c>
      <c r="G327">
        <v>3</v>
      </c>
      <c r="H327" t="s">
        <v>12</v>
      </c>
      <c r="I327" t="s">
        <v>14</v>
      </c>
      <c r="J327">
        <v>4618.08</v>
      </c>
      <c r="K327" t="str">
        <f t="shared" si="50"/>
        <v>30-35</v>
      </c>
      <c r="L327">
        <f t="shared" si="51"/>
        <v>0</v>
      </c>
      <c r="M327">
        <f t="shared" si="52"/>
        <v>0</v>
      </c>
      <c r="N327">
        <f t="shared" si="53"/>
        <v>0</v>
      </c>
      <c r="O327">
        <f t="shared" si="54"/>
        <v>1</v>
      </c>
      <c r="P327">
        <v>0.12066835867797177</v>
      </c>
      <c r="Q327">
        <f t="shared" si="55"/>
        <v>0</v>
      </c>
      <c r="R327">
        <f t="shared" si="56"/>
        <v>0</v>
      </c>
      <c r="S327">
        <f t="shared" si="57"/>
        <v>1</v>
      </c>
      <c r="T327">
        <f t="shared" si="58"/>
        <v>8222.3100000000013</v>
      </c>
      <c r="U327">
        <f t="shared" si="59"/>
        <v>-3604.2300000000014</v>
      </c>
    </row>
    <row r="328" spans="1:21" x14ac:dyDescent="0.3">
      <c r="A328">
        <v>327</v>
      </c>
      <c r="B328">
        <v>18</v>
      </c>
      <c r="C328" t="s">
        <v>10</v>
      </c>
      <c r="D328">
        <v>30.8</v>
      </c>
      <c r="E328">
        <v>97</v>
      </c>
      <c r="F328" t="s">
        <v>11</v>
      </c>
      <c r="G328">
        <v>0</v>
      </c>
      <c r="H328" t="s">
        <v>12</v>
      </c>
      <c r="I328" t="s">
        <v>15</v>
      </c>
      <c r="J328">
        <v>4646.76</v>
      </c>
      <c r="K328" t="str">
        <f t="shared" si="50"/>
        <v>30-35</v>
      </c>
      <c r="L328">
        <f t="shared" si="51"/>
        <v>0</v>
      </c>
      <c r="M328">
        <f t="shared" si="52"/>
        <v>0</v>
      </c>
      <c r="N328">
        <f t="shared" si="53"/>
        <v>1</v>
      </c>
      <c r="O328">
        <f t="shared" si="54"/>
        <v>0</v>
      </c>
      <c r="P328">
        <v>0.32602663748153105</v>
      </c>
      <c r="Q328">
        <f t="shared" si="55"/>
        <v>0</v>
      </c>
      <c r="R328">
        <f t="shared" si="56"/>
        <v>1</v>
      </c>
      <c r="S328">
        <f t="shared" si="57"/>
        <v>0</v>
      </c>
      <c r="T328">
        <f t="shared" si="58"/>
        <v>7787.7099999999982</v>
      </c>
      <c r="U328">
        <f t="shared" si="59"/>
        <v>-3140.949999999998</v>
      </c>
    </row>
    <row r="329" spans="1:21" x14ac:dyDescent="0.3">
      <c r="A329">
        <v>328</v>
      </c>
      <c r="B329">
        <v>47</v>
      </c>
      <c r="C329" t="s">
        <v>10</v>
      </c>
      <c r="D329">
        <v>27.3</v>
      </c>
      <c r="E329">
        <v>85</v>
      </c>
      <c r="F329" t="s">
        <v>11</v>
      </c>
      <c r="G329">
        <v>3</v>
      </c>
      <c r="H329" t="s">
        <v>12</v>
      </c>
      <c r="I329" t="s">
        <v>13</v>
      </c>
      <c r="J329">
        <v>4661.29</v>
      </c>
      <c r="K329" t="str">
        <f t="shared" si="50"/>
        <v>25-30</v>
      </c>
      <c r="L329">
        <f t="shared" si="51"/>
        <v>0</v>
      </c>
      <c r="M329">
        <f t="shared" si="52"/>
        <v>1</v>
      </c>
      <c r="N329">
        <f t="shared" si="53"/>
        <v>0</v>
      </c>
      <c r="O329">
        <f t="shared" si="54"/>
        <v>0</v>
      </c>
      <c r="P329">
        <v>4.5734502832292856E-2</v>
      </c>
      <c r="Q329">
        <f t="shared" si="55"/>
        <v>0</v>
      </c>
      <c r="R329">
        <f t="shared" si="56"/>
        <v>1</v>
      </c>
      <c r="S329">
        <f t="shared" si="57"/>
        <v>0</v>
      </c>
      <c r="T329">
        <f t="shared" si="58"/>
        <v>7062.3600000000015</v>
      </c>
      <c r="U329">
        <f t="shared" si="59"/>
        <v>-2401.0700000000015</v>
      </c>
    </row>
    <row r="330" spans="1:21" x14ac:dyDescent="0.3">
      <c r="A330">
        <v>329</v>
      </c>
      <c r="B330">
        <v>26</v>
      </c>
      <c r="C330" t="s">
        <v>10</v>
      </c>
      <c r="D330">
        <v>37.299999999999997</v>
      </c>
      <c r="E330">
        <v>86</v>
      </c>
      <c r="F330" t="s">
        <v>11</v>
      </c>
      <c r="G330">
        <v>1</v>
      </c>
      <c r="H330" t="s">
        <v>12</v>
      </c>
      <c r="I330" t="s">
        <v>13</v>
      </c>
      <c r="J330">
        <v>4667.6099999999997</v>
      </c>
      <c r="K330" t="str">
        <f t="shared" si="50"/>
        <v>35+</v>
      </c>
      <c r="L330">
        <f t="shared" si="51"/>
        <v>0</v>
      </c>
      <c r="M330">
        <f t="shared" si="52"/>
        <v>1</v>
      </c>
      <c r="N330">
        <f t="shared" si="53"/>
        <v>0</v>
      </c>
      <c r="O330">
        <f t="shared" si="54"/>
        <v>0</v>
      </c>
      <c r="P330">
        <v>0.83146530646880046</v>
      </c>
      <c r="Q330">
        <f t="shared" si="55"/>
        <v>0</v>
      </c>
      <c r="R330">
        <f t="shared" si="56"/>
        <v>1</v>
      </c>
      <c r="S330">
        <f t="shared" si="57"/>
        <v>0</v>
      </c>
      <c r="T330">
        <f t="shared" si="58"/>
        <v>6627.3499999999995</v>
      </c>
      <c r="U330">
        <f t="shared" si="59"/>
        <v>-1959.7399999999998</v>
      </c>
    </row>
    <row r="331" spans="1:21" x14ac:dyDescent="0.3">
      <c r="A331">
        <v>330</v>
      </c>
      <c r="B331">
        <v>22</v>
      </c>
      <c r="C331" t="s">
        <v>10</v>
      </c>
      <c r="D331">
        <v>35.200000000000003</v>
      </c>
      <c r="E331">
        <v>87</v>
      </c>
      <c r="F331" t="s">
        <v>11</v>
      </c>
      <c r="G331">
        <v>2</v>
      </c>
      <c r="H331" t="s">
        <v>12</v>
      </c>
      <c r="I331" t="s">
        <v>15</v>
      </c>
      <c r="J331">
        <v>4670.6400000000003</v>
      </c>
      <c r="K331" t="str">
        <f t="shared" si="50"/>
        <v>35+</v>
      </c>
      <c r="L331">
        <f t="shared" si="51"/>
        <v>0</v>
      </c>
      <c r="M331">
        <f t="shared" si="52"/>
        <v>0</v>
      </c>
      <c r="N331">
        <f t="shared" si="53"/>
        <v>1</v>
      </c>
      <c r="O331">
        <f t="shared" si="54"/>
        <v>0</v>
      </c>
      <c r="P331">
        <v>0.60422401634651723</v>
      </c>
      <c r="Q331">
        <f t="shared" si="55"/>
        <v>0</v>
      </c>
      <c r="R331">
        <f t="shared" si="56"/>
        <v>1</v>
      </c>
      <c r="S331">
        <f t="shared" si="57"/>
        <v>0</v>
      </c>
      <c r="T331">
        <f t="shared" si="58"/>
        <v>8039.37</v>
      </c>
      <c r="U331">
        <f t="shared" si="59"/>
        <v>-3368.7299999999996</v>
      </c>
    </row>
    <row r="332" spans="1:21" x14ac:dyDescent="0.3">
      <c r="A332">
        <v>331</v>
      </c>
      <c r="B332">
        <v>32</v>
      </c>
      <c r="C332" t="s">
        <v>10</v>
      </c>
      <c r="D332">
        <v>37.200000000000003</v>
      </c>
      <c r="E332">
        <v>82</v>
      </c>
      <c r="F332" t="s">
        <v>12</v>
      </c>
      <c r="G332">
        <v>2</v>
      </c>
      <c r="H332" t="s">
        <v>12</v>
      </c>
      <c r="I332" t="s">
        <v>13</v>
      </c>
      <c r="J332">
        <v>4673.3900000000003</v>
      </c>
      <c r="K332" t="str">
        <f t="shared" si="50"/>
        <v>35+</v>
      </c>
      <c r="L332">
        <f t="shared" si="51"/>
        <v>0</v>
      </c>
      <c r="M332">
        <f t="shared" si="52"/>
        <v>1</v>
      </c>
      <c r="N332">
        <f t="shared" si="53"/>
        <v>0</v>
      </c>
      <c r="O332">
        <f t="shared" si="54"/>
        <v>0</v>
      </c>
      <c r="P332">
        <v>0.21886962526571729</v>
      </c>
      <c r="Q332">
        <f t="shared" si="55"/>
        <v>0</v>
      </c>
      <c r="R332">
        <f t="shared" si="56"/>
        <v>0</v>
      </c>
      <c r="S332">
        <f t="shared" si="57"/>
        <v>0</v>
      </c>
      <c r="T332">
        <f t="shared" si="58"/>
        <v>6780.0600000000013</v>
      </c>
      <c r="U332">
        <f t="shared" si="59"/>
        <v>-2106.670000000001</v>
      </c>
    </row>
    <row r="333" spans="1:21" x14ac:dyDescent="0.3">
      <c r="A333">
        <v>332</v>
      </c>
      <c r="B333">
        <v>43</v>
      </c>
      <c r="C333" t="s">
        <v>10</v>
      </c>
      <c r="D333">
        <v>46.5</v>
      </c>
      <c r="E333">
        <v>83</v>
      </c>
      <c r="F333" t="s">
        <v>11</v>
      </c>
      <c r="G333">
        <v>2</v>
      </c>
      <c r="H333" t="s">
        <v>12</v>
      </c>
      <c r="I333" t="s">
        <v>13</v>
      </c>
      <c r="J333">
        <v>4686.3900000000003</v>
      </c>
      <c r="K333" t="str">
        <f t="shared" si="50"/>
        <v>35+</v>
      </c>
      <c r="L333">
        <f t="shared" si="51"/>
        <v>0</v>
      </c>
      <c r="M333">
        <f t="shared" si="52"/>
        <v>1</v>
      </c>
      <c r="N333">
        <f t="shared" si="53"/>
        <v>0</v>
      </c>
      <c r="O333">
        <f t="shared" si="54"/>
        <v>0</v>
      </c>
      <c r="P333">
        <v>0.91036683342004565</v>
      </c>
      <c r="Q333">
        <f t="shared" si="55"/>
        <v>0</v>
      </c>
      <c r="R333">
        <f t="shared" si="56"/>
        <v>1</v>
      </c>
      <c r="S333">
        <f t="shared" si="57"/>
        <v>0</v>
      </c>
      <c r="T333">
        <f t="shared" si="58"/>
        <v>7651.6600000000008</v>
      </c>
      <c r="U333">
        <f t="shared" si="59"/>
        <v>-2965.2700000000004</v>
      </c>
    </row>
    <row r="334" spans="1:21" x14ac:dyDescent="0.3">
      <c r="A334">
        <v>333</v>
      </c>
      <c r="B334">
        <v>46</v>
      </c>
      <c r="C334" t="s">
        <v>16</v>
      </c>
      <c r="D334">
        <v>28.6</v>
      </c>
      <c r="E334">
        <v>80</v>
      </c>
      <c r="F334" t="s">
        <v>12</v>
      </c>
      <c r="G334">
        <v>5</v>
      </c>
      <c r="H334" t="s">
        <v>12</v>
      </c>
      <c r="I334" t="s">
        <v>15</v>
      </c>
      <c r="J334">
        <v>4687.8</v>
      </c>
      <c r="K334" t="str">
        <f t="shared" si="50"/>
        <v>25-30</v>
      </c>
      <c r="L334">
        <f t="shared" si="51"/>
        <v>0</v>
      </c>
      <c r="M334">
        <f t="shared" si="52"/>
        <v>0</v>
      </c>
      <c r="N334">
        <f t="shared" si="53"/>
        <v>1</v>
      </c>
      <c r="O334">
        <f t="shared" si="54"/>
        <v>0</v>
      </c>
      <c r="P334">
        <v>0.78645076575985728</v>
      </c>
      <c r="Q334">
        <f t="shared" si="55"/>
        <v>0</v>
      </c>
      <c r="R334">
        <f t="shared" si="56"/>
        <v>0</v>
      </c>
      <c r="S334">
        <f t="shared" si="57"/>
        <v>1</v>
      </c>
      <c r="T334">
        <f t="shared" si="58"/>
        <v>9055.9500000000007</v>
      </c>
      <c r="U334">
        <f t="shared" si="59"/>
        <v>-4368.1500000000005</v>
      </c>
    </row>
    <row r="335" spans="1:21" x14ac:dyDescent="0.3">
      <c r="A335">
        <v>334</v>
      </c>
      <c r="B335">
        <v>56</v>
      </c>
      <c r="C335" t="s">
        <v>16</v>
      </c>
      <c r="D335">
        <v>21.9</v>
      </c>
      <c r="E335">
        <v>100</v>
      </c>
      <c r="F335" t="s">
        <v>11</v>
      </c>
      <c r="G335">
        <v>1</v>
      </c>
      <c r="H335" t="s">
        <v>12</v>
      </c>
      <c r="I335" t="s">
        <v>13</v>
      </c>
      <c r="J335">
        <v>4718.2</v>
      </c>
      <c r="K335" t="str">
        <f t="shared" si="50"/>
        <v>20-25</v>
      </c>
      <c r="L335">
        <f t="shared" si="51"/>
        <v>0</v>
      </c>
      <c r="M335">
        <f t="shared" si="52"/>
        <v>1</v>
      </c>
      <c r="N335">
        <f t="shared" si="53"/>
        <v>0</v>
      </c>
      <c r="O335">
        <f t="shared" si="54"/>
        <v>0</v>
      </c>
      <c r="P335">
        <v>0.63562225735106026</v>
      </c>
      <c r="Q335">
        <f t="shared" si="55"/>
        <v>0</v>
      </c>
      <c r="R335">
        <f t="shared" si="56"/>
        <v>1</v>
      </c>
      <c r="S335">
        <f t="shared" si="57"/>
        <v>1</v>
      </c>
      <c r="T335">
        <f t="shared" si="58"/>
        <v>7951.4599999999991</v>
      </c>
      <c r="U335">
        <f t="shared" si="59"/>
        <v>-3233.2599999999993</v>
      </c>
    </row>
    <row r="336" spans="1:21" x14ac:dyDescent="0.3">
      <c r="A336">
        <v>335</v>
      </c>
      <c r="B336">
        <v>45</v>
      </c>
      <c r="C336" t="s">
        <v>16</v>
      </c>
      <c r="D336">
        <v>22.9</v>
      </c>
      <c r="E336">
        <v>94</v>
      </c>
      <c r="F336" t="s">
        <v>12</v>
      </c>
      <c r="G336">
        <v>1</v>
      </c>
      <c r="H336" t="s">
        <v>12</v>
      </c>
      <c r="I336" t="s">
        <v>13</v>
      </c>
      <c r="J336">
        <v>4719.5200000000004</v>
      </c>
      <c r="K336" t="str">
        <f t="shared" si="50"/>
        <v>20-25</v>
      </c>
      <c r="L336">
        <f t="shared" si="51"/>
        <v>0</v>
      </c>
      <c r="M336">
        <f t="shared" si="52"/>
        <v>1</v>
      </c>
      <c r="N336">
        <f t="shared" si="53"/>
        <v>0</v>
      </c>
      <c r="O336">
        <f t="shared" si="54"/>
        <v>0</v>
      </c>
      <c r="P336">
        <v>0.65885048367130039</v>
      </c>
      <c r="Q336">
        <f t="shared" si="55"/>
        <v>0</v>
      </c>
      <c r="R336">
        <f t="shared" si="56"/>
        <v>0</v>
      </c>
      <c r="S336">
        <f t="shared" si="57"/>
        <v>1</v>
      </c>
      <c r="T336">
        <f t="shared" si="58"/>
        <v>7162.56</v>
      </c>
      <c r="U336">
        <f t="shared" si="59"/>
        <v>-2443.04</v>
      </c>
    </row>
    <row r="337" spans="1:21" x14ac:dyDescent="0.3">
      <c r="A337">
        <v>336</v>
      </c>
      <c r="B337">
        <v>42</v>
      </c>
      <c r="C337" t="s">
        <v>16</v>
      </c>
      <c r="D337">
        <v>23.8</v>
      </c>
      <c r="E337">
        <v>80</v>
      </c>
      <c r="F337" t="s">
        <v>11</v>
      </c>
      <c r="G337">
        <v>2</v>
      </c>
      <c r="H337" t="s">
        <v>12</v>
      </c>
      <c r="I337" t="s">
        <v>14</v>
      </c>
      <c r="J337">
        <v>4719.74</v>
      </c>
      <c r="K337" t="str">
        <f t="shared" si="50"/>
        <v>20-25</v>
      </c>
      <c r="L337">
        <f t="shared" si="51"/>
        <v>0</v>
      </c>
      <c r="M337">
        <f t="shared" si="52"/>
        <v>0</v>
      </c>
      <c r="N337">
        <f t="shared" si="53"/>
        <v>0</v>
      </c>
      <c r="O337">
        <f t="shared" si="54"/>
        <v>1</v>
      </c>
      <c r="P337">
        <v>0.22222549943637171</v>
      </c>
      <c r="Q337">
        <f t="shared" si="55"/>
        <v>0</v>
      </c>
      <c r="R337">
        <f t="shared" si="56"/>
        <v>1</v>
      </c>
      <c r="S337">
        <f t="shared" si="57"/>
        <v>1</v>
      </c>
      <c r="T337">
        <f t="shared" si="58"/>
        <v>6374.96</v>
      </c>
      <c r="U337">
        <f t="shared" si="59"/>
        <v>-1655.2200000000003</v>
      </c>
    </row>
    <row r="338" spans="1:21" x14ac:dyDescent="0.3">
      <c r="A338">
        <v>337</v>
      </c>
      <c r="B338">
        <v>48</v>
      </c>
      <c r="C338" t="s">
        <v>16</v>
      </c>
      <c r="D338">
        <v>32.700000000000003</v>
      </c>
      <c r="E338">
        <v>95</v>
      </c>
      <c r="F338" t="s">
        <v>12</v>
      </c>
      <c r="G338">
        <v>1</v>
      </c>
      <c r="H338" t="s">
        <v>12</v>
      </c>
      <c r="I338" t="s">
        <v>14</v>
      </c>
      <c r="J338">
        <v>4738.2700000000004</v>
      </c>
      <c r="K338" t="str">
        <f t="shared" si="50"/>
        <v>30-35</v>
      </c>
      <c r="L338">
        <f t="shared" si="51"/>
        <v>0</v>
      </c>
      <c r="M338">
        <f t="shared" si="52"/>
        <v>0</v>
      </c>
      <c r="N338">
        <f t="shared" si="53"/>
        <v>0</v>
      </c>
      <c r="O338">
        <f t="shared" si="54"/>
        <v>1</v>
      </c>
      <c r="P338">
        <v>0.57877716347481056</v>
      </c>
      <c r="Q338">
        <f t="shared" si="55"/>
        <v>0</v>
      </c>
      <c r="R338">
        <f t="shared" si="56"/>
        <v>0</v>
      </c>
      <c r="S338">
        <f t="shared" si="57"/>
        <v>1</v>
      </c>
      <c r="T338">
        <f t="shared" si="58"/>
        <v>8852.9000000000015</v>
      </c>
      <c r="U338">
        <f t="shared" si="59"/>
        <v>-4114.630000000001</v>
      </c>
    </row>
    <row r="339" spans="1:21" x14ac:dyDescent="0.3">
      <c r="A339">
        <v>338</v>
      </c>
      <c r="B339">
        <v>29</v>
      </c>
      <c r="C339" t="s">
        <v>10</v>
      </c>
      <c r="D339">
        <v>27.1</v>
      </c>
      <c r="E339">
        <v>82</v>
      </c>
      <c r="F339" t="s">
        <v>11</v>
      </c>
      <c r="G339">
        <v>1</v>
      </c>
      <c r="H339" t="s">
        <v>12</v>
      </c>
      <c r="I339" t="s">
        <v>15</v>
      </c>
      <c r="J339">
        <v>4746.34</v>
      </c>
      <c r="K339" t="str">
        <f t="shared" si="50"/>
        <v>25-30</v>
      </c>
      <c r="L339">
        <f t="shared" si="51"/>
        <v>0</v>
      </c>
      <c r="M339">
        <f t="shared" si="52"/>
        <v>0</v>
      </c>
      <c r="N339">
        <f t="shared" si="53"/>
        <v>1</v>
      </c>
      <c r="O339">
        <f t="shared" si="54"/>
        <v>0</v>
      </c>
      <c r="P339">
        <v>0.64206995942520495</v>
      </c>
      <c r="Q339">
        <f t="shared" si="55"/>
        <v>0</v>
      </c>
      <c r="R339">
        <f t="shared" si="56"/>
        <v>1</v>
      </c>
      <c r="S339">
        <f t="shared" si="57"/>
        <v>0</v>
      </c>
      <c r="T339">
        <f t="shared" si="58"/>
        <v>5801.6699999999992</v>
      </c>
      <c r="U339">
        <f t="shared" si="59"/>
        <v>-1055.329999999999</v>
      </c>
    </row>
    <row r="340" spans="1:21" x14ac:dyDescent="0.3">
      <c r="A340">
        <v>339</v>
      </c>
      <c r="B340">
        <v>44</v>
      </c>
      <c r="C340" t="s">
        <v>10</v>
      </c>
      <c r="D340">
        <v>27.6</v>
      </c>
      <c r="E340">
        <v>86</v>
      </c>
      <c r="F340" t="s">
        <v>12</v>
      </c>
      <c r="G340">
        <v>1</v>
      </c>
      <c r="H340" t="s">
        <v>12</v>
      </c>
      <c r="I340" t="s">
        <v>13</v>
      </c>
      <c r="J340">
        <v>4747.05</v>
      </c>
      <c r="K340" t="str">
        <f t="shared" si="50"/>
        <v>25-30</v>
      </c>
      <c r="L340">
        <f t="shared" si="51"/>
        <v>0</v>
      </c>
      <c r="M340">
        <f t="shared" si="52"/>
        <v>1</v>
      </c>
      <c r="N340">
        <f t="shared" si="53"/>
        <v>0</v>
      </c>
      <c r="O340">
        <f t="shared" si="54"/>
        <v>0</v>
      </c>
      <c r="P340">
        <v>6.5132387236047973E-2</v>
      </c>
      <c r="Q340">
        <f t="shared" si="55"/>
        <v>0</v>
      </c>
      <c r="R340">
        <f t="shared" si="56"/>
        <v>0</v>
      </c>
      <c r="S340">
        <f t="shared" si="57"/>
        <v>0</v>
      </c>
      <c r="T340">
        <f t="shared" si="58"/>
        <v>5844.02</v>
      </c>
      <c r="U340">
        <f t="shared" si="59"/>
        <v>-1096.9700000000003</v>
      </c>
    </row>
    <row r="341" spans="1:21" x14ac:dyDescent="0.3">
      <c r="A341">
        <v>340</v>
      </c>
      <c r="B341">
        <v>19</v>
      </c>
      <c r="C341" t="s">
        <v>10</v>
      </c>
      <c r="D341">
        <v>30.5</v>
      </c>
      <c r="E341">
        <v>92</v>
      </c>
      <c r="F341" t="s">
        <v>11</v>
      </c>
      <c r="G341">
        <v>1</v>
      </c>
      <c r="H341" t="s">
        <v>12</v>
      </c>
      <c r="I341" t="s">
        <v>15</v>
      </c>
      <c r="J341">
        <v>4751.07</v>
      </c>
      <c r="K341" t="str">
        <f t="shared" si="50"/>
        <v>30-35</v>
      </c>
      <c r="L341">
        <f t="shared" si="51"/>
        <v>0</v>
      </c>
      <c r="M341">
        <f t="shared" si="52"/>
        <v>0</v>
      </c>
      <c r="N341">
        <f t="shared" si="53"/>
        <v>1</v>
      </c>
      <c r="O341">
        <f t="shared" si="54"/>
        <v>0</v>
      </c>
      <c r="P341">
        <v>0.36907872605744441</v>
      </c>
      <c r="Q341">
        <f t="shared" si="55"/>
        <v>0</v>
      </c>
      <c r="R341">
        <f t="shared" si="56"/>
        <v>1</v>
      </c>
      <c r="S341">
        <f t="shared" si="57"/>
        <v>0</v>
      </c>
      <c r="T341">
        <f t="shared" si="58"/>
        <v>7701.0700000000006</v>
      </c>
      <c r="U341">
        <f t="shared" si="59"/>
        <v>-2950.0000000000009</v>
      </c>
    </row>
    <row r="342" spans="1:21" x14ac:dyDescent="0.3">
      <c r="A342">
        <v>341</v>
      </c>
      <c r="B342">
        <v>50</v>
      </c>
      <c r="C342" t="s">
        <v>16</v>
      </c>
      <c r="D342">
        <v>43.1</v>
      </c>
      <c r="E342">
        <v>98</v>
      </c>
      <c r="F342" t="s">
        <v>12</v>
      </c>
      <c r="G342">
        <v>2</v>
      </c>
      <c r="H342" t="s">
        <v>12</v>
      </c>
      <c r="I342" t="s">
        <v>13</v>
      </c>
      <c r="J342">
        <v>4753.6400000000003</v>
      </c>
      <c r="K342" t="str">
        <f t="shared" si="50"/>
        <v>35+</v>
      </c>
      <c r="L342">
        <f t="shared" si="51"/>
        <v>0</v>
      </c>
      <c r="M342">
        <f t="shared" si="52"/>
        <v>1</v>
      </c>
      <c r="N342">
        <f t="shared" si="53"/>
        <v>0</v>
      </c>
      <c r="O342">
        <f t="shared" si="54"/>
        <v>0</v>
      </c>
      <c r="P342">
        <v>0.62805890739356585</v>
      </c>
      <c r="Q342">
        <f t="shared" si="55"/>
        <v>0</v>
      </c>
      <c r="R342">
        <f t="shared" si="56"/>
        <v>0</v>
      </c>
      <c r="S342">
        <f t="shared" si="57"/>
        <v>1</v>
      </c>
      <c r="T342">
        <f t="shared" si="58"/>
        <v>10259.86</v>
      </c>
      <c r="U342">
        <f t="shared" si="59"/>
        <v>-5506.22</v>
      </c>
    </row>
    <row r="343" spans="1:21" x14ac:dyDescent="0.3">
      <c r="A343">
        <v>342</v>
      </c>
      <c r="B343">
        <v>46</v>
      </c>
      <c r="C343" t="s">
        <v>10</v>
      </c>
      <c r="D343">
        <v>38.6</v>
      </c>
      <c r="E343">
        <v>83</v>
      </c>
      <c r="F343" t="s">
        <v>11</v>
      </c>
      <c r="G343">
        <v>1</v>
      </c>
      <c r="H343" t="s">
        <v>12</v>
      </c>
      <c r="I343" t="s">
        <v>15</v>
      </c>
      <c r="J343">
        <v>4762.33</v>
      </c>
      <c r="K343" t="str">
        <f t="shared" si="50"/>
        <v>35+</v>
      </c>
      <c r="L343">
        <f t="shared" si="51"/>
        <v>0</v>
      </c>
      <c r="M343">
        <f t="shared" si="52"/>
        <v>0</v>
      </c>
      <c r="N343">
        <f t="shared" si="53"/>
        <v>1</v>
      </c>
      <c r="O343">
        <f t="shared" si="54"/>
        <v>0</v>
      </c>
      <c r="P343">
        <v>0.92101233140158734</v>
      </c>
      <c r="Q343">
        <f t="shared" si="55"/>
        <v>0</v>
      </c>
      <c r="R343">
        <f t="shared" si="56"/>
        <v>1</v>
      </c>
      <c r="S343">
        <f t="shared" si="57"/>
        <v>0</v>
      </c>
      <c r="T343">
        <f t="shared" si="58"/>
        <v>6922.7500000000009</v>
      </c>
      <c r="U343">
        <f t="shared" si="59"/>
        <v>-2160.420000000001</v>
      </c>
    </row>
    <row r="344" spans="1:21" x14ac:dyDescent="0.3">
      <c r="A344">
        <v>343</v>
      </c>
      <c r="B344">
        <v>33</v>
      </c>
      <c r="C344" t="s">
        <v>16</v>
      </c>
      <c r="D344">
        <v>18.5</v>
      </c>
      <c r="E344">
        <v>94</v>
      </c>
      <c r="F344" t="s">
        <v>11</v>
      </c>
      <c r="G344">
        <v>1</v>
      </c>
      <c r="H344" t="s">
        <v>12</v>
      </c>
      <c r="I344" t="s">
        <v>15</v>
      </c>
      <c r="J344">
        <v>4766.0200000000004</v>
      </c>
      <c r="K344" t="str">
        <f t="shared" si="50"/>
        <v>&lt;20</v>
      </c>
      <c r="L344">
        <f t="shared" si="51"/>
        <v>0</v>
      </c>
      <c r="M344">
        <f t="shared" si="52"/>
        <v>0</v>
      </c>
      <c r="N344">
        <f t="shared" si="53"/>
        <v>1</v>
      </c>
      <c r="O344">
        <f t="shared" si="54"/>
        <v>0</v>
      </c>
      <c r="P344">
        <v>0.16238134589117015</v>
      </c>
      <c r="Q344">
        <f t="shared" si="55"/>
        <v>0</v>
      </c>
      <c r="R344">
        <f t="shared" si="56"/>
        <v>1</v>
      </c>
      <c r="S344">
        <f t="shared" si="57"/>
        <v>1</v>
      </c>
      <c r="T344">
        <f t="shared" si="58"/>
        <v>7421.2799999999988</v>
      </c>
      <c r="U344">
        <f t="shared" si="59"/>
        <v>-2655.2599999999984</v>
      </c>
    </row>
    <row r="345" spans="1:21" x14ac:dyDescent="0.3">
      <c r="A345">
        <v>344</v>
      </c>
      <c r="B345">
        <v>56</v>
      </c>
      <c r="C345" t="s">
        <v>16</v>
      </c>
      <c r="D345">
        <v>28.3</v>
      </c>
      <c r="E345">
        <v>100</v>
      </c>
      <c r="F345" t="s">
        <v>11</v>
      </c>
      <c r="G345">
        <v>1</v>
      </c>
      <c r="H345" t="s">
        <v>12</v>
      </c>
      <c r="I345" t="s">
        <v>13</v>
      </c>
      <c r="J345">
        <v>4779.6000000000004</v>
      </c>
      <c r="K345" t="str">
        <f t="shared" si="50"/>
        <v>25-30</v>
      </c>
      <c r="L345">
        <f t="shared" si="51"/>
        <v>0</v>
      </c>
      <c r="M345">
        <f t="shared" si="52"/>
        <v>1</v>
      </c>
      <c r="N345">
        <f t="shared" si="53"/>
        <v>0</v>
      </c>
      <c r="O345">
        <f t="shared" si="54"/>
        <v>0</v>
      </c>
      <c r="P345">
        <v>0.81073903394394886</v>
      </c>
      <c r="Q345">
        <f t="shared" si="55"/>
        <v>0</v>
      </c>
      <c r="R345">
        <f t="shared" si="56"/>
        <v>1</v>
      </c>
      <c r="S345">
        <f t="shared" si="57"/>
        <v>1</v>
      </c>
      <c r="T345">
        <f t="shared" si="58"/>
        <v>8498.66</v>
      </c>
      <c r="U345">
        <f t="shared" si="59"/>
        <v>-3719.0599999999995</v>
      </c>
    </row>
    <row r="346" spans="1:21" x14ac:dyDescent="0.3">
      <c r="A346">
        <v>345</v>
      </c>
      <c r="B346">
        <v>38</v>
      </c>
      <c r="C346" t="s">
        <v>16</v>
      </c>
      <c r="D346">
        <v>39.799999999999997</v>
      </c>
      <c r="E346">
        <v>85</v>
      </c>
      <c r="F346" t="s">
        <v>11</v>
      </c>
      <c r="G346">
        <v>1</v>
      </c>
      <c r="H346" t="s">
        <v>12</v>
      </c>
      <c r="I346" t="s">
        <v>13</v>
      </c>
      <c r="J346">
        <v>4795.66</v>
      </c>
      <c r="K346" t="str">
        <f t="shared" si="50"/>
        <v>35+</v>
      </c>
      <c r="L346">
        <f t="shared" si="51"/>
        <v>0</v>
      </c>
      <c r="M346">
        <f t="shared" si="52"/>
        <v>1</v>
      </c>
      <c r="N346">
        <f t="shared" si="53"/>
        <v>0</v>
      </c>
      <c r="O346">
        <f t="shared" si="54"/>
        <v>0</v>
      </c>
      <c r="P346">
        <v>0.55452372505723202</v>
      </c>
      <c r="Q346">
        <f t="shared" si="55"/>
        <v>0</v>
      </c>
      <c r="R346">
        <f t="shared" si="56"/>
        <v>1</v>
      </c>
      <c r="S346">
        <f t="shared" si="57"/>
        <v>1</v>
      </c>
      <c r="T346">
        <f t="shared" si="58"/>
        <v>7111.0999999999985</v>
      </c>
      <c r="U346">
        <f t="shared" si="59"/>
        <v>-2315.4399999999987</v>
      </c>
    </row>
    <row r="347" spans="1:21" x14ac:dyDescent="0.3">
      <c r="A347">
        <v>346</v>
      </c>
      <c r="B347">
        <v>33</v>
      </c>
      <c r="C347" t="s">
        <v>10</v>
      </c>
      <c r="D347">
        <v>18.899999999999999</v>
      </c>
      <c r="E347">
        <v>87</v>
      </c>
      <c r="F347" t="s">
        <v>11</v>
      </c>
      <c r="G347">
        <v>3</v>
      </c>
      <c r="H347" t="s">
        <v>12</v>
      </c>
      <c r="I347" t="s">
        <v>13</v>
      </c>
      <c r="J347">
        <v>4827.8999999999996</v>
      </c>
      <c r="K347" t="str">
        <f t="shared" si="50"/>
        <v>&lt;20</v>
      </c>
      <c r="L347">
        <f t="shared" si="51"/>
        <v>0</v>
      </c>
      <c r="M347">
        <f t="shared" si="52"/>
        <v>1</v>
      </c>
      <c r="N347">
        <f t="shared" si="53"/>
        <v>0</v>
      </c>
      <c r="O347">
        <f t="shared" si="54"/>
        <v>0</v>
      </c>
      <c r="P347">
        <v>0.52055306767963161</v>
      </c>
      <c r="Q347">
        <f t="shared" si="55"/>
        <v>0</v>
      </c>
      <c r="R347">
        <f t="shared" si="56"/>
        <v>1</v>
      </c>
      <c r="S347">
        <f t="shared" si="57"/>
        <v>0</v>
      </c>
      <c r="T347">
        <f t="shared" si="58"/>
        <v>6681.2599999999993</v>
      </c>
      <c r="U347">
        <f t="shared" si="59"/>
        <v>-1853.3599999999997</v>
      </c>
    </row>
    <row r="348" spans="1:21" x14ac:dyDescent="0.3">
      <c r="A348">
        <v>347</v>
      </c>
      <c r="B348">
        <v>55</v>
      </c>
      <c r="C348" t="s">
        <v>16</v>
      </c>
      <c r="D348">
        <v>37</v>
      </c>
      <c r="E348">
        <v>83</v>
      </c>
      <c r="F348" t="s">
        <v>11</v>
      </c>
      <c r="G348">
        <v>5</v>
      </c>
      <c r="H348" t="s">
        <v>12</v>
      </c>
      <c r="I348" t="s">
        <v>15</v>
      </c>
      <c r="J348">
        <v>4830.63</v>
      </c>
      <c r="K348" t="str">
        <f t="shared" si="50"/>
        <v>35+</v>
      </c>
      <c r="L348">
        <f t="shared" si="51"/>
        <v>0</v>
      </c>
      <c r="M348">
        <f t="shared" si="52"/>
        <v>0</v>
      </c>
      <c r="N348">
        <f t="shared" si="53"/>
        <v>1</v>
      </c>
      <c r="O348">
        <f t="shared" si="54"/>
        <v>0</v>
      </c>
      <c r="P348">
        <v>0.93293161468876751</v>
      </c>
      <c r="Q348">
        <f t="shared" si="55"/>
        <v>0</v>
      </c>
      <c r="R348">
        <f t="shared" si="56"/>
        <v>1</v>
      </c>
      <c r="S348">
        <f t="shared" si="57"/>
        <v>1</v>
      </c>
      <c r="T348">
        <f t="shared" si="58"/>
        <v>10172.340000000002</v>
      </c>
      <c r="U348">
        <f t="shared" si="59"/>
        <v>-5341.7100000000019</v>
      </c>
    </row>
    <row r="349" spans="1:21" x14ac:dyDescent="0.3">
      <c r="A349">
        <v>348</v>
      </c>
      <c r="B349">
        <v>43</v>
      </c>
      <c r="C349" t="s">
        <v>10</v>
      </c>
      <c r="D349">
        <v>31.6</v>
      </c>
      <c r="E349">
        <v>89</v>
      </c>
      <c r="F349" t="s">
        <v>12</v>
      </c>
      <c r="G349">
        <v>3</v>
      </c>
      <c r="H349" t="s">
        <v>12</v>
      </c>
      <c r="I349" t="s">
        <v>13</v>
      </c>
      <c r="J349">
        <v>4837.58</v>
      </c>
      <c r="K349" t="str">
        <f t="shared" si="50"/>
        <v>30-35</v>
      </c>
      <c r="L349">
        <f t="shared" si="51"/>
        <v>0</v>
      </c>
      <c r="M349">
        <f t="shared" si="52"/>
        <v>1</v>
      </c>
      <c r="N349">
        <f t="shared" si="53"/>
        <v>0</v>
      </c>
      <c r="O349">
        <f t="shared" si="54"/>
        <v>0</v>
      </c>
      <c r="P349">
        <v>0.40578946021421758</v>
      </c>
      <c r="Q349">
        <f t="shared" si="55"/>
        <v>0</v>
      </c>
      <c r="R349">
        <f t="shared" si="56"/>
        <v>0</v>
      </c>
      <c r="S349">
        <f t="shared" si="57"/>
        <v>0</v>
      </c>
      <c r="T349">
        <f t="shared" si="58"/>
        <v>8142.5500000000011</v>
      </c>
      <c r="U349">
        <f t="shared" si="59"/>
        <v>-3304.9700000000012</v>
      </c>
    </row>
    <row r="350" spans="1:21" x14ac:dyDescent="0.3">
      <c r="A350">
        <v>349</v>
      </c>
      <c r="B350">
        <v>46</v>
      </c>
      <c r="C350" t="s">
        <v>10</v>
      </c>
      <c r="D350">
        <v>32.6</v>
      </c>
      <c r="E350">
        <v>82</v>
      </c>
      <c r="F350" t="s">
        <v>11</v>
      </c>
      <c r="G350">
        <v>3</v>
      </c>
      <c r="H350" t="s">
        <v>12</v>
      </c>
      <c r="I350" t="s">
        <v>13</v>
      </c>
      <c r="J350">
        <v>4846.92</v>
      </c>
      <c r="K350" t="str">
        <f t="shared" si="50"/>
        <v>30-35</v>
      </c>
      <c r="L350">
        <f t="shared" si="51"/>
        <v>0</v>
      </c>
      <c r="M350">
        <f t="shared" si="52"/>
        <v>1</v>
      </c>
      <c r="N350">
        <f t="shared" si="53"/>
        <v>0</v>
      </c>
      <c r="O350">
        <f t="shared" si="54"/>
        <v>0</v>
      </c>
      <c r="P350">
        <v>9.380762034730894E-2</v>
      </c>
      <c r="Q350">
        <f t="shared" si="55"/>
        <v>0</v>
      </c>
      <c r="R350">
        <f t="shared" si="56"/>
        <v>1</v>
      </c>
      <c r="S350">
        <f t="shared" si="57"/>
        <v>0</v>
      </c>
      <c r="T350">
        <f t="shared" si="58"/>
        <v>7038.0200000000013</v>
      </c>
      <c r="U350">
        <f t="shared" si="59"/>
        <v>-2191.1000000000013</v>
      </c>
    </row>
    <row r="351" spans="1:21" x14ac:dyDescent="0.3">
      <c r="A351">
        <v>350</v>
      </c>
      <c r="B351">
        <v>47</v>
      </c>
      <c r="C351" t="s">
        <v>10</v>
      </c>
      <c r="D351">
        <v>26.7</v>
      </c>
      <c r="E351">
        <v>93</v>
      </c>
      <c r="F351" t="s">
        <v>12</v>
      </c>
      <c r="G351">
        <v>4</v>
      </c>
      <c r="H351" t="s">
        <v>12</v>
      </c>
      <c r="I351" t="s">
        <v>14</v>
      </c>
      <c r="J351">
        <v>4877.9799999999996</v>
      </c>
      <c r="K351" t="str">
        <f t="shared" si="50"/>
        <v>25-30</v>
      </c>
      <c r="L351">
        <f t="shared" si="51"/>
        <v>0</v>
      </c>
      <c r="M351">
        <f t="shared" si="52"/>
        <v>0</v>
      </c>
      <c r="N351">
        <f t="shared" si="53"/>
        <v>0</v>
      </c>
      <c r="O351">
        <f t="shared" si="54"/>
        <v>1</v>
      </c>
      <c r="P351">
        <v>0.44136719690623827</v>
      </c>
      <c r="Q351">
        <f t="shared" si="55"/>
        <v>0</v>
      </c>
      <c r="R351">
        <f t="shared" si="56"/>
        <v>0</v>
      </c>
      <c r="S351">
        <f t="shared" si="57"/>
        <v>0</v>
      </c>
      <c r="T351">
        <f t="shared" si="58"/>
        <v>9791.77</v>
      </c>
      <c r="U351">
        <f t="shared" si="59"/>
        <v>-4913.7900000000009</v>
      </c>
    </row>
    <row r="352" spans="1:21" x14ac:dyDescent="0.3">
      <c r="A352">
        <v>351</v>
      </c>
      <c r="B352">
        <v>60</v>
      </c>
      <c r="C352" t="s">
        <v>16</v>
      </c>
      <c r="D352">
        <v>26.2</v>
      </c>
      <c r="E352">
        <v>99</v>
      </c>
      <c r="F352" t="s">
        <v>12</v>
      </c>
      <c r="G352">
        <v>0</v>
      </c>
      <c r="H352" t="s">
        <v>12</v>
      </c>
      <c r="I352" t="s">
        <v>15</v>
      </c>
      <c r="J352">
        <v>4883.87</v>
      </c>
      <c r="K352" t="str">
        <f t="shared" si="50"/>
        <v>25-30</v>
      </c>
      <c r="L352">
        <f t="shared" si="51"/>
        <v>0</v>
      </c>
      <c r="M352">
        <f t="shared" si="52"/>
        <v>0</v>
      </c>
      <c r="N352">
        <f t="shared" si="53"/>
        <v>1</v>
      </c>
      <c r="O352">
        <f t="shared" si="54"/>
        <v>0</v>
      </c>
      <c r="P352">
        <v>0.79893636150671288</v>
      </c>
      <c r="Q352">
        <f t="shared" si="55"/>
        <v>0</v>
      </c>
      <c r="R352">
        <f t="shared" si="56"/>
        <v>0</v>
      </c>
      <c r="S352">
        <f t="shared" si="57"/>
        <v>1</v>
      </c>
      <c r="T352">
        <f t="shared" si="58"/>
        <v>8173.8399999999992</v>
      </c>
      <c r="U352">
        <f t="shared" si="59"/>
        <v>-3289.9699999999993</v>
      </c>
    </row>
    <row r="353" spans="1:21" x14ac:dyDescent="0.3">
      <c r="A353">
        <v>352</v>
      </c>
      <c r="B353">
        <v>31</v>
      </c>
      <c r="C353" t="s">
        <v>16</v>
      </c>
      <c r="D353">
        <v>29.9</v>
      </c>
      <c r="E353">
        <v>85</v>
      </c>
      <c r="F353" t="s">
        <v>12</v>
      </c>
      <c r="G353">
        <v>0</v>
      </c>
      <c r="H353" t="s">
        <v>12</v>
      </c>
      <c r="I353" t="s">
        <v>13</v>
      </c>
      <c r="J353">
        <v>4889.04</v>
      </c>
      <c r="K353" t="str">
        <f t="shared" si="50"/>
        <v>25-30</v>
      </c>
      <c r="L353">
        <f t="shared" si="51"/>
        <v>0</v>
      </c>
      <c r="M353">
        <f t="shared" si="52"/>
        <v>1</v>
      </c>
      <c r="N353">
        <f t="shared" si="53"/>
        <v>0</v>
      </c>
      <c r="O353">
        <f t="shared" si="54"/>
        <v>0</v>
      </c>
      <c r="P353">
        <v>0.4486019009523563</v>
      </c>
      <c r="Q353">
        <f t="shared" si="55"/>
        <v>0</v>
      </c>
      <c r="R353">
        <f t="shared" si="56"/>
        <v>0</v>
      </c>
      <c r="S353">
        <f t="shared" si="57"/>
        <v>1</v>
      </c>
      <c r="T353">
        <f t="shared" si="58"/>
        <v>5604.4299999999994</v>
      </c>
      <c r="U353">
        <f t="shared" si="59"/>
        <v>-715.38999999999942</v>
      </c>
    </row>
    <row r="354" spans="1:21" x14ac:dyDescent="0.3">
      <c r="A354">
        <v>353</v>
      </c>
      <c r="B354">
        <v>28</v>
      </c>
      <c r="C354" t="s">
        <v>10</v>
      </c>
      <c r="D354">
        <v>35.799999999999997</v>
      </c>
      <c r="E354">
        <v>97</v>
      </c>
      <c r="F354" t="s">
        <v>12</v>
      </c>
      <c r="G354">
        <v>2</v>
      </c>
      <c r="H354" t="s">
        <v>12</v>
      </c>
      <c r="I354" t="s">
        <v>13</v>
      </c>
      <c r="J354">
        <v>4890</v>
      </c>
      <c r="K354" t="str">
        <f t="shared" si="50"/>
        <v>35+</v>
      </c>
      <c r="L354">
        <f t="shared" si="51"/>
        <v>0</v>
      </c>
      <c r="M354">
        <f t="shared" si="52"/>
        <v>1</v>
      </c>
      <c r="N354">
        <f t="shared" si="53"/>
        <v>0</v>
      </c>
      <c r="O354">
        <f t="shared" si="54"/>
        <v>0</v>
      </c>
      <c r="P354">
        <v>0.61064249936610271</v>
      </c>
      <c r="Q354">
        <f t="shared" si="55"/>
        <v>0</v>
      </c>
      <c r="R354">
        <f t="shared" si="56"/>
        <v>0</v>
      </c>
      <c r="S354">
        <f t="shared" si="57"/>
        <v>0</v>
      </c>
      <c r="T354">
        <f t="shared" si="58"/>
        <v>9059.33</v>
      </c>
      <c r="U354">
        <f t="shared" si="59"/>
        <v>-4169.33</v>
      </c>
    </row>
    <row r="355" spans="1:21" x14ac:dyDescent="0.3">
      <c r="A355">
        <v>354</v>
      </c>
      <c r="B355">
        <v>39</v>
      </c>
      <c r="C355" t="s">
        <v>10</v>
      </c>
      <c r="D355">
        <v>25.3</v>
      </c>
      <c r="E355">
        <v>91</v>
      </c>
      <c r="F355" t="s">
        <v>12</v>
      </c>
      <c r="G355">
        <v>1</v>
      </c>
      <c r="H355" t="s">
        <v>12</v>
      </c>
      <c r="I355" t="s">
        <v>14</v>
      </c>
      <c r="J355">
        <v>4894.75</v>
      </c>
      <c r="K355" t="str">
        <f t="shared" si="50"/>
        <v>25-30</v>
      </c>
      <c r="L355">
        <f t="shared" si="51"/>
        <v>0</v>
      </c>
      <c r="M355">
        <f t="shared" si="52"/>
        <v>0</v>
      </c>
      <c r="N355">
        <f t="shared" si="53"/>
        <v>0</v>
      </c>
      <c r="O355">
        <f t="shared" si="54"/>
        <v>1</v>
      </c>
      <c r="P355">
        <v>0.2041583013559366</v>
      </c>
      <c r="Q355">
        <f t="shared" si="55"/>
        <v>0</v>
      </c>
      <c r="R355">
        <f t="shared" si="56"/>
        <v>0</v>
      </c>
      <c r="S355">
        <f t="shared" si="57"/>
        <v>0</v>
      </c>
      <c r="T355">
        <f t="shared" si="58"/>
        <v>7148.4100000000008</v>
      </c>
      <c r="U355">
        <f t="shared" si="59"/>
        <v>-2253.6600000000008</v>
      </c>
    </row>
    <row r="356" spans="1:21" x14ac:dyDescent="0.3">
      <c r="A356">
        <v>355</v>
      </c>
      <c r="B356">
        <v>48</v>
      </c>
      <c r="C356" t="s">
        <v>16</v>
      </c>
      <c r="D356">
        <v>20.2</v>
      </c>
      <c r="E356">
        <v>97</v>
      </c>
      <c r="F356" t="s">
        <v>12</v>
      </c>
      <c r="G356">
        <v>2</v>
      </c>
      <c r="H356" t="s">
        <v>12</v>
      </c>
      <c r="I356" t="s">
        <v>14</v>
      </c>
      <c r="J356">
        <v>4906.41</v>
      </c>
      <c r="K356" t="str">
        <f t="shared" si="50"/>
        <v>20-25</v>
      </c>
      <c r="L356">
        <f t="shared" si="51"/>
        <v>0</v>
      </c>
      <c r="M356">
        <f t="shared" si="52"/>
        <v>0</v>
      </c>
      <c r="N356">
        <f t="shared" si="53"/>
        <v>0</v>
      </c>
      <c r="O356">
        <f t="shared" si="54"/>
        <v>1</v>
      </c>
      <c r="P356">
        <v>0.31192707833483291</v>
      </c>
      <c r="Q356">
        <f t="shared" si="55"/>
        <v>0</v>
      </c>
      <c r="R356">
        <f t="shared" si="56"/>
        <v>0</v>
      </c>
      <c r="S356">
        <f t="shared" si="57"/>
        <v>1</v>
      </c>
      <c r="T356">
        <f t="shared" si="58"/>
        <v>8841.57</v>
      </c>
      <c r="U356">
        <f t="shared" si="59"/>
        <v>-3935.16</v>
      </c>
    </row>
    <row r="357" spans="1:21" x14ac:dyDescent="0.3">
      <c r="A357">
        <v>356</v>
      </c>
      <c r="B357">
        <v>38</v>
      </c>
      <c r="C357" t="s">
        <v>10</v>
      </c>
      <c r="D357">
        <v>30.1</v>
      </c>
      <c r="E357">
        <v>87</v>
      </c>
      <c r="F357" t="s">
        <v>12</v>
      </c>
      <c r="G357">
        <v>5</v>
      </c>
      <c r="H357" t="s">
        <v>12</v>
      </c>
      <c r="I357" t="s">
        <v>13</v>
      </c>
      <c r="J357">
        <v>4915.0600000000004</v>
      </c>
      <c r="K357" t="str">
        <f t="shared" si="50"/>
        <v>30-35</v>
      </c>
      <c r="L357">
        <f t="shared" si="51"/>
        <v>0</v>
      </c>
      <c r="M357">
        <f t="shared" si="52"/>
        <v>1</v>
      </c>
      <c r="N357">
        <f t="shared" si="53"/>
        <v>0</v>
      </c>
      <c r="O357">
        <f t="shared" si="54"/>
        <v>0</v>
      </c>
      <c r="P357">
        <v>0.38652465405631387</v>
      </c>
      <c r="Q357">
        <f t="shared" si="55"/>
        <v>0</v>
      </c>
      <c r="R357">
        <f t="shared" si="56"/>
        <v>0</v>
      </c>
      <c r="S357">
        <f t="shared" si="57"/>
        <v>0</v>
      </c>
      <c r="T357">
        <f t="shared" si="58"/>
        <v>9178</v>
      </c>
      <c r="U357">
        <f t="shared" si="59"/>
        <v>-4262.9399999999996</v>
      </c>
    </row>
    <row r="358" spans="1:21" x14ac:dyDescent="0.3">
      <c r="A358">
        <v>357</v>
      </c>
      <c r="B358">
        <v>40</v>
      </c>
      <c r="C358" t="s">
        <v>16</v>
      </c>
      <c r="D358">
        <v>32.1</v>
      </c>
      <c r="E358">
        <v>95</v>
      </c>
      <c r="F358" t="s">
        <v>11</v>
      </c>
      <c r="G358">
        <v>2</v>
      </c>
      <c r="H358" t="s">
        <v>12</v>
      </c>
      <c r="I358" t="s">
        <v>14</v>
      </c>
      <c r="J358">
        <v>4922.92</v>
      </c>
      <c r="K358" t="str">
        <f t="shared" si="50"/>
        <v>30-35</v>
      </c>
      <c r="L358">
        <f t="shared" si="51"/>
        <v>0</v>
      </c>
      <c r="M358">
        <f t="shared" si="52"/>
        <v>0</v>
      </c>
      <c r="N358">
        <f t="shared" si="53"/>
        <v>0</v>
      </c>
      <c r="O358">
        <f t="shared" si="54"/>
        <v>1</v>
      </c>
      <c r="P358">
        <v>0.66562529596595921</v>
      </c>
      <c r="Q358">
        <f t="shared" si="55"/>
        <v>0</v>
      </c>
      <c r="R358">
        <f t="shared" si="56"/>
        <v>1</v>
      </c>
      <c r="S358">
        <f t="shared" si="57"/>
        <v>1</v>
      </c>
      <c r="T358">
        <f t="shared" si="58"/>
        <v>9481.0200000000023</v>
      </c>
      <c r="U358">
        <f t="shared" si="59"/>
        <v>-4558.1000000000022</v>
      </c>
    </row>
    <row r="359" spans="1:21" x14ac:dyDescent="0.3">
      <c r="A359">
        <v>358</v>
      </c>
      <c r="B359">
        <v>31</v>
      </c>
      <c r="C359" t="s">
        <v>16</v>
      </c>
      <c r="D359">
        <v>23.6</v>
      </c>
      <c r="E359">
        <v>95</v>
      </c>
      <c r="F359" t="s">
        <v>12</v>
      </c>
      <c r="G359">
        <v>2</v>
      </c>
      <c r="H359" t="s">
        <v>12</v>
      </c>
      <c r="I359" t="s">
        <v>15</v>
      </c>
      <c r="J359">
        <v>4931.6499999999996</v>
      </c>
      <c r="K359" t="str">
        <f t="shared" si="50"/>
        <v>20-25</v>
      </c>
      <c r="L359">
        <f t="shared" si="51"/>
        <v>0</v>
      </c>
      <c r="M359">
        <f t="shared" si="52"/>
        <v>0</v>
      </c>
      <c r="N359">
        <f t="shared" si="53"/>
        <v>1</v>
      </c>
      <c r="O359">
        <f t="shared" si="54"/>
        <v>0</v>
      </c>
      <c r="P359">
        <v>0.10241060055760098</v>
      </c>
      <c r="Q359">
        <f t="shared" si="55"/>
        <v>0</v>
      </c>
      <c r="R359">
        <f t="shared" si="56"/>
        <v>0</v>
      </c>
      <c r="S359">
        <f t="shared" si="57"/>
        <v>1</v>
      </c>
      <c r="T359">
        <f t="shared" si="58"/>
        <v>8826.7800000000007</v>
      </c>
      <c r="U359">
        <f t="shared" si="59"/>
        <v>-3895.130000000001</v>
      </c>
    </row>
    <row r="360" spans="1:21" x14ac:dyDescent="0.3">
      <c r="A360">
        <v>359</v>
      </c>
      <c r="B360">
        <v>25</v>
      </c>
      <c r="C360" t="s">
        <v>16</v>
      </c>
      <c r="D360">
        <v>25.8</v>
      </c>
      <c r="E360">
        <v>97</v>
      </c>
      <c r="F360" t="s">
        <v>11</v>
      </c>
      <c r="G360">
        <v>2</v>
      </c>
      <c r="H360" t="s">
        <v>12</v>
      </c>
      <c r="I360" t="s">
        <v>15</v>
      </c>
      <c r="J360">
        <v>4934.71</v>
      </c>
      <c r="K360" t="str">
        <f t="shared" si="50"/>
        <v>25-30</v>
      </c>
      <c r="L360">
        <f t="shared" si="51"/>
        <v>0</v>
      </c>
      <c r="M360">
        <f t="shared" si="52"/>
        <v>0</v>
      </c>
      <c r="N360">
        <f t="shared" si="53"/>
        <v>1</v>
      </c>
      <c r="O360">
        <f t="shared" si="54"/>
        <v>0</v>
      </c>
      <c r="P360">
        <v>0.84664614932479099</v>
      </c>
      <c r="Q360">
        <f t="shared" si="55"/>
        <v>0</v>
      </c>
      <c r="R360">
        <f t="shared" si="56"/>
        <v>1</v>
      </c>
      <c r="S360">
        <f t="shared" si="57"/>
        <v>1</v>
      </c>
      <c r="T360">
        <f t="shared" si="58"/>
        <v>9272.68</v>
      </c>
      <c r="U360">
        <f t="shared" si="59"/>
        <v>-4337.97</v>
      </c>
    </row>
    <row r="361" spans="1:21" x14ac:dyDescent="0.3">
      <c r="A361">
        <v>360</v>
      </c>
      <c r="B361">
        <v>46</v>
      </c>
      <c r="C361" t="s">
        <v>16</v>
      </c>
      <c r="D361">
        <v>36.6</v>
      </c>
      <c r="E361">
        <v>84</v>
      </c>
      <c r="F361" t="s">
        <v>11</v>
      </c>
      <c r="G361">
        <v>2</v>
      </c>
      <c r="H361" t="s">
        <v>12</v>
      </c>
      <c r="I361" t="s">
        <v>13</v>
      </c>
      <c r="J361">
        <v>4949.76</v>
      </c>
      <c r="K361" t="str">
        <f t="shared" si="50"/>
        <v>35+</v>
      </c>
      <c r="L361">
        <f t="shared" si="51"/>
        <v>0</v>
      </c>
      <c r="M361">
        <f t="shared" si="52"/>
        <v>1</v>
      </c>
      <c r="N361">
        <f t="shared" si="53"/>
        <v>0</v>
      </c>
      <c r="O361">
        <f t="shared" si="54"/>
        <v>0</v>
      </c>
      <c r="P361">
        <v>0.45664679233616801</v>
      </c>
      <c r="Q361">
        <f t="shared" si="55"/>
        <v>0</v>
      </c>
      <c r="R361">
        <f t="shared" si="56"/>
        <v>1</v>
      </c>
      <c r="S361">
        <f t="shared" si="57"/>
        <v>1</v>
      </c>
      <c r="T361">
        <f t="shared" si="58"/>
        <v>7405.91</v>
      </c>
      <c r="U361">
        <f t="shared" si="59"/>
        <v>-2456.1499999999996</v>
      </c>
    </row>
    <row r="362" spans="1:21" x14ac:dyDescent="0.3">
      <c r="A362">
        <v>361</v>
      </c>
      <c r="B362">
        <v>29</v>
      </c>
      <c r="C362" t="s">
        <v>16</v>
      </c>
      <c r="D362">
        <v>23.6</v>
      </c>
      <c r="E362">
        <v>87</v>
      </c>
      <c r="F362" t="s">
        <v>11</v>
      </c>
      <c r="G362">
        <v>0</v>
      </c>
      <c r="H362" t="s">
        <v>12</v>
      </c>
      <c r="I362" t="s">
        <v>13</v>
      </c>
      <c r="J362">
        <v>4992.38</v>
      </c>
      <c r="K362" t="str">
        <f t="shared" si="50"/>
        <v>20-25</v>
      </c>
      <c r="L362">
        <f t="shared" si="51"/>
        <v>0</v>
      </c>
      <c r="M362">
        <f t="shared" si="52"/>
        <v>1</v>
      </c>
      <c r="N362">
        <f t="shared" si="53"/>
        <v>0</v>
      </c>
      <c r="O362">
        <f t="shared" si="54"/>
        <v>0</v>
      </c>
      <c r="P362">
        <v>0.82895740317714572</v>
      </c>
      <c r="Q362">
        <f t="shared" si="55"/>
        <v>0</v>
      </c>
      <c r="R362">
        <f t="shared" si="56"/>
        <v>1</v>
      </c>
      <c r="S362">
        <f t="shared" si="57"/>
        <v>1</v>
      </c>
      <c r="T362">
        <f t="shared" si="58"/>
        <v>5318.4599999999991</v>
      </c>
      <c r="U362">
        <f t="shared" si="59"/>
        <v>-326.07999999999902</v>
      </c>
    </row>
    <row r="363" spans="1:21" x14ac:dyDescent="0.3">
      <c r="A363">
        <v>362</v>
      </c>
      <c r="B363">
        <v>27</v>
      </c>
      <c r="C363" t="s">
        <v>16</v>
      </c>
      <c r="D363">
        <v>26.7</v>
      </c>
      <c r="E363">
        <v>99</v>
      </c>
      <c r="F363" t="s">
        <v>12</v>
      </c>
      <c r="G363">
        <v>1</v>
      </c>
      <c r="H363" t="s">
        <v>12</v>
      </c>
      <c r="I363" t="s">
        <v>13</v>
      </c>
      <c r="J363">
        <v>5002.78</v>
      </c>
      <c r="K363" t="str">
        <f t="shared" si="50"/>
        <v>25-30</v>
      </c>
      <c r="L363">
        <f t="shared" si="51"/>
        <v>0</v>
      </c>
      <c r="M363">
        <f t="shared" si="52"/>
        <v>1</v>
      </c>
      <c r="N363">
        <f t="shared" si="53"/>
        <v>0</v>
      </c>
      <c r="O363">
        <f t="shared" si="54"/>
        <v>0</v>
      </c>
      <c r="P363">
        <v>0.53093094201236735</v>
      </c>
      <c r="Q363">
        <f t="shared" si="55"/>
        <v>0</v>
      </c>
      <c r="R363">
        <f t="shared" si="56"/>
        <v>0</v>
      </c>
      <c r="S363">
        <f t="shared" si="57"/>
        <v>1</v>
      </c>
      <c r="T363">
        <f t="shared" si="58"/>
        <v>8308.4500000000007</v>
      </c>
      <c r="U363">
        <f t="shared" si="59"/>
        <v>-3305.670000000001</v>
      </c>
    </row>
    <row r="364" spans="1:21" x14ac:dyDescent="0.3">
      <c r="A364">
        <v>363</v>
      </c>
      <c r="B364">
        <v>40</v>
      </c>
      <c r="C364" t="s">
        <v>16</v>
      </c>
      <c r="D364">
        <v>27.5</v>
      </c>
      <c r="E364">
        <v>98</v>
      </c>
      <c r="F364" t="s">
        <v>11</v>
      </c>
      <c r="G364">
        <v>1</v>
      </c>
      <c r="H364" t="s">
        <v>12</v>
      </c>
      <c r="I364" t="s">
        <v>15</v>
      </c>
      <c r="J364">
        <v>5003.8500000000004</v>
      </c>
      <c r="K364" t="str">
        <f t="shared" si="50"/>
        <v>25-30</v>
      </c>
      <c r="L364">
        <f t="shared" si="51"/>
        <v>0</v>
      </c>
      <c r="M364">
        <f t="shared" si="52"/>
        <v>0</v>
      </c>
      <c r="N364">
        <f t="shared" si="53"/>
        <v>1</v>
      </c>
      <c r="O364">
        <f t="shared" si="54"/>
        <v>0</v>
      </c>
      <c r="P364">
        <v>0.4762743948849526</v>
      </c>
      <c r="Q364">
        <f t="shared" si="55"/>
        <v>0</v>
      </c>
      <c r="R364">
        <f t="shared" si="56"/>
        <v>1</v>
      </c>
      <c r="S364">
        <f t="shared" si="57"/>
        <v>1</v>
      </c>
      <c r="T364">
        <f t="shared" si="58"/>
        <v>8820.18</v>
      </c>
      <c r="U364">
        <f t="shared" si="59"/>
        <v>-3816.33</v>
      </c>
    </row>
    <row r="365" spans="1:21" x14ac:dyDescent="0.3">
      <c r="A365">
        <v>364</v>
      </c>
      <c r="B365">
        <v>25</v>
      </c>
      <c r="C365" t="s">
        <v>16</v>
      </c>
      <c r="D365">
        <v>33.700000000000003</v>
      </c>
      <c r="E365">
        <v>95</v>
      </c>
      <c r="F365" t="s">
        <v>12</v>
      </c>
      <c r="G365">
        <v>1</v>
      </c>
      <c r="H365" t="s">
        <v>12</v>
      </c>
      <c r="I365" t="s">
        <v>15</v>
      </c>
      <c r="J365">
        <v>5012.47</v>
      </c>
      <c r="K365" t="str">
        <f t="shared" si="50"/>
        <v>30-35</v>
      </c>
      <c r="L365">
        <f t="shared" si="51"/>
        <v>0</v>
      </c>
      <c r="M365">
        <f t="shared" si="52"/>
        <v>0</v>
      </c>
      <c r="N365">
        <f t="shared" si="53"/>
        <v>1</v>
      </c>
      <c r="O365">
        <f t="shared" si="54"/>
        <v>0</v>
      </c>
      <c r="P365">
        <v>0.79282920650833788</v>
      </c>
      <c r="Q365">
        <f t="shared" si="55"/>
        <v>0</v>
      </c>
      <c r="R365">
        <f t="shared" si="56"/>
        <v>0</v>
      </c>
      <c r="S365">
        <f t="shared" si="57"/>
        <v>1</v>
      </c>
      <c r="T365">
        <f t="shared" si="58"/>
        <v>8959.77</v>
      </c>
      <c r="U365">
        <f t="shared" si="59"/>
        <v>-3947.3</v>
      </c>
    </row>
    <row r="366" spans="1:21" x14ac:dyDescent="0.3">
      <c r="A366">
        <v>365</v>
      </c>
      <c r="B366">
        <v>35</v>
      </c>
      <c r="C366" t="s">
        <v>10</v>
      </c>
      <c r="D366">
        <v>29.6</v>
      </c>
      <c r="E366">
        <v>94</v>
      </c>
      <c r="F366" t="s">
        <v>11</v>
      </c>
      <c r="G366">
        <v>0</v>
      </c>
      <c r="H366" t="s">
        <v>12</v>
      </c>
      <c r="I366" t="s">
        <v>14</v>
      </c>
      <c r="J366">
        <v>5028.1499999999996</v>
      </c>
      <c r="K366" t="str">
        <f t="shared" si="50"/>
        <v>25-30</v>
      </c>
      <c r="L366">
        <f t="shared" si="51"/>
        <v>0</v>
      </c>
      <c r="M366">
        <f t="shared" si="52"/>
        <v>0</v>
      </c>
      <c r="N366">
        <f t="shared" si="53"/>
        <v>0</v>
      </c>
      <c r="O366">
        <f t="shared" si="54"/>
        <v>1</v>
      </c>
      <c r="P366">
        <v>0.95024129372781496</v>
      </c>
      <c r="Q366">
        <f t="shared" si="55"/>
        <v>0</v>
      </c>
      <c r="R366">
        <f t="shared" si="56"/>
        <v>1</v>
      </c>
      <c r="S366">
        <f t="shared" si="57"/>
        <v>0</v>
      </c>
      <c r="T366">
        <f t="shared" si="58"/>
        <v>7192.65</v>
      </c>
      <c r="U366">
        <f t="shared" si="59"/>
        <v>-2164.5</v>
      </c>
    </row>
    <row r="367" spans="1:21" x14ac:dyDescent="0.3">
      <c r="A367">
        <v>366</v>
      </c>
      <c r="B367">
        <v>35</v>
      </c>
      <c r="C367" t="s">
        <v>10</v>
      </c>
      <c r="D367">
        <v>27.6</v>
      </c>
      <c r="E367">
        <v>100</v>
      </c>
      <c r="F367" t="s">
        <v>12</v>
      </c>
      <c r="G367">
        <v>2</v>
      </c>
      <c r="H367" t="s">
        <v>12</v>
      </c>
      <c r="I367" t="s">
        <v>13</v>
      </c>
      <c r="J367">
        <v>5031.2700000000004</v>
      </c>
      <c r="K367" t="str">
        <f t="shared" si="50"/>
        <v>25-30</v>
      </c>
      <c r="L367">
        <f t="shared" si="51"/>
        <v>0</v>
      </c>
      <c r="M367">
        <f t="shared" si="52"/>
        <v>1</v>
      </c>
      <c r="N367">
        <f t="shared" si="53"/>
        <v>0</v>
      </c>
      <c r="O367">
        <f t="shared" si="54"/>
        <v>0</v>
      </c>
      <c r="P367">
        <v>0.38434193133638739</v>
      </c>
      <c r="Q367">
        <f t="shared" si="55"/>
        <v>0</v>
      </c>
      <c r="R367">
        <f t="shared" si="56"/>
        <v>0</v>
      </c>
      <c r="S367">
        <f t="shared" si="57"/>
        <v>0</v>
      </c>
      <c r="T367">
        <f t="shared" si="58"/>
        <v>8828.0400000000009</v>
      </c>
      <c r="U367">
        <f t="shared" si="59"/>
        <v>-3796.7700000000004</v>
      </c>
    </row>
    <row r="368" spans="1:21" x14ac:dyDescent="0.3">
      <c r="A368">
        <v>367</v>
      </c>
      <c r="B368">
        <v>24</v>
      </c>
      <c r="C368" t="s">
        <v>10</v>
      </c>
      <c r="D368">
        <v>23.9</v>
      </c>
      <c r="E368">
        <v>84</v>
      </c>
      <c r="F368" t="s">
        <v>12</v>
      </c>
      <c r="G368">
        <v>5</v>
      </c>
      <c r="H368" t="s">
        <v>12</v>
      </c>
      <c r="I368" t="s">
        <v>15</v>
      </c>
      <c r="J368">
        <v>5080.1000000000004</v>
      </c>
      <c r="K368" t="str">
        <f t="shared" si="50"/>
        <v>20-25</v>
      </c>
      <c r="L368">
        <f t="shared" si="51"/>
        <v>0</v>
      </c>
      <c r="M368">
        <f t="shared" si="52"/>
        <v>0</v>
      </c>
      <c r="N368">
        <f t="shared" si="53"/>
        <v>1</v>
      </c>
      <c r="O368">
        <f t="shared" si="54"/>
        <v>0</v>
      </c>
      <c r="P368">
        <v>0.43800058161054278</v>
      </c>
      <c r="Q368">
        <f t="shared" si="55"/>
        <v>0</v>
      </c>
      <c r="R368">
        <f t="shared" si="56"/>
        <v>0</v>
      </c>
      <c r="S368">
        <f t="shared" si="57"/>
        <v>0</v>
      </c>
      <c r="T368">
        <f t="shared" si="58"/>
        <v>8875.6699999999983</v>
      </c>
      <c r="U368">
        <f t="shared" si="59"/>
        <v>-3795.5699999999979</v>
      </c>
    </row>
    <row r="369" spans="1:21" x14ac:dyDescent="0.3">
      <c r="A369">
        <v>368</v>
      </c>
      <c r="B369">
        <v>19</v>
      </c>
      <c r="C369" t="s">
        <v>10</v>
      </c>
      <c r="D369">
        <v>17.899999999999999</v>
      </c>
      <c r="E369">
        <v>90</v>
      </c>
      <c r="F369" t="s">
        <v>12</v>
      </c>
      <c r="G369">
        <v>1</v>
      </c>
      <c r="H369" t="s">
        <v>12</v>
      </c>
      <c r="I369" t="s">
        <v>14</v>
      </c>
      <c r="J369">
        <v>5116.5</v>
      </c>
      <c r="K369" t="str">
        <f t="shared" si="50"/>
        <v>&lt;20</v>
      </c>
      <c r="L369">
        <f t="shared" si="51"/>
        <v>0</v>
      </c>
      <c r="M369">
        <f t="shared" si="52"/>
        <v>0</v>
      </c>
      <c r="N369">
        <f t="shared" si="53"/>
        <v>0</v>
      </c>
      <c r="O369">
        <f t="shared" si="54"/>
        <v>1</v>
      </c>
      <c r="P369">
        <v>0.73024495363203823</v>
      </c>
      <c r="Q369">
        <f t="shared" si="55"/>
        <v>0</v>
      </c>
      <c r="R369">
        <f t="shared" si="56"/>
        <v>0</v>
      </c>
      <c r="S369">
        <f t="shared" si="57"/>
        <v>0</v>
      </c>
      <c r="T369">
        <f t="shared" si="58"/>
        <v>6381.72</v>
      </c>
      <c r="U369">
        <f t="shared" si="59"/>
        <v>-1265.2200000000003</v>
      </c>
    </row>
    <row r="370" spans="1:21" x14ac:dyDescent="0.3">
      <c r="A370">
        <v>369</v>
      </c>
      <c r="B370">
        <v>39</v>
      </c>
      <c r="C370" t="s">
        <v>10</v>
      </c>
      <c r="D370">
        <v>42.1</v>
      </c>
      <c r="E370">
        <v>100</v>
      </c>
      <c r="F370" t="s">
        <v>12</v>
      </c>
      <c r="G370">
        <v>2</v>
      </c>
      <c r="H370" t="s">
        <v>12</v>
      </c>
      <c r="I370" t="s">
        <v>13</v>
      </c>
      <c r="J370">
        <v>5124.1899999999996</v>
      </c>
      <c r="K370" t="str">
        <f t="shared" si="50"/>
        <v>35+</v>
      </c>
      <c r="L370">
        <f t="shared" si="51"/>
        <v>0</v>
      </c>
      <c r="M370">
        <f t="shared" si="52"/>
        <v>1</v>
      </c>
      <c r="N370">
        <f t="shared" si="53"/>
        <v>0</v>
      </c>
      <c r="O370">
        <f t="shared" si="54"/>
        <v>0</v>
      </c>
      <c r="P370">
        <v>0.685969964739785</v>
      </c>
      <c r="Q370">
        <f t="shared" si="55"/>
        <v>0</v>
      </c>
      <c r="R370">
        <f t="shared" si="56"/>
        <v>0</v>
      </c>
      <c r="S370">
        <f t="shared" si="57"/>
        <v>0</v>
      </c>
      <c r="T370">
        <f t="shared" si="58"/>
        <v>10062.67</v>
      </c>
      <c r="U370">
        <f t="shared" si="59"/>
        <v>-4938.4800000000005</v>
      </c>
    </row>
    <row r="371" spans="1:21" x14ac:dyDescent="0.3">
      <c r="A371">
        <v>370</v>
      </c>
      <c r="B371">
        <v>31</v>
      </c>
      <c r="C371" t="s">
        <v>10</v>
      </c>
      <c r="D371">
        <v>24.1</v>
      </c>
      <c r="E371">
        <v>88</v>
      </c>
      <c r="F371" t="s">
        <v>11</v>
      </c>
      <c r="G371">
        <v>1</v>
      </c>
      <c r="H371" t="s">
        <v>12</v>
      </c>
      <c r="I371" t="s">
        <v>14</v>
      </c>
      <c r="J371">
        <v>5125.22</v>
      </c>
      <c r="K371" t="str">
        <f t="shared" si="50"/>
        <v>20-25</v>
      </c>
      <c r="L371">
        <f t="shared" si="51"/>
        <v>0</v>
      </c>
      <c r="M371">
        <f t="shared" si="52"/>
        <v>0</v>
      </c>
      <c r="N371">
        <f t="shared" si="53"/>
        <v>0</v>
      </c>
      <c r="O371">
        <f t="shared" si="54"/>
        <v>1</v>
      </c>
      <c r="P371">
        <v>8.8088385400261981E-2</v>
      </c>
      <c r="Q371">
        <f t="shared" si="55"/>
        <v>0</v>
      </c>
      <c r="R371">
        <f t="shared" si="56"/>
        <v>1</v>
      </c>
      <c r="S371">
        <f t="shared" si="57"/>
        <v>0</v>
      </c>
      <c r="T371">
        <f t="shared" si="58"/>
        <v>6508.2199999999993</v>
      </c>
      <c r="U371">
        <f t="shared" si="59"/>
        <v>-1382.9999999999991</v>
      </c>
    </row>
    <row r="372" spans="1:21" x14ac:dyDescent="0.3">
      <c r="A372">
        <v>371</v>
      </c>
      <c r="B372">
        <v>55</v>
      </c>
      <c r="C372" t="s">
        <v>16</v>
      </c>
      <c r="D372">
        <v>38.799999999999997</v>
      </c>
      <c r="E372">
        <v>86</v>
      </c>
      <c r="F372" t="s">
        <v>12</v>
      </c>
      <c r="G372">
        <v>3</v>
      </c>
      <c r="H372" t="s">
        <v>12</v>
      </c>
      <c r="I372" t="s">
        <v>13</v>
      </c>
      <c r="J372">
        <v>5138.26</v>
      </c>
      <c r="K372" t="str">
        <f t="shared" si="50"/>
        <v>35+</v>
      </c>
      <c r="L372">
        <f t="shared" si="51"/>
        <v>0</v>
      </c>
      <c r="M372">
        <f t="shared" si="52"/>
        <v>1</v>
      </c>
      <c r="N372">
        <f t="shared" si="53"/>
        <v>0</v>
      </c>
      <c r="O372">
        <f t="shared" si="54"/>
        <v>0</v>
      </c>
      <c r="P372">
        <v>0.54911916937221683</v>
      </c>
      <c r="Q372">
        <f t="shared" si="55"/>
        <v>0</v>
      </c>
      <c r="R372">
        <f t="shared" si="56"/>
        <v>0</v>
      </c>
      <c r="S372">
        <f t="shared" si="57"/>
        <v>1</v>
      </c>
      <c r="T372">
        <f t="shared" si="58"/>
        <v>8708.9700000000012</v>
      </c>
      <c r="U372">
        <f t="shared" si="59"/>
        <v>-3570.7100000000009</v>
      </c>
    </row>
    <row r="373" spans="1:21" x14ac:dyDescent="0.3">
      <c r="A373">
        <v>372</v>
      </c>
      <c r="B373">
        <v>33</v>
      </c>
      <c r="C373" t="s">
        <v>16</v>
      </c>
      <c r="D373">
        <v>31.5</v>
      </c>
      <c r="E373">
        <v>86</v>
      </c>
      <c r="F373" t="s">
        <v>12</v>
      </c>
      <c r="G373">
        <v>1</v>
      </c>
      <c r="H373" t="s">
        <v>12</v>
      </c>
      <c r="I373" t="s">
        <v>13</v>
      </c>
      <c r="J373">
        <v>5148.55</v>
      </c>
      <c r="K373" t="str">
        <f t="shared" si="50"/>
        <v>30-35</v>
      </c>
      <c r="L373">
        <f t="shared" si="51"/>
        <v>0</v>
      </c>
      <c r="M373">
        <f t="shared" si="52"/>
        <v>1</v>
      </c>
      <c r="N373">
        <f t="shared" si="53"/>
        <v>0</v>
      </c>
      <c r="O373">
        <f t="shared" si="54"/>
        <v>0</v>
      </c>
      <c r="P373">
        <v>0.76458524337709488</v>
      </c>
      <c r="Q373">
        <f t="shared" si="55"/>
        <v>0</v>
      </c>
      <c r="R373">
        <f t="shared" si="56"/>
        <v>0</v>
      </c>
      <c r="S373">
        <f t="shared" si="57"/>
        <v>1</v>
      </c>
      <c r="T373">
        <f t="shared" si="58"/>
        <v>6636.4999999999991</v>
      </c>
      <c r="U373">
        <f t="shared" si="59"/>
        <v>-1487.9499999999989</v>
      </c>
    </row>
    <row r="374" spans="1:21" x14ac:dyDescent="0.3">
      <c r="A374">
        <v>373</v>
      </c>
      <c r="B374">
        <v>34</v>
      </c>
      <c r="C374" t="s">
        <v>16</v>
      </c>
      <c r="D374">
        <v>29.8</v>
      </c>
      <c r="E374">
        <v>100</v>
      </c>
      <c r="F374" t="s">
        <v>11</v>
      </c>
      <c r="G374">
        <v>2</v>
      </c>
      <c r="H374" t="s">
        <v>12</v>
      </c>
      <c r="I374" t="s">
        <v>15</v>
      </c>
      <c r="J374">
        <v>5152.13</v>
      </c>
      <c r="K374" t="str">
        <f t="shared" si="50"/>
        <v>25-30</v>
      </c>
      <c r="L374">
        <f t="shared" si="51"/>
        <v>0</v>
      </c>
      <c r="M374">
        <f t="shared" si="52"/>
        <v>0</v>
      </c>
      <c r="N374">
        <f t="shared" si="53"/>
        <v>1</v>
      </c>
      <c r="O374">
        <f t="shared" si="54"/>
        <v>0</v>
      </c>
      <c r="P374">
        <v>0.66851888594891451</v>
      </c>
      <c r="Q374">
        <f t="shared" si="55"/>
        <v>0</v>
      </c>
      <c r="R374">
        <f t="shared" si="56"/>
        <v>1</v>
      </c>
      <c r="S374">
        <f t="shared" si="57"/>
        <v>1</v>
      </c>
      <c r="T374">
        <f t="shared" si="58"/>
        <v>10081.93</v>
      </c>
      <c r="U374">
        <f t="shared" si="59"/>
        <v>-4929.8</v>
      </c>
    </row>
    <row r="375" spans="1:21" x14ac:dyDescent="0.3">
      <c r="A375">
        <v>374</v>
      </c>
      <c r="B375">
        <v>32</v>
      </c>
      <c r="C375" t="s">
        <v>10</v>
      </c>
      <c r="D375">
        <v>22.5</v>
      </c>
      <c r="E375">
        <v>93</v>
      </c>
      <c r="F375" t="s">
        <v>12</v>
      </c>
      <c r="G375">
        <v>3</v>
      </c>
      <c r="H375" t="s">
        <v>12</v>
      </c>
      <c r="I375" t="s">
        <v>13</v>
      </c>
      <c r="J375">
        <v>5209.58</v>
      </c>
      <c r="K375" t="str">
        <f t="shared" si="50"/>
        <v>20-25</v>
      </c>
      <c r="L375">
        <f t="shared" si="51"/>
        <v>0</v>
      </c>
      <c r="M375">
        <f t="shared" si="52"/>
        <v>1</v>
      </c>
      <c r="N375">
        <f t="shared" si="53"/>
        <v>0</v>
      </c>
      <c r="O375">
        <f t="shared" si="54"/>
        <v>0</v>
      </c>
      <c r="P375">
        <v>0.30501916668656937</v>
      </c>
      <c r="Q375">
        <f t="shared" si="55"/>
        <v>0</v>
      </c>
      <c r="R375">
        <f t="shared" si="56"/>
        <v>0</v>
      </c>
      <c r="S375">
        <f t="shared" si="57"/>
        <v>0</v>
      </c>
      <c r="T375">
        <f t="shared" si="58"/>
        <v>8016.9400000000023</v>
      </c>
      <c r="U375">
        <f t="shared" si="59"/>
        <v>-2807.3600000000024</v>
      </c>
    </row>
    <row r="376" spans="1:21" x14ac:dyDescent="0.3">
      <c r="A376">
        <v>375</v>
      </c>
      <c r="B376">
        <v>38</v>
      </c>
      <c r="C376" t="s">
        <v>16</v>
      </c>
      <c r="D376">
        <v>26.1</v>
      </c>
      <c r="E376">
        <v>81</v>
      </c>
      <c r="F376" t="s">
        <v>11</v>
      </c>
      <c r="G376">
        <v>0</v>
      </c>
      <c r="H376" t="s">
        <v>12</v>
      </c>
      <c r="I376" t="s">
        <v>13</v>
      </c>
      <c r="J376">
        <v>5227.99</v>
      </c>
      <c r="K376" t="str">
        <f t="shared" si="50"/>
        <v>25-30</v>
      </c>
      <c r="L376">
        <f t="shared" si="51"/>
        <v>0</v>
      </c>
      <c r="M376">
        <f t="shared" si="52"/>
        <v>1</v>
      </c>
      <c r="N376">
        <f t="shared" si="53"/>
        <v>0</v>
      </c>
      <c r="O376">
        <f t="shared" si="54"/>
        <v>0</v>
      </c>
      <c r="P376">
        <v>0.33216565532989184</v>
      </c>
      <c r="Q376">
        <f t="shared" si="55"/>
        <v>0</v>
      </c>
      <c r="R376">
        <f t="shared" si="56"/>
        <v>1</v>
      </c>
      <c r="S376">
        <f t="shared" si="57"/>
        <v>1</v>
      </c>
      <c r="T376">
        <f t="shared" si="58"/>
        <v>4563.1499999999996</v>
      </c>
      <c r="U376">
        <f t="shared" si="59"/>
        <v>664.84000000000015</v>
      </c>
    </row>
    <row r="377" spans="1:21" x14ac:dyDescent="0.3">
      <c r="A377">
        <v>376</v>
      </c>
      <c r="B377">
        <v>46</v>
      </c>
      <c r="C377" t="s">
        <v>16</v>
      </c>
      <c r="D377">
        <v>31</v>
      </c>
      <c r="E377">
        <v>84</v>
      </c>
      <c r="F377" t="s">
        <v>12</v>
      </c>
      <c r="G377">
        <v>1</v>
      </c>
      <c r="H377" t="s">
        <v>12</v>
      </c>
      <c r="I377" t="s">
        <v>15</v>
      </c>
      <c r="J377">
        <v>5240.7700000000004</v>
      </c>
      <c r="K377" t="str">
        <f t="shared" si="50"/>
        <v>30-35</v>
      </c>
      <c r="L377">
        <f t="shared" si="51"/>
        <v>0</v>
      </c>
      <c r="M377">
        <f t="shared" si="52"/>
        <v>0</v>
      </c>
      <c r="N377">
        <f t="shared" si="53"/>
        <v>1</v>
      </c>
      <c r="O377">
        <f t="shared" si="54"/>
        <v>0</v>
      </c>
      <c r="P377">
        <v>0.29056181126276182</v>
      </c>
      <c r="Q377">
        <f t="shared" si="55"/>
        <v>0</v>
      </c>
      <c r="R377">
        <f t="shared" si="56"/>
        <v>0</v>
      </c>
      <c r="S377">
        <f t="shared" si="57"/>
        <v>1</v>
      </c>
      <c r="T377">
        <f t="shared" si="58"/>
        <v>6946.5499999999984</v>
      </c>
      <c r="U377">
        <f t="shared" si="59"/>
        <v>-1705.7799999999979</v>
      </c>
    </row>
    <row r="378" spans="1:21" x14ac:dyDescent="0.3">
      <c r="A378">
        <v>377</v>
      </c>
      <c r="B378">
        <v>57</v>
      </c>
      <c r="C378" t="s">
        <v>16</v>
      </c>
      <c r="D378">
        <v>34.200000000000003</v>
      </c>
      <c r="E378">
        <v>93</v>
      </c>
      <c r="F378" t="s">
        <v>11</v>
      </c>
      <c r="G378">
        <v>1</v>
      </c>
      <c r="H378" t="s">
        <v>12</v>
      </c>
      <c r="I378" t="s">
        <v>13</v>
      </c>
      <c r="J378">
        <v>5245.23</v>
      </c>
      <c r="K378" t="str">
        <f t="shared" si="50"/>
        <v>30-35</v>
      </c>
      <c r="L378">
        <f t="shared" si="51"/>
        <v>0</v>
      </c>
      <c r="M378">
        <f t="shared" si="52"/>
        <v>1</v>
      </c>
      <c r="N378">
        <f t="shared" si="53"/>
        <v>0</v>
      </c>
      <c r="O378">
        <f t="shared" si="54"/>
        <v>0</v>
      </c>
      <c r="P378">
        <v>0.36144745838923853</v>
      </c>
      <c r="Q378">
        <f t="shared" si="55"/>
        <v>0</v>
      </c>
      <c r="R378">
        <f t="shared" si="56"/>
        <v>1</v>
      </c>
      <c r="S378">
        <f t="shared" si="57"/>
        <v>1</v>
      </c>
      <c r="T378">
        <f t="shared" si="58"/>
        <v>7884.7000000000007</v>
      </c>
      <c r="U378">
        <f t="shared" si="59"/>
        <v>-2639.4700000000012</v>
      </c>
    </row>
    <row r="379" spans="1:21" x14ac:dyDescent="0.3">
      <c r="A379">
        <v>378</v>
      </c>
      <c r="B379">
        <v>57</v>
      </c>
      <c r="C379" t="s">
        <v>16</v>
      </c>
      <c r="D379">
        <v>34.799999999999997</v>
      </c>
      <c r="E379">
        <v>96</v>
      </c>
      <c r="F379" t="s">
        <v>12</v>
      </c>
      <c r="G379">
        <v>1</v>
      </c>
      <c r="H379" t="s">
        <v>12</v>
      </c>
      <c r="I379" t="s">
        <v>15</v>
      </c>
      <c r="J379">
        <v>5246.05</v>
      </c>
      <c r="K379" t="str">
        <f t="shared" si="50"/>
        <v>30-35</v>
      </c>
      <c r="L379">
        <f t="shared" si="51"/>
        <v>0</v>
      </c>
      <c r="M379">
        <f t="shared" si="52"/>
        <v>0</v>
      </c>
      <c r="N379">
        <f t="shared" si="53"/>
        <v>1</v>
      </c>
      <c r="O379">
        <f t="shared" si="54"/>
        <v>0</v>
      </c>
      <c r="P379">
        <v>0.40371303470340536</v>
      </c>
      <c r="Q379">
        <f t="shared" si="55"/>
        <v>0</v>
      </c>
      <c r="R379">
        <f t="shared" si="56"/>
        <v>0</v>
      </c>
      <c r="S379">
        <f t="shared" si="57"/>
        <v>1</v>
      </c>
      <c r="T379">
        <f t="shared" si="58"/>
        <v>9172.4499999999989</v>
      </c>
      <c r="U379">
        <f t="shared" si="59"/>
        <v>-3926.3999999999987</v>
      </c>
    </row>
    <row r="380" spans="1:21" x14ac:dyDescent="0.3">
      <c r="A380">
        <v>379</v>
      </c>
      <c r="B380">
        <v>23</v>
      </c>
      <c r="C380" t="s">
        <v>10</v>
      </c>
      <c r="D380">
        <v>30.8</v>
      </c>
      <c r="E380">
        <v>89</v>
      </c>
      <c r="F380" t="s">
        <v>11</v>
      </c>
      <c r="G380">
        <v>3</v>
      </c>
      <c r="H380" t="s">
        <v>12</v>
      </c>
      <c r="I380" t="s">
        <v>15</v>
      </c>
      <c r="J380">
        <v>5253.52</v>
      </c>
      <c r="K380" t="str">
        <f t="shared" si="50"/>
        <v>30-35</v>
      </c>
      <c r="L380">
        <f t="shared" si="51"/>
        <v>0</v>
      </c>
      <c r="M380">
        <f t="shared" si="52"/>
        <v>0</v>
      </c>
      <c r="N380">
        <f t="shared" si="53"/>
        <v>1</v>
      </c>
      <c r="O380">
        <f t="shared" si="54"/>
        <v>0</v>
      </c>
      <c r="P380">
        <v>0.46053377919364558</v>
      </c>
      <c r="Q380">
        <f t="shared" si="55"/>
        <v>0</v>
      </c>
      <c r="R380">
        <f t="shared" si="56"/>
        <v>1</v>
      </c>
      <c r="S380">
        <f t="shared" si="57"/>
        <v>0</v>
      </c>
      <c r="T380">
        <f t="shared" si="58"/>
        <v>8719.31</v>
      </c>
      <c r="U380">
        <f t="shared" si="59"/>
        <v>-3465.7899999999991</v>
      </c>
    </row>
    <row r="381" spans="1:21" x14ac:dyDescent="0.3">
      <c r="A381">
        <v>380</v>
      </c>
      <c r="B381">
        <v>20</v>
      </c>
      <c r="C381" t="s">
        <v>10</v>
      </c>
      <c r="D381">
        <v>24.6</v>
      </c>
      <c r="E381">
        <v>92</v>
      </c>
      <c r="F381" t="s">
        <v>12</v>
      </c>
      <c r="G381">
        <v>2</v>
      </c>
      <c r="H381" t="s">
        <v>12</v>
      </c>
      <c r="I381" t="s">
        <v>14</v>
      </c>
      <c r="J381">
        <v>5257.51</v>
      </c>
      <c r="K381" t="str">
        <f t="shared" si="50"/>
        <v>20-25</v>
      </c>
      <c r="L381">
        <f t="shared" si="51"/>
        <v>0</v>
      </c>
      <c r="M381">
        <f t="shared" si="52"/>
        <v>0</v>
      </c>
      <c r="N381">
        <f t="shared" si="53"/>
        <v>0</v>
      </c>
      <c r="O381">
        <f t="shared" si="54"/>
        <v>1</v>
      </c>
      <c r="P381">
        <v>0.33549873657816021</v>
      </c>
      <c r="Q381">
        <f t="shared" si="55"/>
        <v>0</v>
      </c>
      <c r="R381">
        <f t="shared" si="56"/>
        <v>0</v>
      </c>
      <c r="S381">
        <f t="shared" si="57"/>
        <v>0</v>
      </c>
      <c r="T381">
        <f t="shared" si="58"/>
        <v>8010.71</v>
      </c>
      <c r="U381">
        <f t="shared" si="59"/>
        <v>-2753.2</v>
      </c>
    </row>
    <row r="382" spans="1:21" x14ac:dyDescent="0.3">
      <c r="A382">
        <v>381</v>
      </c>
      <c r="B382">
        <v>19</v>
      </c>
      <c r="C382" t="s">
        <v>10</v>
      </c>
      <c r="D382">
        <v>27.5</v>
      </c>
      <c r="E382">
        <v>83</v>
      </c>
      <c r="F382" t="s">
        <v>12</v>
      </c>
      <c r="G382">
        <v>2</v>
      </c>
      <c r="H382" t="s">
        <v>12</v>
      </c>
      <c r="I382" t="s">
        <v>14</v>
      </c>
      <c r="J382">
        <v>5261.47</v>
      </c>
      <c r="K382" t="str">
        <f t="shared" si="50"/>
        <v>25-30</v>
      </c>
      <c r="L382">
        <f t="shared" si="51"/>
        <v>0</v>
      </c>
      <c r="M382">
        <f t="shared" si="52"/>
        <v>0</v>
      </c>
      <c r="N382">
        <f t="shared" si="53"/>
        <v>0</v>
      </c>
      <c r="O382">
        <f t="shared" si="54"/>
        <v>1</v>
      </c>
      <c r="P382">
        <v>0.20326108573903034</v>
      </c>
      <c r="Q382">
        <f t="shared" si="55"/>
        <v>0</v>
      </c>
      <c r="R382">
        <f t="shared" si="56"/>
        <v>0</v>
      </c>
      <c r="S382">
        <f t="shared" si="57"/>
        <v>0</v>
      </c>
      <c r="T382">
        <f t="shared" si="58"/>
        <v>6823.6300000000019</v>
      </c>
      <c r="U382">
        <f t="shared" si="59"/>
        <v>-1562.1600000000017</v>
      </c>
    </row>
    <row r="383" spans="1:21" x14ac:dyDescent="0.3">
      <c r="A383">
        <v>382</v>
      </c>
      <c r="B383">
        <v>44</v>
      </c>
      <c r="C383" t="s">
        <v>16</v>
      </c>
      <c r="D383">
        <v>25.8</v>
      </c>
      <c r="E383">
        <v>90</v>
      </c>
      <c r="F383" t="s">
        <v>12</v>
      </c>
      <c r="G383">
        <v>0</v>
      </c>
      <c r="H383" t="s">
        <v>12</v>
      </c>
      <c r="I383" t="s">
        <v>14</v>
      </c>
      <c r="J383">
        <v>5266.37</v>
      </c>
      <c r="K383" t="str">
        <f t="shared" si="50"/>
        <v>25-30</v>
      </c>
      <c r="L383">
        <f t="shared" si="51"/>
        <v>0</v>
      </c>
      <c r="M383">
        <f t="shared" si="52"/>
        <v>0</v>
      </c>
      <c r="N383">
        <f t="shared" si="53"/>
        <v>0</v>
      </c>
      <c r="O383">
        <f t="shared" si="54"/>
        <v>1</v>
      </c>
      <c r="P383">
        <v>0.40625435592952608</v>
      </c>
      <c r="Q383">
        <f t="shared" si="55"/>
        <v>0</v>
      </c>
      <c r="R383">
        <f t="shared" si="56"/>
        <v>0</v>
      </c>
      <c r="S383">
        <f t="shared" si="57"/>
        <v>1</v>
      </c>
      <c r="T383">
        <f t="shared" si="58"/>
        <v>6731.880000000001</v>
      </c>
      <c r="U383">
        <f t="shared" si="59"/>
        <v>-1465.5100000000011</v>
      </c>
    </row>
    <row r="384" spans="1:21" x14ac:dyDescent="0.3">
      <c r="A384">
        <v>383</v>
      </c>
      <c r="B384">
        <v>52</v>
      </c>
      <c r="C384" t="s">
        <v>16</v>
      </c>
      <c r="D384">
        <v>26.9</v>
      </c>
      <c r="E384">
        <v>96</v>
      </c>
      <c r="F384" t="s">
        <v>12</v>
      </c>
      <c r="G384">
        <v>0</v>
      </c>
      <c r="H384" t="s">
        <v>12</v>
      </c>
      <c r="I384" t="s">
        <v>14</v>
      </c>
      <c r="J384">
        <v>5267.82</v>
      </c>
      <c r="K384" t="str">
        <f t="shared" si="50"/>
        <v>25-30</v>
      </c>
      <c r="L384">
        <f t="shared" si="51"/>
        <v>0</v>
      </c>
      <c r="M384">
        <f t="shared" si="52"/>
        <v>0</v>
      </c>
      <c r="N384">
        <f t="shared" si="53"/>
        <v>0</v>
      </c>
      <c r="O384">
        <f t="shared" si="54"/>
        <v>1</v>
      </c>
      <c r="P384">
        <v>0.328866896502925</v>
      </c>
      <c r="Q384">
        <f t="shared" si="55"/>
        <v>0</v>
      </c>
      <c r="R384">
        <f t="shared" si="56"/>
        <v>0</v>
      </c>
      <c r="S384">
        <f t="shared" si="57"/>
        <v>1</v>
      </c>
      <c r="T384">
        <f t="shared" si="58"/>
        <v>7773.23</v>
      </c>
      <c r="U384">
        <f t="shared" si="59"/>
        <v>-2505.41</v>
      </c>
    </row>
    <row r="385" spans="1:21" x14ac:dyDescent="0.3">
      <c r="A385">
        <v>384</v>
      </c>
      <c r="B385">
        <v>32</v>
      </c>
      <c r="C385" t="s">
        <v>16</v>
      </c>
      <c r="D385">
        <v>30</v>
      </c>
      <c r="E385">
        <v>88</v>
      </c>
      <c r="F385" t="s">
        <v>11</v>
      </c>
      <c r="G385">
        <v>0</v>
      </c>
      <c r="H385" t="s">
        <v>12</v>
      </c>
      <c r="I385" t="s">
        <v>14</v>
      </c>
      <c r="J385">
        <v>5272.18</v>
      </c>
      <c r="K385" t="str">
        <f t="shared" si="50"/>
        <v>30-35</v>
      </c>
      <c r="L385">
        <f t="shared" si="51"/>
        <v>0</v>
      </c>
      <c r="M385">
        <f t="shared" si="52"/>
        <v>0</v>
      </c>
      <c r="N385">
        <f t="shared" si="53"/>
        <v>0</v>
      </c>
      <c r="O385">
        <f t="shared" si="54"/>
        <v>1</v>
      </c>
      <c r="P385">
        <v>0.43482571101866185</v>
      </c>
      <c r="Q385">
        <f t="shared" si="55"/>
        <v>0</v>
      </c>
      <c r="R385">
        <f t="shared" si="56"/>
        <v>1</v>
      </c>
      <c r="S385">
        <f t="shared" si="57"/>
        <v>1</v>
      </c>
      <c r="T385">
        <f t="shared" si="58"/>
        <v>6718.0999999999995</v>
      </c>
      <c r="U385">
        <f t="shared" si="59"/>
        <v>-1445.9199999999992</v>
      </c>
    </row>
    <row r="386" spans="1:21" x14ac:dyDescent="0.3">
      <c r="A386">
        <v>385</v>
      </c>
      <c r="B386">
        <v>41</v>
      </c>
      <c r="C386" t="s">
        <v>16</v>
      </c>
      <c r="D386">
        <v>26.3</v>
      </c>
      <c r="E386">
        <v>82</v>
      </c>
      <c r="F386" t="s">
        <v>11</v>
      </c>
      <c r="G386">
        <v>3</v>
      </c>
      <c r="H386" t="s">
        <v>12</v>
      </c>
      <c r="I386" t="s">
        <v>14</v>
      </c>
      <c r="J386">
        <v>5312.17</v>
      </c>
      <c r="K386" t="str">
        <f t="shared" si="50"/>
        <v>25-30</v>
      </c>
      <c r="L386">
        <f t="shared" si="51"/>
        <v>0</v>
      </c>
      <c r="M386">
        <f t="shared" si="52"/>
        <v>0</v>
      </c>
      <c r="N386">
        <f t="shared" si="53"/>
        <v>0</v>
      </c>
      <c r="O386">
        <f t="shared" si="54"/>
        <v>1</v>
      </c>
      <c r="P386">
        <v>0.64032161710023916</v>
      </c>
      <c r="Q386">
        <f t="shared" si="55"/>
        <v>0</v>
      </c>
      <c r="R386">
        <f t="shared" si="56"/>
        <v>1</v>
      </c>
      <c r="S386">
        <f t="shared" si="57"/>
        <v>1</v>
      </c>
      <c r="T386">
        <f t="shared" si="58"/>
        <v>7647.4100000000008</v>
      </c>
      <c r="U386">
        <f t="shared" si="59"/>
        <v>-2335.2400000000007</v>
      </c>
    </row>
    <row r="387" spans="1:21" x14ac:dyDescent="0.3">
      <c r="A387">
        <v>386</v>
      </c>
      <c r="B387">
        <v>49</v>
      </c>
      <c r="C387" t="s">
        <v>16</v>
      </c>
      <c r="D387">
        <v>30.9</v>
      </c>
      <c r="E387">
        <v>90</v>
      </c>
      <c r="F387" t="s">
        <v>11</v>
      </c>
      <c r="G387">
        <v>3</v>
      </c>
      <c r="H387" t="s">
        <v>12</v>
      </c>
      <c r="I387" t="s">
        <v>15</v>
      </c>
      <c r="J387">
        <v>5325.65</v>
      </c>
      <c r="K387" t="str">
        <f t="shared" ref="K387:K450" si="60">IF(D387&lt;20, "&lt;20", IF(D387&lt;25, "20-25", IF(D387&lt;30, "25-30", IF(D387&lt;35, "30-35", "35+"))))</f>
        <v>30-35</v>
      </c>
      <c r="L387">
        <f t="shared" ref="L387:L450" si="61">D387*Q387</f>
        <v>0</v>
      </c>
      <c r="M387">
        <f t="shared" ref="M387:M450" si="62">IF(I387="southeast", 1, 0)</f>
        <v>0</v>
      </c>
      <c r="N387">
        <f t="shared" ref="N387:N450" si="63">IF(I387="southwest", 1, 0)</f>
        <v>1</v>
      </c>
      <c r="O387">
        <f t="shared" ref="O387:O450" si="64">IF(I387="northwest", 1, 0)</f>
        <v>0</v>
      </c>
      <c r="P387">
        <v>0.28528952812556085</v>
      </c>
      <c r="Q387">
        <f t="shared" ref="Q387:Q450" si="65">IF(H387="Yes", 1, 0)</f>
        <v>0</v>
      </c>
      <c r="R387">
        <f t="shared" ref="R387:R450" si="66">IF(F387="yes", 1, 0)</f>
        <v>1</v>
      </c>
      <c r="S387">
        <f t="shared" ref="S387:S450" si="67">IF(C387="female", 1, 0)</f>
        <v>1</v>
      </c>
      <c r="T387">
        <f t="shared" ref="T387:T450" si="68">-7277.71 + (-1.28*B387) + (85.5*D387) + (738.24*G387) + (159.59*E387) + (1259.19*L387) + (-3644.73*M387) + (-2956.11*N387) + (-2948.04*O387) + (-17828.85*Q387) + (-69.06*R387) + (444.95*S387)</f>
        <v>9299.1200000000008</v>
      </c>
      <c r="U387">
        <f t="shared" ref="U387:U450" si="69">J387-T387</f>
        <v>-3973.4700000000012</v>
      </c>
    </row>
    <row r="388" spans="1:21" x14ac:dyDescent="0.3">
      <c r="A388">
        <v>387</v>
      </c>
      <c r="B388">
        <v>25</v>
      </c>
      <c r="C388" t="s">
        <v>16</v>
      </c>
      <c r="D388">
        <v>32.799999999999997</v>
      </c>
      <c r="E388">
        <v>81</v>
      </c>
      <c r="F388" t="s">
        <v>12</v>
      </c>
      <c r="G388">
        <v>2</v>
      </c>
      <c r="H388" t="s">
        <v>12</v>
      </c>
      <c r="I388" t="s">
        <v>14</v>
      </c>
      <c r="J388">
        <v>5327.4</v>
      </c>
      <c r="K388" t="str">
        <f t="shared" si="60"/>
        <v>30-35</v>
      </c>
      <c r="L388">
        <f t="shared" si="61"/>
        <v>0</v>
      </c>
      <c r="M388">
        <f t="shared" si="62"/>
        <v>0</v>
      </c>
      <c r="N388">
        <f t="shared" si="63"/>
        <v>0</v>
      </c>
      <c r="O388">
        <f t="shared" si="64"/>
        <v>1</v>
      </c>
      <c r="P388">
        <v>0.47019009140637114</v>
      </c>
      <c r="Q388">
        <f t="shared" si="65"/>
        <v>0</v>
      </c>
      <c r="R388">
        <f t="shared" si="66"/>
        <v>0</v>
      </c>
      <c r="S388">
        <f t="shared" si="67"/>
        <v>1</v>
      </c>
      <c r="T388">
        <f t="shared" si="68"/>
        <v>7394.8700000000008</v>
      </c>
      <c r="U388">
        <f t="shared" si="69"/>
        <v>-2067.4700000000012</v>
      </c>
    </row>
    <row r="389" spans="1:21" x14ac:dyDescent="0.3">
      <c r="A389">
        <v>388</v>
      </c>
      <c r="B389">
        <v>31</v>
      </c>
      <c r="C389" t="s">
        <v>16</v>
      </c>
      <c r="D389">
        <v>22.1</v>
      </c>
      <c r="E389">
        <v>97</v>
      </c>
      <c r="F389" t="s">
        <v>11</v>
      </c>
      <c r="G389">
        <v>1</v>
      </c>
      <c r="H389" t="s">
        <v>12</v>
      </c>
      <c r="I389" t="s">
        <v>13</v>
      </c>
      <c r="J389">
        <v>5354.07</v>
      </c>
      <c r="K389" t="str">
        <f t="shared" si="60"/>
        <v>20-25</v>
      </c>
      <c r="L389">
        <f t="shared" si="61"/>
        <v>0</v>
      </c>
      <c r="M389">
        <f t="shared" si="62"/>
        <v>1</v>
      </c>
      <c r="N389">
        <f t="shared" si="63"/>
        <v>0</v>
      </c>
      <c r="O389">
        <f t="shared" si="64"/>
        <v>0</v>
      </c>
      <c r="P389">
        <v>0.48658238914476004</v>
      </c>
      <c r="Q389">
        <f t="shared" si="65"/>
        <v>0</v>
      </c>
      <c r="R389">
        <f t="shared" si="66"/>
        <v>1</v>
      </c>
      <c r="S389">
        <f t="shared" si="67"/>
        <v>1</v>
      </c>
      <c r="T389">
        <f t="shared" si="68"/>
        <v>7521.7899999999991</v>
      </c>
      <c r="U389">
        <f t="shared" si="69"/>
        <v>-2167.7199999999993</v>
      </c>
    </row>
    <row r="390" spans="1:21" x14ac:dyDescent="0.3">
      <c r="A390">
        <v>389</v>
      </c>
      <c r="B390">
        <v>32</v>
      </c>
      <c r="C390" t="s">
        <v>10</v>
      </c>
      <c r="D390">
        <v>30.9</v>
      </c>
      <c r="E390">
        <v>91</v>
      </c>
      <c r="F390" t="s">
        <v>12</v>
      </c>
      <c r="G390">
        <v>1</v>
      </c>
      <c r="H390" t="s">
        <v>12</v>
      </c>
      <c r="I390" t="s">
        <v>14</v>
      </c>
      <c r="J390">
        <v>5373.36</v>
      </c>
      <c r="K390" t="str">
        <f t="shared" si="60"/>
        <v>30-35</v>
      </c>
      <c r="L390">
        <f t="shared" si="61"/>
        <v>0</v>
      </c>
      <c r="M390">
        <f t="shared" si="62"/>
        <v>0</v>
      </c>
      <c r="N390">
        <f t="shared" si="63"/>
        <v>0</v>
      </c>
      <c r="O390">
        <f t="shared" si="64"/>
        <v>1</v>
      </c>
      <c r="P390">
        <v>0.22296065887194472</v>
      </c>
      <c r="Q390">
        <f t="shared" si="65"/>
        <v>0</v>
      </c>
      <c r="R390">
        <f t="shared" si="66"/>
        <v>0</v>
      </c>
      <c r="S390">
        <f t="shared" si="67"/>
        <v>0</v>
      </c>
      <c r="T390">
        <f t="shared" si="68"/>
        <v>7636.1699999999992</v>
      </c>
      <c r="U390">
        <f t="shared" si="69"/>
        <v>-2262.8099999999995</v>
      </c>
    </row>
    <row r="391" spans="1:21" x14ac:dyDescent="0.3">
      <c r="A391">
        <v>390</v>
      </c>
      <c r="B391">
        <v>54</v>
      </c>
      <c r="C391" t="s">
        <v>16</v>
      </c>
      <c r="D391">
        <v>32.9</v>
      </c>
      <c r="E391">
        <v>91</v>
      </c>
      <c r="F391" t="s">
        <v>11</v>
      </c>
      <c r="G391">
        <v>2</v>
      </c>
      <c r="H391" t="s">
        <v>12</v>
      </c>
      <c r="I391" t="s">
        <v>15</v>
      </c>
      <c r="J391">
        <v>5375.04</v>
      </c>
      <c r="K391" t="str">
        <f t="shared" si="60"/>
        <v>30-35</v>
      </c>
      <c r="L391">
        <f t="shared" si="61"/>
        <v>0</v>
      </c>
      <c r="M391">
        <f t="shared" si="62"/>
        <v>0</v>
      </c>
      <c r="N391">
        <f t="shared" si="63"/>
        <v>1</v>
      </c>
      <c r="O391">
        <f t="shared" si="64"/>
        <v>0</v>
      </c>
      <c r="P391">
        <v>0.47253183299719526</v>
      </c>
      <c r="Q391">
        <f t="shared" si="65"/>
        <v>0</v>
      </c>
      <c r="R391">
        <f t="shared" si="66"/>
        <v>1</v>
      </c>
      <c r="S391">
        <f t="shared" si="67"/>
        <v>1</v>
      </c>
      <c r="T391">
        <f t="shared" si="68"/>
        <v>8885.0700000000015</v>
      </c>
      <c r="U391">
        <f t="shared" si="69"/>
        <v>-3510.0300000000016</v>
      </c>
    </row>
    <row r="392" spans="1:21" x14ac:dyDescent="0.3">
      <c r="A392">
        <v>391</v>
      </c>
      <c r="B392">
        <v>44</v>
      </c>
      <c r="C392" t="s">
        <v>10</v>
      </c>
      <c r="D392">
        <v>33.799999999999997</v>
      </c>
      <c r="E392">
        <v>96</v>
      </c>
      <c r="F392" t="s">
        <v>12</v>
      </c>
      <c r="G392">
        <v>1</v>
      </c>
      <c r="H392" t="s">
        <v>12</v>
      </c>
      <c r="I392" t="s">
        <v>14</v>
      </c>
      <c r="J392">
        <v>5377.46</v>
      </c>
      <c r="K392" t="str">
        <f t="shared" si="60"/>
        <v>30-35</v>
      </c>
      <c r="L392">
        <f t="shared" si="61"/>
        <v>0</v>
      </c>
      <c r="M392">
        <f t="shared" si="62"/>
        <v>0</v>
      </c>
      <c r="N392">
        <f t="shared" si="63"/>
        <v>0</v>
      </c>
      <c r="O392">
        <f t="shared" si="64"/>
        <v>1</v>
      </c>
      <c r="P392">
        <v>0.64893373393965703</v>
      </c>
      <c r="Q392">
        <f t="shared" si="65"/>
        <v>0</v>
      </c>
      <c r="R392">
        <f t="shared" si="66"/>
        <v>0</v>
      </c>
      <c r="S392">
        <f t="shared" si="67"/>
        <v>0</v>
      </c>
      <c r="T392">
        <f t="shared" si="68"/>
        <v>8666.7099999999991</v>
      </c>
      <c r="U392">
        <f t="shared" si="69"/>
        <v>-3289.2499999999991</v>
      </c>
    </row>
    <row r="393" spans="1:21" x14ac:dyDescent="0.3">
      <c r="A393">
        <v>392</v>
      </c>
      <c r="B393">
        <v>40</v>
      </c>
      <c r="C393" t="s">
        <v>16</v>
      </c>
      <c r="D393">
        <v>27.6</v>
      </c>
      <c r="E393">
        <v>92</v>
      </c>
      <c r="F393" t="s">
        <v>11</v>
      </c>
      <c r="G393">
        <v>0</v>
      </c>
      <c r="H393" t="s">
        <v>12</v>
      </c>
      <c r="I393" t="s">
        <v>15</v>
      </c>
      <c r="J393">
        <v>5383.54</v>
      </c>
      <c r="K393" t="str">
        <f t="shared" si="60"/>
        <v>25-30</v>
      </c>
      <c r="L393">
        <f t="shared" si="61"/>
        <v>0</v>
      </c>
      <c r="M393">
        <f t="shared" si="62"/>
        <v>0</v>
      </c>
      <c r="N393">
        <f t="shared" si="63"/>
        <v>1</v>
      </c>
      <c r="O393">
        <f t="shared" si="64"/>
        <v>0</v>
      </c>
      <c r="P393">
        <v>0.18285842204129232</v>
      </c>
      <c r="Q393">
        <f t="shared" si="65"/>
        <v>0</v>
      </c>
      <c r="R393">
        <f t="shared" si="66"/>
        <v>1</v>
      </c>
      <c r="S393">
        <f t="shared" si="67"/>
        <v>1</v>
      </c>
      <c r="T393">
        <f t="shared" si="68"/>
        <v>7132.9500000000007</v>
      </c>
      <c r="U393">
        <f t="shared" si="69"/>
        <v>-1749.4100000000008</v>
      </c>
    </row>
    <row r="394" spans="1:21" x14ac:dyDescent="0.3">
      <c r="A394">
        <v>393</v>
      </c>
      <c r="B394">
        <v>58</v>
      </c>
      <c r="C394" t="s">
        <v>16</v>
      </c>
      <c r="D394">
        <v>26.4</v>
      </c>
      <c r="E394">
        <v>88</v>
      </c>
      <c r="F394" t="s">
        <v>11</v>
      </c>
      <c r="G394">
        <v>1</v>
      </c>
      <c r="H394" t="s">
        <v>12</v>
      </c>
      <c r="I394" t="s">
        <v>14</v>
      </c>
      <c r="J394">
        <v>5385.34</v>
      </c>
      <c r="K394" t="str">
        <f t="shared" si="60"/>
        <v>25-30</v>
      </c>
      <c r="L394">
        <f t="shared" si="61"/>
        <v>0</v>
      </c>
      <c r="M394">
        <f t="shared" si="62"/>
        <v>0</v>
      </c>
      <c r="N394">
        <f t="shared" si="63"/>
        <v>0</v>
      </c>
      <c r="O394">
        <f t="shared" si="64"/>
        <v>1</v>
      </c>
      <c r="P394">
        <v>0.70573092592036268</v>
      </c>
      <c r="Q394">
        <f t="shared" si="65"/>
        <v>0</v>
      </c>
      <c r="R394">
        <f t="shared" si="66"/>
        <v>1</v>
      </c>
      <c r="S394">
        <f t="shared" si="67"/>
        <v>1</v>
      </c>
      <c r="T394">
        <f t="shared" si="68"/>
        <v>7115.2599999999993</v>
      </c>
      <c r="U394">
        <f t="shared" si="69"/>
        <v>-1729.9199999999992</v>
      </c>
    </row>
    <row r="395" spans="1:21" x14ac:dyDescent="0.3">
      <c r="A395">
        <v>394</v>
      </c>
      <c r="B395">
        <v>32</v>
      </c>
      <c r="C395" t="s">
        <v>16</v>
      </c>
      <c r="D395">
        <v>37.700000000000003</v>
      </c>
      <c r="E395">
        <v>96</v>
      </c>
      <c r="F395" t="s">
        <v>12</v>
      </c>
      <c r="G395">
        <v>0</v>
      </c>
      <c r="H395" t="s">
        <v>12</v>
      </c>
      <c r="I395" t="s">
        <v>13</v>
      </c>
      <c r="J395">
        <v>5397.62</v>
      </c>
      <c r="K395" t="str">
        <f t="shared" si="60"/>
        <v>35+</v>
      </c>
      <c r="L395">
        <f t="shared" si="61"/>
        <v>0</v>
      </c>
      <c r="M395">
        <f t="shared" si="62"/>
        <v>1</v>
      </c>
      <c r="N395">
        <f t="shared" si="63"/>
        <v>0</v>
      </c>
      <c r="O395">
        <f t="shared" si="64"/>
        <v>0</v>
      </c>
      <c r="P395">
        <v>0.12210334910951492</v>
      </c>
      <c r="Q395">
        <f t="shared" si="65"/>
        <v>0</v>
      </c>
      <c r="R395">
        <f t="shared" si="66"/>
        <v>0</v>
      </c>
      <c r="S395">
        <f t="shared" si="67"/>
        <v>1</v>
      </c>
      <c r="T395">
        <f t="shared" si="68"/>
        <v>8025.54</v>
      </c>
      <c r="U395">
        <f t="shared" si="69"/>
        <v>-2627.92</v>
      </c>
    </row>
    <row r="396" spans="1:21" x14ac:dyDescent="0.3">
      <c r="A396">
        <v>395</v>
      </c>
      <c r="B396">
        <v>29</v>
      </c>
      <c r="C396" t="s">
        <v>16</v>
      </c>
      <c r="D396">
        <v>40.200000000000003</v>
      </c>
      <c r="E396">
        <v>85</v>
      </c>
      <c r="F396" t="s">
        <v>11</v>
      </c>
      <c r="G396">
        <v>0</v>
      </c>
      <c r="H396" t="s">
        <v>12</v>
      </c>
      <c r="I396" t="s">
        <v>13</v>
      </c>
      <c r="J396">
        <v>5400.98</v>
      </c>
      <c r="K396" t="str">
        <f t="shared" si="60"/>
        <v>35+</v>
      </c>
      <c r="L396">
        <f t="shared" si="61"/>
        <v>0</v>
      </c>
      <c r="M396">
        <f t="shared" si="62"/>
        <v>1</v>
      </c>
      <c r="N396">
        <f t="shared" si="63"/>
        <v>0</v>
      </c>
      <c r="O396">
        <f t="shared" si="64"/>
        <v>0</v>
      </c>
      <c r="P396">
        <v>0.15421929542071056</v>
      </c>
      <c r="Q396">
        <f t="shared" si="65"/>
        <v>0</v>
      </c>
      <c r="R396">
        <f t="shared" si="66"/>
        <v>1</v>
      </c>
      <c r="S396">
        <f t="shared" si="67"/>
        <v>1</v>
      </c>
      <c r="T396">
        <f t="shared" si="68"/>
        <v>6418.58</v>
      </c>
      <c r="U396">
        <f t="shared" si="69"/>
        <v>-1017.6000000000004</v>
      </c>
    </row>
    <row r="397" spans="1:21" x14ac:dyDescent="0.3">
      <c r="A397">
        <v>396</v>
      </c>
      <c r="B397">
        <v>30</v>
      </c>
      <c r="C397" t="s">
        <v>10</v>
      </c>
      <c r="D397">
        <v>25.1</v>
      </c>
      <c r="E397">
        <v>100</v>
      </c>
      <c r="F397" t="s">
        <v>11</v>
      </c>
      <c r="G397">
        <v>0</v>
      </c>
      <c r="H397" t="s">
        <v>12</v>
      </c>
      <c r="I397" t="s">
        <v>13</v>
      </c>
      <c r="J397">
        <v>5415.66</v>
      </c>
      <c r="K397" t="str">
        <f t="shared" si="60"/>
        <v>25-30</v>
      </c>
      <c r="L397">
        <f t="shared" si="61"/>
        <v>0</v>
      </c>
      <c r="M397">
        <f t="shared" si="62"/>
        <v>1</v>
      </c>
      <c r="N397">
        <f t="shared" si="63"/>
        <v>0</v>
      </c>
      <c r="O397">
        <f t="shared" si="64"/>
        <v>0</v>
      </c>
      <c r="P397">
        <v>0.90404319436533065</v>
      </c>
      <c r="Q397">
        <f t="shared" si="65"/>
        <v>0</v>
      </c>
      <c r="R397">
        <f t="shared" si="66"/>
        <v>1</v>
      </c>
      <c r="S397">
        <f t="shared" si="67"/>
        <v>0</v>
      </c>
      <c r="T397">
        <f t="shared" si="68"/>
        <v>7075.1500000000005</v>
      </c>
      <c r="U397">
        <f t="shared" si="69"/>
        <v>-1659.4900000000007</v>
      </c>
    </row>
    <row r="398" spans="1:21" x14ac:dyDescent="0.3">
      <c r="A398">
        <v>397</v>
      </c>
      <c r="B398">
        <v>41</v>
      </c>
      <c r="C398" t="s">
        <v>10</v>
      </c>
      <c r="D398">
        <v>31.1</v>
      </c>
      <c r="E398">
        <v>86</v>
      </c>
      <c r="F398" t="s">
        <v>11</v>
      </c>
      <c r="G398">
        <v>3</v>
      </c>
      <c r="H398" t="s">
        <v>12</v>
      </c>
      <c r="I398" t="s">
        <v>14</v>
      </c>
      <c r="J398">
        <v>5425.02</v>
      </c>
      <c r="K398" t="str">
        <f t="shared" si="60"/>
        <v>30-35</v>
      </c>
      <c r="L398">
        <f t="shared" si="61"/>
        <v>0</v>
      </c>
      <c r="M398">
        <f t="shared" si="62"/>
        <v>0</v>
      </c>
      <c r="N398">
        <f t="shared" si="63"/>
        <v>0</v>
      </c>
      <c r="O398">
        <f t="shared" si="64"/>
        <v>1</v>
      </c>
      <c r="P398">
        <v>0.27017089269747263</v>
      </c>
      <c r="Q398">
        <f t="shared" si="65"/>
        <v>0</v>
      </c>
      <c r="R398">
        <f t="shared" si="66"/>
        <v>1</v>
      </c>
      <c r="S398">
        <f t="shared" si="67"/>
        <v>0</v>
      </c>
      <c r="T398">
        <f t="shared" si="68"/>
        <v>8251.2199999999993</v>
      </c>
      <c r="U398">
        <f t="shared" si="69"/>
        <v>-2826.1999999999989</v>
      </c>
    </row>
    <row r="399" spans="1:21" x14ac:dyDescent="0.3">
      <c r="A399">
        <v>398</v>
      </c>
      <c r="B399">
        <v>27</v>
      </c>
      <c r="C399" t="s">
        <v>10</v>
      </c>
      <c r="D399">
        <v>37.4</v>
      </c>
      <c r="E399">
        <v>83</v>
      </c>
      <c r="F399" t="s">
        <v>12</v>
      </c>
      <c r="G399">
        <v>3</v>
      </c>
      <c r="H399" t="s">
        <v>12</v>
      </c>
      <c r="I399" t="s">
        <v>13</v>
      </c>
      <c r="J399">
        <v>5428.73</v>
      </c>
      <c r="K399" t="str">
        <f t="shared" si="60"/>
        <v>35+</v>
      </c>
      <c r="L399">
        <f t="shared" si="61"/>
        <v>0</v>
      </c>
      <c r="M399">
        <f t="shared" si="62"/>
        <v>1</v>
      </c>
      <c r="N399">
        <f t="shared" si="63"/>
        <v>0</v>
      </c>
      <c r="O399">
        <f t="shared" si="64"/>
        <v>0</v>
      </c>
      <c r="P399">
        <v>0.65894168170609946</v>
      </c>
      <c r="Q399">
        <f t="shared" si="65"/>
        <v>0</v>
      </c>
      <c r="R399">
        <f t="shared" si="66"/>
        <v>0</v>
      </c>
      <c r="S399">
        <f t="shared" si="67"/>
        <v>0</v>
      </c>
      <c r="T399">
        <f t="shared" si="68"/>
        <v>7701.3900000000012</v>
      </c>
      <c r="U399">
        <f t="shared" si="69"/>
        <v>-2272.6600000000017</v>
      </c>
    </row>
    <row r="400" spans="1:21" x14ac:dyDescent="0.3">
      <c r="A400">
        <v>399</v>
      </c>
      <c r="B400">
        <v>29</v>
      </c>
      <c r="C400" t="s">
        <v>10</v>
      </c>
      <c r="D400">
        <v>41.7</v>
      </c>
      <c r="E400">
        <v>86</v>
      </c>
      <c r="F400" t="s">
        <v>11</v>
      </c>
      <c r="G400">
        <v>0</v>
      </c>
      <c r="H400" t="s">
        <v>12</v>
      </c>
      <c r="I400" t="s">
        <v>13</v>
      </c>
      <c r="J400">
        <v>5438.75</v>
      </c>
      <c r="K400" t="str">
        <f t="shared" si="60"/>
        <v>35+</v>
      </c>
      <c r="L400">
        <f t="shared" si="61"/>
        <v>0</v>
      </c>
      <c r="M400">
        <f t="shared" si="62"/>
        <v>1</v>
      </c>
      <c r="N400">
        <f t="shared" si="63"/>
        <v>0</v>
      </c>
      <c r="O400">
        <f t="shared" si="64"/>
        <v>0</v>
      </c>
      <c r="P400">
        <v>0.93799359967518314</v>
      </c>
      <c r="Q400">
        <f t="shared" si="65"/>
        <v>0</v>
      </c>
      <c r="R400">
        <f t="shared" si="66"/>
        <v>1</v>
      </c>
      <c r="S400">
        <f t="shared" si="67"/>
        <v>0</v>
      </c>
      <c r="T400">
        <f t="shared" si="68"/>
        <v>6261.47</v>
      </c>
      <c r="U400">
        <f t="shared" si="69"/>
        <v>-822.72000000000025</v>
      </c>
    </row>
    <row r="401" spans="1:21" x14ac:dyDescent="0.3">
      <c r="A401">
        <v>400</v>
      </c>
      <c r="B401">
        <v>27</v>
      </c>
      <c r="C401" t="s">
        <v>16</v>
      </c>
      <c r="D401">
        <v>19.899999999999999</v>
      </c>
      <c r="E401">
        <v>81</v>
      </c>
      <c r="F401" t="s">
        <v>12</v>
      </c>
      <c r="G401">
        <v>0</v>
      </c>
      <c r="H401" t="s">
        <v>12</v>
      </c>
      <c r="I401" t="s">
        <v>13</v>
      </c>
      <c r="J401">
        <v>5458.05</v>
      </c>
      <c r="K401" t="str">
        <f t="shared" si="60"/>
        <v>&lt;20</v>
      </c>
      <c r="L401">
        <f t="shared" si="61"/>
        <v>0</v>
      </c>
      <c r="M401">
        <f t="shared" si="62"/>
        <v>1</v>
      </c>
      <c r="N401">
        <f t="shared" si="63"/>
        <v>0</v>
      </c>
      <c r="O401">
        <f t="shared" si="64"/>
        <v>0</v>
      </c>
      <c r="P401">
        <v>0.20693166176044309</v>
      </c>
      <c r="Q401">
        <f t="shared" si="65"/>
        <v>0</v>
      </c>
      <c r="R401">
        <f t="shared" si="66"/>
        <v>0</v>
      </c>
      <c r="S401">
        <f t="shared" si="67"/>
        <v>1</v>
      </c>
      <c r="T401">
        <f t="shared" si="68"/>
        <v>4116.1900000000005</v>
      </c>
      <c r="U401">
        <f t="shared" si="69"/>
        <v>1341.8599999999997</v>
      </c>
    </row>
    <row r="402" spans="1:21" x14ac:dyDescent="0.3">
      <c r="A402">
        <v>401</v>
      </c>
      <c r="B402">
        <v>57</v>
      </c>
      <c r="C402" t="s">
        <v>16</v>
      </c>
      <c r="D402">
        <v>27.7</v>
      </c>
      <c r="E402">
        <v>97</v>
      </c>
      <c r="F402" t="s">
        <v>11</v>
      </c>
      <c r="G402">
        <v>0</v>
      </c>
      <c r="H402" t="s">
        <v>12</v>
      </c>
      <c r="I402" t="s">
        <v>13</v>
      </c>
      <c r="J402">
        <v>5469.01</v>
      </c>
      <c r="K402" t="str">
        <f t="shared" si="60"/>
        <v>25-30</v>
      </c>
      <c r="L402">
        <f t="shared" si="61"/>
        <v>0</v>
      </c>
      <c r="M402">
        <f t="shared" si="62"/>
        <v>1</v>
      </c>
      <c r="N402">
        <f t="shared" si="63"/>
        <v>0</v>
      </c>
      <c r="O402">
        <f t="shared" si="64"/>
        <v>0</v>
      </c>
      <c r="P402">
        <v>0.90527709711017468</v>
      </c>
      <c r="Q402">
        <f t="shared" si="65"/>
        <v>0</v>
      </c>
      <c r="R402">
        <f t="shared" si="66"/>
        <v>1</v>
      </c>
      <c r="S402">
        <f t="shared" si="67"/>
        <v>1</v>
      </c>
      <c r="T402">
        <f t="shared" si="68"/>
        <v>7229.07</v>
      </c>
      <c r="U402">
        <f t="shared" si="69"/>
        <v>-1760.0599999999995</v>
      </c>
    </row>
    <row r="403" spans="1:21" x14ac:dyDescent="0.3">
      <c r="A403">
        <v>402</v>
      </c>
      <c r="B403">
        <v>43</v>
      </c>
      <c r="C403" t="s">
        <v>16</v>
      </c>
      <c r="D403">
        <v>25.9</v>
      </c>
      <c r="E403">
        <v>99</v>
      </c>
      <c r="F403" t="s">
        <v>12</v>
      </c>
      <c r="G403">
        <v>1</v>
      </c>
      <c r="H403" t="s">
        <v>12</v>
      </c>
      <c r="I403" t="s">
        <v>15</v>
      </c>
      <c r="J403">
        <v>5472.45</v>
      </c>
      <c r="K403" t="str">
        <f t="shared" si="60"/>
        <v>25-30</v>
      </c>
      <c r="L403">
        <f t="shared" si="61"/>
        <v>0</v>
      </c>
      <c r="M403">
        <f t="shared" si="62"/>
        <v>0</v>
      </c>
      <c r="N403">
        <f t="shared" si="63"/>
        <v>1</v>
      </c>
      <c r="O403">
        <f t="shared" si="64"/>
        <v>0</v>
      </c>
      <c r="P403">
        <v>0.6113937825891248</v>
      </c>
      <c r="Q403">
        <f t="shared" si="65"/>
        <v>0</v>
      </c>
      <c r="R403">
        <f t="shared" si="66"/>
        <v>0</v>
      </c>
      <c r="S403">
        <f t="shared" si="67"/>
        <v>1</v>
      </c>
      <c r="T403">
        <f t="shared" si="68"/>
        <v>8908.1899999999987</v>
      </c>
      <c r="U403">
        <f t="shared" si="69"/>
        <v>-3435.7399999999989</v>
      </c>
    </row>
    <row r="404" spans="1:21" x14ac:dyDescent="0.3">
      <c r="A404">
        <v>403</v>
      </c>
      <c r="B404">
        <v>55</v>
      </c>
      <c r="C404" t="s">
        <v>16</v>
      </c>
      <c r="D404">
        <v>29.9</v>
      </c>
      <c r="E404">
        <v>89</v>
      </c>
      <c r="F404" t="s">
        <v>12</v>
      </c>
      <c r="G404">
        <v>1</v>
      </c>
      <c r="H404" t="s">
        <v>12</v>
      </c>
      <c r="I404" t="s">
        <v>13</v>
      </c>
      <c r="J404">
        <v>5478.04</v>
      </c>
      <c r="K404" t="str">
        <f t="shared" si="60"/>
        <v>25-30</v>
      </c>
      <c r="L404">
        <f t="shared" si="61"/>
        <v>0</v>
      </c>
      <c r="M404">
        <f t="shared" si="62"/>
        <v>1</v>
      </c>
      <c r="N404">
        <f t="shared" si="63"/>
        <v>0</v>
      </c>
      <c r="O404">
        <f t="shared" si="64"/>
        <v>0</v>
      </c>
      <c r="P404">
        <v>0.57442563859432694</v>
      </c>
      <c r="Q404">
        <f t="shared" si="65"/>
        <v>0</v>
      </c>
      <c r="R404">
        <f t="shared" si="66"/>
        <v>0</v>
      </c>
      <c r="S404">
        <f t="shared" si="67"/>
        <v>1</v>
      </c>
      <c r="T404">
        <f t="shared" si="68"/>
        <v>6950.31</v>
      </c>
      <c r="U404">
        <f t="shared" si="69"/>
        <v>-1472.2700000000004</v>
      </c>
    </row>
    <row r="405" spans="1:21" x14ac:dyDescent="0.3">
      <c r="A405">
        <v>404</v>
      </c>
      <c r="B405">
        <v>47</v>
      </c>
      <c r="C405" t="s">
        <v>10</v>
      </c>
      <c r="D405">
        <v>28.3</v>
      </c>
      <c r="E405">
        <v>91</v>
      </c>
      <c r="F405" t="s">
        <v>11</v>
      </c>
      <c r="G405">
        <v>1</v>
      </c>
      <c r="H405" t="s">
        <v>12</v>
      </c>
      <c r="I405" t="s">
        <v>13</v>
      </c>
      <c r="J405">
        <v>5484.47</v>
      </c>
      <c r="K405" t="str">
        <f t="shared" si="60"/>
        <v>25-30</v>
      </c>
      <c r="L405">
        <f t="shared" si="61"/>
        <v>0</v>
      </c>
      <c r="M405">
        <f t="shared" si="62"/>
        <v>1</v>
      </c>
      <c r="N405">
        <f t="shared" si="63"/>
        <v>0</v>
      </c>
      <c r="O405">
        <f t="shared" si="64"/>
        <v>0</v>
      </c>
      <c r="P405">
        <v>0.96402894070114364</v>
      </c>
      <c r="Q405">
        <f t="shared" si="65"/>
        <v>0</v>
      </c>
      <c r="R405">
        <f t="shared" si="66"/>
        <v>1</v>
      </c>
      <c r="S405">
        <f t="shared" si="67"/>
        <v>0</v>
      </c>
      <c r="T405">
        <f t="shared" si="68"/>
        <v>6628.920000000001</v>
      </c>
      <c r="U405">
        <f t="shared" si="69"/>
        <v>-1144.4500000000007</v>
      </c>
    </row>
    <row r="406" spans="1:21" x14ac:dyDescent="0.3">
      <c r="A406">
        <v>405</v>
      </c>
      <c r="B406">
        <v>23</v>
      </c>
      <c r="C406" t="s">
        <v>10</v>
      </c>
      <c r="D406">
        <v>31</v>
      </c>
      <c r="E406">
        <v>90</v>
      </c>
      <c r="F406" t="s">
        <v>12</v>
      </c>
      <c r="G406">
        <v>1</v>
      </c>
      <c r="H406" t="s">
        <v>12</v>
      </c>
      <c r="I406" t="s">
        <v>15</v>
      </c>
      <c r="J406">
        <v>5488.26</v>
      </c>
      <c r="K406" t="str">
        <f t="shared" si="60"/>
        <v>30-35</v>
      </c>
      <c r="L406">
        <f t="shared" si="61"/>
        <v>0</v>
      </c>
      <c r="M406">
        <f t="shared" si="62"/>
        <v>0</v>
      </c>
      <c r="N406">
        <f t="shared" si="63"/>
        <v>1</v>
      </c>
      <c r="O406">
        <f t="shared" si="64"/>
        <v>0</v>
      </c>
      <c r="P406">
        <v>1.69081768793371E-2</v>
      </c>
      <c r="Q406">
        <f t="shared" si="65"/>
        <v>0</v>
      </c>
      <c r="R406">
        <f t="shared" si="66"/>
        <v>0</v>
      </c>
      <c r="S406">
        <f t="shared" si="67"/>
        <v>0</v>
      </c>
      <c r="T406">
        <f t="shared" si="68"/>
        <v>7488.58</v>
      </c>
      <c r="U406">
        <f t="shared" si="69"/>
        <v>-2000.3199999999997</v>
      </c>
    </row>
    <row r="407" spans="1:21" x14ac:dyDescent="0.3">
      <c r="A407">
        <v>406</v>
      </c>
      <c r="B407">
        <v>20</v>
      </c>
      <c r="C407" t="s">
        <v>10</v>
      </c>
      <c r="D407">
        <v>34.4</v>
      </c>
      <c r="E407">
        <v>93</v>
      </c>
      <c r="F407" t="s">
        <v>12</v>
      </c>
      <c r="G407">
        <v>2</v>
      </c>
      <c r="H407" t="s">
        <v>12</v>
      </c>
      <c r="I407" t="s">
        <v>13</v>
      </c>
      <c r="J407">
        <v>5584.31</v>
      </c>
      <c r="K407" t="str">
        <f t="shared" si="60"/>
        <v>30-35</v>
      </c>
      <c r="L407">
        <f t="shared" si="61"/>
        <v>0</v>
      </c>
      <c r="M407">
        <f t="shared" si="62"/>
        <v>1</v>
      </c>
      <c r="N407">
        <f t="shared" si="63"/>
        <v>0</v>
      </c>
      <c r="O407">
        <f t="shared" si="64"/>
        <v>0</v>
      </c>
      <c r="P407">
        <v>0.98335695698542891</v>
      </c>
      <c r="Q407">
        <f t="shared" si="65"/>
        <v>0</v>
      </c>
      <c r="R407">
        <f t="shared" si="66"/>
        <v>0</v>
      </c>
      <c r="S407">
        <f t="shared" si="67"/>
        <v>0</v>
      </c>
      <c r="T407">
        <f t="shared" si="68"/>
        <v>8311.51</v>
      </c>
      <c r="U407">
        <f t="shared" si="69"/>
        <v>-2727.2</v>
      </c>
    </row>
    <row r="408" spans="1:21" x14ac:dyDescent="0.3">
      <c r="A408">
        <v>407</v>
      </c>
      <c r="B408">
        <v>43</v>
      </c>
      <c r="C408" t="s">
        <v>16</v>
      </c>
      <c r="D408">
        <v>33.299999999999997</v>
      </c>
      <c r="E408">
        <v>94</v>
      </c>
      <c r="F408" t="s">
        <v>11</v>
      </c>
      <c r="G408">
        <v>1</v>
      </c>
      <c r="H408" t="s">
        <v>12</v>
      </c>
      <c r="I408" t="s">
        <v>13</v>
      </c>
      <c r="J408">
        <v>5594.85</v>
      </c>
      <c r="K408" t="str">
        <f t="shared" si="60"/>
        <v>30-35</v>
      </c>
      <c r="L408">
        <f t="shared" si="61"/>
        <v>0</v>
      </c>
      <c r="M408">
        <f t="shared" si="62"/>
        <v>1</v>
      </c>
      <c r="N408">
        <f t="shared" si="63"/>
        <v>0</v>
      </c>
      <c r="O408">
        <f t="shared" si="64"/>
        <v>0</v>
      </c>
      <c r="P408">
        <v>0.38653019604457151</v>
      </c>
      <c r="Q408">
        <f t="shared" si="65"/>
        <v>0</v>
      </c>
      <c r="R408">
        <f t="shared" si="66"/>
        <v>1</v>
      </c>
      <c r="S408">
        <f t="shared" si="67"/>
        <v>1</v>
      </c>
      <c r="T408">
        <f t="shared" si="68"/>
        <v>7985.26</v>
      </c>
      <c r="U408">
        <f t="shared" si="69"/>
        <v>-2390.41</v>
      </c>
    </row>
    <row r="409" spans="1:21" x14ac:dyDescent="0.3">
      <c r="A409">
        <v>408</v>
      </c>
      <c r="B409">
        <v>31</v>
      </c>
      <c r="C409" t="s">
        <v>10</v>
      </c>
      <c r="D409">
        <v>24.3</v>
      </c>
      <c r="E409">
        <v>83</v>
      </c>
      <c r="F409" t="s">
        <v>11</v>
      </c>
      <c r="G409">
        <v>5</v>
      </c>
      <c r="H409" t="s">
        <v>12</v>
      </c>
      <c r="I409" t="s">
        <v>15</v>
      </c>
      <c r="J409">
        <v>5615.37</v>
      </c>
      <c r="K409" t="str">
        <f t="shared" si="60"/>
        <v>20-25</v>
      </c>
      <c r="L409">
        <f t="shared" si="61"/>
        <v>0</v>
      </c>
      <c r="M409">
        <f t="shared" si="62"/>
        <v>0</v>
      </c>
      <c r="N409">
        <f t="shared" si="63"/>
        <v>1</v>
      </c>
      <c r="O409">
        <f t="shared" si="64"/>
        <v>0</v>
      </c>
      <c r="P409">
        <v>0.87094706636674968</v>
      </c>
      <c r="Q409">
        <f t="shared" si="65"/>
        <v>0</v>
      </c>
      <c r="R409">
        <f t="shared" si="66"/>
        <v>1</v>
      </c>
      <c r="S409">
        <f t="shared" si="67"/>
        <v>0</v>
      </c>
      <c r="T409">
        <f t="shared" si="68"/>
        <v>8672.26</v>
      </c>
      <c r="U409">
        <f t="shared" si="69"/>
        <v>-3056.8900000000003</v>
      </c>
    </row>
    <row r="410" spans="1:21" x14ac:dyDescent="0.3">
      <c r="A410">
        <v>409</v>
      </c>
      <c r="B410">
        <v>57</v>
      </c>
      <c r="C410" t="s">
        <v>16</v>
      </c>
      <c r="D410">
        <v>35.799999999999997</v>
      </c>
      <c r="E410">
        <v>85</v>
      </c>
      <c r="F410" t="s">
        <v>11</v>
      </c>
      <c r="G410">
        <v>1</v>
      </c>
      <c r="H410" t="s">
        <v>12</v>
      </c>
      <c r="I410" t="s">
        <v>14</v>
      </c>
      <c r="J410">
        <v>5630.46</v>
      </c>
      <c r="K410" t="str">
        <f t="shared" si="60"/>
        <v>35+</v>
      </c>
      <c r="L410">
        <f t="shared" si="61"/>
        <v>0</v>
      </c>
      <c r="M410">
        <f t="shared" si="62"/>
        <v>0</v>
      </c>
      <c r="N410">
        <f t="shared" si="63"/>
        <v>0</v>
      </c>
      <c r="O410">
        <f t="shared" si="64"/>
        <v>1</v>
      </c>
      <c r="P410">
        <v>0.23213002496768265</v>
      </c>
      <c r="Q410">
        <f t="shared" si="65"/>
        <v>0</v>
      </c>
      <c r="R410">
        <f t="shared" si="66"/>
        <v>1</v>
      </c>
      <c r="S410">
        <f t="shared" si="67"/>
        <v>1</v>
      </c>
      <c r="T410">
        <f t="shared" si="68"/>
        <v>7441.4699999999984</v>
      </c>
      <c r="U410">
        <f t="shared" si="69"/>
        <v>-1811.0099999999984</v>
      </c>
    </row>
    <row r="411" spans="1:21" x14ac:dyDescent="0.3">
      <c r="A411">
        <v>410</v>
      </c>
      <c r="B411">
        <v>54</v>
      </c>
      <c r="C411" t="s">
        <v>16</v>
      </c>
      <c r="D411">
        <v>32.799999999999997</v>
      </c>
      <c r="E411">
        <v>86</v>
      </c>
      <c r="F411" t="s">
        <v>11</v>
      </c>
      <c r="G411">
        <v>0</v>
      </c>
      <c r="H411" t="s">
        <v>12</v>
      </c>
      <c r="I411" t="s">
        <v>15</v>
      </c>
      <c r="J411">
        <v>5649.72</v>
      </c>
      <c r="K411" t="str">
        <f t="shared" si="60"/>
        <v>30-35</v>
      </c>
      <c r="L411">
        <f t="shared" si="61"/>
        <v>0</v>
      </c>
      <c r="M411">
        <f t="shared" si="62"/>
        <v>0</v>
      </c>
      <c r="N411">
        <f t="shared" si="63"/>
        <v>1</v>
      </c>
      <c r="O411">
        <f t="shared" si="64"/>
        <v>0</v>
      </c>
      <c r="P411">
        <v>2.1349953403279498E-2</v>
      </c>
      <c r="Q411">
        <f t="shared" si="65"/>
        <v>0</v>
      </c>
      <c r="R411">
        <f t="shared" si="66"/>
        <v>1</v>
      </c>
      <c r="S411">
        <f t="shared" si="67"/>
        <v>1</v>
      </c>
      <c r="T411">
        <f t="shared" si="68"/>
        <v>6602.0899999999983</v>
      </c>
      <c r="U411">
        <f t="shared" si="69"/>
        <v>-952.36999999999807</v>
      </c>
    </row>
    <row r="412" spans="1:21" x14ac:dyDescent="0.3">
      <c r="A412">
        <v>411</v>
      </c>
      <c r="B412">
        <v>25</v>
      </c>
      <c r="C412" t="s">
        <v>16</v>
      </c>
      <c r="D412">
        <v>41.8</v>
      </c>
      <c r="E412">
        <v>95</v>
      </c>
      <c r="F412" t="s">
        <v>11</v>
      </c>
      <c r="G412">
        <v>0</v>
      </c>
      <c r="H412" t="s">
        <v>12</v>
      </c>
      <c r="I412" t="s">
        <v>13</v>
      </c>
      <c r="J412">
        <v>5662.23</v>
      </c>
      <c r="K412" t="str">
        <f t="shared" si="60"/>
        <v>35+</v>
      </c>
      <c r="L412">
        <f t="shared" si="61"/>
        <v>0</v>
      </c>
      <c r="M412">
        <f t="shared" si="62"/>
        <v>1</v>
      </c>
      <c r="N412">
        <f t="shared" si="63"/>
        <v>0</v>
      </c>
      <c r="O412">
        <f t="shared" si="64"/>
        <v>0</v>
      </c>
      <c r="P412">
        <v>0.27773764879903762</v>
      </c>
      <c r="Q412">
        <f t="shared" si="65"/>
        <v>0</v>
      </c>
      <c r="R412">
        <f t="shared" si="66"/>
        <v>1</v>
      </c>
      <c r="S412">
        <f t="shared" si="67"/>
        <v>1</v>
      </c>
      <c r="T412">
        <f t="shared" si="68"/>
        <v>8156.4000000000015</v>
      </c>
      <c r="U412">
        <f t="shared" si="69"/>
        <v>-2494.1700000000019</v>
      </c>
    </row>
    <row r="413" spans="1:21" x14ac:dyDescent="0.3">
      <c r="A413">
        <v>412</v>
      </c>
      <c r="B413">
        <v>26</v>
      </c>
      <c r="C413" t="s">
        <v>16</v>
      </c>
      <c r="D413">
        <v>20</v>
      </c>
      <c r="E413">
        <v>94</v>
      </c>
      <c r="F413" t="s">
        <v>11</v>
      </c>
      <c r="G413">
        <v>3</v>
      </c>
      <c r="H413" t="s">
        <v>12</v>
      </c>
      <c r="I413" t="s">
        <v>14</v>
      </c>
      <c r="J413">
        <v>5693.43</v>
      </c>
      <c r="K413" t="str">
        <f t="shared" si="60"/>
        <v>20-25</v>
      </c>
      <c r="L413">
        <f t="shared" si="61"/>
        <v>0</v>
      </c>
      <c r="M413">
        <f t="shared" si="62"/>
        <v>0</v>
      </c>
      <c r="N413">
        <f t="shared" si="63"/>
        <v>0</v>
      </c>
      <c r="O413">
        <f t="shared" si="64"/>
        <v>1</v>
      </c>
      <c r="P413">
        <v>0.31785834701317217</v>
      </c>
      <c r="Q413">
        <f t="shared" si="65"/>
        <v>0</v>
      </c>
      <c r="R413">
        <f t="shared" si="66"/>
        <v>1</v>
      </c>
      <c r="S413">
        <f t="shared" si="67"/>
        <v>1</v>
      </c>
      <c r="T413">
        <f t="shared" si="68"/>
        <v>9043.0400000000027</v>
      </c>
      <c r="U413">
        <f t="shared" si="69"/>
        <v>-3349.6100000000024</v>
      </c>
    </row>
    <row r="414" spans="1:21" x14ac:dyDescent="0.3">
      <c r="A414">
        <v>413</v>
      </c>
      <c r="B414">
        <v>38</v>
      </c>
      <c r="C414" t="s">
        <v>10</v>
      </c>
      <c r="D414">
        <v>33.6</v>
      </c>
      <c r="E414">
        <v>100</v>
      </c>
      <c r="F414" t="s">
        <v>11</v>
      </c>
      <c r="G414">
        <v>0</v>
      </c>
      <c r="H414" t="s">
        <v>12</v>
      </c>
      <c r="I414" t="s">
        <v>13</v>
      </c>
      <c r="J414">
        <v>5699.84</v>
      </c>
      <c r="K414" t="str">
        <f t="shared" si="60"/>
        <v>30-35</v>
      </c>
      <c r="L414">
        <f t="shared" si="61"/>
        <v>0</v>
      </c>
      <c r="M414">
        <f t="shared" si="62"/>
        <v>1</v>
      </c>
      <c r="N414">
        <f t="shared" si="63"/>
        <v>0</v>
      </c>
      <c r="O414">
        <f t="shared" si="64"/>
        <v>0</v>
      </c>
      <c r="P414">
        <v>0.57154677937297071</v>
      </c>
      <c r="Q414">
        <f t="shared" si="65"/>
        <v>0</v>
      </c>
      <c r="R414">
        <f t="shared" si="66"/>
        <v>1</v>
      </c>
      <c r="S414">
        <f t="shared" si="67"/>
        <v>0</v>
      </c>
      <c r="T414">
        <f t="shared" si="68"/>
        <v>7791.6600000000008</v>
      </c>
      <c r="U414">
        <f t="shared" si="69"/>
        <v>-2091.8200000000006</v>
      </c>
    </row>
    <row r="415" spans="1:21" x14ac:dyDescent="0.3">
      <c r="A415">
        <v>414</v>
      </c>
      <c r="B415">
        <v>43</v>
      </c>
      <c r="C415" t="s">
        <v>16</v>
      </c>
      <c r="D415">
        <v>25.6</v>
      </c>
      <c r="E415">
        <v>82</v>
      </c>
      <c r="F415" t="s">
        <v>12</v>
      </c>
      <c r="G415">
        <v>4</v>
      </c>
      <c r="H415" t="s">
        <v>12</v>
      </c>
      <c r="I415" t="s">
        <v>15</v>
      </c>
      <c r="J415">
        <v>5708.87</v>
      </c>
      <c r="K415" t="str">
        <f t="shared" si="60"/>
        <v>25-30</v>
      </c>
      <c r="L415">
        <f t="shared" si="61"/>
        <v>0</v>
      </c>
      <c r="M415">
        <f t="shared" si="62"/>
        <v>0</v>
      </c>
      <c r="N415">
        <f t="shared" si="63"/>
        <v>1</v>
      </c>
      <c r="O415">
        <f t="shared" si="64"/>
        <v>0</v>
      </c>
      <c r="P415">
        <v>0.42689698679767585</v>
      </c>
      <c r="Q415">
        <f t="shared" si="65"/>
        <v>0</v>
      </c>
      <c r="R415">
        <f t="shared" si="66"/>
        <v>0</v>
      </c>
      <c r="S415">
        <f t="shared" si="67"/>
        <v>1</v>
      </c>
      <c r="T415">
        <f t="shared" si="68"/>
        <v>8384.2300000000014</v>
      </c>
      <c r="U415">
        <f t="shared" si="69"/>
        <v>-2675.3600000000015</v>
      </c>
    </row>
    <row r="416" spans="1:21" x14ac:dyDescent="0.3">
      <c r="A416">
        <v>415</v>
      </c>
      <c r="B416">
        <v>20</v>
      </c>
      <c r="C416" t="s">
        <v>10</v>
      </c>
      <c r="D416">
        <v>40.299999999999997</v>
      </c>
      <c r="E416">
        <v>81</v>
      </c>
      <c r="F416" t="s">
        <v>11</v>
      </c>
      <c r="G416">
        <v>0</v>
      </c>
      <c r="H416" t="s">
        <v>12</v>
      </c>
      <c r="I416" t="s">
        <v>13</v>
      </c>
      <c r="J416">
        <v>5709.16</v>
      </c>
      <c r="K416" t="str">
        <f t="shared" si="60"/>
        <v>35+</v>
      </c>
      <c r="L416">
        <f t="shared" si="61"/>
        <v>0</v>
      </c>
      <c r="M416">
        <f t="shared" si="62"/>
        <v>1</v>
      </c>
      <c r="N416">
        <f t="shared" si="63"/>
        <v>0</v>
      </c>
      <c r="O416">
        <f t="shared" si="64"/>
        <v>0</v>
      </c>
      <c r="P416">
        <v>0.43960280479459068</v>
      </c>
      <c r="Q416">
        <f t="shared" si="65"/>
        <v>0</v>
      </c>
      <c r="R416">
        <f t="shared" si="66"/>
        <v>1</v>
      </c>
      <c r="S416">
        <f t="shared" si="67"/>
        <v>0</v>
      </c>
      <c r="T416">
        <f t="shared" si="68"/>
        <v>5355.3400000000011</v>
      </c>
      <c r="U416">
        <f t="shared" si="69"/>
        <v>353.8199999999988</v>
      </c>
    </row>
    <row r="417" spans="1:21" x14ac:dyDescent="0.3">
      <c r="A417">
        <v>416</v>
      </c>
      <c r="B417">
        <v>22</v>
      </c>
      <c r="C417" t="s">
        <v>10</v>
      </c>
      <c r="D417">
        <v>34.799999999999997</v>
      </c>
      <c r="E417">
        <v>89</v>
      </c>
      <c r="F417" t="s">
        <v>12</v>
      </c>
      <c r="G417">
        <v>2</v>
      </c>
      <c r="H417" t="s">
        <v>12</v>
      </c>
      <c r="I417" t="s">
        <v>14</v>
      </c>
      <c r="J417">
        <v>5729.01</v>
      </c>
      <c r="K417" t="str">
        <f t="shared" si="60"/>
        <v>30-35</v>
      </c>
      <c r="L417">
        <f t="shared" si="61"/>
        <v>0</v>
      </c>
      <c r="M417">
        <f t="shared" si="62"/>
        <v>0</v>
      </c>
      <c r="N417">
        <f t="shared" si="63"/>
        <v>0</v>
      </c>
      <c r="O417">
        <f t="shared" si="64"/>
        <v>1</v>
      </c>
      <c r="P417">
        <v>9.6189288766858394E-2</v>
      </c>
      <c r="Q417">
        <f t="shared" si="65"/>
        <v>0</v>
      </c>
      <c r="R417">
        <f t="shared" si="66"/>
        <v>0</v>
      </c>
      <c r="S417">
        <f t="shared" si="67"/>
        <v>0</v>
      </c>
      <c r="T417">
        <f t="shared" si="68"/>
        <v>8401.48</v>
      </c>
      <c r="U417">
        <f t="shared" si="69"/>
        <v>-2672.4699999999993</v>
      </c>
    </row>
    <row r="418" spans="1:21" x14ac:dyDescent="0.3">
      <c r="A418">
        <v>417</v>
      </c>
      <c r="B418">
        <v>23</v>
      </c>
      <c r="C418" t="s">
        <v>10</v>
      </c>
      <c r="D418">
        <v>42.7</v>
      </c>
      <c r="E418">
        <v>82</v>
      </c>
      <c r="F418" t="s">
        <v>12</v>
      </c>
      <c r="G418">
        <v>0</v>
      </c>
      <c r="H418" t="s">
        <v>12</v>
      </c>
      <c r="I418" t="s">
        <v>13</v>
      </c>
      <c r="J418">
        <v>5757.41</v>
      </c>
      <c r="K418" t="str">
        <f t="shared" si="60"/>
        <v>35+</v>
      </c>
      <c r="L418">
        <f t="shared" si="61"/>
        <v>0</v>
      </c>
      <c r="M418">
        <f t="shared" si="62"/>
        <v>1</v>
      </c>
      <c r="N418">
        <f t="shared" si="63"/>
        <v>0</v>
      </c>
      <c r="O418">
        <f t="shared" si="64"/>
        <v>0</v>
      </c>
      <c r="P418">
        <v>0.49500821608968493</v>
      </c>
      <c r="Q418">
        <f t="shared" si="65"/>
        <v>0</v>
      </c>
      <c r="R418">
        <f t="shared" si="66"/>
        <v>0</v>
      </c>
      <c r="S418">
        <f t="shared" si="67"/>
        <v>0</v>
      </c>
      <c r="T418">
        <f t="shared" si="68"/>
        <v>5785.3500000000022</v>
      </c>
      <c r="U418">
        <f t="shared" si="69"/>
        <v>-27.940000000002328</v>
      </c>
    </row>
    <row r="419" spans="1:21" x14ac:dyDescent="0.3">
      <c r="A419">
        <v>418</v>
      </c>
      <c r="B419">
        <v>41</v>
      </c>
      <c r="C419" t="s">
        <v>16</v>
      </c>
      <c r="D419">
        <v>35.9</v>
      </c>
      <c r="E419">
        <v>82</v>
      </c>
      <c r="F419" t="s">
        <v>12</v>
      </c>
      <c r="G419">
        <v>2</v>
      </c>
      <c r="H419" t="s">
        <v>12</v>
      </c>
      <c r="I419" t="s">
        <v>13</v>
      </c>
      <c r="J419">
        <v>5836.52</v>
      </c>
      <c r="K419" t="str">
        <f t="shared" si="60"/>
        <v>35+</v>
      </c>
      <c r="L419">
        <f t="shared" si="61"/>
        <v>0</v>
      </c>
      <c r="M419">
        <f t="shared" si="62"/>
        <v>1</v>
      </c>
      <c r="N419">
        <f t="shared" si="63"/>
        <v>0</v>
      </c>
      <c r="O419">
        <f t="shared" si="64"/>
        <v>0</v>
      </c>
      <c r="P419">
        <v>0.13813917208605897</v>
      </c>
      <c r="Q419">
        <f t="shared" si="65"/>
        <v>0</v>
      </c>
      <c r="R419">
        <f t="shared" si="66"/>
        <v>0</v>
      </c>
      <c r="S419">
        <f t="shared" si="67"/>
        <v>1</v>
      </c>
      <c r="T419">
        <f t="shared" si="68"/>
        <v>7102.3400000000011</v>
      </c>
      <c r="U419">
        <f t="shared" si="69"/>
        <v>-1265.8200000000006</v>
      </c>
    </row>
    <row r="420" spans="1:21" x14ac:dyDescent="0.3">
      <c r="A420">
        <v>419</v>
      </c>
      <c r="B420">
        <v>28</v>
      </c>
      <c r="C420" t="s">
        <v>16</v>
      </c>
      <c r="D420">
        <v>43.3</v>
      </c>
      <c r="E420">
        <v>90</v>
      </c>
      <c r="F420" t="s">
        <v>12</v>
      </c>
      <c r="G420">
        <v>2</v>
      </c>
      <c r="H420" t="s">
        <v>12</v>
      </c>
      <c r="I420" t="s">
        <v>13</v>
      </c>
      <c r="J420">
        <v>5846.92</v>
      </c>
      <c r="K420" t="str">
        <f t="shared" si="60"/>
        <v>35+</v>
      </c>
      <c r="L420">
        <f t="shared" si="61"/>
        <v>0</v>
      </c>
      <c r="M420">
        <f t="shared" si="62"/>
        <v>1</v>
      </c>
      <c r="N420">
        <f t="shared" si="63"/>
        <v>0</v>
      </c>
      <c r="O420">
        <f t="shared" si="64"/>
        <v>0</v>
      </c>
      <c r="P420">
        <v>0.7119280375985434</v>
      </c>
      <c r="Q420">
        <f t="shared" si="65"/>
        <v>0</v>
      </c>
      <c r="R420">
        <f t="shared" si="66"/>
        <v>0</v>
      </c>
      <c r="S420">
        <f t="shared" si="67"/>
        <v>1</v>
      </c>
      <c r="T420">
        <f t="shared" si="68"/>
        <v>9028.4000000000015</v>
      </c>
      <c r="U420">
        <f t="shared" si="69"/>
        <v>-3181.4800000000014</v>
      </c>
    </row>
    <row r="421" spans="1:21" x14ac:dyDescent="0.3">
      <c r="A421">
        <v>420</v>
      </c>
      <c r="B421">
        <v>37</v>
      </c>
      <c r="C421" t="s">
        <v>10</v>
      </c>
      <c r="D421">
        <v>20</v>
      </c>
      <c r="E421">
        <v>91</v>
      </c>
      <c r="F421" t="s">
        <v>12</v>
      </c>
      <c r="G421">
        <v>1</v>
      </c>
      <c r="H421" t="s">
        <v>12</v>
      </c>
      <c r="I421" t="s">
        <v>14</v>
      </c>
      <c r="J421">
        <v>5855.9</v>
      </c>
      <c r="K421" t="str">
        <f t="shared" si="60"/>
        <v>20-25</v>
      </c>
      <c r="L421">
        <f t="shared" si="61"/>
        <v>0</v>
      </c>
      <c r="M421">
        <f t="shared" si="62"/>
        <v>0</v>
      </c>
      <c r="N421">
        <f t="shared" si="63"/>
        <v>0</v>
      </c>
      <c r="O421">
        <f t="shared" si="64"/>
        <v>1</v>
      </c>
      <c r="P421">
        <v>0.61052208560893684</v>
      </c>
      <c r="Q421">
        <f t="shared" si="65"/>
        <v>0</v>
      </c>
      <c r="R421">
        <f t="shared" si="66"/>
        <v>0</v>
      </c>
      <c r="S421">
        <f t="shared" si="67"/>
        <v>0</v>
      </c>
      <c r="T421">
        <f t="shared" si="68"/>
        <v>6697.8200000000006</v>
      </c>
      <c r="U421">
        <f t="shared" si="69"/>
        <v>-841.92000000000098</v>
      </c>
    </row>
    <row r="422" spans="1:21" x14ac:dyDescent="0.3">
      <c r="A422">
        <v>421</v>
      </c>
      <c r="B422">
        <v>58</v>
      </c>
      <c r="C422" t="s">
        <v>16</v>
      </c>
      <c r="D422">
        <v>29.6</v>
      </c>
      <c r="E422">
        <v>95</v>
      </c>
      <c r="F422" t="s">
        <v>11</v>
      </c>
      <c r="G422">
        <v>0</v>
      </c>
      <c r="H422" t="s">
        <v>12</v>
      </c>
      <c r="I422" t="s">
        <v>15</v>
      </c>
      <c r="J422">
        <v>5910.94</v>
      </c>
      <c r="K422" t="str">
        <f t="shared" si="60"/>
        <v>25-30</v>
      </c>
      <c r="L422">
        <f t="shared" si="61"/>
        <v>0</v>
      </c>
      <c r="M422">
        <f t="shared" si="62"/>
        <v>0</v>
      </c>
      <c r="N422">
        <f t="shared" si="63"/>
        <v>1</v>
      </c>
      <c r="O422">
        <f t="shared" si="64"/>
        <v>0</v>
      </c>
      <c r="P422">
        <v>0.74112250831772186</v>
      </c>
      <c r="Q422">
        <f t="shared" si="65"/>
        <v>0</v>
      </c>
      <c r="R422">
        <f t="shared" si="66"/>
        <v>1</v>
      </c>
      <c r="S422">
        <f t="shared" si="67"/>
        <v>1</v>
      </c>
      <c r="T422">
        <f t="shared" si="68"/>
        <v>7759.68</v>
      </c>
      <c r="U422">
        <f t="shared" si="69"/>
        <v>-1848.7400000000007</v>
      </c>
    </row>
    <row r="423" spans="1:21" x14ac:dyDescent="0.3">
      <c r="A423">
        <v>422</v>
      </c>
      <c r="B423">
        <v>51</v>
      </c>
      <c r="C423" t="s">
        <v>16</v>
      </c>
      <c r="D423">
        <v>36.200000000000003</v>
      </c>
      <c r="E423">
        <v>90</v>
      </c>
      <c r="F423" t="s">
        <v>11</v>
      </c>
      <c r="G423">
        <v>0</v>
      </c>
      <c r="H423" t="s">
        <v>12</v>
      </c>
      <c r="I423" t="s">
        <v>13</v>
      </c>
      <c r="J423">
        <v>5920.1</v>
      </c>
      <c r="K423" t="str">
        <f t="shared" si="60"/>
        <v>35+</v>
      </c>
      <c r="L423">
        <f t="shared" si="61"/>
        <v>0</v>
      </c>
      <c r="M423">
        <f t="shared" si="62"/>
        <v>1</v>
      </c>
      <c r="N423">
        <f t="shared" si="63"/>
        <v>0</v>
      </c>
      <c r="O423">
        <f t="shared" si="64"/>
        <v>0</v>
      </c>
      <c r="P423">
        <v>0.82242060389062177</v>
      </c>
      <c r="Q423">
        <f t="shared" si="65"/>
        <v>0</v>
      </c>
      <c r="R423">
        <f t="shared" si="66"/>
        <v>1</v>
      </c>
      <c r="S423">
        <f t="shared" si="67"/>
        <v>1</v>
      </c>
      <c r="T423">
        <f t="shared" si="68"/>
        <v>6846.3700000000008</v>
      </c>
      <c r="U423">
        <f t="shared" si="69"/>
        <v>-926.27000000000044</v>
      </c>
    </row>
    <row r="424" spans="1:21" x14ac:dyDescent="0.3">
      <c r="A424">
        <v>423</v>
      </c>
      <c r="B424">
        <v>27</v>
      </c>
      <c r="C424" t="s">
        <v>10</v>
      </c>
      <c r="D424">
        <v>28.9</v>
      </c>
      <c r="E424">
        <v>94</v>
      </c>
      <c r="F424" t="s">
        <v>11</v>
      </c>
      <c r="G424">
        <v>3</v>
      </c>
      <c r="H424" t="s">
        <v>12</v>
      </c>
      <c r="I424" t="s">
        <v>15</v>
      </c>
      <c r="J424">
        <v>5926.85</v>
      </c>
      <c r="K424" t="str">
        <f t="shared" si="60"/>
        <v>25-30</v>
      </c>
      <c r="L424">
        <f t="shared" si="61"/>
        <v>0</v>
      </c>
      <c r="M424">
        <f t="shared" si="62"/>
        <v>0</v>
      </c>
      <c r="N424">
        <f t="shared" si="63"/>
        <v>1</v>
      </c>
      <c r="O424">
        <f t="shared" si="64"/>
        <v>0</v>
      </c>
      <c r="P424">
        <v>1.5174240051458288E-2</v>
      </c>
      <c r="Q424">
        <f t="shared" si="65"/>
        <v>0</v>
      </c>
      <c r="R424">
        <f t="shared" si="66"/>
        <v>1</v>
      </c>
      <c r="S424">
        <f t="shared" si="67"/>
        <v>0</v>
      </c>
      <c r="T424">
        <f t="shared" si="68"/>
        <v>9349.69</v>
      </c>
      <c r="U424">
        <f t="shared" si="69"/>
        <v>-3422.84</v>
      </c>
    </row>
    <row r="425" spans="1:21" x14ac:dyDescent="0.3">
      <c r="A425">
        <v>424</v>
      </c>
      <c r="B425">
        <v>46</v>
      </c>
      <c r="C425" t="s">
        <v>10</v>
      </c>
      <c r="D425">
        <v>34.299999999999997</v>
      </c>
      <c r="E425">
        <v>89</v>
      </c>
      <c r="F425" t="s">
        <v>11</v>
      </c>
      <c r="G425">
        <v>3</v>
      </c>
      <c r="H425" t="s">
        <v>12</v>
      </c>
      <c r="I425" t="s">
        <v>13</v>
      </c>
      <c r="J425">
        <v>5934.38</v>
      </c>
      <c r="K425" t="str">
        <f t="shared" si="60"/>
        <v>30-35</v>
      </c>
      <c r="L425">
        <f t="shared" si="61"/>
        <v>0</v>
      </c>
      <c r="M425">
        <f t="shared" si="62"/>
        <v>1</v>
      </c>
      <c r="N425">
        <f t="shared" si="63"/>
        <v>0</v>
      </c>
      <c r="O425">
        <f t="shared" si="64"/>
        <v>0</v>
      </c>
      <c r="P425">
        <v>0.49223196892400023</v>
      </c>
      <c r="Q425">
        <f t="shared" si="65"/>
        <v>0</v>
      </c>
      <c r="R425">
        <f t="shared" si="66"/>
        <v>1</v>
      </c>
      <c r="S425">
        <f t="shared" si="67"/>
        <v>0</v>
      </c>
      <c r="T425">
        <f t="shared" si="68"/>
        <v>8300.5000000000018</v>
      </c>
      <c r="U425">
        <f t="shared" si="69"/>
        <v>-2366.1200000000017</v>
      </c>
    </row>
    <row r="426" spans="1:21" x14ac:dyDescent="0.3">
      <c r="A426">
        <v>425</v>
      </c>
      <c r="B426">
        <v>25</v>
      </c>
      <c r="C426" t="s">
        <v>10</v>
      </c>
      <c r="D426">
        <v>24.9</v>
      </c>
      <c r="E426">
        <v>94</v>
      </c>
      <c r="F426" t="s">
        <v>12</v>
      </c>
      <c r="G426">
        <v>0</v>
      </c>
      <c r="H426" t="s">
        <v>12</v>
      </c>
      <c r="I426" t="s">
        <v>13</v>
      </c>
      <c r="J426">
        <v>5966.89</v>
      </c>
      <c r="K426" t="str">
        <f t="shared" si="60"/>
        <v>20-25</v>
      </c>
      <c r="L426">
        <f t="shared" si="61"/>
        <v>0</v>
      </c>
      <c r="M426">
        <f t="shared" si="62"/>
        <v>1</v>
      </c>
      <c r="N426">
        <f t="shared" si="63"/>
        <v>0</v>
      </c>
      <c r="O426">
        <f t="shared" si="64"/>
        <v>0</v>
      </c>
      <c r="P426">
        <v>0.85052365609516334</v>
      </c>
      <c r="Q426">
        <f t="shared" si="65"/>
        <v>0</v>
      </c>
      <c r="R426">
        <f t="shared" si="66"/>
        <v>0</v>
      </c>
      <c r="S426">
        <f t="shared" si="67"/>
        <v>0</v>
      </c>
      <c r="T426">
        <f t="shared" si="68"/>
        <v>6175.9700000000012</v>
      </c>
      <c r="U426">
        <f t="shared" si="69"/>
        <v>-209.08000000000084</v>
      </c>
    </row>
    <row r="427" spans="1:21" x14ac:dyDescent="0.3">
      <c r="A427">
        <v>426</v>
      </c>
      <c r="B427">
        <v>46</v>
      </c>
      <c r="C427" t="s">
        <v>10</v>
      </c>
      <c r="D427">
        <v>26.9</v>
      </c>
      <c r="E427">
        <v>90</v>
      </c>
      <c r="F427" t="s">
        <v>12</v>
      </c>
      <c r="G427">
        <v>0</v>
      </c>
      <c r="H427" t="s">
        <v>12</v>
      </c>
      <c r="I427" t="s">
        <v>15</v>
      </c>
      <c r="J427">
        <v>5969.72</v>
      </c>
      <c r="K427" t="str">
        <f t="shared" si="60"/>
        <v>25-30</v>
      </c>
      <c r="L427">
        <f t="shared" si="61"/>
        <v>0</v>
      </c>
      <c r="M427">
        <f t="shared" si="62"/>
        <v>0</v>
      </c>
      <c r="N427">
        <f t="shared" si="63"/>
        <v>1</v>
      </c>
      <c r="O427">
        <f t="shared" si="64"/>
        <v>0</v>
      </c>
      <c r="P427">
        <v>0.91831514673310233</v>
      </c>
      <c r="Q427">
        <f t="shared" si="65"/>
        <v>0</v>
      </c>
      <c r="R427">
        <f t="shared" si="66"/>
        <v>0</v>
      </c>
      <c r="S427">
        <f t="shared" si="67"/>
        <v>0</v>
      </c>
      <c r="T427">
        <f t="shared" si="68"/>
        <v>6370.3499999999985</v>
      </c>
      <c r="U427">
        <f t="shared" si="69"/>
        <v>-400.62999999999829</v>
      </c>
    </row>
    <row r="428" spans="1:21" x14ac:dyDescent="0.3">
      <c r="A428">
        <v>427</v>
      </c>
      <c r="B428">
        <v>40</v>
      </c>
      <c r="C428" t="s">
        <v>16</v>
      </c>
      <c r="D428">
        <v>38.9</v>
      </c>
      <c r="E428">
        <v>100</v>
      </c>
      <c r="F428" t="s">
        <v>11</v>
      </c>
      <c r="G428">
        <v>3</v>
      </c>
      <c r="H428" t="s">
        <v>12</v>
      </c>
      <c r="I428" t="s">
        <v>15</v>
      </c>
      <c r="J428">
        <v>5972.38</v>
      </c>
      <c r="K428" t="str">
        <f t="shared" si="60"/>
        <v>35+</v>
      </c>
      <c r="L428">
        <f t="shared" si="61"/>
        <v>0</v>
      </c>
      <c r="M428">
        <f t="shared" si="62"/>
        <v>0</v>
      </c>
      <c r="N428">
        <f t="shared" si="63"/>
        <v>1</v>
      </c>
      <c r="O428">
        <f t="shared" si="64"/>
        <v>0</v>
      </c>
      <c r="P428">
        <v>0.13819995567389565</v>
      </c>
      <c r="Q428">
        <f t="shared" si="65"/>
        <v>0</v>
      </c>
      <c r="R428">
        <f t="shared" si="66"/>
        <v>1</v>
      </c>
      <c r="S428">
        <f t="shared" si="67"/>
        <v>1</v>
      </c>
      <c r="T428">
        <f t="shared" si="68"/>
        <v>11590.54</v>
      </c>
      <c r="U428">
        <f t="shared" si="69"/>
        <v>-5618.1600000000008</v>
      </c>
    </row>
    <row r="429" spans="1:21" x14ac:dyDescent="0.3">
      <c r="A429">
        <v>428</v>
      </c>
      <c r="B429">
        <v>35</v>
      </c>
      <c r="C429" t="s">
        <v>16</v>
      </c>
      <c r="D429">
        <v>28.9</v>
      </c>
      <c r="E429">
        <v>97</v>
      </c>
      <c r="F429" t="s">
        <v>11</v>
      </c>
      <c r="G429">
        <v>1</v>
      </c>
      <c r="H429" t="s">
        <v>12</v>
      </c>
      <c r="I429" t="s">
        <v>13</v>
      </c>
      <c r="J429">
        <v>5974.38</v>
      </c>
      <c r="K429" t="str">
        <f t="shared" si="60"/>
        <v>25-30</v>
      </c>
      <c r="L429">
        <f t="shared" si="61"/>
        <v>0</v>
      </c>
      <c r="M429">
        <f t="shared" si="62"/>
        <v>1</v>
      </c>
      <c r="N429">
        <f t="shared" si="63"/>
        <v>0</v>
      </c>
      <c r="O429">
        <f t="shared" si="64"/>
        <v>0</v>
      </c>
      <c r="P429">
        <v>0.77667272983902091</v>
      </c>
      <c r="Q429">
        <f t="shared" si="65"/>
        <v>0</v>
      </c>
      <c r="R429">
        <f t="shared" si="66"/>
        <v>1</v>
      </c>
      <c r="S429">
        <f t="shared" si="67"/>
        <v>1</v>
      </c>
      <c r="T429">
        <f t="shared" si="68"/>
        <v>8098.07</v>
      </c>
      <c r="U429">
        <f t="shared" si="69"/>
        <v>-2123.6899999999996</v>
      </c>
    </row>
    <row r="430" spans="1:21" x14ac:dyDescent="0.3">
      <c r="A430">
        <v>429</v>
      </c>
      <c r="B430">
        <v>34</v>
      </c>
      <c r="C430" t="s">
        <v>16</v>
      </c>
      <c r="D430">
        <v>30.7</v>
      </c>
      <c r="E430">
        <v>90</v>
      </c>
      <c r="F430" t="s">
        <v>12</v>
      </c>
      <c r="G430">
        <v>1</v>
      </c>
      <c r="H430" t="s">
        <v>12</v>
      </c>
      <c r="I430" t="s">
        <v>13</v>
      </c>
      <c r="J430">
        <v>5976.83</v>
      </c>
      <c r="K430" t="str">
        <f t="shared" si="60"/>
        <v>30-35</v>
      </c>
      <c r="L430">
        <f t="shared" si="61"/>
        <v>0</v>
      </c>
      <c r="M430">
        <f t="shared" si="62"/>
        <v>1</v>
      </c>
      <c r="N430">
        <f t="shared" si="63"/>
        <v>0</v>
      </c>
      <c r="O430">
        <f t="shared" si="64"/>
        <v>0</v>
      </c>
      <c r="P430">
        <v>0.37014002525149392</v>
      </c>
      <c r="Q430">
        <f t="shared" si="65"/>
        <v>0</v>
      </c>
      <c r="R430">
        <f t="shared" si="66"/>
        <v>0</v>
      </c>
      <c r="S430">
        <f t="shared" si="67"/>
        <v>1</v>
      </c>
      <c r="T430">
        <f t="shared" si="68"/>
        <v>7205.1799999999994</v>
      </c>
      <c r="U430">
        <f t="shared" si="69"/>
        <v>-1228.3499999999995</v>
      </c>
    </row>
    <row r="431" spans="1:21" x14ac:dyDescent="0.3">
      <c r="A431">
        <v>430</v>
      </c>
      <c r="B431">
        <v>38</v>
      </c>
      <c r="C431" t="s">
        <v>10</v>
      </c>
      <c r="D431">
        <v>34.1</v>
      </c>
      <c r="E431">
        <v>90</v>
      </c>
      <c r="F431" t="s">
        <v>12</v>
      </c>
      <c r="G431">
        <v>0</v>
      </c>
      <c r="H431" t="s">
        <v>12</v>
      </c>
      <c r="I431" t="s">
        <v>15</v>
      </c>
      <c r="J431">
        <v>5979.73</v>
      </c>
      <c r="K431" t="str">
        <f t="shared" si="60"/>
        <v>30-35</v>
      </c>
      <c r="L431">
        <f t="shared" si="61"/>
        <v>0</v>
      </c>
      <c r="M431">
        <f t="shared" si="62"/>
        <v>0</v>
      </c>
      <c r="N431">
        <f t="shared" si="63"/>
        <v>1</v>
      </c>
      <c r="O431">
        <f t="shared" si="64"/>
        <v>0</v>
      </c>
      <c r="P431">
        <v>0.47196005777648364</v>
      </c>
      <c r="Q431">
        <f t="shared" si="65"/>
        <v>0</v>
      </c>
      <c r="R431">
        <f t="shared" si="66"/>
        <v>0</v>
      </c>
      <c r="S431">
        <f t="shared" si="67"/>
        <v>0</v>
      </c>
      <c r="T431">
        <f t="shared" si="68"/>
        <v>6996.1899999999987</v>
      </c>
      <c r="U431">
        <f t="shared" si="69"/>
        <v>-1016.4599999999991</v>
      </c>
    </row>
    <row r="432" spans="1:21" x14ac:dyDescent="0.3">
      <c r="A432">
        <v>431</v>
      </c>
      <c r="B432">
        <v>33</v>
      </c>
      <c r="C432" t="s">
        <v>16</v>
      </c>
      <c r="D432">
        <v>37.299999999999997</v>
      </c>
      <c r="E432">
        <v>95</v>
      </c>
      <c r="F432" t="s">
        <v>11</v>
      </c>
      <c r="G432">
        <v>2</v>
      </c>
      <c r="H432" t="s">
        <v>12</v>
      </c>
      <c r="I432" t="s">
        <v>14</v>
      </c>
      <c r="J432">
        <v>5989.52</v>
      </c>
      <c r="K432" t="str">
        <f t="shared" si="60"/>
        <v>35+</v>
      </c>
      <c r="L432">
        <f t="shared" si="61"/>
        <v>0</v>
      </c>
      <c r="M432">
        <f t="shared" si="62"/>
        <v>0</v>
      </c>
      <c r="N432">
        <f t="shared" si="63"/>
        <v>0</v>
      </c>
      <c r="O432">
        <f t="shared" si="64"/>
        <v>1</v>
      </c>
      <c r="P432">
        <v>4.7565718229589327E-2</v>
      </c>
      <c r="Q432">
        <f t="shared" si="65"/>
        <v>0</v>
      </c>
      <c r="R432">
        <f t="shared" si="66"/>
        <v>1</v>
      </c>
      <c r="S432">
        <f t="shared" si="67"/>
        <v>1</v>
      </c>
      <c r="T432">
        <f t="shared" si="68"/>
        <v>9934.5800000000036</v>
      </c>
      <c r="U432">
        <f t="shared" si="69"/>
        <v>-3945.0600000000031</v>
      </c>
    </row>
    <row r="433" spans="1:21" x14ac:dyDescent="0.3">
      <c r="A433">
        <v>432</v>
      </c>
      <c r="B433">
        <v>38</v>
      </c>
      <c r="C433" t="s">
        <v>10</v>
      </c>
      <c r="D433">
        <v>29.4</v>
      </c>
      <c r="E433">
        <v>96</v>
      </c>
      <c r="F433" t="s">
        <v>12</v>
      </c>
      <c r="G433">
        <v>4</v>
      </c>
      <c r="H433" t="s">
        <v>12</v>
      </c>
      <c r="I433" t="s">
        <v>15</v>
      </c>
      <c r="J433">
        <v>6059.17</v>
      </c>
      <c r="K433" t="str">
        <f t="shared" si="60"/>
        <v>25-30</v>
      </c>
      <c r="L433">
        <f t="shared" si="61"/>
        <v>0</v>
      </c>
      <c r="M433">
        <f t="shared" si="62"/>
        <v>0</v>
      </c>
      <c r="N433">
        <f t="shared" si="63"/>
        <v>1</v>
      </c>
      <c r="O433">
        <f t="shared" si="64"/>
        <v>0</v>
      </c>
      <c r="P433">
        <v>0.27428084062006963</v>
      </c>
      <c r="Q433">
        <f t="shared" si="65"/>
        <v>0</v>
      </c>
      <c r="R433">
        <f t="shared" si="66"/>
        <v>0</v>
      </c>
      <c r="S433">
        <f t="shared" si="67"/>
        <v>0</v>
      </c>
      <c r="T433">
        <f t="shared" si="68"/>
        <v>10504.839999999998</v>
      </c>
      <c r="U433">
        <f t="shared" si="69"/>
        <v>-4445.6699999999983</v>
      </c>
    </row>
    <row r="434" spans="1:21" x14ac:dyDescent="0.3">
      <c r="A434">
        <v>433</v>
      </c>
      <c r="B434">
        <v>26</v>
      </c>
      <c r="C434" t="s">
        <v>10</v>
      </c>
      <c r="D434">
        <v>28</v>
      </c>
      <c r="E434">
        <v>100</v>
      </c>
      <c r="F434" t="s">
        <v>12</v>
      </c>
      <c r="G434">
        <v>1</v>
      </c>
      <c r="H434" t="s">
        <v>12</v>
      </c>
      <c r="I434" t="s">
        <v>13</v>
      </c>
      <c r="J434">
        <v>6067.13</v>
      </c>
      <c r="K434" t="str">
        <f t="shared" si="60"/>
        <v>25-30</v>
      </c>
      <c r="L434">
        <f t="shared" si="61"/>
        <v>0</v>
      </c>
      <c r="M434">
        <f t="shared" si="62"/>
        <v>1</v>
      </c>
      <c r="N434">
        <f t="shared" si="63"/>
        <v>0</v>
      </c>
      <c r="O434">
        <f t="shared" si="64"/>
        <v>0</v>
      </c>
      <c r="P434">
        <v>0.4511619274426858</v>
      </c>
      <c r="Q434">
        <f t="shared" si="65"/>
        <v>0</v>
      </c>
      <c r="R434">
        <f t="shared" si="66"/>
        <v>0</v>
      </c>
      <c r="S434">
        <f t="shared" si="67"/>
        <v>0</v>
      </c>
      <c r="T434">
        <f t="shared" si="68"/>
        <v>8135.52</v>
      </c>
      <c r="U434">
        <f t="shared" si="69"/>
        <v>-2068.3900000000003</v>
      </c>
    </row>
    <row r="435" spans="1:21" x14ac:dyDescent="0.3">
      <c r="A435">
        <v>434</v>
      </c>
      <c r="B435">
        <v>36</v>
      </c>
      <c r="C435" t="s">
        <v>10</v>
      </c>
      <c r="D435">
        <v>37.1</v>
      </c>
      <c r="E435">
        <v>88</v>
      </c>
      <c r="F435" t="s">
        <v>12</v>
      </c>
      <c r="G435">
        <v>1</v>
      </c>
      <c r="H435" t="s">
        <v>12</v>
      </c>
      <c r="I435" t="s">
        <v>13</v>
      </c>
      <c r="J435">
        <v>6079.67</v>
      </c>
      <c r="K435" t="str">
        <f t="shared" si="60"/>
        <v>35+</v>
      </c>
      <c r="L435">
        <f t="shared" si="61"/>
        <v>0</v>
      </c>
      <c r="M435">
        <f t="shared" si="62"/>
        <v>1</v>
      </c>
      <c r="N435">
        <f t="shared" si="63"/>
        <v>0</v>
      </c>
      <c r="O435">
        <f t="shared" si="64"/>
        <v>0</v>
      </c>
      <c r="P435">
        <v>0.24909488696284821</v>
      </c>
      <c r="Q435">
        <f t="shared" si="65"/>
        <v>0</v>
      </c>
      <c r="R435">
        <f t="shared" si="66"/>
        <v>0</v>
      </c>
      <c r="S435">
        <f t="shared" si="67"/>
        <v>0</v>
      </c>
      <c r="T435">
        <f t="shared" si="68"/>
        <v>6985.6900000000005</v>
      </c>
      <c r="U435">
        <f t="shared" si="69"/>
        <v>-906.02000000000044</v>
      </c>
    </row>
    <row r="436" spans="1:21" x14ac:dyDescent="0.3">
      <c r="A436">
        <v>435</v>
      </c>
      <c r="B436">
        <v>42</v>
      </c>
      <c r="C436" t="s">
        <v>10</v>
      </c>
      <c r="D436">
        <v>34.700000000000003</v>
      </c>
      <c r="E436">
        <v>97</v>
      </c>
      <c r="F436" t="s">
        <v>11</v>
      </c>
      <c r="G436">
        <v>2</v>
      </c>
      <c r="H436" t="s">
        <v>12</v>
      </c>
      <c r="I436" t="s">
        <v>15</v>
      </c>
      <c r="J436">
        <v>6082.41</v>
      </c>
      <c r="K436" t="str">
        <f t="shared" si="60"/>
        <v>30-35</v>
      </c>
      <c r="L436">
        <f t="shared" si="61"/>
        <v>0</v>
      </c>
      <c r="M436">
        <f t="shared" si="62"/>
        <v>0</v>
      </c>
      <c r="N436">
        <f t="shared" si="63"/>
        <v>1</v>
      </c>
      <c r="O436">
        <f t="shared" si="64"/>
        <v>0</v>
      </c>
      <c r="P436">
        <v>0.66677591646073786</v>
      </c>
      <c r="Q436">
        <f t="shared" si="65"/>
        <v>0</v>
      </c>
      <c r="R436">
        <f t="shared" si="66"/>
        <v>1</v>
      </c>
      <c r="S436">
        <f t="shared" si="67"/>
        <v>0</v>
      </c>
      <c r="T436">
        <f t="shared" si="68"/>
        <v>9566.92</v>
      </c>
      <c r="U436">
        <f t="shared" si="69"/>
        <v>-3484.51</v>
      </c>
    </row>
    <row r="437" spans="1:21" x14ac:dyDescent="0.3">
      <c r="A437">
        <v>436</v>
      </c>
      <c r="B437">
        <v>38</v>
      </c>
      <c r="C437" t="s">
        <v>16</v>
      </c>
      <c r="D437">
        <v>34.1</v>
      </c>
      <c r="E437">
        <v>93</v>
      </c>
      <c r="F437" t="s">
        <v>12</v>
      </c>
      <c r="G437">
        <v>1</v>
      </c>
      <c r="H437" t="s">
        <v>12</v>
      </c>
      <c r="I437" t="s">
        <v>14</v>
      </c>
      <c r="J437">
        <v>6112.35</v>
      </c>
      <c r="K437" t="str">
        <f t="shared" si="60"/>
        <v>30-35</v>
      </c>
      <c r="L437">
        <f t="shared" si="61"/>
        <v>0</v>
      </c>
      <c r="M437">
        <f t="shared" si="62"/>
        <v>0</v>
      </c>
      <c r="N437">
        <f t="shared" si="63"/>
        <v>0</v>
      </c>
      <c r="O437">
        <f t="shared" si="64"/>
        <v>1</v>
      </c>
      <c r="P437">
        <v>0.81276215367249927</v>
      </c>
      <c r="Q437">
        <f t="shared" si="65"/>
        <v>0</v>
      </c>
      <c r="R437">
        <f t="shared" si="66"/>
        <v>0</v>
      </c>
      <c r="S437">
        <f t="shared" si="67"/>
        <v>1</v>
      </c>
      <c r="T437">
        <f t="shared" si="68"/>
        <v>8666.2200000000012</v>
      </c>
      <c r="U437">
        <f t="shared" si="69"/>
        <v>-2553.8700000000008</v>
      </c>
    </row>
    <row r="438" spans="1:21" x14ac:dyDescent="0.3">
      <c r="A438">
        <v>437</v>
      </c>
      <c r="B438">
        <v>28</v>
      </c>
      <c r="C438" t="s">
        <v>16</v>
      </c>
      <c r="D438">
        <v>30.5</v>
      </c>
      <c r="E438">
        <v>82</v>
      </c>
      <c r="F438" t="s">
        <v>11</v>
      </c>
      <c r="G438">
        <v>3</v>
      </c>
      <c r="H438" t="s">
        <v>12</v>
      </c>
      <c r="I438" t="s">
        <v>13</v>
      </c>
      <c r="J438">
        <v>6113.23</v>
      </c>
      <c r="K438" t="str">
        <f t="shared" si="60"/>
        <v>30-35</v>
      </c>
      <c r="L438">
        <f t="shared" si="61"/>
        <v>0</v>
      </c>
      <c r="M438">
        <f t="shared" si="62"/>
        <v>1</v>
      </c>
      <c r="N438">
        <f t="shared" si="63"/>
        <v>0</v>
      </c>
      <c r="O438">
        <f t="shared" si="64"/>
        <v>0</v>
      </c>
      <c r="P438">
        <v>7.8320890056571835E-2</v>
      </c>
      <c r="Q438">
        <f t="shared" si="65"/>
        <v>0</v>
      </c>
      <c r="R438">
        <f t="shared" si="66"/>
        <v>1</v>
      </c>
      <c r="S438">
        <f t="shared" si="67"/>
        <v>1</v>
      </c>
      <c r="T438">
        <f t="shared" si="68"/>
        <v>7326.4600000000009</v>
      </c>
      <c r="U438">
        <f t="shared" si="69"/>
        <v>-1213.2300000000014</v>
      </c>
    </row>
    <row r="439" spans="1:21" x14ac:dyDescent="0.3">
      <c r="A439">
        <v>438</v>
      </c>
      <c r="B439">
        <v>29</v>
      </c>
      <c r="C439" t="s">
        <v>10</v>
      </c>
      <c r="D439">
        <v>21.9</v>
      </c>
      <c r="E439">
        <v>91</v>
      </c>
      <c r="F439" t="s">
        <v>11</v>
      </c>
      <c r="G439">
        <v>1</v>
      </c>
      <c r="H439" t="s">
        <v>12</v>
      </c>
      <c r="I439" t="s">
        <v>14</v>
      </c>
      <c r="J439">
        <v>6117.49</v>
      </c>
      <c r="K439" t="str">
        <f t="shared" si="60"/>
        <v>20-25</v>
      </c>
      <c r="L439">
        <f t="shared" si="61"/>
        <v>0</v>
      </c>
      <c r="M439">
        <f t="shared" si="62"/>
        <v>0</v>
      </c>
      <c r="N439">
        <f t="shared" si="63"/>
        <v>0</v>
      </c>
      <c r="O439">
        <f t="shared" si="64"/>
        <v>1</v>
      </c>
      <c r="P439">
        <v>0.11439769267766953</v>
      </c>
      <c r="Q439">
        <f t="shared" si="65"/>
        <v>0</v>
      </c>
      <c r="R439">
        <f t="shared" si="66"/>
        <v>1</v>
      </c>
      <c r="S439">
        <f t="shared" si="67"/>
        <v>0</v>
      </c>
      <c r="T439">
        <f t="shared" si="68"/>
        <v>6801.4499999999989</v>
      </c>
      <c r="U439">
        <f t="shared" si="69"/>
        <v>-683.95999999999913</v>
      </c>
    </row>
    <row r="440" spans="1:21" x14ac:dyDescent="0.3">
      <c r="A440">
        <v>439</v>
      </c>
      <c r="B440">
        <v>46</v>
      </c>
      <c r="C440" t="s">
        <v>10</v>
      </c>
      <c r="D440">
        <v>26.2</v>
      </c>
      <c r="E440">
        <v>84</v>
      </c>
      <c r="F440" t="s">
        <v>11</v>
      </c>
      <c r="G440">
        <v>1</v>
      </c>
      <c r="H440" t="s">
        <v>12</v>
      </c>
      <c r="I440" t="s">
        <v>14</v>
      </c>
      <c r="J440">
        <v>6123.57</v>
      </c>
      <c r="K440" t="str">
        <f t="shared" si="60"/>
        <v>25-30</v>
      </c>
      <c r="L440">
        <f t="shared" si="61"/>
        <v>0</v>
      </c>
      <c r="M440">
        <f t="shared" si="62"/>
        <v>0</v>
      </c>
      <c r="N440">
        <f t="shared" si="63"/>
        <v>0</v>
      </c>
      <c r="O440">
        <f t="shared" si="64"/>
        <v>1</v>
      </c>
      <c r="P440">
        <v>0.54274124572756444</v>
      </c>
      <c r="Q440">
        <f t="shared" si="65"/>
        <v>0</v>
      </c>
      <c r="R440">
        <f t="shared" si="66"/>
        <v>1</v>
      </c>
      <c r="S440">
        <f t="shared" si="67"/>
        <v>0</v>
      </c>
      <c r="T440">
        <f t="shared" si="68"/>
        <v>6030.2099999999991</v>
      </c>
      <c r="U440">
        <f t="shared" si="69"/>
        <v>93.360000000000582</v>
      </c>
    </row>
    <row r="441" spans="1:21" x14ac:dyDescent="0.3">
      <c r="A441">
        <v>440</v>
      </c>
      <c r="B441">
        <v>55</v>
      </c>
      <c r="C441" t="s">
        <v>16</v>
      </c>
      <c r="D441">
        <v>33.200000000000003</v>
      </c>
      <c r="E441">
        <v>89</v>
      </c>
      <c r="F441" t="s">
        <v>11</v>
      </c>
      <c r="G441">
        <v>3</v>
      </c>
      <c r="H441" t="s">
        <v>12</v>
      </c>
      <c r="I441" t="s">
        <v>14</v>
      </c>
      <c r="J441">
        <v>6128.8</v>
      </c>
      <c r="K441" t="str">
        <f t="shared" si="60"/>
        <v>30-35</v>
      </c>
      <c r="L441">
        <f t="shared" si="61"/>
        <v>0</v>
      </c>
      <c r="M441">
        <f t="shared" si="62"/>
        <v>0</v>
      </c>
      <c r="N441">
        <f t="shared" si="63"/>
        <v>0</v>
      </c>
      <c r="O441">
        <f t="shared" si="64"/>
        <v>1</v>
      </c>
      <c r="P441">
        <v>0.98030332748858073</v>
      </c>
      <c r="Q441">
        <f t="shared" si="65"/>
        <v>0</v>
      </c>
      <c r="R441">
        <f t="shared" si="66"/>
        <v>1</v>
      </c>
      <c r="S441">
        <f t="shared" si="67"/>
        <v>1</v>
      </c>
      <c r="T441">
        <f t="shared" si="68"/>
        <v>9336.5700000000015</v>
      </c>
      <c r="U441">
        <f t="shared" si="69"/>
        <v>-3207.7700000000013</v>
      </c>
    </row>
    <row r="442" spans="1:21" x14ac:dyDescent="0.3">
      <c r="A442">
        <v>441</v>
      </c>
      <c r="B442">
        <v>42</v>
      </c>
      <c r="C442" t="s">
        <v>16</v>
      </c>
      <c r="D442">
        <v>29.3</v>
      </c>
      <c r="E442">
        <v>84</v>
      </c>
      <c r="F442" t="s">
        <v>12</v>
      </c>
      <c r="G442">
        <v>3</v>
      </c>
      <c r="H442" t="s">
        <v>12</v>
      </c>
      <c r="I442" t="s">
        <v>13</v>
      </c>
      <c r="J442">
        <v>6184.3</v>
      </c>
      <c r="K442" t="str">
        <f t="shared" si="60"/>
        <v>25-30</v>
      </c>
      <c r="L442">
        <f t="shared" si="61"/>
        <v>0</v>
      </c>
      <c r="M442">
        <f t="shared" si="62"/>
        <v>1</v>
      </c>
      <c r="N442">
        <f t="shared" si="63"/>
        <v>0</v>
      </c>
      <c r="O442">
        <f t="shared" si="64"/>
        <v>0</v>
      </c>
      <c r="P442">
        <v>0.97263787686662539</v>
      </c>
      <c r="Q442">
        <f t="shared" si="65"/>
        <v>0</v>
      </c>
      <c r="R442">
        <f t="shared" si="66"/>
        <v>0</v>
      </c>
      <c r="S442">
        <f t="shared" si="67"/>
        <v>1</v>
      </c>
      <c r="T442">
        <f t="shared" si="68"/>
        <v>7594.1799999999994</v>
      </c>
      <c r="U442">
        <f t="shared" si="69"/>
        <v>-1409.8799999999992</v>
      </c>
    </row>
    <row r="443" spans="1:21" x14ac:dyDescent="0.3">
      <c r="A443">
        <v>442</v>
      </c>
      <c r="B443">
        <v>39</v>
      </c>
      <c r="C443" t="s">
        <v>16</v>
      </c>
      <c r="D443">
        <v>31</v>
      </c>
      <c r="E443">
        <v>97</v>
      </c>
      <c r="F443" t="s">
        <v>12</v>
      </c>
      <c r="G443">
        <v>0</v>
      </c>
      <c r="H443" t="s">
        <v>12</v>
      </c>
      <c r="I443" t="s">
        <v>13</v>
      </c>
      <c r="J443">
        <v>6185.32</v>
      </c>
      <c r="K443" t="str">
        <f t="shared" si="60"/>
        <v>30-35</v>
      </c>
      <c r="L443">
        <f t="shared" si="61"/>
        <v>0</v>
      </c>
      <c r="M443">
        <f t="shared" si="62"/>
        <v>1</v>
      </c>
      <c r="N443">
        <f t="shared" si="63"/>
        <v>0</v>
      </c>
      <c r="O443">
        <f t="shared" si="64"/>
        <v>0</v>
      </c>
      <c r="P443">
        <v>0.52121460567208378</v>
      </c>
      <c r="Q443">
        <f t="shared" si="65"/>
        <v>0</v>
      </c>
      <c r="R443">
        <f t="shared" si="66"/>
        <v>0</v>
      </c>
      <c r="S443">
        <f t="shared" si="67"/>
        <v>1</v>
      </c>
      <c r="T443">
        <f t="shared" si="68"/>
        <v>7603.3199999999988</v>
      </c>
      <c r="U443">
        <f t="shared" si="69"/>
        <v>-1417.9999999999991</v>
      </c>
    </row>
    <row r="444" spans="1:21" x14ac:dyDescent="0.3">
      <c r="A444">
        <v>443</v>
      </c>
      <c r="B444">
        <v>32</v>
      </c>
      <c r="C444" t="s">
        <v>16</v>
      </c>
      <c r="D444">
        <v>31.6</v>
      </c>
      <c r="E444">
        <v>91</v>
      </c>
      <c r="F444" t="s">
        <v>11</v>
      </c>
      <c r="G444">
        <v>0</v>
      </c>
      <c r="H444" t="s">
        <v>12</v>
      </c>
      <c r="I444" t="s">
        <v>15</v>
      </c>
      <c r="J444">
        <v>6186.13</v>
      </c>
      <c r="K444" t="str">
        <f t="shared" si="60"/>
        <v>30-35</v>
      </c>
      <c r="L444">
        <f t="shared" si="61"/>
        <v>0</v>
      </c>
      <c r="M444">
        <f t="shared" si="62"/>
        <v>0</v>
      </c>
      <c r="N444">
        <f t="shared" si="63"/>
        <v>1</v>
      </c>
      <c r="O444">
        <f t="shared" si="64"/>
        <v>0</v>
      </c>
      <c r="P444">
        <v>0.1093015630405697</v>
      </c>
      <c r="Q444">
        <f t="shared" si="65"/>
        <v>0</v>
      </c>
      <c r="R444">
        <f t="shared" si="66"/>
        <v>1</v>
      </c>
      <c r="S444">
        <f t="shared" si="67"/>
        <v>1</v>
      </c>
      <c r="T444">
        <f t="shared" si="68"/>
        <v>7325.5999999999985</v>
      </c>
      <c r="U444">
        <f t="shared" si="69"/>
        <v>-1139.4699999999984</v>
      </c>
    </row>
    <row r="445" spans="1:21" x14ac:dyDescent="0.3">
      <c r="A445">
        <v>444</v>
      </c>
      <c r="B445">
        <v>32</v>
      </c>
      <c r="C445" t="s">
        <v>16</v>
      </c>
      <c r="D445">
        <v>38</v>
      </c>
      <c r="E445">
        <v>92</v>
      </c>
      <c r="F445" t="s">
        <v>12</v>
      </c>
      <c r="G445">
        <v>3</v>
      </c>
      <c r="H445" t="s">
        <v>12</v>
      </c>
      <c r="I445" t="s">
        <v>15</v>
      </c>
      <c r="J445">
        <v>6196.45</v>
      </c>
      <c r="K445" t="str">
        <f t="shared" si="60"/>
        <v>35+</v>
      </c>
      <c r="L445">
        <f t="shared" si="61"/>
        <v>0</v>
      </c>
      <c r="M445">
        <f t="shared" si="62"/>
        <v>0</v>
      </c>
      <c r="N445">
        <f t="shared" si="63"/>
        <v>1</v>
      </c>
      <c r="O445">
        <f t="shared" si="64"/>
        <v>0</v>
      </c>
      <c r="P445">
        <v>0.96001651901624585</v>
      </c>
      <c r="Q445">
        <f t="shared" si="65"/>
        <v>0</v>
      </c>
      <c r="R445">
        <f t="shared" si="66"/>
        <v>0</v>
      </c>
      <c r="S445">
        <f t="shared" si="67"/>
        <v>1</v>
      </c>
      <c r="T445">
        <f t="shared" si="68"/>
        <v>10316.170000000002</v>
      </c>
      <c r="U445">
        <f t="shared" si="69"/>
        <v>-4119.7200000000021</v>
      </c>
    </row>
    <row r="446" spans="1:21" x14ac:dyDescent="0.3">
      <c r="A446">
        <v>445</v>
      </c>
      <c r="B446">
        <v>27</v>
      </c>
      <c r="C446" t="s">
        <v>10</v>
      </c>
      <c r="D446">
        <v>24.3</v>
      </c>
      <c r="E446">
        <v>82</v>
      </c>
      <c r="F446" t="s">
        <v>12</v>
      </c>
      <c r="G446">
        <v>2</v>
      </c>
      <c r="H446" t="s">
        <v>12</v>
      </c>
      <c r="I446" t="s">
        <v>14</v>
      </c>
      <c r="J446">
        <v>6198.75</v>
      </c>
      <c r="K446" t="str">
        <f t="shared" si="60"/>
        <v>20-25</v>
      </c>
      <c r="L446">
        <f t="shared" si="61"/>
        <v>0</v>
      </c>
      <c r="M446">
        <f t="shared" si="62"/>
        <v>0</v>
      </c>
      <c r="N446">
        <f t="shared" si="63"/>
        <v>0</v>
      </c>
      <c r="O446">
        <f t="shared" si="64"/>
        <v>1</v>
      </c>
      <c r="P446">
        <v>0.72599397205536464</v>
      </c>
      <c r="Q446">
        <f t="shared" si="65"/>
        <v>0</v>
      </c>
      <c r="R446">
        <f t="shared" si="66"/>
        <v>0</v>
      </c>
      <c r="S446">
        <f t="shared" si="67"/>
        <v>0</v>
      </c>
      <c r="T446">
        <f t="shared" si="68"/>
        <v>6380.2</v>
      </c>
      <c r="U446">
        <f t="shared" si="69"/>
        <v>-181.44999999999982</v>
      </c>
    </row>
    <row r="447" spans="1:21" x14ac:dyDescent="0.3">
      <c r="A447">
        <v>446</v>
      </c>
      <c r="B447">
        <v>33</v>
      </c>
      <c r="C447" t="s">
        <v>10</v>
      </c>
      <c r="D447">
        <v>28</v>
      </c>
      <c r="E447">
        <v>93</v>
      </c>
      <c r="F447" t="s">
        <v>12</v>
      </c>
      <c r="G447">
        <v>2</v>
      </c>
      <c r="H447" t="s">
        <v>12</v>
      </c>
      <c r="I447" t="s">
        <v>14</v>
      </c>
      <c r="J447">
        <v>6203.9</v>
      </c>
      <c r="K447" t="str">
        <f t="shared" si="60"/>
        <v>25-30</v>
      </c>
      <c r="L447">
        <f t="shared" si="61"/>
        <v>0</v>
      </c>
      <c r="M447">
        <f t="shared" si="62"/>
        <v>0</v>
      </c>
      <c r="N447">
        <f t="shared" si="63"/>
        <v>0</v>
      </c>
      <c r="O447">
        <f t="shared" si="64"/>
        <v>1</v>
      </c>
      <c r="P447">
        <v>0.20697535842207537</v>
      </c>
      <c r="Q447">
        <f t="shared" si="65"/>
        <v>0</v>
      </c>
      <c r="R447">
        <f t="shared" si="66"/>
        <v>0</v>
      </c>
      <c r="S447">
        <f t="shared" si="67"/>
        <v>0</v>
      </c>
      <c r="T447">
        <f t="shared" si="68"/>
        <v>8444.36</v>
      </c>
      <c r="U447">
        <f t="shared" si="69"/>
        <v>-2240.4600000000009</v>
      </c>
    </row>
    <row r="448" spans="1:21" x14ac:dyDescent="0.3">
      <c r="A448">
        <v>447</v>
      </c>
      <c r="B448">
        <v>25</v>
      </c>
      <c r="C448" t="s">
        <v>16</v>
      </c>
      <c r="D448">
        <v>32.5</v>
      </c>
      <c r="E448">
        <v>100</v>
      </c>
      <c r="F448" t="s">
        <v>12</v>
      </c>
      <c r="G448">
        <v>1</v>
      </c>
      <c r="H448" t="s">
        <v>12</v>
      </c>
      <c r="I448" t="s">
        <v>15</v>
      </c>
      <c r="J448">
        <v>6238.3</v>
      </c>
      <c r="K448" t="str">
        <f t="shared" si="60"/>
        <v>30-35</v>
      </c>
      <c r="L448">
        <f t="shared" si="61"/>
        <v>0</v>
      </c>
      <c r="M448">
        <f t="shared" si="62"/>
        <v>0</v>
      </c>
      <c r="N448">
        <f t="shared" si="63"/>
        <v>1</v>
      </c>
      <c r="O448">
        <f t="shared" si="64"/>
        <v>0</v>
      </c>
      <c r="P448">
        <v>0.10914896085618742</v>
      </c>
      <c r="Q448">
        <f t="shared" si="65"/>
        <v>0</v>
      </c>
      <c r="R448">
        <f t="shared" si="66"/>
        <v>0</v>
      </c>
      <c r="S448">
        <f t="shared" si="67"/>
        <v>1</v>
      </c>
      <c r="T448">
        <f t="shared" si="68"/>
        <v>9655.119999999999</v>
      </c>
      <c r="U448">
        <f t="shared" si="69"/>
        <v>-3416.8199999999988</v>
      </c>
    </row>
    <row r="449" spans="1:21" x14ac:dyDescent="0.3">
      <c r="A449">
        <v>448</v>
      </c>
      <c r="B449">
        <v>45</v>
      </c>
      <c r="C449" t="s">
        <v>10</v>
      </c>
      <c r="D449">
        <v>23.2</v>
      </c>
      <c r="E449">
        <v>92</v>
      </c>
      <c r="F449" t="s">
        <v>12</v>
      </c>
      <c r="G449">
        <v>0</v>
      </c>
      <c r="H449" t="s">
        <v>12</v>
      </c>
      <c r="I449" t="s">
        <v>15</v>
      </c>
      <c r="J449">
        <v>6250.44</v>
      </c>
      <c r="K449" t="str">
        <f t="shared" si="60"/>
        <v>20-25</v>
      </c>
      <c r="L449">
        <f t="shared" si="61"/>
        <v>0</v>
      </c>
      <c r="M449">
        <f t="shared" si="62"/>
        <v>0</v>
      </c>
      <c r="N449">
        <f t="shared" si="63"/>
        <v>1</v>
      </c>
      <c r="O449">
        <f t="shared" si="64"/>
        <v>0</v>
      </c>
      <c r="P449">
        <v>5.6537752639202687E-2</v>
      </c>
      <c r="Q449">
        <f t="shared" si="65"/>
        <v>0</v>
      </c>
      <c r="R449">
        <f t="shared" si="66"/>
        <v>0</v>
      </c>
      <c r="S449">
        <f t="shared" si="67"/>
        <v>0</v>
      </c>
      <c r="T449">
        <f t="shared" si="68"/>
        <v>6374.4599999999991</v>
      </c>
      <c r="U449">
        <f t="shared" si="69"/>
        <v>-124.01999999999953</v>
      </c>
    </row>
    <row r="450" spans="1:21" x14ac:dyDescent="0.3">
      <c r="A450">
        <v>449</v>
      </c>
      <c r="B450">
        <v>24</v>
      </c>
      <c r="C450" t="s">
        <v>10</v>
      </c>
      <c r="D450">
        <v>21.8</v>
      </c>
      <c r="E450">
        <v>83</v>
      </c>
      <c r="F450" t="s">
        <v>11</v>
      </c>
      <c r="G450">
        <v>1</v>
      </c>
      <c r="H450" t="s">
        <v>12</v>
      </c>
      <c r="I450" t="s">
        <v>13</v>
      </c>
      <c r="J450">
        <v>6272.48</v>
      </c>
      <c r="K450" t="str">
        <f t="shared" si="60"/>
        <v>20-25</v>
      </c>
      <c r="L450">
        <f t="shared" si="61"/>
        <v>0</v>
      </c>
      <c r="M450">
        <f t="shared" si="62"/>
        <v>1</v>
      </c>
      <c r="N450">
        <f t="shared" si="63"/>
        <v>0</v>
      </c>
      <c r="O450">
        <f t="shared" si="64"/>
        <v>0</v>
      </c>
      <c r="P450">
        <v>0.28443668046403703</v>
      </c>
      <c r="Q450">
        <f t="shared" si="65"/>
        <v>0</v>
      </c>
      <c r="R450">
        <f t="shared" si="66"/>
        <v>1</v>
      </c>
      <c r="S450">
        <f t="shared" si="67"/>
        <v>0</v>
      </c>
      <c r="T450">
        <f t="shared" si="68"/>
        <v>4825.8900000000003</v>
      </c>
      <c r="U450">
        <f t="shared" si="69"/>
        <v>1446.5899999999992</v>
      </c>
    </row>
    <row r="451" spans="1:21" x14ac:dyDescent="0.3">
      <c r="A451">
        <v>450</v>
      </c>
      <c r="B451">
        <v>43</v>
      </c>
      <c r="C451" t="s">
        <v>10</v>
      </c>
      <c r="D451">
        <v>28.8</v>
      </c>
      <c r="E451">
        <v>93</v>
      </c>
      <c r="F451" t="s">
        <v>12</v>
      </c>
      <c r="G451">
        <v>1</v>
      </c>
      <c r="H451" t="s">
        <v>12</v>
      </c>
      <c r="I451" t="s">
        <v>15</v>
      </c>
      <c r="J451">
        <v>6282.24</v>
      </c>
      <c r="K451" t="str">
        <f t="shared" ref="K451:K514" si="70">IF(D451&lt;20, "&lt;20", IF(D451&lt;25, "20-25", IF(D451&lt;30, "25-30", IF(D451&lt;35, "30-35", "35+"))))</f>
        <v>25-30</v>
      </c>
      <c r="L451">
        <f t="shared" ref="L451:L514" si="71">D451*Q451</f>
        <v>0</v>
      </c>
      <c r="M451">
        <f t="shared" ref="M451:M514" si="72">IF(I451="southeast", 1, 0)</f>
        <v>0</v>
      </c>
      <c r="N451">
        <f t="shared" ref="N451:N514" si="73">IF(I451="southwest", 1, 0)</f>
        <v>1</v>
      </c>
      <c r="O451">
        <f t="shared" ref="O451:O514" si="74">IF(I451="northwest", 1, 0)</f>
        <v>0</v>
      </c>
      <c r="P451">
        <v>0.44889032807178653</v>
      </c>
      <c r="Q451">
        <f t="shared" ref="Q451:Q514" si="75">IF(H451="Yes", 1, 0)</f>
        <v>0</v>
      </c>
      <c r="R451">
        <f t="shared" ref="R451:R514" si="76">IF(F451="yes", 1, 0)</f>
        <v>0</v>
      </c>
      <c r="S451">
        <f t="shared" ref="S451:S514" si="77">IF(C451="female", 1, 0)</f>
        <v>0</v>
      </c>
      <c r="T451">
        <f t="shared" ref="T451:T514" si="78">-7277.71 + (-1.28*B451) + (85.5*D451) + (738.24*G451) + (159.59*E451) + (1259.19*L451) + (-3644.73*M451) + (-2956.11*N451) + (-2948.04*O451) + (-17828.85*Q451) + (-69.06*R451) + (444.95*S451)</f>
        <v>7753.65</v>
      </c>
      <c r="U451">
        <f t="shared" ref="U451:U514" si="79">J451-T451</f>
        <v>-1471.4099999999999</v>
      </c>
    </row>
    <row r="452" spans="1:21" x14ac:dyDescent="0.3">
      <c r="A452">
        <v>451</v>
      </c>
      <c r="B452">
        <v>20</v>
      </c>
      <c r="C452" t="s">
        <v>10</v>
      </c>
      <c r="D452">
        <v>34.200000000000003</v>
      </c>
      <c r="E452">
        <v>89</v>
      </c>
      <c r="F452" t="s">
        <v>11</v>
      </c>
      <c r="G452">
        <v>1</v>
      </c>
      <c r="H452" t="s">
        <v>12</v>
      </c>
      <c r="I452" t="s">
        <v>13</v>
      </c>
      <c r="J452">
        <v>6289.75</v>
      </c>
      <c r="K452" t="str">
        <f t="shared" si="70"/>
        <v>30-35</v>
      </c>
      <c r="L452">
        <f t="shared" si="71"/>
        <v>0</v>
      </c>
      <c r="M452">
        <f t="shared" si="72"/>
        <v>1</v>
      </c>
      <c r="N452">
        <f t="shared" si="73"/>
        <v>0</v>
      </c>
      <c r="O452">
        <f t="shared" si="74"/>
        <v>0</v>
      </c>
      <c r="P452">
        <v>8.3036358670259602E-2</v>
      </c>
      <c r="Q452">
        <f t="shared" si="75"/>
        <v>0</v>
      </c>
      <c r="R452">
        <f t="shared" si="76"/>
        <v>1</v>
      </c>
      <c r="S452">
        <f t="shared" si="77"/>
        <v>0</v>
      </c>
      <c r="T452">
        <f t="shared" si="78"/>
        <v>6848.7500000000009</v>
      </c>
      <c r="U452">
        <f t="shared" si="79"/>
        <v>-559.00000000000091</v>
      </c>
    </row>
    <row r="453" spans="1:21" x14ac:dyDescent="0.3">
      <c r="A453">
        <v>452</v>
      </c>
      <c r="B453">
        <v>48</v>
      </c>
      <c r="C453" t="s">
        <v>16</v>
      </c>
      <c r="D453">
        <v>29.5</v>
      </c>
      <c r="E453">
        <v>95</v>
      </c>
      <c r="F453" t="s">
        <v>12</v>
      </c>
      <c r="G453">
        <v>2</v>
      </c>
      <c r="H453" t="s">
        <v>12</v>
      </c>
      <c r="I453" t="s">
        <v>15</v>
      </c>
      <c r="J453">
        <v>6311.95</v>
      </c>
      <c r="K453" t="str">
        <f t="shared" si="70"/>
        <v>25-30</v>
      </c>
      <c r="L453">
        <f t="shared" si="71"/>
        <v>0</v>
      </c>
      <c r="M453">
        <f t="shared" si="72"/>
        <v>0</v>
      </c>
      <c r="N453">
        <f t="shared" si="73"/>
        <v>1</v>
      </c>
      <c r="O453">
        <f t="shared" si="74"/>
        <v>0</v>
      </c>
      <c r="P453">
        <v>0.92523353570448807</v>
      </c>
      <c r="Q453">
        <f t="shared" si="75"/>
        <v>0</v>
      </c>
      <c r="R453">
        <f t="shared" si="76"/>
        <v>0</v>
      </c>
      <c r="S453">
        <f t="shared" si="77"/>
        <v>1</v>
      </c>
      <c r="T453">
        <f t="shared" si="78"/>
        <v>9309.4700000000012</v>
      </c>
      <c r="U453">
        <f t="shared" si="79"/>
        <v>-2997.5200000000013</v>
      </c>
    </row>
    <row r="454" spans="1:21" x14ac:dyDescent="0.3">
      <c r="A454">
        <v>453</v>
      </c>
      <c r="B454">
        <v>56</v>
      </c>
      <c r="C454" t="s">
        <v>16</v>
      </c>
      <c r="D454">
        <v>30.8</v>
      </c>
      <c r="E454">
        <v>92</v>
      </c>
      <c r="F454" t="s">
        <v>11</v>
      </c>
      <c r="G454">
        <v>2</v>
      </c>
      <c r="H454" t="s">
        <v>12</v>
      </c>
      <c r="I454" t="s">
        <v>13</v>
      </c>
      <c r="J454">
        <v>6313.76</v>
      </c>
      <c r="K454" t="str">
        <f t="shared" si="70"/>
        <v>30-35</v>
      </c>
      <c r="L454">
        <f t="shared" si="71"/>
        <v>0</v>
      </c>
      <c r="M454">
        <f t="shared" si="72"/>
        <v>1</v>
      </c>
      <c r="N454">
        <f t="shared" si="73"/>
        <v>0</v>
      </c>
      <c r="O454">
        <f t="shared" si="74"/>
        <v>0</v>
      </c>
      <c r="P454">
        <v>7.1514378718320448E-2</v>
      </c>
      <c r="Q454">
        <f t="shared" si="75"/>
        <v>0</v>
      </c>
      <c r="R454">
        <f t="shared" si="76"/>
        <v>1</v>
      </c>
      <c r="S454">
        <f t="shared" si="77"/>
        <v>1</v>
      </c>
      <c r="T454">
        <f t="shared" si="78"/>
        <v>8173.93</v>
      </c>
      <c r="U454">
        <f t="shared" si="79"/>
        <v>-1860.17</v>
      </c>
    </row>
    <row r="455" spans="1:21" x14ac:dyDescent="0.3">
      <c r="A455">
        <v>454</v>
      </c>
      <c r="B455">
        <v>58</v>
      </c>
      <c r="C455" t="s">
        <v>16</v>
      </c>
      <c r="D455">
        <v>37.1</v>
      </c>
      <c r="E455">
        <v>97</v>
      </c>
      <c r="F455" t="s">
        <v>12</v>
      </c>
      <c r="G455">
        <v>3</v>
      </c>
      <c r="H455" t="s">
        <v>12</v>
      </c>
      <c r="I455" t="s">
        <v>13</v>
      </c>
      <c r="J455">
        <v>6334.34</v>
      </c>
      <c r="K455" t="str">
        <f t="shared" si="70"/>
        <v>35+</v>
      </c>
      <c r="L455">
        <f t="shared" si="71"/>
        <v>0</v>
      </c>
      <c r="M455">
        <f t="shared" si="72"/>
        <v>1</v>
      </c>
      <c r="N455">
        <f t="shared" si="73"/>
        <v>0</v>
      </c>
      <c r="O455">
        <f t="shared" si="74"/>
        <v>0</v>
      </c>
      <c r="P455">
        <v>0.50603602916804269</v>
      </c>
      <c r="Q455">
        <f t="shared" si="75"/>
        <v>0</v>
      </c>
      <c r="R455">
        <f t="shared" si="76"/>
        <v>0</v>
      </c>
      <c r="S455">
        <f t="shared" si="77"/>
        <v>1</v>
      </c>
      <c r="T455">
        <f t="shared" si="78"/>
        <v>10315.27</v>
      </c>
      <c r="U455">
        <f t="shared" si="79"/>
        <v>-3980.9300000000003</v>
      </c>
    </row>
    <row r="456" spans="1:21" x14ac:dyDescent="0.3">
      <c r="A456">
        <v>455</v>
      </c>
      <c r="B456">
        <v>24</v>
      </c>
      <c r="C456" t="s">
        <v>10</v>
      </c>
      <c r="D456">
        <v>32.299999999999997</v>
      </c>
      <c r="E456">
        <v>92</v>
      </c>
      <c r="F456" t="s">
        <v>11</v>
      </c>
      <c r="G456">
        <v>2</v>
      </c>
      <c r="H456" t="s">
        <v>12</v>
      </c>
      <c r="I456" t="s">
        <v>13</v>
      </c>
      <c r="J456">
        <v>6338.08</v>
      </c>
      <c r="K456" t="str">
        <f t="shared" si="70"/>
        <v>30-35</v>
      </c>
      <c r="L456">
        <f t="shared" si="71"/>
        <v>0</v>
      </c>
      <c r="M456">
        <f t="shared" si="72"/>
        <v>1</v>
      </c>
      <c r="N456">
        <f t="shared" si="73"/>
        <v>0</v>
      </c>
      <c r="O456">
        <f t="shared" si="74"/>
        <v>0</v>
      </c>
      <c r="P456">
        <v>0.32579835420920134</v>
      </c>
      <c r="Q456">
        <f t="shared" si="75"/>
        <v>0</v>
      </c>
      <c r="R456">
        <f t="shared" si="76"/>
        <v>1</v>
      </c>
      <c r="S456">
        <f t="shared" si="77"/>
        <v>0</v>
      </c>
      <c r="T456">
        <f t="shared" si="78"/>
        <v>7898.19</v>
      </c>
      <c r="U456">
        <f t="shared" si="79"/>
        <v>-1560.1099999999997</v>
      </c>
    </row>
    <row r="457" spans="1:21" x14ac:dyDescent="0.3">
      <c r="A457">
        <v>456</v>
      </c>
      <c r="B457">
        <v>40</v>
      </c>
      <c r="C457" t="s">
        <v>10</v>
      </c>
      <c r="D457">
        <v>45.4</v>
      </c>
      <c r="E457">
        <v>91</v>
      </c>
      <c r="F457" t="s">
        <v>12</v>
      </c>
      <c r="G457">
        <v>2</v>
      </c>
      <c r="H457" t="s">
        <v>12</v>
      </c>
      <c r="I457" t="s">
        <v>13</v>
      </c>
      <c r="J457">
        <v>6356.27</v>
      </c>
      <c r="K457" t="str">
        <f t="shared" si="70"/>
        <v>35+</v>
      </c>
      <c r="L457">
        <f t="shared" si="71"/>
        <v>0</v>
      </c>
      <c r="M457">
        <f t="shared" si="72"/>
        <v>1</v>
      </c>
      <c r="N457">
        <f t="shared" si="73"/>
        <v>0</v>
      </c>
      <c r="O457">
        <f t="shared" si="74"/>
        <v>0</v>
      </c>
      <c r="P457">
        <v>0.27786509575024199</v>
      </c>
      <c r="Q457">
        <f t="shared" si="75"/>
        <v>0</v>
      </c>
      <c r="R457">
        <f t="shared" si="76"/>
        <v>0</v>
      </c>
      <c r="S457">
        <f t="shared" si="77"/>
        <v>0</v>
      </c>
      <c r="T457">
        <f t="shared" si="78"/>
        <v>8907.2300000000014</v>
      </c>
      <c r="U457">
        <f t="shared" si="79"/>
        <v>-2550.9600000000009</v>
      </c>
    </row>
    <row r="458" spans="1:21" x14ac:dyDescent="0.3">
      <c r="A458">
        <v>457</v>
      </c>
      <c r="B458">
        <v>28</v>
      </c>
      <c r="C458" t="s">
        <v>10</v>
      </c>
      <c r="D458">
        <v>31.3</v>
      </c>
      <c r="E458">
        <v>91</v>
      </c>
      <c r="F458" t="s">
        <v>12</v>
      </c>
      <c r="G458">
        <v>0</v>
      </c>
      <c r="H458" t="s">
        <v>12</v>
      </c>
      <c r="I458" t="s">
        <v>14</v>
      </c>
      <c r="J458">
        <v>6358.78</v>
      </c>
      <c r="K458" t="str">
        <f t="shared" si="70"/>
        <v>30-35</v>
      </c>
      <c r="L458">
        <f t="shared" si="71"/>
        <v>0</v>
      </c>
      <c r="M458">
        <f t="shared" si="72"/>
        <v>0</v>
      </c>
      <c r="N458">
        <f t="shared" si="73"/>
        <v>0</v>
      </c>
      <c r="O458">
        <f t="shared" si="74"/>
        <v>1</v>
      </c>
      <c r="P458">
        <v>0.4626795920716712</v>
      </c>
      <c r="Q458">
        <f t="shared" si="75"/>
        <v>0</v>
      </c>
      <c r="R458">
        <f t="shared" si="76"/>
        <v>0</v>
      </c>
      <c r="S458">
        <f t="shared" si="77"/>
        <v>0</v>
      </c>
      <c r="T458">
        <f t="shared" si="78"/>
        <v>6937.2500000000009</v>
      </c>
      <c r="U458">
        <f t="shared" si="79"/>
        <v>-578.47000000000116</v>
      </c>
    </row>
    <row r="459" spans="1:21" x14ac:dyDescent="0.3">
      <c r="A459">
        <v>458</v>
      </c>
      <c r="B459">
        <v>50</v>
      </c>
      <c r="C459" t="s">
        <v>16</v>
      </c>
      <c r="D459">
        <v>42.9</v>
      </c>
      <c r="E459">
        <v>98</v>
      </c>
      <c r="F459" t="s">
        <v>12</v>
      </c>
      <c r="G459">
        <v>3</v>
      </c>
      <c r="H459" t="s">
        <v>12</v>
      </c>
      <c r="I459" t="s">
        <v>14</v>
      </c>
      <c r="J459">
        <v>6360.99</v>
      </c>
      <c r="K459" t="str">
        <f t="shared" si="70"/>
        <v>35+</v>
      </c>
      <c r="L459">
        <f t="shared" si="71"/>
        <v>0</v>
      </c>
      <c r="M459">
        <f t="shared" si="72"/>
        <v>0</v>
      </c>
      <c r="N459">
        <f t="shared" si="73"/>
        <v>0</v>
      </c>
      <c r="O459">
        <f t="shared" si="74"/>
        <v>1</v>
      </c>
      <c r="P459">
        <v>0.53066896521349627</v>
      </c>
      <c r="Q459">
        <f t="shared" si="75"/>
        <v>0</v>
      </c>
      <c r="R459">
        <f t="shared" si="76"/>
        <v>0</v>
      </c>
      <c r="S459">
        <f t="shared" si="77"/>
        <v>1</v>
      </c>
      <c r="T459">
        <f t="shared" si="78"/>
        <v>11677.689999999999</v>
      </c>
      <c r="U459">
        <f t="shared" si="79"/>
        <v>-5316.6999999999989</v>
      </c>
    </row>
    <row r="460" spans="1:21" x14ac:dyDescent="0.3">
      <c r="A460">
        <v>459</v>
      </c>
      <c r="B460">
        <v>34</v>
      </c>
      <c r="C460" t="s">
        <v>16</v>
      </c>
      <c r="D460">
        <v>40.6</v>
      </c>
      <c r="E460">
        <v>98</v>
      </c>
      <c r="F460" t="s">
        <v>12</v>
      </c>
      <c r="G460">
        <v>1</v>
      </c>
      <c r="H460" t="s">
        <v>12</v>
      </c>
      <c r="I460" t="s">
        <v>14</v>
      </c>
      <c r="J460">
        <v>6373.56</v>
      </c>
      <c r="K460" t="str">
        <f t="shared" si="70"/>
        <v>35+</v>
      </c>
      <c r="L460">
        <f t="shared" si="71"/>
        <v>0</v>
      </c>
      <c r="M460">
        <f t="shared" si="72"/>
        <v>0</v>
      </c>
      <c r="N460">
        <f t="shared" si="73"/>
        <v>0</v>
      </c>
      <c r="O460">
        <f t="shared" si="74"/>
        <v>1</v>
      </c>
      <c r="P460">
        <v>0.8071114504515885</v>
      </c>
      <c r="Q460">
        <f t="shared" si="75"/>
        <v>0</v>
      </c>
      <c r="R460">
        <f t="shared" si="76"/>
        <v>0</v>
      </c>
      <c r="S460">
        <f t="shared" si="77"/>
        <v>1</v>
      </c>
      <c r="T460">
        <f t="shared" si="78"/>
        <v>10025.040000000001</v>
      </c>
      <c r="U460">
        <f t="shared" si="79"/>
        <v>-3651.4800000000005</v>
      </c>
    </row>
    <row r="461" spans="1:21" x14ac:dyDescent="0.3">
      <c r="A461">
        <v>460</v>
      </c>
      <c r="B461">
        <v>21</v>
      </c>
      <c r="C461" t="s">
        <v>10</v>
      </c>
      <c r="D461">
        <v>26.3</v>
      </c>
      <c r="E461">
        <v>85</v>
      </c>
      <c r="F461" t="s">
        <v>11</v>
      </c>
      <c r="G461">
        <v>1</v>
      </c>
      <c r="H461" t="s">
        <v>12</v>
      </c>
      <c r="I461" t="s">
        <v>14</v>
      </c>
      <c r="J461">
        <v>6389.38</v>
      </c>
      <c r="K461" t="str">
        <f t="shared" si="70"/>
        <v>25-30</v>
      </c>
      <c r="L461">
        <f t="shared" si="71"/>
        <v>0</v>
      </c>
      <c r="M461">
        <f t="shared" si="72"/>
        <v>0</v>
      </c>
      <c r="N461">
        <f t="shared" si="73"/>
        <v>0</v>
      </c>
      <c r="O461">
        <f t="shared" si="74"/>
        <v>1</v>
      </c>
      <c r="P461">
        <v>0.74802069045987152</v>
      </c>
      <c r="Q461">
        <f t="shared" si="75"/>
        <v>0</v>
      </c>
      <c r="R461">
        <f t="shared" si="76"/>
        <v>1</v>
      </c>
      <c r="S461">
        <f t="shared" si="77"/>
        <v>0</v>
      </c>
      <c r="T461">
        <f t="shared" si="78"/>
        <v>6230.3499999999985</v>
      </c>
      <c r="U461">
        <f t="shared" si="79"/>
        <v>159.03000000000156</v>
      </c>
    </row>
    <row r="462" spans="1:21" x14ac:dyDescent="0.3">
      <c r="A462">
        <v>461</v>
      </c>
      <c r="B462">
        <v>31</v>
      </c>
      <c r="C462" t="s">
        <v>10</v>
      </c>
      <c r="D462">
        <v>29.4</v>
      </c>
      <c r="E462">
        <v>99</v>
      </c>
      <c r="F462" t="s">
        <v>12</v>
      </c>
      <c r="G462">
        <v>1</v>
      </c>
      <c r="H462" t="s">
        <v>12</v>
      </c>
      <c r="I462" t="s">
        <v>14</v>
      </c>
      <c r="J462">
        <v>6393.6</v>
      </c>
      <c r="K462" t="str">
        <f t="shared" si="70"/>
        <v>25-30</v>
      </c>
      <c r="L462">
        <f t="shared" si="71"/>
        <v>0</v>
      </c>
      <c r="M462">
        <f t="shared" si="72"/>
        <v>0</v>
      </c>
      <c r="N462">
        <f t="shared" si="73"/>
        <v>0</v>
      </c>
      <c r="O462">
        <f t="shared" si="74"/>
        <v>1</v>
      </c>
      <c r="P462">
        <v>0.38748269193738216</v>
      </c>
      <c r="Q462">
        <f t="shared" si="75"/>
        <v>0</v>
      </c>
      <c r="R462">
        <f t="shared" si="76"/>
        <v>0</v>
      </c>
      <c r="S462">
        <f t="shared" si="77"/>
        <v>0</v>
      </c>
      <c r="T462">
        <f t="shared" si="78"/>
        <v>8785.9199999999983</v>
      </c>
      <c r="U462">
        <f t="shared" si="79"/>
        <v>-2392.3199999999979</v>
      </c>
    </row>
    <row r="463" spans="1:21" x14ac:dyDescent="0.3">
      <c r="A463">
        <v>462</v>
      </c>
      <c r="B463">
        <v>42</v>
      </c>
      <c r="C463" t="s">
        <v>16</v>
      </c>
      <c r="D463">
        <v>23.5</v>
      </c>
      <c r="E463">
        <v>94</v>
      </c>
      <c r="F463" t="s">
        <v>12</v>
      </c>
      <c r="G463">
        <v>2</v>
      </c>
      <c r="H463" t="s">
        <v>12</v>
      </c>
      <c r="I463" t="s">
        <v>13</v>
      </c>
      <c r="J463">
        <v>6402.29</v>
      </c>
      <c r="K463" t="str">
        <f t="shared" si="70"/>
        <v>20-25</v>
      </c>
      <c r="L463">
        <f t="shared" si="71"/>
        <v>0</v>
      </c>
      <c r="M463">
        <f t="shared" si="72"/>
        <v>1</v>
      </c>
      <c r="N463">
        <f t="shared" si="73"/>
        <v>0</v>
      </c>
      <c r="O463">
        <f t="shared" si="74"/>
        <v>0</v>
      </c>
      <c r="P463">
        <v>0.40396672478853735</v>
      </c>
      <c r="Q463">
        <f t="shared" si="75"/>
        <v>0</v>
      </c>
      <c r="R463">
        <f t="shared" si="76"/>
        <v>0</v>
      </c>
      <c r="S463">
        <f t="shared" si="77"/>
        <v>1</v>
      </c>
      <c r="T463">
        <f t="shared" si="78"/>
        <v>7955.9400000000014</v>
      </c>
      <c r="U463">
        <f t="shared" si="79"/>
        <v>-1553.6500000000015</v>
      </c>
    </row>
    <row r="464" spans="1:21" x14ac:dyDescent="0.3">
      <c r="A464">
        <v>463</v>
      </c>
      <c r="B464">
        <v>18</v>
      </c>
      <c r="C464" t="s">
        <v>10</v>
      </c>
      <c r="D464">
        <v>29.8</v>
      </c>
      <c r="E464">
        <v>97</v>
      </c>
      <c r="F464" t="s">
        <v>12</v>
      </c>
      <c r="G464">
        <v>2</v>
      </c>
      <c r="H464" t="s">
        <v>12</v>
      </c>
      <c r="I464" t="s">
        <v>13</v>
      </c>
      <c r="J464">
        <v>6406.41</v>
      </c>
      <c r="K464" t="str">
        <f t="shared" si="70"/>
        <v>25-30</v>
      </c>
      <c r="L464">
        <f t="shared" si="71"/>
        <v>0</v>
      </c>
      <c r="M464">
        <f t="shared" si="72"/>
        <v>1</v>
      </c>
      <c r="N464">
        <f t="shared" si="73"/>
        <v>0</v>
      </c>
      <c r="O464">
        <f t="shared" si="74"/>
        <v>0</v>
      </c>
      <c r="P464">
        <v>0.64100566027040984</v>
      </c>
      <c r="Q464">
        <f t="shared" si="75"/>
        <v>0</v>
      </c>
      <c r="R464">
        <f t="shared" si="76"/>
        <v>0</v>
      </c>
      <c r="S464">
        <f t="shared" si="77"/>
        <v>0</v>
      </c>
      <c r="T464">
        <f t="shared" si="78"/>
        <v>8559.1299999999992</v>
      </c>
      <c r="U464">
        <f t="shared" si="79"/>
        <v>-2152.7199999999993</v>
      </c>
    </row>
    <row r="465" spans="1:21" x14ac:dyDescent="0.3">
      <c r="A465">
        <v>464</v>
      </c>
      <c r="B465">
        <v>51</v>
      </c>
      <c r="C465" t="s">
        <v>16</v>
      </c>
      <c r="D465">
        <v>27.7</v>
      </c>
      <c r="E465">
        <v>81</v>
      </c>
      <c r="F465" t="s">
        <v>12</v>
      </c>
      <c r="G465">
        <v>3</v>
      </c>
      <c r="H465" t="s">
        <v>12</v>
      </c>
      <c r="I465" t="s">
        <v>15</v>
      </c>
      <c r="J465">
        <v>6414.18</v>
      </c>
      <c r="K465" t="str">
        <f t="shared" si="70"/>
        <v>25-30</v>
      </c>
      <c r="L465">
        <f t="shared" si="71"/>
        <v>0</v>
      </c>
      <c r="M465">
        <f t="shared" si="72"/>
        <v>0</v>
      </c>
      <c r="N465">
        <f t="shared" si="73"/>
        <v>1</v>
      </c>
      <c r="O465">
        <f t="shared" si="74"/>
        <v>0</v>
      </c>
      <c r="P465">
        <v>0.34107501028659759</v>
      </c>
      <c r="Q465">
        <f t="shared" si="75"/>
        <v>0</v>
      </c>
      <c r="R465">
        <f t="shared" si="76"/>
        <v>0</v>
      </c>
      <c r="S465">
        <f t="shared" si="77"/>
        <v>1</v>
      </c>
      <c r="T465">
        <f t="shared" si="78"/>
        <v>7655.7100000000019</v>
      </c>
      <c r="U465">
        <f t="shared" si="79"/>
        <v>-1241.5300000000016</v>
      </c>
    </row>
    <row r="466" spans="1:21" x14ac:dyDescent="0.3">
      <c r="A466">
        <v>465</v>
      </c>
      <c r="B466">
        <v>20</v>
      </c>
      <c r="C466" t="s">
        <v>10</v>
      </c>
      <c r="D466">
        <v>46.5</v>
      </c>
      <c r="E466">
        <v>89</v>
      </c>
      <c r="F466" t="s">
        <v>12</v>
      </c>
      <c r="G466">
        <v>3</v>
      </c>
      <c r="H466" t="s">
        <v>12</v>
      </c>
      <c r="I466" t="s">
        <v>13</v>
      </c>
      <c r="J466">
        <v>6435.62</v>
      </c>
      <c r="K466" t="str">
        <f t="shared" si="70"/>
        <v>35+</v>
      </c>
      <c r="L466">
        <f t="shared" si="71"/>
        <v>0</v>
      </c>
      <c r="M466">
        <f t="shared" si="72"/>
        <v>1</v>
      </c>
      <c r="N466">
        <f t="shared" si="73"/>
        <v>0</v>
      </c>
      <c r="O466">
        <f t="shared" si="74"/>
        <v>0</v>
      </c>
      <c r="P466">
        <v>0.31116141109369544</v>
      </c>
      <c r="Q466">
        <f t="shared" si="75"/>
        <v>0</v>
      </c>
      <c r="R466">
        <f t="shared" si="76"/>
        <v>0</v>
      </c>
      <c r="S466">
        <f t="shared" si="77"/>
        <v>0</v>
      </c>
      <c r="T466">
        <f t="shared" si="78"/>
        <v>9445.94</v>
      </c>
      <c r="U466">
        <f t="shared" si="79"/>
        <v>-3010.3200000000006</v>
      </c>
    </row>
    <row r="467" spans="1:21" x14ac:dyDescent="0.3">
      <c r="A467">
        <v>466</v>
      </c>
      <c r="B467">
        <v>28</v>
      </c>
      <c r="C467" t="s">
        <v>10</v>
      </c>
      <c r="D467">
        <v>27.8</v>
      </c>
      <c r="E467">
        <v>93</v>
      </c>
      <c r="F467" t="s">
        <v>11</v>
      </c>
      <c r="G467">
        <v>2</v>
      </c>
      <c r="H467" t="s">
        <v>12</v>
      </c>
      <c r="I467" t="s">
        <v>14</v>
      </c>
      <c r="J467">
        <v>6455.86</v>
      </c>
      <c r="K467" t="str">
        <f t="shared" si="70"/>
        <v>25-30</v>
      </c>
      <c r="L467">
        <f t="shared" si="71"/>
        <v>0</v>
      </c>
      <c r="M467">
        <f t="shared" si="72"/>
        <v>0</v>
      </c>
      <c r="N467">
        <f t="shared" si="73"/>
        <v>0</v>
      </c>
      <c r="O467">
        <f t="shared" si="74"/>
        <v>1</v>
      </c>
      <c r="P467">
        <v>0.32275373599914314</v>
      </c>
      <c r="Q467">
        <f t="shared" si="75"/>
        <v>0</v>
      </c>
      <c r="R467">
        <f t="shared" si="76"/>
        <v>1</v>
      </c>
      <c r="S467">
        <f t="shared" si="77"/>
        <v>0</v>
      </c>
      <c r="T467">
        <f t="shared" si="78"/>
        <v>8364.6</v>
      </c>
      <c r="U467">
        <f t="shared" si="79"/>
        <v>-1908.7400000000007</v>
      </c>
    </row>
    <row r="468" spans="1:21" x14ac:dyDescent="0.3">
      <c r="A468">
        <v>467</v>
      </c>
      <c r="B468">
        <v>24</v>
      </c>
      <c r="C468" t="s">
        <v>10</v>
      </c>
      <c r="D468">
        <v>29.3</v>
      </c>
      <c r="E468">
        <v>93</v>
      </c>
      <c r="F468" t="s">
        <v>12</v>
      </c>
      <c r="G468">
        <v>2</v>
      </c>
      <c r="H468" t="s">
        <v>12</v>
      </c>
      <c r="I468" t="s">
        <v>14</v>
      </c>
      <c r="J468">
        <v>6457.84</v>
      </c>
      <c r="K468" t="str">
        <f t="shared" si="70"/>
        <v>25-30</v>
      </c>
      <c r="L468">
        <f t="shared" si="71"/>
        <v>0</v>
      </c>
      <c r="M468">
        <f t="shared" si="72"/>
        <v>0</v>
      </c>
      <c r="N468">
        <f t="shared" si="73"/>
        <v>0</v>
      </c>
      <c r="O468">
        <f t="shared" si="74"/>
        <v>1</v>
      </c>
      <c r="P468">
        <v>0.81863376619388128</v>
      </c>
      <c r="Q468">
        <f t="shared" si="75"/>
        <v>0</v>
      </c>
      <c r="R468">
        <f t="shared" si="76"/>
        <v>0</v>
      </c>
      <c r="S468">
        <f t="shared" si="77"/>
        <v>0</v>
      </c>
      <c r="T468">
        <f t="shared" si="78"/>
        <v>8567.0299999999988</v>
      </c>
      <c r="U468">
        <f t="shared" si="79"/>
        <v>-2109.1899999999987</v>
      </c>
    </row>
    <row r="469" spans="1:21" x14ac:dyDescent="0.3">
      <c r="A469">
        <v>468</v>
      </c>
      <c r="B469">
        <v>59</v>
      </c>
      <c r="C469" t="s">
        <v>16</v>
      </c>
      <c r="D469">
        <v>37.9</v>
      </c>
      <c r="E469">
        <v>91</v>
      </c>
      <c r="F469" t="s">
        <v>12</v>
      </c>
      <c r="G469">
        <v>0</v>
      </c>
      <c r="H469" t="s">
        <v>12</v>
      </c>
      <c r="I469" t="s">
        <v>15</v>
      </c>
      <c r="J469">
        <v>6474.01</v>
      </c>
      <c r="K469" t="str">
        <f t="shared" si="70"/>
        <v>35+</v>
      </c>
      <c r="L469">
        <f t="shared" si="71"/>
        <v>0</v>
      </c>
      <c r="M469">
        <f t="shared" si="72"/>
        <v>0</v>
      </c>
      <c r="N469">
        <f t="shared" si="73"/>
        <v>1</v>
      </c>
      <c r="O469">
        <f t="shared" si="74"/>
        <v>0</v>
      </c>
      <c r="P469">
        <v>0.14346504213610356</v>
      </c>
      <c r="Q469">
        <f t="shared" si="75"/>
        <v>0</v>
      </c>
      <c r="R469">
        <f t="shared" si="76"/>
        <v>0</v>
      </c>
      <c r="S469">
        <f t="shared" si="77"/>
        <v>1</v>
      </c>
      <c r="T469">
        <f t="shared" si="78"/>
        <v>7898.7499999999991</v>
      </c>
      <c r="U469">
        <f t="shared" si="79"/>
        <v>-1424.7399999999989</v>
      </c>
    </row>
    <row r="470" spans="1:21" x14ac:dyDescent="0.3">
      <c r="A470">
        <v>469</v>
      </c>
      <c r="B470">
        <v>38</v>
      </c>
      <c r="C470" t="s">
        <v>16</v>
      </c>
      <c r="D470">
        <v>27.4</v>
      </c>
      <c r="E470">
        <v>81</v>
      </c>
      <c r="F470" t="s">
        <v>12</v>
      </c>
      <c r="G470">
        <v>1</v>
      </c>
      <c r="H470" t="s">
        <v>12</v>
      </c>
      <c r="I470" t="s">
        <v>15</v>
      </c>
      <c r="J470">
        <v>6496.89</v>
      </c>
      <c r="K470" t="str">
        <f t="shared" si="70"/>
        <v>25-30</v>
      </c>
      <c r="L470">
        <f t="shared" si="71"/>
        <v>0</v>
      </c>
      <c r="M470">
        <f t="shared" si="72"/>
        <v>0</v>
      </c>
      <c r="N470">
        <f t="shared" si="73"/>
        <v>1</v>
      </c>
      <c r="O470">
        <f t="shared" si="74"/>
        <v>0</v>
      </c>
      <c r="P470">
        <v>0.12012421384861038</v>
      </c>
      <c r="Q470">
        <f t="shared" si="75"/>
        <v>0</v>
      </c>
      <c r="R470">
        <f t="shared" si="76"/>
        <v>0</v>
      </c>
      <c r="S470">
        <f t="shared" si="77"/>
        <v>1</v>
      </c>
      <c r="T470">
        <f t="shared" si="78"/>
        <v>6170.22</v>
      </c>
      <c r="U470">
        <f t="shared" si="79"/>
        <v>326.67000000000007</v>
      </c>
    </row>
    <row r="471" spans="1:21" x14ac:dyDescent="0.3">
      <c r="A471">
        <v>470</v>
      </c>
      <c r="B471">
        <v>53</v>
      </c>
      <c r="C471" t="s">
        <v>16</v>
      </c>
      <c r="D471">
        <v>29.8</v>
      </c>
      <c r="E471">
        <v>99</v>
      </c>
      <c r="F471" t="s">
        <v>12</v>
      </c>
      <c r="G471">
        <v>1</v>
      </c>
      <c r="H471" t="s">
        <v>12</v>
      </c>
      <c r="I471" t="s">
        <v>13</v>
      </c>
      <c r="J471">
        <v>6500.24</v>
      </c>
      <c r="K471" t="str">
        <f t="shared" si="70"/>
        <v>25-30</v>
      </c>
      <c r="L471">
        <f t="shared" si="71"/>
        <v>0</v>
      </c>
      <c r="M471">
        <f t="shared" si="72"/>
        <v>1</v>
      </c>
      <c r="N471">
        <f t="shared" si="73"/>
        <v>0</v>
      </c>
      <c r="O471">
        <f t="shared" si="74"/>
        <v>0</v>
      </c>
      <c r="P471">
        <v>5.7326483088550373E-2</v>
      </c>
      <c r="Q471">
        <f t="shared" si="75"/>
        <v>0</v>
      </c>
      <c r="R471">
        <f t="shared" si="76"/>
        <v>0</v>
      </c>
      <c r="S471">
        <f t="shared" si="77"/>
        <v>1</v>
      </c>
      <c r="T471">
        <f t="shared" si="78"/>
        <v>8540.2200000000012</v>
      </c>
      <c r="U471">
        <f t="shared" si="79"/>
        <v>-2039.9800000000014</v>
      </c>
    </row>
    <row r="472" spans="1:21" x14ac:dyDescent="0.3">
      <c r="A472">
        <v>471</v>
      </c>
      <c r="B472">
        <v>42</v>
      </c>
      <c r="C472" t="s">
        <v>10</v>
      </c>
      <c r="D472">
        <v>28.6</v>
      </c>
      <c r="E472">
        <v>85</v>
      </c>
      <c r="F472" t="s">
        <v>11</v>
      </c>
      <c r="G472">
        <v>3</v>
      </c>
      <c r="H472" t="s">
        <v>12</v>
      </c>
      <c r="I472" t="s">
        <v>14</v>
      </c>
      <c r="J472">
        <v>6548.2</v>
      </c>
      <c r="K472" t="str">
        <f t="shared" si="70"/>
        <v>25-30</v>
      </c>
      <c r="L472">
        <f t="shared" si="71"/>
        <v>0</v>
      </c>
      <c r="M472">
        <f t="shared" si="72"/>
        <v>0</v>
      </c>
      <c r="N472">
        <f t="shared" si="73"/>
        <v>0</v>
      </c>
      <c r="O472">
        <f t="shared" si="74"/>
        <v>1</v>
      </c>
      <c r="P472">
        <v>0.93494136632207203</v>
      </c>
      <c r="Q472">
        <f t="shared" si="75"/>
        <v>0</v>
      </c>
      <c r="R472">
        <f t="shared" si="76"/>
        <v>1</v>
      </c>
      <c r="S472">
        <f t="shared" si="77"/>
        <v>0</v>
      </c>
      <c r="T472">
        <f t="shared" si="78"/>
        <v>7876.6</v>
      </c>
      <c r="U472">
        <f t="shared" si="79"/>
        <v>-1328.4000000000005</v>
      </c>
    </row>
    <row r="473" spans="1:21" x14ac:dyDescent="0.3">
      <c r="A473">
        <v>472</v>
      </c>
      <c r="B473">
        <v>29</v>
      </c>
      <c r="C473" t="s">
        <v>16</v>
      </c>
      <c r="D473">
        <v>36.299999999999997</v>
      </c>
      <c r="E473">
        <v>83</v>
      </c>
      <c r="F473" t="s">
        <v>12</v>
      </c>
      <c r="G473">
        <v>3</v>
      </c>
      <c r="H473" t="s">
        <v>12</v>
      </c>
      <c r="I473" t="s">
        <v>13</v>
      </c>
      <c r="J473">
        <v>6551.75</v>
      </c>
      <c r="K473" t="str">
        <f t="shared" si="70"/>
        <v>35+</v>
      </c>
      <c r="L473">
        <f t="shared" si="71"/>
        <v>0</v>
      </c>
      <c r="M473">
        <f t="shared" si="72"/>
        <v>1</v>
      </c>
      <c r="N473">
        <f t="shared" si="73"/>
        <v>0</v>
      </c>
      <c r="O473">
        <f t="shared" si="74"/>
        <v>0</v>
      </c>
      <c r="P473">
        <v>0.20455083068214497</v>
      </c>
      <c r="Q473">
        <f t="shared" si="75"/>
        <v>0</v>
      </c>
      <c r="R473">
        <f t="shared" si="76"/>
        <v>0</v>
      </c>
      <c r="S473">
        <f t="shared" si="77"/>
        <v>1</v>
      </c>
      <c r="T473">
        <f t="shared" si="78"/>
        <v>8049.7300000000023</v>
      </c>
      <c r="U473">
        <f t="shared" si="79"/>
        <v>-1497.9800000000023</v>
      </c>
    </row>
    <row r="474" spans="1:21" x14ac:dyDescent="0.3">
      <c r="A474">
        <v>473</v>
      </c>
      <c r="B474">
        <v>31</v>
      </c>
      <c r="C474" t="s">
        <v>16</v>
      </c>
      <c r="D474">
        <v>27.3</v>
      </c>
      <c r="E474">
        <v>86</v>
      </c>
      <c r="F474" t="s">
        <v>11</v>
      </c>
      <c r="G474">
        <v>1</v>
      </c>
      <c r="H474" t="s">
        <v>12</v>
      </c>
      <c r="I474" t="s">
        <v>13</v>
      </c>
      <c r="J474">
        <v>6555.07</v>
      </c>
      <c r="K474" t="str">
        <f t="shared" si="70"/>
        <v>25-30</v>
      </c>
      <c r="L474">
        <f t="shared" si="71"/>
        <v>0</v>
      </c>
      <c r="M474">
        <f t="shared" si="72"/>
        <v>1</v>
      </c>
      <c r="N474">
        <f t="shared" si="73"/>
        <v>0</v>
      </c>
      <c r="O474">
        <f t="shared" si="74"/>
        <v>0</v>
      </c>
      <c r="P474">
        <v>0.33495614885290725</v>
      </c>
      <c r="Q474">
        <f t="shared" si="75"/>
        <v>0</v>
      </c>
      <c r="R474">
        <f t="shared" si="76"/>
        <v>1</v>
      </c>
      <c r="S474">
        <f t="shared" si="77"/>
        <v>1</v>
      </c>
      <c r="T474">
        <f t="shared" si="78"/>
        <v>6210.9</v>
      </c>
      <c r="U474">
        <f t="shared" si="79"/>
        <v>344.17000000000007</v>
      </c>
    </row>
    <row r="475" spans="1:21" x14ac:dyDescent="0.3">
      <c r="A475">
        <v>474</v>
      </c>
      <c r="B475">
        <v>48</v>
      </c>
      <c r="C475" t="s">
        <v>16</v>
      </c>
      <c r="D475">
        <v>33</v>
      </c>
      <c r="E475">
        <v>99</v>
      </c>
      <c r="F475" t="s">
        <v>12</v>
      </c>
      <c r="G475">
        <v>0</v>
      </c>
      <c r="H475" t="s">
        <v>12</v>
      </c>
      <c r="I475" t="s">
        <v>14</v>
      </c>
      <c r="J475">
        <v>6571.02</v>
      </c>
      <c r="K475" t="str">
        <f t="shared" si="70"/>
        <v>30-35</v>
      </c>
      <c r="L475">
        <f t="shared" si="71"/>
        <v>0</v>
      </c>
      <c r="M475">
        <f t="shared" si="72"/>
        <v>0</v>
      </c>
      <c r="N475">
        <f t="shared" si="73"/>
        <v>0</v>
      </c>
      <c r="O475">
        <f t="shared" si="74"/>
        <v>1</v>
      </c>
      <c r="P475">
        <v>0.62675386438055292</v>
      </c>
      <c r="Q475">
        <f t="shared" si="75"/>
        <v>0</v>
      </c>
      <c r="R475">
        <f t="shared" si="76"/>
        <v>0</v>
      </c>
      <c r="S475">
        <f t="shared" si="77"/>
        <v>1</v>
      </c>
      <c r="T475">
        <f t="shared" si="78"/>
        <v>8778.6700000000019</v>
      </c>
      <c r="U475">
        <f t="shared" si="79"/>
        <v>-2207.6500000000015</v>
      </c>
    </row>
    <row r="476" spans="1:21" x14ac:dyDescent="0.3">
      <c r="A476">
        <v>475</v>
      </c>
      <c r="B476">
        <v>55</v>
      </c>
      <c r="C476" t="s">
        <v>16</v>
      </c>
      <c r="D476">
        <v>34.799999999999997</v>
      </c>
      <c r="E476">
        <v>80</v>
      </c>
      <c r="F476" t="s">
        <v>11</v>
      </c>
      <c r="G476">
        <v>2</v>
      </c>
      <c r="H476" t="s">
        <v>12</v>
      </c>
      <c r="I476" t="s">
        <v>15</v>
      </c>
      <c r="J476">
        <v>6571.54</v>
      </c>
      <c r="K476" t="str">
        <f t="shared" si="70"/>
        <v>30-35</v>
      </c>
      <c r="L476">
        <f t="shared" si="71"/>
        <v>0</v>
      </c>
      <c r="M476">
        <f t="shared" si="72"/>
        <v>0</v>
      </c>
      <c r="N476">
        <f t="shared" si="73"/>
        <v>1</v>
      </c>
      <c r="O476">
        <f t="shared" si="74"/>
        <v>0</v>
      </c>
      <c r="P476">
        <v>0.24997582071116453</v>
      </c>
      <c r="Q476">
        <f t="shared" si="75"/>
        <v>0</v>
      </c>
      <c r="R476">
        <f t="shared" si="76"/>
        <v>1</v>
      </c>
      <c r="S476">
        <f t="shared" si="77"/>
        <v>1</v>
      </c>
      <c r="T476">
        <f t="shared" si="78"/>
        <v>7290.75</v>
      </c>
      <c r="U476">
        <f t="shared" si="79"/>
        <v>-719.21</v>
      </c>
    </row>
    <row r="477" spans="1:21" x14ac:dyDescent="0.3">
      <c r="A477">
        <v>476</v>
      </c>
      <c r="B477">
        <v>46</v>
      </c>
      <c r="C477" t="s">
        <v>10</v>
      </c>
      <c r="D477">
        <v>25</v>
      </c>
      <c r="E477">
        <v>91</v>
      </c>
      <c r="F477" t="s">
        <v>12</v>
      </c>
      <c r="G477">
        <v>2</v>
      </c>
      <c r="H477" t="s">
        <v>12</v>
      </c>
      <c r="I477" t="s">
        <v>13</v>
      </c>
      <c r="J477">
        <v>6593.51</v>
      </c>
      <c r="K477" t="str">
        <f t="shared" si="70"/>
        <v>25-30</v>
      </c>
      <c r="L477">
        <f t="shared" si="71"/>
        <v>0</v>
      </c>
      <c r="M477">
        <f t="shared" si="72"/>
        <v>1</v>
      </c>
      <c r="N477">
        <f t="shared" si="73"/>
        <v>0</v>
      </c>
      <c r="O477">
        <f t="shared" si="74"/>
        <v>0</v>
      </c>
      <c r="P477">
        <v>0.51491389366383988</v>
      </c>
      <c r="Q477">
        <f t="shared" si="75"/>
        <v>0</v>
      </c>
      <c r="R477">
        <f t="shared" si="76"/>
        <v>0</v>
      </c>
      <c r="S477">
        <f t="shared" si="77"/>
        <v>0</v>
      </c>
      <c r="T477">
        <f t="shared" si="78"/>
        <v>7155.35</v>
      </c>
      <c r="U477">
        <f t="shared" si="79"/>
        <v>-561.84000000000015</v>
      </c>
    </row>
    <row r="478" spans="1:21" x14ac:dyDescent="0.3">
      <c r="A478">
        <v>477</v>
      </c>
      <c r="B478">
        <v>45</v>
      </c>
      <c r="C478" t="s">
        <v>10</v>
      </c>
      <c r="D478">
        <v>34.1</v>
      </c>
      <c r="E478">
        <v>96</v>
      </c>
      <c r="F478" t="s">
        <v>12</v>
      </c>
      <c r="G478">
        <v>1</v>
      </c>
      <c r="H478" t="s">
        <v>12</v>
      </c>
      <c r="I478" t="s">
        <v>13</v>
      </c>
      <c r="J478">
        <v>6600.21</v>
      </c>
      <c r="K478" t="str">
        <f t="shared" si="70"/>
        <v>30-35</v>
      </c>
      <c r="L478">
        <f t="shared" si="71"/>
        <v>0</v>
      </c>
      <c r="M478">
        <f t="shared" si="72"/>
        <v>1</v>
      </c>
      <c r="N478">
        <f t="shared" si="73"/>
        <v>0</v>
      </c>
      <c r="O478">
        <f t="shared" si="74"/>
        <v>0</v>
      </c>
      <c r="P478">
        <v>0.71945222897485506</v>
      </c>
      <c r="Q478">
        <f t="shared" si="75"/>
        <v>0</v>
      </c>
      <c r="R478">
        <f t="shared" si="76"/>
        <v>0</v>
      </c>
      <c r="S478">
        <f t="shared" si="77"/>
        <v>0</v>
      </c>
      <c r="T478">
        <f t="shared" si="78"/>
        <v>7994.3899999999994</v>
      </c>
      <c r="U478">
        <f t="shared" si="79"/>
        <v>-1394.1799999999994</v>
      </c>
    </row>
    <row r="479" spans="1:21" x14ac:dyDescent="0.3">
      <c r="A479">
        <v>478</v>
      </c>
      <c r="B479">
        <v>31</v>
      </c>
      <c r="C479" t="s">
        <v>10</v>
      </c>
      <c r="D479">
        <v>29.9</v>
      </c>
      <c r="E479">
        <v>99</v>
      </c>
      <c r="F479" t="s">
        <v>11</v>
      </c>
      <c r="G479">
        <v>2</v>
      </c>
      <c r="H479" t="s">
        <v>12</v>
      </c>
      <c r="I479" t="s">
        <v>15</v>
      </c>
      <c r="J479">
        <v>6600.36</v>
      </c>
      <c r="K479" t="str">
        <f t="shared" si="70"/>
        <v>25-30</v>
      </c>
      <c r="L479">
        <f t="shared" si="71"/>
        <v>0</v>
      </c>
      <c r="M479">
        <f t="shared" si="72"/>
        <v>0</v>
      </c>
      <c r="N479">
        <f t="shared" si="73"/>
        <v>1</v>
      </c>
      <c r="O479">
        <f t="shared" si="74"/>
        <v>0</v>
      </c>
      <c r="P479">
        <v>0.75289495590841915</v>
      </c>
      <c r="Q479">
        <f t="shared" si="75"/>
        <v>0</v>
      </c>
      <c r="R479">
        <f t="shared" si="76"/>
        <v>1</v>
      </c>
      <c r="S479">
        <f t="shared" si="77"/>
        <v>0</v>
      </c>
      <c r="T479">
        <f t="shared" si="78"/>
        <v>9489.7799999999988</v>
      </c>
      <c r="U479">
        <f t="shared" si="79"/>
        <v>-2889.4199999999992</v>
      </c>
    </row>
    <row r="480" spans="1:21" x14ac:dyDescent="0.3">
      <c r="A480">
        <v>479</v>
      </c>
      <c r="B480">
        <v>38</v>
      </c>
      <c r="C480" t="s">
        <v>10</v>
      </c>
      <c r="D480">
        <v>41.2</v>
      </c>
      <c r="E480">
        <v>81</v>
      </c>
      <c r="F480" t="s">
        <v>11</v>
      </c>
      <c r="G480">
        <v>1</v>
      </c>
      <c r="H480" t="s">
        <v>12</v>
      </c>
      <c r="I480" t="s">
        <v>13</v>
      </c>
      <c r="J480">
        <v>6610.11</v>
      </c>
      <c r="K480" t="str">
        <f t="shared" si="70"/>
        <v>35+</v>
      </c>
      <c r="L480">
        <f t="shared" si="71"/>
        <v>0</v>
      </c>
      <c r="M480">
        <f t="shared" si="72"/>
        <v>1</v>
      </c>
      <c r="N480">
        <f t="shared" si="73"/>
        <v>0</v>
      </c>
      <c r="O480">
        <f t="shared" si="74"/>
        <v>0</v>
      </c>
      <c r="P480">
        <v>0.5307872056201669</v>
      </c>
      <c r="Q480">
        <f t="shared" si="75"/>
        <v>0</v>
      </c>
      <c r="R480">
        <f t="shared" si="76"/>
        <v>1</v>
      </c>
      <c r="S480">
        <f t="shared" si="77"/>
        <v>0</v>
      </c>
      <c r="T480">
        <f t="shared" si="78"/>
        <v>6147.4900000000007</v>
      </c>
      <c r="U480">
        <f t="shared" si="79"/>
        <v>462.61999999999898</v>
      </c>
    </row>
    <row r="481" spans="1:21" x14ac:dyDescent="0.3">
      <c r="A481">
        <v>480</v>
      </c>
      <c r="B481">
        <v>35</v>
      </c>
      <c r="C481" t="s">
        <v>10</v>
      </c>
      <c r="D481">
        <v>16.8</v>
      </c>
      <c r="E481">
        <v>98</v>
      </c>
      <c r="F481" t="s">
        <v>12</v>
      </c>
      <c r="G481">
        <v>2</v>
      </c>
      <c r="H481" t="s">
        <v>12</v>
      </c>
      <c r="I481" t="s">
        <v>13</v>
      </c>
      <c r="J481">
        <v>6640.54</v>
      </c>
      <c r="K481" t="str">
        <f t="shared" si="70"/>
        <v>&lt;20</v>
      </c>
      <c r="L481">
        <f t="shared" si="71"/>
        <v>0</v>
      </c>
      <c r="M481">
        <f t="shared" si="72"/>
        <v>1</v>
      </c>
      <c r="N481">
        <f t="shared" si="73"/>
        <v>0</v>
      </c>
      <c r="O481">
        <f t="shared" si="74"/>
        <v>0</v>
      </c>
      <c r="P481">
        <v>0.17816289141078967</v>
      </c>
      <c r="Q481">
        <f t="shared" si="75"/>
        <v>0</v>
      </c>
      <c r="R481">
        <f t="shared" si="76"/>
        <v>0</v>
      </c>
      <c r="S481">
        <f t="shared" si="77"/>
        <v>0</v>
      </c>
      <c r="T481">
        <f t="shared" si="78"/>
        <v>7585.4599999999991</v>
      </c>
      <c r="U481">
        <f t="shared" si="79"/>
        <v>-944.91999999999916</v>
      </c>
    </row>
    <row r="482" spans="1:21" x14ac:dyDescent="0.3">
      <c r="A482">
        <v>481</v>
      </c>
      <c r="B482">
        <v>48</v>
      </c>
      <c r="C482" t="s">
        <v>10</v>
      </c>
      <c r="D482">
        <v>21.1</v>
      </c>
      <c r="E482">
        <v>82</v>
      </c>
      <c r="F482" t="s">
        <v>12</v>
      </c>
      <c r="G482">
        <v>3</v>
      </c>
      <c r="H482" t="s">
        <v>12</v>
      </c>
      <c r="I482" t="s">
        <v>13</v>
      </c>
      <c r="J482">
        <v>6652.53</v>
      </c>
      <c r="K482" t="str">
        <f t="shared" si="70"/>
        <v>20-25</v>
      </c>
      <c r="L482">
        <f t="shared" si="71"/>
        <v>0</v>
      </c>
      <c r="M482">
        <f t="shared" si="72"/>
        <v>1</v>
      </c>
      <c r="N482">
        <f t="shared" si="73"/>
        <v>0</v>
      </c>
      <c r="O482">
        <f t="shared" si="74"/>
        <v>0</v>
      </c>
      <c r="P482">
        <v>0.94977640654623896</v>
      </c>
      <c r="Q482">
        <f t="shared" si="75"/>
        <v>0</v>
      </c>
      <c r="R482">
        <f t="shared" si="76"/>
        <v>0</v>
      </c>
      <c r="S482">
        <f t="shared" si="77"/>
        <v>0</v>
      </c>
      <c r="T482">
        <f t="shared" si="78"/>
        <v>6121.2700000000023</v>
      </c>
      <c r="U482">
        <f t="shared" si="79"/>
        <v>531.25999999999749</v>
      </c>
    </row>
    <row r="483" spans="1:21" x14ac:dyDescent="0.3">
      <c r="A483">
        <v>482</v>
      </c>
      <c r="B483">
        <v>20</v>
      </c>
      <c r="C483" t="s">
        <v>10</v>
      </c>
      <c r="D483">
        <v>33.4</v>
      </c>
      <c r="E483">
        <v>89</v>
      </c>
      <c r="F483" t="s">
        <v>11</v>
      </c>
      <c r="G483">
        <v>5</v>
      </c>
      <c r="H483" t="s">
        <v>12</v>
      </c>
      <c r="I483" t="s">
        <v>13</v>
      </c>
      <c r="J483">
        <v>6653.79</v>
      </c>
      <c r="K483" t="str">
        <f t="shared" si="70"/>
        <v>30-35</v>
      </c>
      <c r="L483">
        <f t="shared" si="71"/>
        <v>0</v>
      </c>
      <c r="M483">
        <f t="shared" si="72"/>
        <v>1</v>
      </c>
      <c r="N483">
        <f t="shared" si="73"/>
        <v>0</v>
      </c>
      <c r="O483">
        <f t="shared" si="74"/>
        <v>0</v>
      </c>
      <c r="P483">
        <v>0.79773651261170064</v>
      </c>
      <c r="Q483">
        <f t="shared" si="75"/>
        <v>0</v>
      </c>
      <c r="R483">
        <f t="shared" si="76"/>
        <v>1</v>
      </c>
      <c r="S483">
        <f t="shared" si="77"/>
        <v>0</v>
      </c>
      <c r="T483">
        <f t="shared" si="78"/>
        <v>9733.31</v>
      </c>
      <c r="U483">
        <f t="shared" si="79"/>
        <v>-3079.5199999999995</v>
      </c>
    </row>
    <row r="484" spans="1:21" x14ac:dyDescent="0.3">
      <c r="A484">
        <v>483</v>
      </c>
      <c r="B484">
        <v>29</v>
      </c>
      <c r="C484" t="s">
        <v>10</v>
      </c>
      <c r="D484">
        <v>28.4</v>
      </c>
      <c r="E484">
        <v>87</v>
      </c>
      <c r="F484" t="s">
        <v>12</v>
      </c>
      <c r="G484">
        <v>1</v>
      </c>
      <c r="H484" t="s">
        <v>12</v>
      </c>
      <c r="I484" t="s">
        <v>14</v>
      </c>
      <c r="J484">
        <v>6664.69</v>
      </c>
      <c r="K484" t="str">
        <f t="shared" si="70"/>
        <v>25-30</v>
      </c>
      <c r="L484">
        <f t="shared" si="71"/>
        <v>0</v>
      </c>
      <c r="M484">
        <f t="shared" si="72"/>
        <v>0</v>
      </c>
      <c r="N484">
        <f t="shared" si="73"/>
        <v>0</v>
      </c>
      <c r="O484">
        <f t="shared" si="74"/>
        <v>1</v>
      </c>
      <c r="P484">
        <v>3.0497679054314553E-2</v>
      </c>
      <c r="Q484">
        <f t="shared" si="75"/>
        <v>0</v>
      </c>
      <c r="R484">
        <f t="shared" si="76"/>
        <v>0</v>
      </c>
      <c r="S484">
        <f t="shared" si="77"/>
        <v>0</v>
      </c>
      <c r="T484">
        <f t="shared" si="78"/>
        <v>6787.8999999999987</v>
      </c>
      <c r="U484">
        <f t="shared" si="79"/>
        <v>-123.20999999999913</v>
      </c>
    </row>
    <row r="485" spans="1:21" x14ac:dyDescent="0.3">
      <c r="A485">
        <v>484</v>
      </c>
      <c r="B485">
        <v>48</v>
      </c>
      <c r="C485" t="s">
        <v>10</v>
      </c>
      <c r="D485">
        <v>42.4</v>
      </c>
      <c r="E485">
        <v>92</v>
      </c>
      <c r="F485" t="s">
        <v>11</v>
      </c>
      <c r="G485">
        <v>5</v>
      </c>
      <c r="H485" t="s">
        <v>12</v>
      </c>
      <c r="I485" t="s">
        <v>15</v>
      </c>
      <c r="J485">
        <v>6666.24</v>
      </c>
      <c r="K485" t="str">
        <f t="shared" si="70"/>
        <v>35+</v>
      </c>
      <c r="L485">
        <f t="shared" si="71"/>
        <v>0</v>
      </c>
      <c r="M485">
        <f t="shared" si="72"/>
        <v>0</v>
      </c>
      <c r="N485">
        <f t="shared" si="73"/>
        <v>1</v>
      </c>
      <c r="O485">
        <f t="shared" si="74"/>
        <v>0</v>
      </c>
      <c r="P485">
        <v>0.89397907053487424</v>
      </c>
      <c r="Q485">
        <f t="shared" si="75"/>
        <v>0</v>
      </c>
      <c r="R485">
        <f t="shared" si="76"/>
        <v>1</v>
      </c>
      <c r="S485">
        <f t="shared" si="77"/>
        <v>0</v>
      </c>
      <c r="T485">
        <f t="shared" si="78"/>
        <v>11634.36</v>
      </c>
      <c r="U485">
        <f t="shared" si="79"/>
        <v>-4968.1200000000008</v>
      </c>
    </row>
    <row r="486" spans="1:21" x14ac:dyDescent="0.3">
      <c r="A486">
        <v>485</v>
      </c>
      <c r="B486">
        <v>55</v>
      </c>
      <c r="C486" t="s">
        <v>16</v>
      </c>
      <c r="D486">
        <v>23.4</v>
      </c>
      <c r="E486">
        <v>85</v>
      </c>
      <c r="F486" t="s">
        <v>11</v>
      </c>
      <c r="G486">
        <v>2</v>
      </c>
      <c r="H486" t="s">
        <v>12</v>
      </c>
      <c r="I486" t="s">
        <v>14</v>
      </c>
      <c r="J486">
        <v>6686.43</v>
      </c>
      <c r="K486" t="str">
        <f t="shared" si="70"/>
        <v>20-25</v>
      </c>
      <c r="L486">
        <f t="shared" si="71"/>
        <v>0</v>
      </c>
      <c r="M486">
        <f t="shared" si="72"/>
        <v>0</v>
      </c>
      <c r="N486">
        <f t="shared" si="73"/>
        <v>0</v>
      </c>
      <c r="O486">
        <f t="shared" si="74"/>
        <v>1</v>
      </c>
      <c r="P486">
        <v>0.34155336774940759</v>
      </c>
      <c r="Q486">
        <f t="shared" si="75"/>
        <v>0</v>
      </c>
      <c r="R486">
        <f t="shared" si="76"/>
        <v>1</v>
      </c>
      <c r="S486">
        <f t="shared" si="77"/>
        <v>1</v>
      </c>
      <c r="T486">
        <f t="shared" si="78"/>
        <v>7122.0699999999988</v>
      </c>
      <c r="U486">
        <f t="shared" si="79"/>
        <v>-435.63999999999851</v>
      </c>
    </row>
    <row r="487" spans="1:21" x14ac:dyDescent="0.3">
      <c r="A487">
        <v>486</v>
      </c>
      <c r="B487">
        <v>37</v>
      </c>
      <c r="C487" t="s">
        <v>10</v>
      </c>
      <c r="D487">
        <v>24.5</v>
      </c>
      <c r="E487">
        <v>86</v>
      </c>
      <c r="F487" t="s">
        <v>12</v>
      </c>
      <c r="G487">
        <v>2</v>
      </c>
      <c r="H487" t="s">
        <v>12</v>
      </c>
      <c r="I487" t="s">
        <v>14</v>
      </c>
      <c r="J487">
        <v>6710.19</v>
      </c>
      <c r="K487" t="str">
        <f t="shared" si="70"/>
        <v>20-25</v>
      </c>
      <c r="L487">
        <f t="shared" si="71"/>
        <v>0</v>
      </c>
      <c r="M487">
        <f t="shared" si="72"/>
        <v>0</v>
      </c>
      <c r="N487">
        <f t="shared" si="73"/>
        <v>0</v>
      </c>
      <c r="O487">
        <f t="shared" si="74"/>
        <v>1</v>
      </c>
      <c r="P487">
        <v>0.74737940583068008</v>
      </c>
      <c r="Q487">
        <f t="shared" si="75"/>
        <v>0</v>
      </c>
      <c r="R487">
        <f t="shared" si="76"/>
        <v>0</v>
      </c>
      <c r="S487">
        <f t="shared" si="77"/>
        <v>0</v>
      </c>
      <c r="T487">
        <f t="shared" si="78"/>
        <v>7022.86</v>
      </c>
      <c r="U487">
        <f t="shared" si="79"/>
        <v>-312.67000000000007</v>
      </c>
    </row>
    <row r="488" spans="1:21" x14ac:dyDescent="0.3">
      <c r="A488">
        <v>487</v>
      </c>
      <c r="B488">
        <v>48</v>
      </c>
      <c r="C488" t="s">
        <v>10</v>
      </c>
      <c r="D488">
        <v>27.6</v>
      </c>
      <c r="E488">
        <v>90</v>
      </c>
      <c r="F488" t="s">
        <v>11</v>
      </c>
      <c r="G488">
        <v>3</v>
      </c>
      <c r="H488" t="s">
        <v>12</v>
      </c>
      <c r="I488" t="s">
        <v>13</v>
      </c>
      <c r="J488">
        <v>6746.74</v>
      </c>
      <c r="K488" t="str">
        <f t="shared" si="70"/>
        <v>25-30</v>
      </c>
      <c r="L488">
        <f t="shared" si="71"/>
        <v>0</v>
      </c>
      <c r="M488">
        <f t="shared" si="72"/>
        <v>1</v>
      </c>
      <c r="N488">
        <f t="shared" si="73"/>
        <v>0</v>
      </c>
      <c r="O488">
        <f t="shared" si="74"/>
        <v>0</v>
      </c>
      <c r="P488">
        <v>0.72495403229730404</v>
      </c>
      <c r="Q488">
        <f t="shared" si="75"/>
        <v>0</v>
      </c>
      <c r="R488">
        <f t="shared" si="76"/>
        <v>1</v>
      </c>
      <c r="S488">
        <f t="shared" si="77"/>
        <v>0</v>
      </c>
      <c r="T488">
        <f t="shared" si="78"/>
        <v>7884.6800000000012</v>
      </c>
      <c r="U488">
        <f t="shared" si="79"/>
        <v>-1137.9400000000014</v>
      </c>
    </row>
    <row r="489" spans="1:21" x14ac:dyDescent="0.3">
      <c r="A489">
        <v>488</v>
      </c>
      <c r="B489">
        <v>37</v>
      </c>
      <c r="C489" t="s">
        <v>10</v>
      </c>
      <c r="D489">
        <v>28.9</v>
      </c>
      <c r="E489">
        <v>91</v>
      </c>
      <c r="F489" t="s">
        <v>12</v>
      </c>
      <c r="G489">
        <v>3</v>
      </c>
      <c r="H489" t="s">
        <v>12</v>
      </c>
      <c r="I489" t="s">
        <v>13</v>
      </c>
      <c r="J489">
        <v>6748.59</v>
      </c>
      <c r="K489" t="str">
        <f t="shared" si="70"/>
        <v>25-30</v>
      </c>
      <c r="L489">
        <f t="shared" si="71"/>
        <v>0</v>
      </c>
      <c r="M489">
        <f t="shared" si="72"/>
        <v>1</v>
      </c>
      <c r="N489">
        <f t="shared" si="73"/>
        <v>0</v>
      </c>
      <c r="O489">
        <f t="shared" si="74"/>
        <v>0</v>
      </c>
      <c r="P489">
        <v>0.19044322092017929</v>
      </c>
      <c r="Q489">
        <f t="shared" si="75"/>
        <v>0</v>
      </c>
      <c r="R489">
        <f t="shared" si="76"/>
        <v>0</v>
      </c>
      <c r="S489">
        <f t="shared" si="77"/>
        <v>0</v>
      </c>
      <c r="T489">
        <f t="shared" si="78"/>
        <v>8238.5600000000013</v>
      </c>
      <c r="U489">
        <f t="shared" si="79"/>
        <v>-1489.9700000000012</v>
      </c>
    </row>
    <row r="490" spans="1:21" x14ac:dyDescent="0.3">
      <c r="A490">
        <v>489</v>
      </c>
      <c r="B490">
        <v>54</v>
      </c>
      <c r="C490" t="s">
        <v>16</v>
      </c>
      <c r="D490">
        <v>19</v>
      </c>
      <c r="E490">
        <v>84</v>
      </c>
      <c r="F490" t="s">
        <v>11</v>
      </c>
      <c r="G490">
        <v>3</v>
      </c>
      <c r="H490" t="s">
        <v>12</v>
      </c>
      <c r="I490" t="s">
        <v>13</v>
      </c>
      <c r="J490">
        <v>6753.04</v>
      </c>
      <c r="K490" t="str">
        <f t="shared" si="70"/>
        <v>&lt;20</v>
      </c>
      <c r="L490">
        <f t="shared" si="71"/>
        <v>0</v>
      </c>
      <c r="M490">
        <f t="shared" si="72"/>
        <v>1</v>
      </c>
      <c r="N490">
        <f t="shared" si="73"/>
        <v>0</v>
      </c>
      <c r="O490">
        <f t="shared" si="74"/>
        <v>0</v>
      </c>
      <c r="P490">
        <v>0.36365870930526867</v>
      </c>
      <c r="Q490">
        <f t="shared" si="75"/>
        <v>0</v>
      </c>
      <c r="R490">
        <f t="shared" si="76"/>
        <v>1</v>
      </c>
      <c r="S490">
        <f t="shared" si="77"/>
        <v>1</v>
      </c>
      <c r="T490">
        <f t="shared" si="78"/>
        <v>6629.1100000000006</v>
      </c>
      <c r="U490">
        <f t="shared" si="79"/>
        <v>123.92999999999938</v>
      </c>
    </row>
    <row r="491" spans="1:21" x14ac:dyDescent="0.3">
      <c r="A491">
        <v>490</v>
      </c>
      <c r="B491">
        <v>48</v>
      </c>
      <c r="C491" t="s">
        <v>16</v>
      </c>
      <c r="D491">
        <v>28.1</v>
      </c>
      <c r="E491">
        <v>95</v>
      </c>
      <c r="F491" t="s">
        <v>11</v>
      </c>
      <c r="G491">
        <v>1</v>
      </c>
      <c r="H491" t="s">
        <v>12</v>
      </c>
      <c r="I491" t="s">
        <v>13</v>
      </c>
      <c r="J491">
        <v>6770.19</v>
      </c>
      <c r="K491" t="str">
        <f t="shared" si="70"/>
        <v>25-30</v>
      </c>
      <c r="L491">
        <f t="shared" si="71"/>
        <v>0</v>
      </c>
      <c r="M491">
        <f t="shared" si="72"/>
        <v>1</v>
      </c>
      <c r="N491">
        <f t="shared" si="73"/>
        <v>0</v>
      </c>
      <c r="O491">
        <f t="shared" si="74"/>
        <v>0</v>
      </c>
      <c r="P491">
        <v>0.52295258491137042</v>
      </c>
      <c r="Q491">
        <f t="shared" si="75"/>
        <v>0</v>
      </c>
      <c r="R491">
        <f t="shared" si="76"/>
        <v>1</v>
      </c>
      <c r="S491">
        <f t="shared" si="77"/>
        <v>1</v>
      </c>
      <c r="T491">
        <f t="shared" si="78"/>
        <v>7693.8500000000022</v>
      </c>
      <c r="U491">
        <f t="shared" si="79"/>
        <v>-923.66000000000258</v>
      </c>
    </row>
    <row r="492" spans="1:21" x14ac:dyDescent="0.3">
      <c r="A492">
        <v>491</v>
      </c>
      <c r="B492">
        <v>54</v>
      </c>
      <c r="C492" t="s">
        <v>16</v>
      </c>
      <c r="D492">
        <v>32.200000000000003</v>
      </c>
      <c r="E492">
        <v>89</v>
      </c>
      <c r="F492" t="s">
        <v>12</v>
      </c>
      <c r="G492">
        <v>1</v>
      </c>
      <c r="H492" t="s">
        <v>12</v>
      </c>
      <c r="I492" t="s">
        <v>15</v>
      </c>
      <c r="J492">
        <v>6775.96</v>
      </c>
      <c r="K492" t="str">
        <f t="shared" si="70"/>
        <v>30-35</v>
      </c>
      <c r="L492">
        <f t="shared" si="71"/>
        <v>0</v>
      </c>
      <c r="M492">
        <f t="shared" si="72"/>
        <v>0</v>
      </c>
      <c r="N492">
        <f t="shared" si="73"/>
        <v>1</v>
      </c>
      <c r="O492">
        <f t="shared" si="74"/>
        <v>0</v>
      </c>
      <c r="P492">
        <v>0.80817497797053151</v>
      </c>
      <c r="Q492">
        <f t="shared" si="75"/>
        <v>0</v>
      </c>
      <c r="R492">
        <f t="shared" si="76"/>
        <v>0</v>
      </c>
      <c r="S492">
        <f t="shared" si="77"/>
        <v>1</v>
      </c>
      <c r="T492">
        <f t="shared" si="78"/>
        <v>7836.86</v>
      </c>
      <c r="U492">
        <f t="shared" si="79"/>
        <v>-1060.8999999999996</v>
      </c>
    </row>
    <row r="493" spans="1:21" x14ac:dyDescent="0.3">
      <c r="A493">
        <v>492</v>
      </c>
      <c r="B493">
        <v>40</v>
      </c>
      <c r="C493" t="s">
        <v>16</v>
      </c>
      <c r="D493">
        <v>36.1</v>
      </c>
      <c r="E493">
        <v>80</v>
      </c>
      <c r="F493" t="s">
        <v>12</v>
      </c>
      <c r="G493">
        <v>1</v>
      </c>
      <c r="H493" t="s">
        <v>12</v>
      </c>
      <c r="I493" t="s">
        <v>13</v>
      </c>
      <c r="J493">
        <v>6781.35</v>
      </c>
      <c r="K493" t="str">
        <f t="shared" si="70"/>
        <v>35+</v>
      </c>
      <c r="L493">
        <f t="shared" si="71"/>
        <v>0</v>
      </c>
      <c r="M493">
        <f t="shared" si="72"/>
        <v>1</v>
      </c>
      <c r="N493">
        <f t="shared" si="73"/>
        <v>0</v>
      </c>
      <c r="O493">
        <f t="shared" si="74"/>
        <v>0</v>
      </c>
      <c r="P493">
        <v>0.3869130536244858</v>
      </c>
      <c r="Q493">
        <f t="shared" si="75"/>
        <v>0</v>
      </c>
      <c r="R493">
        <f t="shared" si="76"/>
        <v>0</v>
      </c>
      <c r="S493">
        <f t="shared" si="77"/>
        <v>1</v>
      </c>
      <c r="T493">
        <f t="shared" si="78"/>
        <v>6063.300000000002</v>
      </c>
      <c r="U493">
        <f t="shared" si="79"/>
        <v>718.04999999999836</v>
      </c>
    </row>
    <row r="494" spans="1:21" x14ac:dyDescent="0.3">
      <c r="A494">
        <v>493</v>
      </c>
      <c r="B494">
        <v>27</v>
      </c>
      <c r="C494" t="s">
        <v>10</v>
      </c>
      <c r="D494">
        <v>30.9</v>
      </c>
      <c r="E494">
        <v>91</v>
      </c>
      <c r="F494" t="s">
        <v>12</v>
      </c>
      <c r="G494">
        <v>3</v>
      </c>
      <c r="H494" t="s">
        <v>12</v>
      </c>
      <c r="I494" t="s">
        <v>14</v>
      </c>
      <c r="J494">
        <v>6796.86</v>
      </c>
      <c r="K494" t="str">
        <f t="shared" si="70"/>
        <v>30-35</v>
      </c>
      <c r="L494">
        <f t="shared" si="71"/>
        <v>0</v>
      </c>
      <c r="M494">
        <f t="shared" si="72"/>
        <v>0</v>
      </c>
      <c r="N494">
        <f t="shared" si="73"/>
        <v>0</v>
      </c>
      <c r="O494">
        <f t="shared" si="74"/>
        <v>1</v>
      </c>
      <c r="P494">
        <v>0.60537824966019327</v>
      </c>
      <c r="Q494">
        <f t="shared" si="75"/>
        <v>0</v>
      </c>
      <c r="R494">
        <f t="shared" si="76"/>
        <v>0</v>
      </c>
      <c r="S494">
        <f t="shared" si="77"/>
        <v>0</v>
      </c>
      <c r="T494">
        <f t="shared" si="78"/>
        <v>9119.0499999999993</v>
      </c>
      <c r="U494">
        <f t="shared" si="79"/>
        <v>-2322.1899999999996</v>
      </c>
    </row>
    <row r="495" spans="1:21" x14ac:dyDescent="0.3">
      <c r="A495">
        <v>494</v>
      </c>
      <c r="B495">
        <v>37</v>
      </c>
      <c r="C495" t="s">
        <v>10</v>
      </c>
      <c r="D495">
        <v>28.5</v>
      </c>
      <c r="E495">
        <v>81</v>
      </c>
      <c r="F495" t="s">
        <v>12</v>
      </c>
      <c r="G495">
        <v>5</v>
      </c>
      <c r="H495" t="s">
        <v>12</v>
      </c>
      <c r="I495" t="s">
        <v>13</v>
      </c>
      <c r="J495">
        <v>6799.46</v>
      </c>
      <c r="K495" t="str">
        <f t="shared" si="70"/>
        <v>25-30</v>
      </c>
      <c r="L495">
        <f t="shared" si="71"/>
        <v>0</v>
      </c>
      <c r="M495">
        <f t="shared" si="72"/>
        <v>1</v>
      </c>
      <c r="N495">
        <f t="shared" si="73"/>
        <v>0</v>
      </c>
      <c r="O495">
        <f t="shared" si="74"/>
        <v>0</v>
      </c>
      <c r="P495">
        <v>0.24748272166063157</v>
      </c>
      <c r="Q495">
        <f t="shared" si="75"/>
        <v>0</v>
      </c>
      <c r="R495">
        <f t="shared" si="76"/>
        <v>0</v>
      </c>
      <c r="S495">
        <f t="shared" si="77"/>
        <v>0</v>
      </c>
      <c r="T495">
        <f t="shared" si="78"/>
        <v>8084.9400000000023</v>
      </c>
      <c r="U495">
        <f t="shared" si="79"/>
        <v>-1285.4800000000023</v>
      </c>
    </row>
    <row r="496" spans="1:21" x14ac:dyDescent="0.3">
      <c r="A496">
        <v>495</v>
      </c>
      <c r="B496">
        <v>32</v>
      </c>
      <c r="C496" t="s">
        <v>10</v>
      </c>
      <c r="D496">
        <v>26</v>
      </c>
      <c r="E496">
        <v>90</v>
      </c>
      <c r="F496" t="s">
        <v>12</v>
      </c>
      <c r="G496">
        <v>0</v>
      </c>
      <c r="H496" t="s">
        <v>12</v>
      </c>
      <c r="I496" t="s">
        <v>13</v>
      </c>
      <c r="J496">
        <v>6837.37</v>
      </c>
      <c r="K496" t="str">
        <f t="shared" si="70"/>
        <v>25-30</v>
      </c>
      <c r="L496">
        <f t="shared" si="71"/>
        <v>0</v>
      </c>
      <c r="M496">
        <f t="shared" si="72"/>
        <v>1</v>
      </c>
      <c r="N496">
        <f t="shared" si="73"/>
        <v>0</v>
      </c>
      <c r="O496">
        <f t="shared" si="74"/>
        <v>0</v>
      </c>
      <c r="P496">
        <v>3.6796588372383088E-2</v>
      </c>
      <c r="Q496">
        <f t="shared" si="75"/>
        <v>0</v>
      </c>
      <c r="R496">
        <f t="shared" si="76"/>
        <v>0</v>
      </c>
      <c r="S496">
        <f t="shared" si="77"/>
        <v>0</v>
      </c>
      <c r="T496">
        <f t="shared" si="78"/>
        <v>5622.7000000000007</v>
      </c>
      <c r="U496">
        <f t="shared" si="79"/>
        <v>1214.6699999999992</v>
      </c>
    </row>
    <row r="497" spans="1:21" x14ac:dyDescent="0.3">
      <c r="A497">
        <v>496</v>
      </c>
      <c r="B497">
        <v>46</v>
      </c>
      <c r="C497" t="s">
        <v>10</v>
      </c>
      <c r="D497">
        <v>30.1</v>
      </c>
      <c r="E497">
        <v>85</v>
      </c>
      <c r="F497" t="s">
        <v>11</v>
      </c>
      <c r="G497">
        <v>1</v>
      </c>
      <c r="H497" t="s">
        <v>12</v>
      </c>
      <c r="I497" t="s">
        <v>15</v>
      </c>
      <c r="J497">
        <v>6849.03</v>
      </c>
      <c r="K497" t="str">
        <f t="shared" si="70"/>
        <v>30-35</v>
      </c>
      <c r="L497">
        <f t="shared" si="71"/>
        <v>0</v>
      </c>
      <c r="M497">
        <f t="shared" si="72"/>
        <v>0</v>
      </c>
      <c r="N497">
        <f t="shared" si="73"/>
        <v>1</v>
      </c>
      <c r="O497">
        <f t="shared" si="74"/>
        <v>0</v>
      </c>
      <c r="P497">
        <v>0.98133972447584994</v>
      </c>
      <c r="Q497">
        <f t="shared" si="75"/>
        <v>0</v>
      </c>
      <c r="R497">
        <f t="shared" si="76"/>
        <v>1</v>
      </c>
      <c r="S497">
        <f t="shared" si="77"/>
        <v>0</v>
      </c>
      <c r="T497">
        <f t="shared" si="78"/>
        <v>6515.1799999999976</v>
      </c>
      <c r="U497">
        <f t="shared" si="79"/>
        <v>333.85000000000218</v>
      </c>
    </row>
    <row r="498" spans="1:21" x14ac:dyDescent="0.3">
      <c r="A498">
        <v>497</v>
      </c>
      <c r="B498">
        <v>29</v>
      </c>
      <c r="C498" t="s">
        <v>10</v>
      </c>
      <c r="D498">
        <v>23.9</v>
      </c>
      <c r="E498">
        <v>84</v>
      </c>
      <c r="F498" t="s">
        <v>11</v>
      </c>
      <c r="G498">
        <v>1</v>
      </c>
      <c r="H498" t="s">
        <v>12</v>
      </c>
      <c r="I498" t="s">
        <v>13</v>
      </c>
      <c r="J498">
        <v>6858.48</v>
      </c>
      <c r="K498" t="str">
        <f t="shared" si="70"/>
        <v>20-25</v>
      </c>
      <c r="L498">
        <f t="shared" si="71"/>
        <v>0</v>
      </c>
      <c r="M498">
        <f t="shared" si="72"/>
        <v>1</v>
      </c>
      <c r="N498">
        <f t="shared" si="73"/>
        <v>0</v>
      </c>
      <c r="O498">
        <f t="shared" si="74"/>
        <v>0</v>
      </c>
      <c r="P498">
        <v>0.39869002709606383</v>
      </c>
      <c r="Q498">
        <f t="shared" si="75"/>
        <v>0</v>
      </c>
      <c r="R498">
        <f t="shared" si="76"/>
        <v>1</v>
      </c>
      <c r="S498">
        <f t="shared" si="77"/>
        <v>0</v>
      </c>
      <c r="T498">
        <f t="shared" si="78"/>
        <v>5158.6299999999983</v>
      </c>
      <c r="U498">
        <f t="shared" si="79"/>
        <v>1699.8500000000013</v>
      </c>
    </row>
    <row r="499" spans="1:21" x14ac:dyDescent="0.3">
      <c r="A499">
        <v>498</v>
      </c>
      <c r="B499">
        <v>45</v>
      </c>
      <c r="C499" t="s">
        <v>10</v>
      </c>
      <c r="D499">
        <v>32.200000000000003</v>
      </c>
      <c r="E499">
        <v>100</v>
      </c>
      <c r="F499" t="s">
        <v>11</v>
      </c>
      <c r="G499">
        <v>2</v>
      </c>
      <c r="H499" t="s">
        <v>12</v>
      </c>
      <c r="I499" t="s">
        <v>15</v>
      </c>
      <c r="J499">
        <v>6875.96</v>
      </c>
      <c r="K499" t="str">
        <f t="shared" si="70"/>
        <v>30-35</v>
      </c>
      <c r="L499">
        <f t="shared" si="71"/>
        <v>0</v>
      </c>
      <c r="M499">
        <f t="shared" si="72"/>
        <v>0</v>
      </c>
      <c r="N499">
        <f t="shared" si="73"/>
        <v>1</v>
      </c>
      <c r="O499">
        <f t="shared" si="74"/>
        <v>0</v>
      </c>
      <c r="P499">
        <v>6.4236286906985796E-2</v>
      </c>
      <c r="Q499">
        <f t="shared" si="75"/>
        <v>0</v>
      </c>
      <c r="R499">
        <f t="shared" si="76"/>
        <v>1</v>
      </c>
      <c r="S499">
        <f t="shared" si="77"/>
        <v>0</v>
      </c>
      <c r="T499">
        <f t="shared" si="78"/>
        <v>9828.1</v>
      </c>
      <c r="U499">
        <f t="shared" si="79"/>
        <v>-2952.1400000000003</v>
      </c>
    </row>
    <row r="500" spans="1:21" x14ac:dyDescent="0.3">
      <c r="A500">
        <v>499</v>
      </c>
      <c r="B500">
        <v>31</v>
      </c>
      <c r="C500" t="s">
        <v>16</v>
      </c>
      <c r="D500">
        <v>17.3</v>
      </c>
      <c r="E500">
        <v>100</v>
      </c>
      <c r="F500" t="s">
        <v>12</v>
      </c>
      <c r="G500">
        <v>2</v>
      </c>
      <c r="H500" t="s">
        <v>12</v>
      </c>
      <c r="I500" t="s">
        <v>13</v>
      </c>
      <c r="J500">
        <v>6877.98</v>
      </c>
      <c r="K500" t="str">
        <f t="shared" si="70"/>
        <v>&lt;20</v>
      </c>
      <c r="L500">
        <f t="shared" si="71"/>
        <v>0</v>
      </c>
      <c r="M500">
        <f t="shared" si="72"/>
        <v>1</v>
      </c>
      <c r="N500">
        <f t="shared" si="73"/>
        <v>0</v>
      </c>
      <c r="O500">
        <f t="shared" si="74"/>
        <v>0</v>
      </c>
      <c r="P500">
        <v>0.67962678159737822</v>
      </c>
      <c r="Q500">
        <f t="shared" si="75"/>
        <v>0</v>
      </c>
      <c r="R500">
        <f t="shared" si="76"/>
        <v>0</v>
      </c>
      <c r="S500">
        <f t="shared" si="77"/>
        <v>1</v>
      </c>
      <c r="T500">
        <f t="shared" si="78"/>
        <v>8397.4600000000009</v>
      </c>
      <c r="U500">
        <f t="shared" si="79"/>
        <v>-1519.4800000000014</v>
      </c>
    </row>
    <row r="501" spans="1:21" x14ac:dyDescent="0.3">
      <c r="A501">
        <v>500</v>
      </c>
      <c r="B501">
        <v>60</v>
      </c>
      <c r="C501" t="s">
        <v>16</v>
      </c>
      <c r="D501">
        <v>19.5</v>
      </c>
      <c r="E501">
        <v>95</v>
      </c>
      <c r="F501" t="s">
        <v>12</v>
      </c>
      <c r="G501">
        <v>2</v>
      </c>
      <c r="H501" t="s">
        <v>12</v>
      </c>
      <c r="I501" t="s">
        <v>14</v>
      </c>
      <c r="J501">
        <v>6933.24</v>
      </c>
      <c r="K501" t="str">
        <f t="shared" si="70"/>
        <v>&lt;20</v>
      </c>
      <c r="L501">
        <f t="shared" si="71"/>
        <v>0</v>
      </c>
      <c r="M501">
        <f t="shared" si="72"/>
        <v>0</v>
      </c>
      <c r="N501">
        <f t="shared" si="73"/>
        <v>0</v>
      </c>
      <c r="O501">
        <f t="shared" si="74"/>
        <v>1</v>
      </c>
      <c r="P501">
        <v>0.69347762094044352</v>
      </c>
      <c r="Q501">
        <f t="shared" si="75"/>
        <v>0</v>
      </c>
      <c r="R501">
        <f t="shared" si="76"/>
        <v>0</v>
      </c>
      <c r="S501">
        <f t="shared" si="77"/>
        <v>1</v>
      </c>
      <c r="T501">
        <f t="shared" si="78"/>
        <v>8447.18</v>
      </c>
      <c r="U501">
        <f t="shared" si="79"/>
        <v>-1513.9400000000005</v>
      </c>
    </row>
    <row r="502" spans="1:21" x14ac:dyDescent="0.3">
      <c r="A502">
        <v>501</v>
      </c>
      <c r="B502">
        <v>39</v>
      </c>
      <c r="C502" t="s">
        <v>10</v>
      </c>
      <c r="D502">
        <v>26.3</v>
      </c>
      <c r="E502">
        <v>97</v>
      </c>
      <c r="F502" t="s">
        <v>12</v>
      </c>
      <c r="G502">
        <v>1</v>
      </c>
      <c r="H502" t="s">
        <v>12</v>
      </c>
      <c r="I502" t="s">
        <v>14</v>
      </c>
      <c r="J502">
        <v>6940.91</v>
      </c>
      <c r="K502" t="str">
        <f t="shared" si="70"/>
        <v>25-30</v>
      </c>
      <c r="L502">
        <f t="shared" si="71"/>
        <v>0</v>
      </c>
      <c r="M502">
        <f t="shared" si="72"/>
        <v>0</v>
      </c>
      <c r="N502">
        <f t="shared" si="73"/>
        <v>0</v>
      </c>
      <c r="O502">
        <f t="shared" si="74"/>
        <v>1</v>
      </c>
      <c r="P502">
        <v>0.44117181984677045</v>
      </c>
      <c r="Q502">
        <f t="shared" si="75"/>
        <v>0</v>
      </c>
      <c r="R502">
        <f t="shared" si="76"/>
        <v>0</v>
      </c>
      <c r="S502">
        <f t="shared" si="77"/>
        <v>0</v>
      </c>
      <c r="T502">
        <f t="shared" si="78"/>
        <v>8191.45</v>
      </c>
      <c r="U502">
        <f t="shared" si="79"/>
        <v>-1250.54</v>
      </c>
    </row>
    <row r="503" spans="1:21" x14ac:dyDescent="0.3">
      <c r="A503">
        <v>502</v>
      </c>
      <c r="B503">
        <v>40</v>
      </c>
      <c r="C503" t="s">
        <v>10</v>
      </c>
      <c r="D503">
        <v>39.5</v>
      </c>
      <c r="E503">
        <v>88</v>
      </c>
      <c r="F503" t="s">
        <v>12</v>
      </c>
      <c r="G503">
        <v>0</v>
      </c>
      <c r="H503" t="s">
        <v>12</v>
      </c>
      <c r="I503" t="s">
        <v>14</v>
      </c>
      <c r="J503">
        <v>6948.7</v>
      </c>
      <c r="K503" t="str">
        <f t="shared" si="70"/>
        <v>35+</v>
      </c>
      <c r="L503">
        <f t="shared" si="71"/>
        <v>0</v>
      </c>
      <c r="M503">
        <f t="shared" si="72"/>
        <v>0</v>
      </c>
      <c r="N503">
        <f t="shared" si="73"/>
        <v>0</v>
      </c>
      <c r="O503">
        <f t="shared" si="74"/>
        <v>1</v>
      </c>
      <c r="P503">
        <v>0.33959514388721646</v>
      </c>
      <c r="Q503">
        <f t="shared" si="75"/>
        <v>0</v>
      </c>
      <c r="R503">
        <f t="shared" si="76"/>
        <v>0</v>
      </c>
      <c r="S503">
        <f t="shared" si="77"/>
        <v>0</v>
      </c>
      <c r="T503">
        <f t="shared" si="78"/>
        <v>7144.22</v>
      </c>
      <c r="U503">
        <f t="shared" si="79"/>
        <v>-195.52000000000044</v>
      </c>
    </row>
    <row r="504" spans="1:21" x14ac:dyDescent="0.3">
      <c r="A504">
        <v>503</v>
      </c>
      <c r="B504">
        <v>19</v>
      </c>
      <c r="C504" t="s">
        <v>10</v>
      </c>
      <c r="D504">
        <v>22.7</v>
      </c>
      <c r="E504">
        <v>82</v>
      </c>
      <c r="F504" t="s">
        <v>12</v>
      </c>
      <c r="G504">
        <v>3</v>
      </c>
      <c r="H504" t="s">
        <v>12</v>
      </c>
      <c r="I504" t="s">
        <v>13</v>
      </c>
      <c r="J504">
        <v>6985.51</v>
      </c>
      <c r="K504" t="str">
        <f t="shared" si="70"/>
        <v>20-25</v>
      </c>
      <c r="L504">
        <f t="shared" si="71"/>
        <v>0</v>
      </c>
      <c r="M504">
        <f t="shared" si="72"/>
        <v>1</v>
      </c>
      <c r="N504">
        <f t="shared" si="73"/>
        <v>0</v>
      </c>
      <c r="O504">
        <f t="shared" si="74"/>
        <v>0</v>
      </c>
      <c r="P504">
        <v>0.11519802126368794</v>
      </c>
      <c r="Q504">
        <f t="shared" si="75"/>
        <v>0</v>
      </c>
      <c r="R504">
        <f t="shared" si="76"/>
        <v>0</v>
      </c>
      <c r="S504">
        <f t="shared" si="77"/>
        <v>0</v>
      </c>
      <c r="T504">
        <f t="shared" si="78"/>
        <v>6295.1900000000023</v>
      </c>
      <c r="U504">
        <f t="shared" si="79"/>
        <v>690.31999999999789</v>
      </c>
    </row>
    <row r="505" spans="1:21" x14ac:dyDescent="0.3">
      <c r="A505">
        <v>504</v>
      </c>
      <c r="B505">
        <v>40</v>
      </c>
      <c r="C505" t="s">
        <v>10</v>
      </c>
      <c r="D505">
        <v>32.299999999999997</v>
      </c>
      <c r="E505">
        <v>87</v>
      </c>
      <c r="F505" t="s">
        <v>11</v>
      </c>
      <c r="G505">
        <v>2</v>
      </c>
      <c r="H505" t="s">
        <v>12</v>
      </c>
      <c r="I505" t="s">
        <v>14</v>
      </c>
      <c r="J505">
        <v>6986.7</v>
      </c>
      <c r="K505" t="str">
        <f t="shared" si="70"/>
        <v>30-35</v>
      </c>
      <c r="L505">
        <f t="shared" si="71"/>
        <v>0</v>
      </c>
      <c r="M505">
        <f t="shared" si="72"/>
        <v>0</v>
      </c>
      <c r="N505">
        <f t="shared" si="73"/>
        <v>0</v>
      </c>
      <c r="O505">
        <f t="shared" si="74"/>
        <v>1</v>
      </c>
      <c r="P505">
        <v>0.68290451655571205</v>
      </c>
      <c r="Q505">
        <f t="shared" si="75"/>
        <v>0</v>
      </c>
      <c r="R505">
        <f t="shared" si="76"/>
        <v>1</v>
      </c>
      <c r="S505">
        <f t="shared" si="77"/>
        <v>0</v>
      </c>
      <c r="T505">
        <f t="shared" si="78"/>
        <v>7776.4499999999989</v>
      </c>
      <c r="U505">
        <f t="shared" si="79"/>
        <v>-789.74999999999909</v>
      </c>
    </row>
    <row r="506" spans="1:21" x14ac:dyDescent="0.3">
      <c r="A506">
        <v>505</v>
      </c>
      <c r="B506">
        <v>55</v>
      </c>
      <c r="C506" t="s">
        <v>16</v>
      </c>
      <c r="D506">
        <v>25.3</v>
      </c>
      <c r="E506">
        <v>91</v>
      </c>
      <c r="F506" t="s">
        <v>11</v>
      </c>
      <c r="G506">
        <v>1</v>
      </c>
      <c r="H506" t="s">
        <v>12</v>
      </c>
      <c r="I506" t="s">
        <v>15</v>
      </c>
      <c r="J506">
        <v>7045.5</v>
      </c>
      <c r="K506" t="str">
        <f t="shared" si="70"/>
        <v>25-30</v>
      </c>
      <c r="L506">
        <f t="shared" si="71"/>
        <v>0</v>
      </c>
      <c r="M506">
        <f t="shared" si="72"/>
        <v>0</v>
      </c>
      <c r="N506">
        <f t="shared" si="73"/>
        <v>1</v>
      </c>
      <c r="O506">
        <f t="shared" si="74"/>
        <v>0</v>
      </c>
      <c r="P506">
        <v>0.99553098134686024</v>
      </c>
      <c r="Q506">
        <f t="shared" si="75"/>
        <v>0</v>
      </c>
      <c r="R506">
        <f t="shared" si="76"/>
        <v>1</v>
      </c>
      <c r="S506">
        <f t="shared" si="77"/>
        <v>1</v>
      </c>
      <c r="T506">
        <f t="shared" si="78"/>
        <v>7495.75</v>
      </c>
      <c r="U506">
        <f t="shared" si="79"/>
        <v>-450.25</v>
      </c>
    </row>
    <row r="507" spans="1:21" x14ac:dyDescent="0.3">
      <c r="A507">
        <v>506</v>
      </c>
      <c r="B507">
        <v>34</v>
      </c>
      <c r="C507" t="s">
        <v>16</v>
      </c>
      <c r="D507">
        <v>26.2</v>
      </c>
      <c r="E507">
        <v>88</v>
      </c>
      <c r="F507" t="s">
        <v>11</v>
      </c>
      <c r="G507">
        <v>1</v>
      </c>
      <c r="H507" t="s">
        <v>12</v>
      </c>
      <c r="I507" t="s">
        <v>13</v>
      </c>
      <c r="J507">
        <v>7046.72</v>
      </c>
      <c r="K507" t="str">
        <f t="shared" si="70"/>
        <v>25-30</v>
      </c>
      <c r="L507">
        <f t="shared" si="71"/>
        <v>0</v>
      </c>
      <c r="M507">
        <f t="shared" si="72"/>
        <v>1</v>
      </c>
      <c r="N507">
        <f t="shared" si="73"/>
        <v>0</v>
      </c>
      <c r="O507">
        <f t="shared" si="74"/>
        <v>0</v>
      </c>
      <c r="P507">
        <v>0.70349055107478697</v>
      </c>
      <c r="Q507">
        <f t="shared" si="75"/>
        <v>0</v>
      </c>
      <c r="R507">
        <f t="shared" si="76"/>
        <v>1</v>
      </c>
      <c r="S507">
        <f t="shared" si="77"/>
        <v>1</v>
      </c>
      <c r="T507">
        <f t="shared" si="78"/>
        <v>6432.1899999999987</v>
      </c>
      <c r="U507">
        <f t="shared" si="79"/>
        <v>614.53000000000156</v>
      </c>
    </row>
    <row r="508" spans="1:21" x14ac:dyDescent="0.3">
      <c r="A508">
        <v>507</v>
      </c>
      <c r="B508">
        <v>56</v>
      </c>
      <c r="C508" t="s">
        <v>16</v>
      </c>
      <c r="D508">
        <v>32.9</v>
      </c>
      <c r="E508">
        <v>84</v>
      </c>
      <c r="F508" t="s">
        <v>11</v>
      </c>
      <c r="G508">
        <v>0</v>
      </c>
      <c r="H508" t="s">
        <v>12</v>
      </c>
      <c r="I508" t="s">
        <v>13</v>
      </c>
      <c r="J508">
        <v>7050.02</v>
      </c>
      <c r="K508" t="str">
        <f t="shared" si="70"/>
        <v>30-35</v>
      </c>
      <c r="L508">
        <f t="shared" si="71"/>
        <v>0</v>
      </c>
      <c r="M508">
        <f t="shared" si="72"/>
        <v>1</v>
      </c>
      <c r="N508">
        <f t="shared" si="73"/>
        <v>0</v>
      </c>
      <c r="O508">
        <f t="shared" si="74"/>
        <v>0</v>
      </c>
      <c r="P508">
        <v>0.76176901457968449</v>
      </c>
      <c r="Q508">
        <f t="shared" si="75"/>
        <v>0</v>
      </c>
      <c r="R508">
        <f t="shared" si="76"/>
        <v>1</v>
      </c>
      <c r="S508">
        <f t="shared" si="77"/>
        <v>1</v>
      </c>
      <c r="T508">
        <f t="shared" si="78"/>
        <v>5600.2799999999988</v>
      </c>
      <c r="U508">
        <f t="shared" si="79"/>
        <v>1449.7400000000016</v>
      </c>
    </row>
    <row r="509" spans="1:21" x14ac:dyDescent="0.3">
      <c r="A509">
        <v>508</v>
      </c>
      <c r="B509">
        <v>26</v>
      </c>
      <c r="C509" t="s">
        <v>16</v>
      </c>
      <c r="D509">
        <v>29</v>
      </c>
      <c r="E509">
        <v>93</v>
      </c>
      <c r="F509" t="s">
        <v>12</v>
      </c>
      <c r="G509">
        <v>1</v>
      </c>
      <c r="H509" t="s">
        <v>12</v>
      </c>
      <c r="I509" t="s">
        <v>15</v>
      </c>
      <c r="J509">
        <v>7050.64</v>
      </c>
      <c r="K509" t="str">
        <f t="shared" si="70"/>
        <v>25-30</v>
      </c>
      <c r="L509">
        <f t="shared" si="71"/>
        <v>0</v>
      </c>
      <c r="M509">
        <f t="shared" si="72"/>
        <v>0</v>
      </c>
      <c r="N509">
        <f t="shared" si="73"/>
        <v>1</v>
      </c>
      <c r="O509">
        <f t="shared" si="74"/>
        <v>0</v>
      </c>
      <c r="P509">
        <v>0.98145927759097573</v>
      </c>
      <c r="Q509">
        <f t="shared" si="75"/>
        <v>0</v>
      </c>
      <c r="R509">
        <f t="shared" si="76"/>
        <v>0</v>
      </c>
      <c r="S509">
        <f t="shared" si="77"/>
        <v>1</v>
      </c>
      <c r="T509">
        <f t="shared" si="78"/>
        <v>8237.4600000000009</v>
      </c>
      <c r="U509">
        <f t="shared" si="79"/>
        <v>-1186.8200000000006</v>
      </c>
    </row>
    <row r="510" spans="1:21" x14ac:dyDescent="0.3">
      <c r="A510">
        <v>509</v>
      </c>
      <c r="B510">
        <v>33</v>
      </c>
      <c r="C510" t="s">
        <v>16</v>
      </c>
      <c r="D510">
        <v>25.5</v>
      </c>
      <c r="E510">
        <v>87</v>
      </c>
      <c r="F510" t="s">
        <v>12</v>
      </c>
      <c r="G510">
        <v>1</v>
      </c>
      <c r="H510" t="s">
        <v>12</v>
      </c>
      <c r="I510" t="s">
        <v>13</v>
      </c>
      <c r="J510">
        <v>7077.19</v>
      </c>
      <c r="K510" t="str">
        <f t="shared" si="70"/>
        <v>25-30</v>
      </c>
      <c r="L510">
        <f t="shared" si="71"/>
        <v>0</v>
      </c>
      <c r="M510">
        <f t="shared" si="72"/>
        <v>1</v>
      </c>
      <c r="N510">
        <f t="shared" si="73"/>
        <v>0</v>
      </c>
      <c r="O510">
        <f t="shared" si="74"/>
        <v>0</v>
      </c>
      <c r="P510">
        <v>0.45175413878373416</v>
      </c>
      <c r="Q510">
        <f t="shared" si="75"/>
        <v>0</v>
      </c>
      <c r="R510">
        <f t="shared" si="76"/>
        <v>0</v>
      </c>
      <c r="S510">
        <f t="shared" si="77"/>
        <v>1</v>
      </c>
      <c r="T510">
        <f t="shared" si="78"/>
        <v>6283.0899999999992</v>
      </c>
      <c r="U510">
        <f t="shared" si="79"/>
        <v>794.10000000000036</v>
      </c>
    </row>
    <row r="511" spans="1:21" x14ac:dyDescent="0.3">
      <c r="A511">
        <v>510</v>
      </c>
      <c r="B511">
        <v>50</v>
      </c>
      <c r="C511" t="s">
        <v>16</v>
      </c>
      <c r="D511">
        <v>20</v>
      </c>
      <c r="E511">
        <v>89</v>
      </c>
      <c r="F511" t="s">
        <v>11</v>
      </c>
      <c r="G511">
        <v>2</v>
      </c>
      <c r="H511" t="s">
        <v>12</v>
      </c>
      <c r="I511" t="s">
        <v>13</v>
      </c>
      <c r="J511">
        <v>7133.9</v>
      </c>
      <c r="K511" t="str">
        <f t="shared" si="70"/>
        <v>20-25</v>
      </c>
      <c r="L511">
        <f t="shared" si="71"/>
        <v>0</v>
      </c>
      <c r="M511">
        <f t="shared" si="72"/>
        <v>1</v>
      </c>
      <c r="N511">
        <f t="shared" si="73"/>
        <v>0</v>
      </c>
      <c r="O511">
        <f t="shared" si="74"/>
        <v>0</v>
      </c>
      <c r="P511">
        <v>0.49951026903169116</v>
      </c>
      <c r="Q511">
        <f t="shared" si="75"/>
        <v>0</v>
      </c>
      <c r="R511">
        <f t="shared" si="76"/>
        <v>1</v>
      </c>
      <c r="S511">
        <f t="shared" si="77"/>
        <v>1</v>
      </c>
      <c r="T511">
        <f t="shared" si="78"/>
        <v>6779.4400000000005</v>
      </c>
      <c r="U511">
        <f t="shared" si="79"/>
        <v>354.45999999999913</v>
      </c>
    </row>
    <row r="512" spans="1:21" x14ac:dyDescent="0.3">
      <c r="A512">
        <v>511</v>
      </c>
      <c r="B512">
        <v>55</v>
      </c>
      <c r="C512" t="s">
        <v>16</v>
      </c>
      <c r="D512">
        <v>27.8</v>
      </c>
      <c r="E512">
        <v>80</v>
      </c>
      <c r="F512" t="s">
        <v>11</v>
      </c>
      <c r="G512">
        <v>2</v>
      </c>
      <c r="H512" t="s">
        <v>12</v>
      </c>
      <c r="I512" t="s">
        <v>13</v>
      </c>
      <c r="J512">
        <v>7144.86</v>
      </c>
      <c r="K512" t="str">
        <f t="shared" si="70"/>
        <v>25-30</v>
      </c>
      <c r="L512">
        <f t="shared" si="71"/>
        <v>0</v>
      </c>
      <c r="M512">
        <f t="shared" si="72"/>
        <v>1</v>
      </c>
      <c r="N512">
        <f t="shared" si="73"/>
        <v>0</v>
      </c>
      <c r="O512">
        <f t="shared" si="74"/>
        <v>0</v>
      </c>
      <c r="P512">
        <v>0.90321515677309083</v>
      </c>
      <c r="Q512">
        <f t="shared" si="75"/>
        <v>0</v>
      </c>
      <c r="R512">
        <f t="shared" si="76"/>
        <v>1</v>
      </c>
      <c r="S512">
        <f t="shared" si="77"/>
        <v>1</v>
      </c>
      <c r="T512">
        <f t="shared" si="78"/>
        <v>6003.630000000001</v>
      </c>
      <c r="U512">
        <f t="shared" si="79"/>
        <v>1141.2299999999987</v>
      </c>
    </row>
    <row r="513" spans="1:21" x14ac:dyDescent="0.3">
      <c r="A513">
        <v>512</v>
      </c>
      <c r="B513">
        <v>19</v>
      </c>
      <c r="C513" t="s">
        <v>10</v>
      </c>
      <c r="D513">
        <v>22.3</v>
      </c>
      <c r="E513">
        <v>81</v>
      </c>
      <c r="F513" t="s">
        <v>12</v>
      </c>
      <c r="G513">
        <v>0</v>
      </c>
      <c r="H513" t="s">
        <v>12</v>
      </c>
      <c r="I513" t="s">
        <v>15</v>
      </c>
      <c r="J513">
        <v>7147.11</v>
      </c>
      <c r="K513" t="str">
        <f t="shared" si="70"/>
        <v>20-25</v>
      </c>
      <c r="L513">
        <f t="shared" si="71"/>
        <v>0</v>
      </c>
      <c r="M513">
        <f t="shared" si="72"/>
        <v>0</v>
      </c>
      <c r="N513">
        <f t="shared" si="73"/>
        <v>1</v>
      </c>
      <c r="O513">
        <f t="shared" si="74"/>
        <v>0</v>
      </c>
      <c r="P513">
        <v>0.15435781839716989</v>
      </c>
      <c r="Q513">
        <f t="shared" si="75"/>
        <v>0</v>
      </c>
      <c r="R513">
        <f t="shared" si="76"/>
        <v>0</v>
      </c>
      <c r="S513">
        <f t="shared" si="77"/>
        <v>0</v>
      </c>
      <c r="T513">
        <f t="shared" si="78"/>
        <v>4575.3000000000011</v>
      </c>
      <c r="U513">
        <f t="shared" si="79"/>
        <v>2571.8099999999986</v>
      </c>
    </row>
    <row r="514" spans="1:21" x14ac:dyDescent="0.3">
      <c r="A514">
        <v>513</v>
      </c>
      <c r="B514">
        <v>46</v>
      </c>
      <c r="C514" t="s">
        <v>10</v>
      </c>
      <c r="D514">
        <v>34.299999999999997</v>
      </c>
      <c r="E514">
        <v>89</v>
      </c>
      <c r="F514" t="s">
        <v>12</v>
      </c>
      <c r="G514">
        <v>1</v>
      </c>
      <c r="H514" t="s">
        <v>12</v>
      </c>
      <c r="I514" t="s">
        <v>13</v>
      </c>
      <c r="J514">
        <v>7147.47</v>
      </c>
      <c r="K514" t="str">
        <f t="shared" si="70"/>
        <v>30-35</v>
      </c>
      <c r="L514">
        <f t="shared" si="71"/>
        <v>0</v>
      </c>
      <c r="M514">
        <f t="shared" si="72"/>
        <v>1</v>
      </c>
      <c r="N514">
        <f t="shared" si="73"/>
        <v>0</v>
      </c>
      <c r="O514">
        <f t="shared" si="74"/>
        <v>0</v>
      </c>
      <c r="P514">
        <v>0.7668539572574814</v>
      </c>
      <c r="Q514">
        <f t="shared" si="75"/>
        <v>0</v>
      </c>
      <c r="R514">
        <f t="shared" si="76"/>
        <v>0</v>
      </c>
      <c r="S514">
        <f t="shared" si="77"/>
        <v>0</v>
      </c>
      <c r="T514">
        <f t="shared" si="78"/>
        <v>6893.08</v>
      </c>
      <c r="U514">
        <f t="shared" si="79"/>
        <v>254.39000000000033</v>
      </c>
    </row>
    <row r="515" spans="1:21" x14ac:dyDescent="0.3">
      <c r="A515">
        <v>514</v>
      </c>
      <c r="B515">
        <v>49</v>
      </c>
      <c r="C515" t="s">
        <v>16</v>
      </c>
      <c r="D515">
        <v>28</v>
      </c>
      <c r="E515">
        <v>92</v>
      </c>
      <c r="F515" t="s">
        <v>12</v>
      </c>
      <c r="G515">
        <v>3</v>
      </c>
      <c r="H515" t="s">
        <v>12</v>
      </c>
      <c r="I515" t="s">
        <v>15</v>
      </c>
      <c r="J515">
        <v>7151.09</v>
      </c>
      <c r="K515" t="str">
        <f t="shared" ref="K515:K578" si="80">IF(D515&lt;20, "&lt;20", IF(D515&lt;25, "20-25", IF(D515&lt;30, "25-30", IF(D515&lt;35, "30-35", "35+"))))</f>
        <v>25-30</v>
      </c>
      <c r="L515">
        <f t="shared" ref="L515:L578" si="81">D515*Q515</f>
        <v>0</v>
      </c>
      <c r="M515">
        <f t="shared" ref="M515:M578" si="82">IF(I515="southeast", 1, 0)</f>
        <v>0</v>
      </c>
      <c r="N515">
        <f t="shared" ref="N515:N578" si="83">IF(I515="southwest", 1, 0)</f>
        <v>1</v>
      </c>
      <c r="O515">
        <f t="shared" ref="O515:O578" si="84">IF(I515="northwest", 1, 0)</f>
        <v>0</v>
      </c>
      <c r="P515">
        <v>0.65826965039503493</v>
      </c>
      <c r="Q515">
        <f t="shared" ref="Q515:Q578" si="85">IF(H515="Yes", 1, 0)</f>
        <v>0</v>
      </c>
      <c r="R515">
        <f t="shared" ref="R515:R578" si="86">IF(F515="yes", 1, 0)</f>
        <v>0</v>
      </c>
      <c r="S515">
        <f t="shared" ref="S515:S578" si="87">IF(C515="female", 1, 0)</f>
        <v>1</v>
      </c>
      <c r="T515">
        <f t="shared" ref="T515:T578" si="88">-7277.71 + (-1.28*B515) + (85.5*D515) + (738.24*G515) + (159.59*E515) + (1259.19*L515) + (-3644.73*M515) + (-2956.11*N515) + (-2948.04*O515) + (-17828.85*Q515) + (-69.06*R515) + (444.95*S515)</f>
        <v>9439.41</v>
      </c>
      <c r="U515">
        <f t="shared" ref="U515:U578" si="89">J515-T515</f>
        <v>-2288.3199999999997</v>
      </c>
    </row>
    <row r="516" spans="1:21" x14ac:dyDescent="0.3">
      <c r="A516">
        <v>515</v>
      </c>
      <c r="B516">
        <v>40</v>
      </c>
      <c r="C516" t="s">
        <v>10</v>
      </c>
      <c r="D516">
        <v>38.1</v>
      </c>
      <c r="E516">
        <v>91</v>
      </c>
      <c r="F516" t="s">
        <v>12</v>
      </c>
      <c r="G516">
        <v>1</v>
      </c>
      <c r="H516" t="s">
        <v>12</v>
      </c>
      <c r="I516" t="s">
        <v>13</v>
      </c>
      <c r="J516">
        <v>7152.67</v>
      </c>
      <c r="K516" t="str">
        <f t="shared" si="80"/>
        <v>35+</v>
      </c>
      <c r="L516">
        <f t="shared" si="81"/>
        <v>0</v>
      </c>
      <c r="M516">
        <f t="shared" si="82"/>
        <v>1</v>
      </c>
      <c r="N516">
        <f t="shared" si="83"/>
        <v>0</v>
      </c>
      <c r="O516">
        <f t="shared" si="84"/>
        <v>0</v>
      </c>
      <c r="P516">
        <v>0.55112786231939004</v>
      </c>
      <c r="Q516">
        <f t="shared" si="85"/>
        <v>0</v>
      </c>
      <c r="R516">
        <f t="shared" si="86"/>
        <v>0</v>
      </c>
      <c r="S516">
        <f t="shared" si="87"/>
        <v>0</v>
      </c>
      <c r="T516">
        <f t="shared" si="88"/>
        <v>7544.84</v>
      </c>
      <c r="U516">
        <f t="shared" si="89"/>
        <v>-392.17000000000007</v>
      </c>
    </row>
    <row r="517" spans="1:21" x14ac:dyDescent="0.3">
      <c r="A517">
        <v>516</v>
      </c>
      <c r="B517">
        <v>27</v>
      </c>
      <c r="C517" t="s">
        <v>16</v>
      </c>
      <c r="D517">
        <v>28.3</v>
      </c>
      <c r="E517">
        <v>88</v>
      </c>
      <c r="F517" t="s">
        <v>12</v>
      </c>
      <c r="G517">
        <v>1</v>
      </c>
      <c r="H517" t="s">
        <v>12</v>
      </c>
      <c r="I517" t="s">
        <v>14</v>
      </c>
      <c r="J517">
        <v>7153.55</v>
      </c>
      <c r="K517" t="str">
        <f t="shared" si="80"/>
        <v>25-30</v>
      </c>
      <c r="L517">
        <f t="shared" si="81"/>
        <v>0</v>
      </c>
      <c r="M517">
        <f t="shared" si="82"/>
        <v>0</v>
      </c>
      <c r="N517">
        <f t="shared" si="83"/>
        <v>0</v>
      </c>
      <c r="O517">
        <f t="shared" si="84"/>
        <v>1</v>
      </c>
      <c r="P517">
        <v>0.41620412260715423</v>
      </c>
      <c r="Q517">
        <f t="shared" si="85"/>
        <v>0</v>
      </c>
      <c r="R517">
        <f t="shared" si="86"/>
        <v>0</v>
      </c>
      <c r="S517">
        <f t="shared" si="87"/>
        <v>1</v>
      </c>
      <c r="T517">
        <f t="shared" si="88"/>
        <v>7386.4499999999989</v>
      </c>
      <c r="U517">
        <f t="shared" si="89"/>
        <v>-232.89999999999873</v>
      </c>
    </row>
    <row r="518" spans="1:21" x14ac:dyDescent="0.3">
      <c r="A518">
        <v>517</v>
      </c>
      <c r="B518">
        <v>48</v>
      </c>
      <c r="C518" t="s">
        <v>10</v>
      </c>
      <c r="D518">
        <v>35.799999999999997</v>
      </c>
      <c r="E518">
        <v>82</v>
      </c>
      <c r="F518" t="s">
        <v>11</v>
      </c>
      <c r="G518">
        <v>2</v>
      </c>
      <c r="H518" t="s">
        <v>12</v>
      </c>
      <c r="I518" t="s">
        <v>15</v>
      </c>
      <c r="J518">
        <v>7160.09</v>
      </c>
      <c r="K518" t="str">
        <f t="shared" si="80"/>
        <v>35+</v>
      </c>
      <c r="L518">
        <f t="shared" si="81"/>
        <v>0</v>
      </c>
      <c r="M518">
        <f t="shared" si="82"/>
        <v>0</v>
      </c>
      <c r="N518">
        <f t="shared" si="83"/>
        <v>1</v>
      </c>
      <c r="O518">
        <f t="shared" si="84"/>
        <v>0</v>
      </c>
      <c r="P518">
        <v>0.72392498374103509</v>
      </c>
      <c r="Q518">
        <f t="shared" si="85"/>
        <v>0</v>
      </c>
      <c r="R518">
        <f t="shared" si="86"/>
        <v>1</v>
      </c>
      <c r="S518">
        <f t="shared" si="87"/>
        <v>0</v>
      </c>
      <c r="T518">
        <f t="shared" si="88"/>
        <v>7259.44</v>
      </c>
      <c r="U518">
        <f t="shared" si="89"/>
        <v>-99.349999999999454</v>
      </c>
    </row>
    <row r="519" spans="1:21" x14ac:dyDescent="0.3">
      <c r="A519">
        <v>518</v>
      </c>
      <c r="B519">
        <v>18</v>
      </c>
      <c r="C519" t="s">
        <v>10</v>
      </c>
      <c r="D519">
        <v>36</v>
      </c>
      <c r="E519">
        <v>93</v>
      </c>
      <c r="F519" t="s">
        <v>12</v>
      </c>
      <c r="G519">
        <v>2</v>
      </c>
      <c r="H519" t="s">
        <v>12</v>
      </c>
      <c r="I519" t="s">
        <v>13</v>
      </c>
      <c r="J519">
        <v>7160.33</v>
      </c>
      <c r="K519" t="str">
        <f t="shared" si="80"/>
        <v>35+</v>
      </c>
      <c r="L519">
        <f t="shared" si="81"/>
        <v>0</v>
      </c>
      <c r="M519">
        <f t="shared" si="82"/>
        <v>1</v>
      </c>
      <c r="N519">
        <f t="shared" si="83"/>
        <v>0</v>
      </c>
      <c r="O519">
        <f t="shared" si="84"/>
        <v>0</v>
      </c>
      <c r="P519">
        <v>0.18244944607020319</v>
      </c>
      <c r="Q519">
        <f t="shared" si="85"/>
        <v>0</v>
      </c>
      <c r="R519">
        <f t="shared" si="86"/>
        <v>0</v>
      </c>
      <c r="S519">
        <f t="shared" si="87"/>
        <v>0</v>
      </c>
      <c r="T519">
        <f t="shared" si="88"/>
        <v>8450.8700000000008</v>
      </c>
      <c r="U519">
        <f t="shared" si="89"/>
        <v>-1290.5400000000009</v>
      </c>
    </row>
    <row r="520" spans="1:21" x14ac:dyDescent="0.3">
      <c r="A520">
        <v>519</v>
      </c>
      <c r="B520">
        <v>19</v>
      </c>
      <c r="C520" t="s">
        <v>10</v>
      </c>
      <c r="D520">
        <v>37.200000000000003</v>
      </c>
      <c r="E520">
        <v>96</v>
      </c>
      <c r="F520" t="s">
        <v>11</v>
      </c>
      <c r="G520">
        <v>2</v>
      </c>
      <c r="H520" t="s">
        <v>12</v>
      </c>
      <c r="I520" t="s">
        <v>13</v>
      </c>
      <c r="J520">
        <v>7162.01</v>
      </c>
      <c r="K520" t="str">
        <f t="shared" si="80"/>
        <v>35+</v>
      </c>
      <c r="L520">
        <f t="shared" si="81"/>
        <v>0</v>
      </c>
      <c r="M520">
        <f t="shared" si="82"/>
        <v>1</v>
      </c>
      <c r="N520">
        <f t="shared" si="83"/>
        <v>0</v>
      </c>
      <c r="O520">
        <f t="shared" si="84"/>
        <v>0</v>
      </c>
      <c r="P520">
        <v>2.2179350299485701E-2</v>
      </c>
      <c r="Q520">
        <f t="shared" si="85"/>
        <v>0</v>
      </c>
      <c r="R520">
        <f t="shared" si="86"/>
        <v>1</v>
      </c>
      <c r="S520">
        <f t="shared" si="87"/>
        <v>0</v>
      </c>
      <c r="T520">
        <f t="shared" si="88"/>
        <v>8961.9000000000015</v>
      </c>
      <c r="U520">
        <f t="shared" si="89"/>
        <v>-1799.8900000000012</v>
      </c>
    </row>
    <row r="521" spans="1:21" x14ac:dyDescent="0.3">
      <c r="A521">
        <v>520</v>
      </c>
      <c r="B521">
        <v>24</v>
      </c>
      <c r="C521" t="s">
        <v>10</v>
      </c>
      <c r="D521">
        <v>22.7</v>
      </c>
      <c r="E521">
        <v>88</v>
      </c>
      <c r="F521" t="s">
        <v>11</v>
      </c>
      <c r="G521">
        <v>2</v>
      </c>
      <c r="H521" t="s">
        <v>12</v>
      </c>
      <c r="I521" t="s">
        <v>13</v>
      </c>
      <c r="J521">
        <v>7173.36</v>
      </c>
      <c r="K521" t="str">
        <f t="shared" si="80"/>
        <v>20-25</v>
      </c>
      <c r="L521">
        <f t="shared" si="81"/>
        <v>0</v>
      </c>
      <c r="M521">
        <f t="shared" si="82"/>
        <v>1</v>
      </c>
      <c r="N521">
        <f t="shared" si="83"/>
        <v>0</v>
      </c>
      <c r="O521">
        <f t="shared" si="84"/>
        <v>0</v>
      </c>
      <c r="P521">
        <v>0.77406312051874615</v>
      </c>
      <c r="Q521">
        <f t="shared" si="85"/>
        <v>0</v>
      </c>
      <c r="R521">
        <f t="shared" si="86"/>
        <v>1</v>
      </c>
      <c r="S521">
        <f t="shared" si="87"/>
        <v>0</v>
      </c>
      <c r="T521">
        <f t="shared" si="88"/>
        <v>6439.03</v>
      </c>
      <c r="U521">
        <f t="shared" si="89"/>
        <v>734.32999999999993</v>
      </c>
    </row>
    <row r="522" spans="1:21" x14ac:dyDescent="0.3">
      <c r="A522">
        <v>521</v>
      </c>
      <c r="B522">
        <v>21</v>
      </c>
      <c r="C522" t="s">
        <v>10</v>
      </c>
      <c r="D522">
        <v>35.299999999999997</v>
      </c>
      <c r="E522">
        <v>96</v>
      </c>
      <c r="F522" t="s">
        <v>12</v>
      </c>
      <c r="G522">
        <v>3</v>
      </c>
      <c r="H522" t="s">
        <v>12</v>
      </c>
      <c r="I522" t="s">
        <v>15</v>
      </c>
      <c r="J522">
        <v>7196.87</v>
      </c>
      <c r="K522" t="str">
        <f t="shared" si="80"/>
        <v>35+</v>
      </c>
      <c r="L522">
        <f t="shared" si="81"/>
        <v>0</v>
      </c>
      <c r="M522">
        <f t="shared" si="82"/>
        <v>0</v>
      </c>
      <c r="N522">
        <f t="shared" si="83"/>
        <v>1</v>
      </c>
      <c r="O522">
        <f t="shared" si="84"/>
        <v>0</v>
      </c>
      <c r="P522">
        <v>0.44061343531627517</v>
      </c>
      <c r="Q522">
        <f t="shared" si="85"/>
        <v>0</v>
      </c>
      <c r="R522">
        <f t="shared" si="86"/>
        <v>0</v>
      </c>
      <c r="S522">
        <f t="shared" si="87"/>
        <v>0</v>
      </c>
      <c r="T522">
        <f t="shared" si="88"/>
        <v>10292.809999999998</v>
      </c>
      <c r="U522">
        <f t="shared" si="89"/>
        <v>-3095.9399999999978</v>
      </c>
    </row>
    <row r="523" spans="1:21" x14ac:dyDescent="0.3">
      <c r="A523">
        <v>522</v>
      </c>
      <c r="B523">
        <v>54</v>
      </c>
      <c r="C523" t="s">
        <v>16</v>
      </c>
      <c r="D523">
        <v>26.3</v>
      </c>
      <c r="E523">
        <v>89</v>
      </c>
      <c r="F523" t="s">
        <v>12</v>
      </c>
      <c r="G523">
        <v>2</v>
      </c>
      <c r="H523" t="s">
        <v>12</v>
      </c>
      <c r="I523" t="s">
        <v>14</v>
      </c>
      <c r="J523">
        <v>7201.7</v>
      </c>
      <c r="K523" t="str">
        <f t="shared" si="80"/>
        <v>25-30</v>
      </c>
      <c r="L523">
        <f t="shared" si="81"/>
        <v>0</v>
      </c>
      <c r="M523">
        <f t="shared" si="82"/>
        <v>0</v>
      </c>
      <c r="N523">
        <f t="shared" si="83"/>
        <v>0</v>
      </c>
      <c r="O523">
        <f t="shared" si="84"/>
        <v>1</v>
      </c>
      <c r="P523">
        <v>0.22610264150050519</v>
      </c>
      <c r="Q523">
        <f t="shared" si="85"/>
        <v>0</v>
      </c>
      <c r="R523">
        <f t="shared" si="86"/>
        <v>0</v>
      </c>
      <c r="S523">
        <f t="shared" si="87"/>
        <v>1</v>
      </c>
      <c r="T523">
        <f t="shared" si="88"/>
        <v>8078.7199999999993</v>
      </c>
      <c r="U523">
        <f t="shared" si="89"/>
        <v>-877.01999999999953</v>
      </c>
    </row>
    <row r="524" spans="1:21" x14ac:dyDescent="0.3">
      <c r="A524">
        <v>523</v>
      </c>
      <c r="B524">
        <v>34</v>
      </c>
      <c r="C524" t="s">
        <v>16</v>
      </c>
      <c r="D524">
        <v>31.9</v>
      </c>
      <c r="E524">
        <v>94</v>
      </c>
      <c r="F524" t="s">
        <v>12</v>
      </c>
      <c r="G524">
        <v>2</v>
      </c>
      <c r="H524" t="s">
        <v>12</v>
      </c>
      <c r="I524" t="s">
        <v>14</v>
      </c>
      <c r="J524">
        <v>7209.49</v>
      </c>
      <c r="K524" t="str">
        <f t="shared" si="80"/>
        <v>30-35</v>
      </c>
      <c r="L524">
        <f t="shared" si="81"/>
        <v>0</v>
      </c>
      <c r="M524">
        <f t="shared" si="82"/>
        <v>0</v>
      </c>
      <c r="N524">
        <f t="shared" si="83"/>
        <v>0</v>
      </c>
      <c r="O524">
        <f t="shared" si="84"/>
        <v>1</v>
      </c>
      <c r="P524">
        <v>0.66362451344200768</v>
      </c>
      <c r="Q524">
        <f t="shared" si="85"/>
        <v>0</v>
      </c>
      <c r="R524">
        <f t="shared" si="86"/>
        <v>0</v>
      </c>
      <c r="S524">
        <f t="shared" si="87"/>
        <v>1</v>
      </c>
      <c r="T524">
        <f t="shared" si="88"/>
        <v>9381.07</v>
      </c>
      <c r="U524">
        <f t="shared" si="89"/>
        <v>-2171.58</v>
      </c>
    </row>
    <row r="525" spans="1:21" x14ac:dyDescent="0.3">
      <c r="A525">
        <v>524</v>
      </c>
      <c r="B525">
        <v>43</v>
      </c>
      <c r="C525" t="s">
        <v>10</v>
      </c>
      <c r="D525">
        <v>21.4</v>
      </c>
      <c r="E525">
        <v>88</v>
      </c>
      <c r="F525" t="s">
        <v>12</v>
      </c>
      <c r="G525">
        <v>0</v>
      </c>
      <c r="H525" t="s">
        <v>12</v>
      </c>
      <c r="I525" t="s">
        <v>14</v>
      </c>
      <c r="J525">
        <v>7222.79</v>
      </c>
      <c r="K525" t="str">
        <f t="shared" si="80"/>
        <v>20-25</v>
      </c>
      <c r="L525">
        <f t="shared" si="81"/>
        <v>0</v>
      </c>
      <c r="M525">
        <f t="shared" si="82"/>
        <v>0</v>
      </c>
      <c r="N525">
        <f t="shared" si="83"/>
        <v>0</v>
      </c>
      <c r="O525">
        <f t="shared" si="84"/>
        <v>1</v>
      </c>
      <c r="P525">
        <v>4.1294957663242426E-2</v>
      </c>
      <c r="Q525">
        <f t="shared" si="85"/>
        <v>0</v>
      </c>
      <c r="R525">
        <f t="shared" si="86"/>
        <v>0</v>
      </c>
      <c r="S525">
        <f t="shared" si="87"/>
        <v>0</v>
      </c>
      <c r="T525">
        <f t="shared" si="88"/>
        <v>5592.829999999999</v>
      </c>
      <c r="U525">
        <f t="shared" si="89"/>
        <v>1629.9600000000009</v>
      </c>
    </row>
    <row r="526" spans="1:21" x14ac:dyDescent="0.3">
      <c r="A526">
        <v>525</v>
      </c>
      <c r="B526">
        <v>29</v>
      </c>
      <c r="C526" t="s">
        <v>16</v>
      </c>
      <c r="D526">
        <v>22.1</v>
      </c>
      <c r="E526">
        <v>83</v>
      </c>
      <c r="F526" t="s">
        <v>11</v>
      </c>
      <c r="G526">
        <v>3</v>
      </c>
      <c r="H526" t="s">
        <v>12</v>
      </c>
      <c r="I526" t="s">
        <v>13</v>
      </c>
      <c r="J526">
        <v>7228.22</v>
      </c>
      <c r="K526" t="str">
        <f t="shared" si="80"/>
        <v>20-25</v>
      </c>
      <c r="L526">
        <f t="shared" si="81"/>
        <v>0</v>
      </c>
      <c r="M526">
        <f t="shared" si="82"/>
        <v>1</v>
      </c>
      <c r="N526">
        <f t="shared" si="83"/>
        <v>0</v>
      </c>
      <c r="O526">
        <f t="shared" si="84"/>
        <v>0</v>
      </c>
      <c r="P526">
        <v>0.92338893574195591</v>
      </c>
      <c r="Q526">
        <f t="shared" si="85"/>
        <v>0</v>
      </c>
      <c r="R526">
        <f t="shared" si="86"/>
        <v>1</v>
      </c>
      <c r="S526">
        <f t="shared" si="87"/>
        <v>1</v>
      </c>
      <c r="T526">
        <f t="shared" si="88"/>
        <v>6766.5700000000015</v>
      </c>
      <c r="U526">
        <f t="shared" si="89"/>
        <v>461.64999999999873</v>
      </c>
    </row>
    <row r="527" spans="1:21" x14ac:dyDescent="0.3">
      <c r="A527">
        <v>526</v>
      </c>
      <c r="B527">
        <v>55</v>
      </c>
      <c r="C527" t="s">
        <v>16</v>
      </c>
      <c r="D527">
        <v>29</v>
      </c>
      <c r="E527">
        <v>84</v>
      </c>
      <c r="F527" t="s">
        <v>11</v>
      </c>
      <c r="G527">
        <v>4</v>
      </c>
      <c r="H527" t="s">
        <v>12</v>
      </c>
      <c r="I527" t="s">
        <v>13</v>
      </c>
      <c r="J527">
        <v>7243.81</v>
      </c>
      <c r="K527" t="str">
        <f t="shared" si="80"/>
        <v>25-30</v>
      </c>
      <c r="L527">
        <f t="shared" si="81"/>
        <v>0</v>
      </c>
      <c r="M527">
        <f t="shared" si="82"/>
        <v>1</v>
      </c>
      <c r="N527">
        <f t="shared" si="83"/>
        <v>0</v>
      </c>
      <c r="O527">
        <f t="shared" si="84"/>
        <v>0</v>
      </c>
      <c r="P527">
        <v>0.90617458010841245</v>
      </c>
      <c r="Q527">
        <f t="shared" si="85"/>
        <v>0</v>
      </c>
      <c r="R527">
        <f t="shared" si="86"/>
        <v>1</v>
      </c>
      <c r="S527">
        <f t="shared" si="87"/>
        <v>1</v>
      </c>
      <c r="T527">
        <f t="shared" si="88"/>
        <v>8221.07</v>
      </c>
      <c r="U527">
        <f t="shared" si="89"/>
        <v>-977.25999999999931</v>
      </c>
    </row>
    <row r="528" spans="1:21" x14ac:dyDescent="0.3">
      <c r="A528">
        <v>527</v>
      </c>
      <c r="B528">
        <v>20</v>
      </c>
      <c r="C528" t="s">
        <v>10</v>
      </c>
      <c r="D528">
        <v>30.6</v>
      </c>
      <c r="E528">
        <v>90</v>
      </c>
      <c r="F528" t="s">
        <v>12</v>
      </c>
      <c r="G528">
        <v>2</v>
      </c>
      <c r="H528" t="s">
        <v>12</v>
      </c>
      <c r="I528" t="s">
        <v>14</v>
      </c>
      <c r="J528">
        <v>7256.72</v>
      </c>
      <c r="K528" t="str">
        <f t="shared" si="80"/>
        <v>30-35</v>
      </c>
      <c r="L528">
        <f t="shared" si="81"/>
        <v>0</v>
      </c>
      <c r="M528">
        <f t="shared" si="82"/>
        <v>0</v>
      </c>
      <c r="N528">
        <f t="shared" si="83"/>
        <v>0</v>
      </c>
      <c r="O528">
        <f t="shared" si="84"/>
        <v>1</v>
      </c>
      <c r="P528">
        <v>0.97849826431895137</v>
      </c>
      <c r="Q528">
        <f t="shared" si="85"/>
        <v>0</v>
      </c>
      <c r="R528">
        <f t="shared" si="86"/>
        <v>0</v>
      </c>
      <c r="S528">
        <f t="shared" si="87"/>
        <v>0</v>
      </c>
      <c r="T528">
        <f t="shared" si="88"/>
        <v>8204.5299999999988</v>
      </c>
      <c r="U528">
        <f t="shared" si="89"/>
        <v>-947.80999999999858</v>
      </c>
    </row>
    <row r="529" spans="1:21" x14ac:dyDescent="0.3">
      <c r="A529">
        <v>528</v>
      </c>
      <c r="B529">
        <v>39</v>
      </c>
      <c r="C529" t="s">
        <v>10</v>
      </c>
      <c r="D529">
        <v>34.200000000000003</v>
      </c>
      <c r="E529">
        <v>81</v>
      </c>
      <c r="F529" t="s">
        <v>11</v>
      </c>
      <c r="G529">
        <v>2</v>
      </c>
      <c r="H529" t="s">
        <v>12</v>
      </c>
      <c r="I529" t="s">
        <v>14</v>
      </c>
      <c r="J529">
        <v>7261.74</v>
      </c>
      <c r="K529" t="str">
        <f t="shared" si="80"/>
        <v>30-35</v>
      </c>
      <c r="L529">
        <f t="shared" si="81"/>
        <v>0</v>
      </c>
      <c r="M529">
        <f t="shared" si="82"/>
        <v>0</v>
      </c>
      <c r="N529">
        <f t="shared" si="83"/>
        <v>0</v>
      </c>
      <c r="O529">
        <f t="shared" si="84"/>
        <v>1</v>
      </c>
      <c r="P529">
        <v>0.58363286724333363</v>
      </c>
      <c r="Q529">
        <f t="shared" si="85"/>
        <v>0</v>
      </c>
      <c r="R529">
        <f t="shared" si="86"/>
        <v>1</v>
      </c>
      <c r="S529">
        <f t="shared" si="87"/>
        <v>0</v>
      </c>
      <c r="T529">
        <f t="shared" si="88"/>
        <v>6982.6400000000012</v>
      </c>
      <c r="U529">
        <f t="shared" si="89"/>
        <v>279.09999999999854</v>
      </c>
    </row>
    <row r="530" spans="1:21" x14ac:dyDescent="0.3">
      <c r="A530">
        <v>529</v>
      </c>
      <c r="B530">
        <v>48</v>
      </c>
      <c r="C530" t="s">
        <v>10</v>
      </c>
      <c r="D530">
        <v>37.1</v>
      </c>
      <c r="E530">
        <v>81</v>
      </c>
      <c r="F530" t="s">
        <v>11</v>
      </c>
      <c r="G530">
        <v>2</v>
      </c>
      <c r="H530" t="s">
        <v>12</v>
      </c>
      <c r="I530" t="s">
        <v>14</v>
      </c>
      <c r="J530">
        <v>7265.7</v>
      </c>
      <c r="K530" t="str">
        <f t="shared" si="80"/>
        <v>35+</v>
      </c>
      <c r="L530">
        <f t="shared" si="81"/>
        <v>0</v>
      </c>
      <c r="M530">
        <f t="shared" si="82"/>
        <v>0</v>
      </c>
      <c r="N530">
        <f t="shared" si="83"/>
        <v>0</v>
      </c>
      <c r="O530">
        <f t="shared" si="84"/>
        <v>1</v>
      </c>
      <c r="P530">
        <v>0.38592253371442031</v>
      </c>
      <c r="Q530">
        <f t="shared" si="85"/>
        <v>0</v>
      </c>
      <c r="R530">
        <f t="shared" si="86"/>
        <v>1</v>
      </c>
      <c r="S530">
        <f t="shared" si="87"/>
        <v>0</v>
      </c>
      <c r="T530">
        <f t="shared" si="88"/>
        <v>7219.0700000000015</v>
      </c>
      <c r="U530">
        <f t="shared" si="89"/>
        <v>46.62999999999829</v>
      </c>
    </row>
    <row r="531" spans="1:21" x14ac:dyDescent="0.3">
      <c r="A531">
        <v>530</v>
      </c>
      <c r="B531">
        <v>46</v>
      </c>
      <c r="C531" t="s">
        <v>16</v>
      </c>
      <c r="D531">
        <v>27.7</v>
      </c>
      <c r="E531">
        <v>83</v>
      </c>
      <c r="F531" t="s">
        <v>12</v>
      </c>
      <c r="G531">
        <v>3</v>
      </c>
      <c r="H531" t="s">
        <v>12</v>
      </c>
      <c r="I531" t="s">
        <v>14</v>
      </c>
      <c r="J531">
        <v>7281.51</v>
      </c>
      <c r="K531" t="str">
        <f t="shared" si="80"/>
        <v>25-30</v>
      </c>
      <c r="L531">
        <f t="shared" si="81"/>
        <v>0</v>
      </c>
      <c r="M531">
        <f t="shared" si="82"/>
        <v>0</v>
      </c>
      <c r="N531">
        <f t="shared" si="83"/>
        <v>0</v>
      </c>
      <c r="O531">
        <f t="shared" si="84"/>
        <v>1</v>
      </c>
      <c r="P531">
        <v>0.9349617466510235</v>
      </c>
      <c r="Q531">
        <f t="shared" si="85"/>
        <v>0</v>
      </c>
      <c r="R531">
        <f t="shared" si="86"/>
        <v>0</v>
      </c>
      <c r="S531">
        <f t="shared" si="87"/>
        <v>1</v>
      </c>
      <c r="T531">
        <f t="shared" si="88"/>
        <v>7989.3600000000006</v>
      </c>
      <c r="U531">
        <f t="shared" si="89"/>
        <v>-707.85000000000036</v>
      </c>
    </row>
    <row r="532" spans="1:21" x14ac:dyDescent="0.3">
      <c r="A532">
        <v>531</v>
      </c>
      <c r="B532">
        <v>37</v>
      </c>
      <c r="C532" t="s">
        <v>16</v>
      </c>
      <c r="D532">
        <v>29.2</v>
      </c>
      <c r="E532">
        <v>92</v>
      </c>
      <c r="F532" t="s">
        <v>12</v>
      </c>
      <c r="G532">
        <v>0</v>
      </c>
      <c r="H532" t="s">
        <v>12</v>
      </c>
      <c r="I532" t="s">
        <v>13</v>
      </c>
      <c r="J532">
        <v>7323.73</v>
      </c>
      <c r="K532" t="str">
        <f t="shared" si="80"/>
        <v>25-30</v>
      </c>
      <c r="L532">
        <f t="shared" si="81"/>
        <v>0</v>
      </c>
      <c r="M532">
        <f t="shared" si="82"/>
        <v>1</v>
      </c>
      <c r="N532">
        <f t="shared" si="83"/>
        <v>0</v>
      </c>
      <c r="O532">
        <f t="shared" si="84"/>
        <v>0</v>
      </c>
      <c r="P532">
        <v>0.62100321930181579</v>
      </c>
      <c r="Q532">
        <f t="shared" si="85"/>
        <v>0</v>
      </c>
      <c r="R532">
        <f t="shared" si="86"/>
        <v>0</v>
      </c>
      <c r="S532">
        <f t="shared" si="87"/>
        <v>1</v>
      </c>
      <c r="T532">
        <f t="shared" si="88"/>
        <v>6654.0300000000016</v>
      </c>
      <c r="U532">
        <f t="shared" si="89"/>
        <v>669.699999999998</v>
      </c>
    </row>
    <row r="533" spans="1:21" x14ac:dyDescent="0.3">
      <c r="A533">
        <v>532</v>
      </c>
      <c r="B533">
        <v>25</v>
      </c>
      <c r="C533" t="s">
        <v>16</v>
      </c>
      <c r="D533">
        <v>25.1</v>
      </c>
      <c r="E533">
        <v>94</v>
      </c>
      <c r="F533" t="s">
        <v>11</v>
      </c>
      <c r="G533">
        <v>0</v>
      </c>
      <c r="H533" t="s">
        <v>12</v>
      </c>
      <c r="I533" t="s">
        <v>13</v>
      </c>
      <c r="J533">
        <v>7325.05</v>
      </c>
      <c r="K533" t="str">
        <f t="shared" si="80"/>
        <v>25-30</v>
      </c>
      <c r="L533">
        <f t="shared" si="81"/>
        <v>0</v>
      </c>
      <c r="M533">
        <f t="shared" si="82"/>
        <v>1</v>
      </c>
      <c r="N533">
        <f t="shared" si="83"/>
        <v>0</v>
      </c>
      <c r="O533">
        <f t="shared" si="84"/>
        <v>0</v>
      </c>
      <c r="P533">
        <v>3.0791905266557951E-2</v>
      </c>
      <c r="Q533">
        <f t="shared" si="85"/>
        <v>0</v>
      </c>
      <c r="R533">
        <f t="shared" si="86"/>
        <v>1</v>
      </c>
      <c r="S533">
        <f t="shared" si="87"/>
        <v>1</v>
      </c>
      <c r="T533">
        <f t="shared" si="88"/>
        <v>6568.9600000000009</v>
      </c>
      <c r="U533">
        <f t="shared" si="89"/>
        <v>756.08999999999924</v>
      </c>
    </row>
    <row r="534" spans="1:21" x14ac:dyDescent="0.3">
      <c r="A534">
        <v>533</v>
      </c>
      <c r="B534">
        <v>56</v>
      </c>
      <c r="C534" t="s">
        <v>16</v>
      </c>
      <c r="D534">
        <v>29.9</v>
      </c>
      <c r="E534">
        <v>81</v>
      </c>
      <c r="F534" t="s">
        <v>11</v>
      </c>
      <c r="G534">
        <v>1</v>
      </c>
      <c r="H534" t="s">
        <v>12</v>
      </c>
      <c r="I534" t="s">
        <v>15</v>
      </c>
      <c r="J534">
        <v>7337.75</v>
      </c>
      <c r="K534" t="str">
        <f t="shared" si="80"/>
        <v>25-30</v>
      </c>
      <c r="L534">
        <f t="shared" si="81"/>
        <v>0</v>
      </c>
      <c r="M534">
        <f t="shared" si="82"/>
        <v>0</v>
      </c>
      <c r="N534">
        <f t="shared" si="83"/>
        <v>1</v>
      </c>
      <c r="O534">
        <f t="shared" si="84"/>
        <v>0</v>
      </c>
      <c r="P534">
        <v>0.7888938898775949</v>
      </c>
      <c r="Q534">
        <f t="shared" si="85"/>
        <v>0</v>
      </c>
      <c r="R534">
        <f t="shared" si="86"/>
        <v>1</v>
      </c>
      <c r="S534">
        <f t="shared" si="87"/>
        <v>1</v>
      </c>
      <c r="T534">
        <f t="shared" si="88"/>
        <v>6291.869999999999</v>
      </c>
      <c r="U534">
        <f t="shared" si="89"/>
        <v>1045.880000000001</v>
      </c>
    </row>
    <row r="535" spans="1:21" x14ac:dyDescent="0.3">
      <c r="A535">
        <v>534</v>
      </c>
      <c r="B535">
        <v>32</v>
      </c>
      <c r="C535" t="s">
        <v>16</v>
      </c>
      <c r="D535">
        <v>33.1</v>
      </c>
      <c r="E535">
        <v>94</v>
      </c>
      <c r="F535" t="s">
        <v>11</v>
      </c>
      <c r="G535">
        <v>0</v>
      </c>
      <c r="H535" t="s">
        <v>12</v>
      </c>
      <c r="I535" t="s">
        <v>15</v>
      </c>
      <c r="J535">
        <v>7345.08</v>
      </c>
      <c r="K535" t="str">
        <f t="shared" si="80"/>
        <v>30-35</v>
      </c>
      <c r="L535">
        <f t="shared" si="81"/>
        <v>0</v>
      </c>
      <c r="M535">
        <f t="shared" si="82"/>
        <v>0</v>
      </c>
      <c r="N535">
        <f t="shared" si="83"/>
        <v>1</v>
      </c>
      <c r="O535">
        <f t="shared" si="84"/>
        <v>0</v>
      </c>
      <c r="P535">
        <v>0.92728852940786755</v>
      </c>
      <c r="Q535">
        <f t="shared" si="85"/>
        <v>0</v>
      </c>
      <c r="R535">
        <f t="shared" si="86"/>
        <v>1</v>
      </c>
      <c r="S535">
        <f t="shared" si="87"/>
        <v>1</v>
      </c>
      <c r="T535">
        <f t="shared" si="88"/>
        <v>7932.619999999999</v>
      </c>
      <c r="U535">
        <f t="shared" si="89"/>
        <v>-587.53999999999905</v>
      </c>
    </row>
    <row r="536" spans="1:21" x14ac:dyDescent="0.3">
      <c r="A536">
        <v>535</v>
      </c>
      <c r="B536">
        <v>60</v>
      </c>
      <c r="C536" t="s">
        <v>16</v>
      </c>
      <c r="D536">
        <v>35.6</v>
      </c>
      <c r="E536">
        <v>80</v>
      </c>
      <c r="F536" t="s">
        <v>12</v>
      </c>
      <c r="G536">
        <v>1</v>
      </c>
      <c r="H536" t="s">
        <v>12</v>
      </c>
      <c r="I536" t="s">
        <v>13</v>
      </c>
      <c r="J536">
        <v>7345.73</v>
      </c>
      <c r="K536" t="str">
        <f t="shared" si="80"/>
        <v>35+</v>
      </c>
      <c r="L536">
        <f t="shared" si="81"/>
        <v>0</v>
      </c>
      <c r="M536">
        <f t="shared" si="82"/>
        <v>1</v>
      </c>
      <c r="N536">
        <f t="shared" si="83"/>
        <v>0</v>
      </c>
      <c r="O536">
        <f t="shared" si="84"/>
        <v>0</v>
      </c>
      <c r="P536">
        <v>0.25550640828618509</v>
      </c>
      <c r="Q536">
        <f t="shared" si="85"/>
        <v>0</v>
      </c>
      <c r="R536">
        <f t="shared" si="86"/>
        <v>0</v>
      </c>
      <c r="S536">
        <f t="shared" si="87"/>
        <v>1</v>
      </c>
      <c r="T536">
        <f t="shared" si="88"/>
        <v>5994.95</v>
      </c>
      <c r="U536">
        <f t="shared" si="89"/>
        <v>1350.7799999999997</v>
      </c>
    </row>
    <row r="537" spans="1:21" x14ac:dyDescent="0.3">
      <c r="A537">
        <v>536</v>
      </c>
      <c r="B537">
        <v>37</v>
      </c>
      <c r="C537" t="s">
        <v>16</v>
      </c>
      <c r="D537">
        <v>35.299999999999997</v>
      </c>
      <c r="E537">
        <v>100</v>
      </c>
      <c r="F537" t="s">
        <v>12</v>
      </c>
      <c r="G537">
        <v>0</v>
      </c>
      <c r="H537" t="s">
        <v>12</v>
      </c>
      <c r="I537" t="s">
        <v>15</v>
      </c>
      <c r="J537">
        <v>7348.14</v>
      </c>
      <c r="K537" t="str">
        <f t="shared" si="80"/>
        <v>35+</v>
      </c>
      <c r="L537">
        <f t="shared" si="81"/>
        <v>0</v>
      </c>
      <c r="M537">
        <f t="shared" si="82"/>
        <v>0</v>
      </c>
      <c r="N537">
        <f t="shared" si="83"/>
        <v>1</v>
      </c>
      <c r="O537">
        <f t="shared" si="84"/>
        <v>0</v>
      </c>
      <c r="P537">
        <v>0.7085130717392325</v>
      </c>
      <c r="Q537">
        <f t="shared" si="85"/>
        <v>0</v>
      </c>
      <c r="R537">
        <f t="shared" si="86"/>
        <v>0</v>
      </c>
      <c r="S537">
        <f t="shared" si="87"/>
        <v>1</v>
      </c>
      <c r="T537">
        <f t="shared" si="88"/>
        <v>9140.92</v>
      </c>
      <c r="U537">
        <f t="shared" si="89"/>
        <v>-1792.7799999999997</v>
      </c>
    </row>
    <row r="538" spans="1:21" x14ac:dyDescent="0.3">
      <c r="A538">
        <v>537</v>
      </c>
      <c r="B538">
        <v>55</v>
      </c>
      <c r="C538" t="s">
        <v>16</v>
      </c>
      <c r="D538">
        <v>31.6</v>
      </c>
      <c r="E538">
        <v>91</v>
      </c>
      <c r="F538" t="s">
        <v>12</v>
      </c>
      <c r="G538">
        <v>1</v>
      </c>
      <c r="H538" t="s">
        <v>12</v>
      </c>
      <c r="I538" t="s">
        <v>13</v>
      </c>
      <c r="J538">
        <v>7358.18</v>
      </c>
      <c r="K538" t="str">
        <f t="shared" si="80"/>
        <v>30-35</v>
      </c>
      <c r="L538">
        <f t="shared" si="81"/>
        <v>0</v>
      </c>
      <c r="M538">
        <f t="shared" si="82"/>
        <v>1</v>
      </c>
      <c r="N538">
        <f t="shared" si="83"/>
        <v>0</v>
      </c>
      <c r="O538">
        <f t="shared" si="84"/>
        <v>0</v>
      </c>
      <c r="P538">
        <v>0.55674520250840531</v>
      </c>
      <c r="Q538">
        <f t="shared" si="85"/>
        <v>0</v>
      </c>
      <c r="R538">
        <f t="shared" si="86"/>
        <v>0</v>
      </c>
      <c r="S538">
        <f t="shared" si="87"/>
        <v>1</v>
      </c>
      <c r="T538">
        <f t="shared" si="88"/>
        <v>7414.8400000000011</v>
      </c>
      <c r="U538">
        <f t="shared" si="89"/>
        <v>-56.660000000000764</v>
      </c>
    </row>
    <row r="539" spans="1:21" x14ac:dyDescent="0.3">
      <c r="A539">
        <v>538</v>
      </c>
      <c r="B539">
        <v>26</v>
      </c>
      <c r="C539" t="s">
        <v>16</v>
      </c>
      <c r="D539">
        <v>37.1</v>
      </c>
      <c r="E539">
        <v>88</v>
      </c>
      <c r="F539" t="s">
        <v>12</v>
      </c>
      <c r="G539">
        <v>2</v>
      </c>
      <c r="H539" t="s">
        <v>12</v>
      </c>
      <c r="I539" t="s">
        <v>15</v>
      </c>
      <c r="J539">
        <v>7371.77</v>
      </c>
      <c r="K539" t="str">
        <f t="shared" si="80"/>
        <v>35+</v>
      </c>
      <c r="L539">
        <f t="shared" si="81"/>
        <v>0</v>
      </c>
      <c r="M539">
        <f t="shared" si="82"/>
        <v>0</v>
      </c>
      <c r="N539">
        <f t="shared" si="83"/>
        <v>1</v>
      </c>
      <c r="O539">
        <f t="shared" si="84"/>
        <v>0</v>
      </c>
      <c r="P539">
        <v>7.909760238094965E-2</v>
      </c>
      <c r="Q539">
        <f t="shared" si="85"/>
        <v>0</v>
      </c>
      <c r="R539">
        <f t="shared" si="86"/>
        <v>0</v>
      </c>
      <c r="S539">
        <f t="shared" si="87"/>
        <v>1</v>
      </c>
      <c r="T539">
        <f t="shared" si="88"/>
        <v>8870.3000000000011</v>
      </c>
      <c r="U539">
        <f t="shared" si="89"/>
        <v>-1498.5300000000007</v>
      </c>
    </row>
    <row r="540" spans="1:21" x14ac:dyDescent="0.3">
      <c r="A540">
        <v>539</v>
      </c>
      <c r="B540">
        <v>49</v>
      </c>
      <c r="C540" t="s">
        <v>16</v>
      </c>
      <c r="D540">
        <v>34.1</v>
      </c>
      <c r="E540">
        <v>82</v>
      </c>
      <c r="F540" t="s">
        <v>12</v>
      </c>
      <c r="G540">
        <v>3</v>
      </c>
      <c r="H540" t="s">
        <v>12</v>
      </c>
      <c r="I540" t="s">
        <v>15</v>
      </c>
      <c r="J540">
        <v>7418.52</v>
      </c>
      <c r="K540" t="str">
        <f t="shared" si="80"/>
        <v>30-35</v>
      </c>
      <c r="L540">
        <f t="shared" si="81"/>
        <v>0</v>
      </c>
      <c r="M540">
        <f t="shared" si="82"/>
        <v>0</v>
      </c>
      <c r="N540">
        <f t="shared" si="83"/>
        <v>1</v>
      </c>
      <c r="O540">
        <f t="shared" si="84"/>
        <v>0</v>
      </c>
      <c r="P540">
        <v>0.39480178348864592</v>
      </c>
      <c r="Q540">
        <f t="shared" si="85"/>
        <v>0</v>
      </c>
      <c r="R540">
        <f t="shared" si="86"/>
        <v>0</v>
      </c>
      <c r="S540">
        <f t="shared" si="87"/>
        <v>1</v>
      </c>
      <c r="T540">
        <f t="shared" si="88"/>
        <v>8365.0600000000013</v>
      </c>
      <c r="U540">
        <f t="shared" si="89"/>
        <v>-946.54000000000087</v>
      </c>
    </row>
    <row r="541" spans="1:21" x14ac:dyDescent="0.3">
      <c r="A541">
        <v>540</v>
      </c>
      <c r="B541">
        <v>51</v>
      </c>
      <c r="C541" t="s">
        <v>16</v>
      </c>
      <c r="D541">
        <v>26.4</v>
      </c>
      <c r="E541">
        <v>97</v>
      </c>
      <c r="F541" t="s">
        <v>12</v>
      </c>
      <c r="G541">
        <v>0</v>
      </c>
      <c r="H541" t="s">
        <v>12</v>
      </c>
      <c r="I541" t="s">
        <v>14</v>
      </c>
      <c r="J541">
        <v>7419.48</v>
      </c>
      <c r="K541" t="str">
        <f t="shared" si="80"/>
        <v>25-30</v>
      </c>
      <c r="L541">
        <f t="shared" si="81"/>
        <v>0</v>
      </c>
      <c r="M541">
        <f t="shared" si="82"/>
        <v>0</v>
      </c>
      <c r="N541">
        <f t="shared" si="83"/>
        <v>0</v>
      </c>
      <c r="O541">
        <f t="shared" si="84"/>
        <v>1</v>
      </c>
      <c r="P541">
        <v>0.83818559342443399</v>
      </c>
      <c r="Q541">
        <f t="shared" si="85"/>
        <v>0</v>
      </c>
      <c r="R541">
        <f t="shared" si="86"/>
        <v>0</v>
      </c>
      <c r="S541">
        <f t="shared" si="87"/>
        <v>1</v>
      </c>
      <c r="T541">
        <f t="shared" si="88"/>
        <v>7891.3499999999985</v>
      </c>
      <c r="U541">
        <f t="shared" si="89"/>
        <v>-471.86999999999898</v>
      </c>
    </row>
    <row r="542" spans="1:21" x14ac:dyDescent="0.3">
      <c r="A542">
        <v>541</v>
      </c>
      <c r="B542">
        <v>55</v>
      </c>
      <c r="C542" t="s">
        <v>16</v>
      </c>
      <c r="D542">
        <v>27.6</v>
      </c>
      <c r="E542">
        <v>89</v>
      </c>
      <c r="F542" t="s">
        <v>12</v>
      </c>
      <c r="G542">
        <v>0</v>
      </c>
      <c r="H542" t="s">
        <v>12</v>
      </c>
      <c r="I542" t="s">
        <v>14</v>
      </c>
      <c r="J542">
        <v>7421.19</v>
      </c>
      <c r="K542" t="str">
        <f t="shared" si="80"/>
        <v>25-30</v>
      </c>
      <c r="L542">
        <f t="shared" si="81"/>
        <v>0</v>
      </c>
      <c r="M542">
        <f t="shared" si="82"/>
        <v>0</v>
      </c>
      <c r="N542">
        <f t="shared" si="83"/>
        <v>0</v>
      </c>
      <c r="O542">
        <f t="shared" si="84"/>
        <v>1</v>
      </c>
      <c r="P542">
        <v>0.9222833805036087</v>
      </c>
      <c r="Q542">
        <f t="shared" si="85"/>
        <v>0</v>
      </c>
      <c r="R542">
        <f t="shared" si="86"/>
        <v>0</v>
      </c>
      <c r="S542">
        <f t="shared" si="87"/>
        <v>1</v>
      </c>
      <c r="T542">
        <f t="shared" si="88"/>
        <v>6712.1100000000006</v>
      </c>
      <c r="U542">
        <f t="shared" si="89"/>
        <v>709.07999999999902</v>
      </c>
    </row>
    <row r="543" spans="1:21" x14ac:dyDescent="0.3">
      <c r="A543">
        <v>542</v>
      </c>
      <c r="B543">
        <v>46</v>
      </c>
      <c r="C543" t="s">
        <v>10</v>
      </c>
      <c r="D543">
        <v>30.2</v>
      </c>
      <c r="E543">
        <v>80</v>
      </c>
      <c r="F543" t="s">
        <v>12</v>
      </c>
      <c r="G543">
        <v>1</v>
      </c>
      <c r="H543" t="s">
        <v>12</v>
      </c>
      <c r="I543" t="s">
        <v>15</v>
      </c>
      <c r="J543">
        <v>7441.05</v>
      </c>
      <c r="K543" t="str">
        <f t="shared" si="80"/>
        <v>30-35</v>
      </c>
      <c r="L543">
        <f t="shared" si="81"/>
        <v>0</v>
      </c>
      <c r="M543">
        <f t="shared" si="82"/>
        <v>0</v>
      </c>
      <c r="N543">
        <f t="shared" si="83"/>
        <v>1</v>
      </c>
      <c r="O543">
        <f t="shared" si="84"/>
        <v>0</v>
      </c>
      <c r="P543">
        <v>0.61524955197125941</v>
      </c>
      <c r="Q543">
        <f t="shared" si="85"/>
        <v>0</v>
      </c>
      <c r="R543">
        <f t="shared" si="86"/>
        <v>0</v>
      </c>
      <c r="S543">
        <f t="shared" si="87"/>
        <v>0</v>
      </c>
      <c r="T543">
        <f t="shared" si="88"/>
        <v>5794.84</v>
      </c>
      <c r="U543">
        <f t="shared" si="89"/>
        <v>1646.21</v>
      </c>
    </row>
    <row r="544" spans="1:21" x14ac:dyDescent="0.3">
      <c r="A544">
        <v>543</v>
      </c>
      <c r="B544">
        <v>19</v>
      </c>
      <c r="C544" t="s">
        <v>10</v>
      </c>
      <c r="D544">
        <v>32.6</v>
      </c>
      <c r="E544">
        <v>94</v>
      </c>
      <c r="F544" t="s">
        <v>11</v>
      </c>
      <c r="G544">
        <v>2</v>
      </c>
      <c r="H544" t="s">
        <v>12</v>
      </c>
      <c r="I544" t="s">
        <v>15</v>
      </c>
      <c r="J544">
        <v>7441.5</v>
      </c>
      <c r="K544" t="str">
        <f t="shared" si="80"/>
        <v>30-35</v>
      </c>
      <c r="L544">
        <f t="shared" si="81"/>
        <v>0</v>
      </c>
      <c r="M544">
        <f t="shared" si="82"/>
        <v>0</v>
      </c>
      <c r="N544">
        <f t="shared" si="83"/>
        <v>1</v>
      </c>
      <c r="O544">
        <f t="shared" si="84"/>
        <v>0</v>
      </c>
      <c r="P544">
        <v>0.90782986793589415</v>
      </c>
      <c r="Q544">
        <f t="shared" si="85"/>
        <v>0</v>
      </c>
      <c r="R544">
        <f t="shared" si="86"/>
        <v>1</v>
      </c>
      <c r="S544">
        <f t="shared" si="87"/>
        <v>0</v>
      </c>
      <c r="T544">
        <f t="shared" si="88"/>
        <v>8938.0400000000009</v>
      </c>
      <c r="U544">
        <f t="shared" si="89"/>
        <v>-1496.5400000000009</v>
      </c>
    </row>
    <row r="545" spans="1:21" x14ac:dyDescent="0.3">
      <c r="A545">
        <v>544</v>
      </c>
      <c r="B545">
        <v>31</v>
      </c>
      <c r="C545" t="s">
        <v>16</v>
      </c>
      <c r="D545">
        <v>36.200000000000003</v>
      </c>
      <c r="E545">
        <v>96</v>
      </c>
      <c r="F545" t="s">
        <v>12</v>
      </c>
      <c r="G545">
        <v>1</v>
      </c>
      <c r="H545" t="s">
        <v>12</v>
      </c>
      <c r="I545" t="s">
        <v>14</v>
      </c>
      <c r="J545">
        <v>7443.64</v>
      </c>
      <c r="K545" t="str">
        <f t="shared" si="80"/>
        <v>35+</v>
      </c>
      <c r="L545">
        <f t="shared" si="81"/>
        <v>0</v>
      </c>
      <c r="M545">
        <f t="shared" si="82"/>
        <v>0</v>
      </c>
      <c r="N545">
        <f t="shared" si="83"/>
        <v>0</v>
      </c>
      <c r="O545">
        <f t="shared" si="84"/>
        <v>1</v>
      </c>
      <c r="P545">
        <v>0.6538098985453118</v>
      </c>
      <c r="Q545">
        <f t="shared" si="85"/>
        <v>0</v>
      </c>
      <c r="R545">
        <f t="shared" si="86"/>
        <v>0</v>
      </c>
      <c r="S545">
        <f t="shared" si="87"/>
        <v>1</v>
      </c>
      <c r="T545">
        <f t="shared" si="88"/>
        <v>9333.5</v>
      </c>
      <c r="U545">
        <f t="shared" si="89"/>
        <v>-1889.8599999999997</v>
      </c>
    </row>
    <row r="546" spans="1:21" x14ac:dyDescent="0.3">
      <c r="A546">
        <v>545</v>
      </c>
      <c r="B546">
        <v>26</v>
      </c>
      <c r="C546" t="s">
        <v>10</v>
      </c>
      <c r="D546">
        <v>33.700000000000003</v>
      </c>
      <c r="E546">
        <v>92</v>
      </c>
      <c r="F546" t="s">
        <v>12</v>
      </c>
      <c r="G546">
        <v>1</v>
      </c>
      <c r="H546" t="s">
        <v>12</v>
      </c>
      <c r="I546" t="s">
        <v>15</v>
      </c>
      <c r="J546">
        <v>7445.92</v>
      </c>
      <c r="K546" t="str">
        <f t="shared" si="80"/>
        <v>30-35</v>
      </c>
      <c r="L546">
        <f t="shared" si="81"/>
        <v>0</v>
      </c>
      <c r="M546">
        <f t="shared" si="82"/>
        <v>0</v>
      </c>
      <c r="N546">
        <f t="shared" si="83"/>
        <v>1</v>
      </c>
      <c r="O546">
        <f t="shared" si="84"/>
        <v>0</v>
      </c>
      <c r="P546">
        <v>0.96835580709577118</v>
      </c>
      <c r="Q546">
        <f t="shared" si="85"/>
        <v>0</v>
      </c>
      <c r="R546">
        <f t="shared" si="86"/>
        <v>0</v>
      </c>
      <c r="S546">
        <f t="shared" si="87"/>
        <v>0</v>
      </c>
      <c r="T546">
        <f t="shared" si="88"/>
        <v>8034.77</v>
      </c>
      <c r="U546">
        <f t="shared" si="89"/>
        <v>-588.85000000000036</v>
      </c>
    </row>
    <row r="547" spans="1:21" x14ac:dyDescent="0.3">
      <c r="A547">
        <v>546</v>
      </c>
      <c r="B547">
        <v>28</v>
      </c>
      <c r="C547" t="s">
        <v>10</v>
      </c>
      <c r="D547">
        <v>39.799999999999997</v>
      </c>
      <c r="E547">
        <v>88</v>
      </c>
      <c r="F547" t="s">
        <v>12</v>
      </c>
      <c r="G547">
        <v>0</v>
      </c>
      <c r="H547" t="s">
        <v>12</v>
      </c>
      <c r="I547" t="s">
        <v>13</v>
      </c>
      <c r="J547">
        <v>7448.4</v>
      </c>
      <c r="K547" t="str">
        <f t="shared" si="80"/>
        <v>35+</v>
      </c>
      <c r="L547">
        <f t="shared" si="81"/>
        <v>0</v>
      </c>
      <c r="M547">
        <f t="shared" si="82"/>
        <v>1</v>
      </c>
      <c r="N547">
        <f t="shared" si="83"/>
        <v>0</v>
      </c>
      <c r="O547">
        <f t="shared" si="84"/>
        <v>0</v>
      </c>
      <c r="P547">
        <v>0.7233185446470578</v>
      </c>
      <c r="Q547">
        <f t="shared" si="85"/>
        <v>0</v>
      </c>
      <c r="R547">
        <f t="shared" si="86"/>
        <v>0</v>
      </c>
      <c r="S547">
        <f t="shared" si="87"/>
        <v>0</v>
      </c>
      <c r="T547">
        <f t="shared" si="88"/>
        <v>6488.5400000000009</v>
      </c>
      <c r="U547">
        <f t="shared" si="89"/>
        <v>959.85999999999876</v>
      </c>
    </row>
    <row r="548" spans="1:21" x14ac:dyDescent="0.3">
      <c r="A548">
        <v>547</v>
      </c>
      <c r="B548">
        <v>31</v>
      </c>
      <c r="C548" t="s">
        <v>10</v>
      </c>
      <c r="D548">
        <v>29.6</v>
      </c>
      <c r="E548">
        <v>85</v>
      </c>
      <c r="F548" t="s">
        <v>12</v>
      </c>
      <c r="G548">
        <v>4</v>
      </c>
      <c r="H548" t="s">
        <v>12</v>
      </c>
      <c r="I548" t="s">
        <v>15</v>
      </c>
      <c r="J548">
        <v>7512.27</v>
      </c>
      <c r="K548" t="str">
        <f t="shared" si="80"/>
        <v>25-30</v>
      </c>
      <c r="L548">
        <f t="shared" si="81"/>
        <v>0</v>
      </c>
      <c r="M548">
        <f t="shared" si="82"/>
        <v>0</v>
      </c>
      <c r="N548">
        <f t="shared" si="83"/>
        <v>1</v>
      </c>
      <c r="O548">
        <f t="shared" si="84"/>
        <v>0</v>
      </c>
      <c r="P548">
        <v>7.6526099770181655E-2</v>
      </c>
      <c r="Q548">
        <f t="shared" si="85"/>
        <v>0</v>
      </c>
      <c r="R548">
        <f t="shared" si="86"/>
        <v>0</v>
      </c>
      <c r="S548">
        <f t="shared" si="87"/>
        <v>0</v>
      </c>
      <c r="T548">
        <f t="shared" si="88"/>
        <v>8775.41</v>
      </c>
      <c r="U548">
        <f t="shared" si="89"/>
        <v>-1263.1399999999994</v>
      </c>
    </row>
    <row r="549" spans="1:21" x14ac:dyDescent="0.3">
      <c r="A549">
        <v>548</v>
      </c>
      <c r="B549">
        <v>46</v>
      </c>
      <c r="C549" t="s">
        <v>10</v>
      </c>
      <c r="D549">
        <v>25.4</v>
      </c>
      <c r="E549">
        <v>98</v>
      </c>
      <c r="F549" t="s">
        <v>12</v>
      </c>
      <c r="G549">
        <v>1</v>
      </c>
      <c r="H549" t="s">
        <v>12</v>
      </c>
      <c r="I549" t="s">
        <v>14</v>
      </c>
      <c r="J549">
        <v>7518.03</v>
      </c>
      <c r="K549" t="str">
        <f t="shared" si="80"/>
        <v>25-30</v>
      </c>
      <c r="L549">
        <f t="shared" si="81"/>
        <v>0</v>
      </c>
      <c r="M549">
        <f t="shared" si="82"/>
        <v>0</v>
      </c>
      <c r="N549">
        <f t="shared" si="83"/>
        <v>0</v>
      </c>
      <c r="O549">
        <f t="shared" si="84"/>
        <v>1</v>
      </c>
      <c r="P549">
        <v>9.3600859185008267E-2</v>
      </c>
      <c r="Q549">
        <f t="shared" si="85"/>
        <v>0</v>
      </c>
      <c r="R549">
        <f t="shared" si="86"/>
        <v>0</v>
      </c>
      <c r="S549">
        <f t="shared" si="87"/>
        <v>0</v>
      </c>
      <c r="T549">
        <f t="shared" si="88"/>
        <v>8265.1299999999974</v>
      </c>
      <c r="U549">
        <f t="shared" si="89"/>
        <v>-747.09999999999764</v>
      </c>
    </row>
    <row r="550" spans="1:21" x14ac:dyDescent="0.3">
      <c r="A550">
        <v>549</v>
      </c>
      <c r="B550">
        <v>33</v>
      </c>
      <c r="C550" t="s">
        <v>10</v>
      </c>
      <c r="D550">
        <v>19.899999999999999</v>
      </c>
      <c r="E550">
        <v>95</v>
      </c>
      <c r="F550" t="s">
        <v>12</v>
      </c>
      <c r="G550">
        <v>0</v>
      </c>
      <c r="H550" t="s">
        <v>12</v>
      </c>
      <c r="I550" t="s">
        <v>14</v>
      </c>
      <c r="J550">
        <v>7526.71</v>
      </c>
      <c r="K550" t="str">
        <f t="shared" si="80"/>
        <v>&lt;20</v>
      </c>
      <c r="L550">
        <f t="shared" si="81"/>
        <v>0</v>
      </c>
      <c r="M550">
        <f t="shared" si="82"/>
        <v>0</v>
      </c>
      <c r="N550">
        <f t="shared" si="83"/>
        <v>0</v>
      </c>
      <c r="O550">
        <f t="shared" si="84"/>
        <v>1</v>
      </c>
      <c r="P550">
        <v>0.17727904618896029</v>
      </c>
      <c r="Q550">
        <f t="shared" si="85"/>
        <v>0</v>
      </c>
      <c r="R550">
        <f t="shared" si="86"/>
        <v>0</v>
      </c>
      <c r="S550">
        <f t="shared" si="87"/>
        <v>0</v>
      </c>
      <c r="T550">
        <f t="shared" si="88"/>
        <v>6594.5100000000011</v>
      </c>
      <c r="U550">
        <f t="shared" si="89"/>
        <v>932.19999999999891</v>
      </c>
    </row>
    <row r="551" spans="1:21" x14ac:dyDescent="0.3">
      <c r="A551">
        <v>550</v>
      </c>
      <c r="B551">
        <v>31</v>
      </c>
      <c r="C551" t="s">
        <v>16</v>
      </c>
      <c r="D551">
        <v>30.2</v>
      </c>
      <c r="E551">
        <v>95</v>
      </c>
      <c r="F551" t="s">
        <v>12</v>
      </c>
      <c r="G551">
        <v>3</v>
      </c>
      <c r="H551" t="s">
        <v>12</v>
      </c>
      <c r="I551" t="s">
        <v>14</v>
      </c>
      <c r="J551">
        <v>7537.16</v>
      </c>
      <c r="K551" t="str">
        <f t="shared" si="80"/>
        <v>30-35</v>
      </c>
      <c r="L551">
        <f t="shared" si="81"/>
        <v>0</v>
      </c>
      <c r="M551">
        <f t="shared" si="82"/>
        <v>0</v>
      </c>
      <c r="N551">
        <f t="shared" si="83"/>
        <v>0</v>
      </c>
      <c r="O551">
        <f t="shared" si="84"/>
        <v>1</v>
      </c>
      <c r="P551">
        <v>0.11977988026865416</v>
      </c>
      <c r="Q551">
        <f t="shared" si="85"/>
        <v>0</v>
      </c>
      <c r="R551">
        <f t="shared" si="86"/>
        <v>0</v>
      </c>
      <c r="S551">
        <f t="shared" si="87"/>
        <v>1</v>
      </c>
      <c r="T551">
        <f t="shared" si="88"/>
        <v>10137.39</v>
      </c>
      <c r="U551">
        <f t="shared" si="89"/>
        <v>-2600.2299999999996</v>
      </c>
    </row>
    <row r="552" spans="1:21" x14ac:dyDescent="0.3">
      <c r="A552">
        <v>551</v>
      </c>
      <c r="B552">
        <v>28</v>
      </c>
      <c r="C552" t="s">
        <v>16</v>
      </c>
      <c r="D552">
        <v>25</v>
      </c>
      <c r="E552">
        <v>97</v>
      </c>
      <c r="F552" t="s">
        <v>12</v>
      </c>
      <c r="G552">
        <v>1</v>
      </c>
      <c r="H552" t="s">
        <v>12</v>
      </c>
      <c r="I552" t="s">
        <v>15</v>
      </c>
      <c r="J552">
        <v>7623.52</v>
      </c>
      <c r="K552" t="str">
        <f t="shared" si="80"/>
        <v>25-30</v>
      </c>
      <c r="L552">
        <f t="shared" si="81"/>
        <v>0</v>
      </c>
      <c r="M552">
        <f t="shared" si="82"/>
        <v>0</v>
      </c>
      <c r="N552">
        <f t="shared" si="83"/>
        <v>1</v>
      </c>
      <c r="O552">
        <f t="shared" si="84"/>
        <v>0</v>
      </c>
      <c r="P552">
        <v>0.20754235495656348</v>
      </c>
      <c r="Q552">
        <f t="shared" si="85"/>
        <v>0</v>
      </c>
      <c r="R552">
        <f t="shared" si="86"/>
        <v>0</v>
      </c>
      <c r="S552">
        <f t="shared" si="87"/>
        <v>1</v>
      </c>
      <c r="T552">
        <f t="shared" si="88"/>
        <v>8531.2599999999984</v>
      </c>
      <c r="U552">
        <f t="shared" si="89"/>
        <v>-907.73999999999796</v>
      </c>
    </row>
    <row r="553" spans="1:21" x14ac:dyDescent="0.3">
      <c r="A553">
        <v>552</v>
      </c>
      <c r="B553">
        <v>37</v>
      </c>
      <c r="C553" t="s">
        <v>16</v>
      </c>
      <c r="D553">
        <v>25.8</v>
      </c>
      <c r="E553">
        <v>87</v>
      </c>
      <c r="F553" t="s">
        <v>12</v>
      </c>
      <c r="G553">
        <v>1</v>
      </c>
      <c r="H553" t="s">
        <v>12</v>
      </c>
      <c r="I553" t="s">
        <v>15</v>
      </c>
      <c r="J553">
        <v>7624.63</v>
      </c>
      <c r="K553" t="str">
        <f t="shared" si="80"/>
        <v>25-30</v>
      </c>
      <c r="L553">
        <f t="shared" si="81"/>
        <v>0</v>
      </c>
      <c r="M553">
        <f t="shared" si="82"/>
        <v>0</v>
      </c>
      <c r="N553">
        <f t="shared" si="83"/>
        <v>1</v>
      </c>
      <c r="O553">
        <f t="shared" si="84"/>
        <v>0</v>
      </c>
      <c r="P553">
        <v>0.94907809358510919</v>
      </c>
      <c r="Q553">
        <f t="shared" si="85"/>
        <v>0</v>
      </c>
      <c r="R553">
        <f t="shared" si="86"/>
        <v>0</v>
      </c>
      <c r="S553">
        <f t="shared" si="87"/>
        <v>1</v>
      </c>
      <c r="T553">
        <f t="shared" si="88"/>
        <v>6992.2399999999989</v>
      </c>
      <c r="U553">
        <f t="shared" si="89"/>
        <v>632.39000000000124</v>
      </c>
    </row>
    <row r="554" spans="1:21" x14ac:dyDescent="0.3">
      <c r="A554">
        <v>553</v>
      </c>
      <c r="B554">
        <v>34</v>
      </c>
      <c r="C554" t="s">
        <v>16</v>
      </c>
      <c r="D554">
        <v>27.5</v>
      </c>
      <c r="E554">
        <v>96</v>
      </c>
      <c r="F554" t="s">
        <v>11</v>
      </c>
      <c r="G554">
        <v>1</v>
      </c>
      <c r="H554" t="s">
        <v>12</v>
      </c>
      <c r="I554" t="s">
        <v>15</v>
      </c>
      <c r="J554">
        <v>7626.99</v>
      </c>
      <c r="K554" t="str">
        <f t="shared" si="80"/>
        <v>25-30</v>
      </c>
      <c r="L554">
        <f t="shared" si="81"/>
        <v>0</v>
      </c>
      <c r="M554">
        <f t="shared" si="82"/>
        <v>0</v>
      </c>
      <c r="N554">
        <f t="shared" si="83"/>
        <v>1</v>
      </c>
      <c r="O554">
        <f t="shared" si="84"/>
        <v>0</v>
      </c>
      <c r="P554">
        <v>0.90388424316796789</v>
      </c>
      <c r="Q554">
        <f t="shared" si="85"/>
        <v>0</v>
      </c>
      <c r="R554">
        <f t="shared" si="86"/>
        <v>1</v>
      </c>
      <c r="S554">
        <f t="shared" si="87"/>
        <v>1</v>
      </c>
      <c r="T554">
        <f t="shared" si="88"/>
        <v>8508.6799999999967</v>
      </c>
      <c r="U554">
        <f t="shared" si="89"/>
        <v>-881.68999999999687</v>
      </c>
    </row>
    <row r="555" spans="1:21" x14ac:dyDescent="0.3">
      <c r="A555">
        <v>554</v>
      </c>
      <c r="B555">
        <v>56</v>
      </c>
      <c r="C555" t="s">
        <v>16</v>
      </c>
      <c r="D555">
        <v>32.299999999999997</v>
      </c>
      <c r="E555">
        <v>99</v>
      </c>
      <c r="F555" t="s">
        <v>11</v>
      </c>
      <c r="G555">
        <v>1</v>
      </c>
      <c r="H555" t="s">
        <v>12</v>
      </c>
      <c r="I555" t="s">
        <v>13</v>
      </c>
      <c r="J555">
        <v>7633.72</v>
      </c>
      <c r="K555" t="str">
        <f t="shared" si="80"/>
        <v>30-35</v>
      </c>
      <c r="L555">
        <f t="shared" si="81"/>
        <v>0</v>
      </c>
      <c r="M555">
        <f t="shared" si="82"/>
        <v>1</v>
      </c>
      <c r="N555">
        <f t="shared" si="83"/>
        <v>0</v>
      </c>
      <c r="O555">
        <f t="shared" si="84"/>
        <v>0</v>
      </c>
      <c r="P555">
        <v>0.52011676779466265</v>
      </c>
      <c r="Q555">
        <f t="shared" si="85"/>
        <v>0</v>
      </c>
      <c r="R555">
        <f t="shared" si="86"/>
        <v>1</v>
      </c>
      <c r="S555">
        <f t="shared" si="87"/>
        <v>1</v>
      </c>
      <c r="T555">
        <f t="shared" si="88"/>
        <v>8681.0700000000015</v>
      </c>
      <c r="U555">
        <f t="shared" si="89"/>
        <v>-1047.3500000000013</v>
      </c>
    </row>
    <row r="556" spans="1:21" x14ac:dyDescent="0.3">
      <c r="A556">
        <v>555</v>
      </c>
      <c r="B556">
        <v>34</v>
      </c>
      <c r="C556" t="s">
        <v>16</v>
      </c>
      <c r="D556">
        <v>33.200000000000003</v>
      </c>
      <c r="E556">
        <v>83</v>
      </c>
      <c r="F556" t="s">
        <v>12</v>
      </c>
      <c r="G556">
        <v>1</v>
      </c>
      <c r="H556" t="s">
        <v>12</v>
      </c>
      <c r="I556" t="s">
        <v>13</v>
      </c>
      <c r="J556">
        <v>7639.42</v>
      </c>
      <c r="K556" t="str">
        <f t="shared" si="80"/>
        <v>30-35</v>
      </c>
      <c r="L556">
        <f t="shared" si="81"/>
        <v>0</v>
      </c>
      <c r="M556">
        <f t="shared" si="82"/>
        <v>1</v>
      </c>
      <c r="N556">
        <f t="shared" si="83"/>
        <v>0</v>
      </c>
      <c r="O556">
        <f t="shared" si="84"/>
        <v>0</v>
      </c>
      <c r="P556">
        <v>0.34874038733057777</v>
      </c>
      <c r="Q556">
        <f t="shared" si="85"/>
        <v>0</v>
      </c>
      <c r="R556">
        <f t="shared" si="86"/>
        <v>0</v>
      </c>
      <c r="S556">
        <f t="shared" si="87"/>
        <v>1</v>
      </c>
      <c r="T556">
        <f t="shared" si="88"/>
        <v>6301.800000000002</v>
      </c>
      <c r="U556">
        <f t="shared" si="89"/>
        <v>1337.6199999999981</v>
      </c>
    </row>
    <row r="557" spans="1:21" x14ac:dyDescent="0.3">
      <c r="A557">
        <v>556</v>
      </c>
      <c r="B557">
        <v>55</v>
      </c>
      <c r="C557" t="s">
        <v>16</v>
      </c>
      <c r="D557">
        <v>29.5</v>
      </c>
      <c r="E557">
        <v>81</v>
      </c>
      <c r="F557" t="s">
        <v>12</v>
      </c>
      <c r="G557">
        <v>2</v>
      </c>
      <c r="H557" t="s">
        <v>12</v>
      </c>
      <c r="I557" t="s">
        <v>13</v>
      </c>
      <c r="J557">
        <v>7640.31</v>
      </c>
      <c r="K557" t="str">
        <f t="shared" si="80"/>
        <v>25-30</v>
      </c>
      <c r="L557">
        <f t="shared" si="81"/>
        <v>0</v>
      </c>
      <c r="M557">
        <f t="shared" si="82"/>
        <v>1</v>
      </c>
      <c r="N557">
        <f t="shared" si="83"/>
        <v>0</v>
      </c>
      <c r="O557">
        <f t="shared" si="84"/>
        <v>0</v>
      </c>
      <c r="P557">
        <v>0.23221926997408315</v>
      </c>
      <c r="Q557">
        <f t="shared" si="85"/>
        <v>0</v>
      </c>
      <c r="R557">
        <f t="shared" si="86"/>
        <v>0</v>
      </c>
      <c r="S557">
        <f t="shared" si="87"/>
        <v>1</v>
      </c>
      <c r="T557">
        <f t="shared" si="88"/>
        <v>6377.6300000000019</v>
      </c>
      <c r="U557">
        <f t="shared" si="89"/>
        <v>1262.6799999999985</v>
      </c>
    </row>
    <row r="558" spans="1:21" x14ac:dyDescent="0.3">
      <c r="A558">
        <v>557</v>
      </c>
      <c r="B558">
        <v>52</v>
      </c>
      <c r="C558" t="s">
        <v>16</v>
      </c>
      <c r="D558">
        <v>41.3</v>
      </c>
      <c r="E558">
        <v>95</v>
      </c>
      <c r="F558" t="s">
        <v>12</v>
      </c>
      <c r="G558">
        <v>1</v>
      </c>
      <c r="H558" t="s">
        <v>12</v>
      </c>
      <c r="I558" t="s">
        <v>13</v>
      </c>
      <c r="J558">
        <v>7650.77</v>
      </c>
      <c r="K558" t="str">
        <f t="shared" si="80"/>
        <v>35+</v>
      </c>
      <c r="L558">
        <f t="shared" si="81"/>
        <v>0</v>
      </c>
      <c r="M558">
        <f t="shared" si="82"/>
        <v>1</v>
      </c>
      <c r="N558">
        <f t="shared" si="83"/>
        <v>0</v>
      </c>
      <c r="O558">
        <f t="shared" si="84"/>
        <v>0</v>
      </c>
      <c r="P558">
        <v>0.33690411755254868</v>
      </c>
      <c r="Q558">
        <f t="shared" si="85"/>
        <v>0</v>
      </c>
      <c r="R558">
        <f t="shared" si="86"/>
        <v>0</v>
      </c>
      <c r="S558">
        <f t="shared" si="87"/>
        <v>1</v>
      </c>
      <c r="T558">
        <f t="shared" si="88"/>
        <v>8886.3900000000012</v>
      </c>
      <c r="U558">
        <f t="shared" si="89"/>
        <v>-1235.6200000000008</v>
      </c>
    </row>
    <row r="559" spans="1:21" x14ac:dyDescent="0.3">
      <c r="A559">
        <v>558</v>
      </c>
      <c r="B559">
        <v>45</v>
      </c>
      <c r="C559" t="s">
        <v>16</v>
      </c>
      <c r="D559">
        <v>33</v>
      </c>
      <c r="E559">
        <v>87</v>
      </c>
      <c r="F559" t="s">
        <v>12</v>
      </c>
      <c r="G559">
        <v>3</v>
      </c>
      <c r="H559" t="s">
        <v>12</v>
      </c>
      <c r="I559" t="s">
        <v>13</v>
      </c>
      <c r="J559">
        <v>7682.67</v>
      </c>
      <c r="K559" t="str">
        <f t="shared" si="80"/>
        <v>30-35</v>
      </c>
      <c r="L559">
        <f t="shared" si="81"/>
        <v>0</v>
      </c>
      <c r="M559">
        <f t="shared" si="82"/>
        <v>1</v>
      </c>
      <c r="N559">
        <f t="shared" si="83"/>
        <v>0</v>
      </c>
      <c r="O559">
        <f t="shared" si="84"/>
        <v>0</v>
      </c>
      <c r="P559">
        <v>0.25731442785498726</v>
      </c>
      <c r="Q559">
        <f t="shared" si="85"/>
        <v>0</v>
      </c>
      <c r="R559">
        <f t="shared" si="86"/>
        <v>0</v>
      </c>
      <c r="S559">
        <f t="shared" si="87"/>
        <v>1</v>
      </c>
      <c r="T559">
        <f t="shared" si="88"/>
        <v>8385.4600000000009</v>
      </c>
      <c r="U559">
        <f t="shared" si="89"/>
        <v>-702.79000000000087</v>
      </c>
    </row>
    <row r="560" spans="1:21" x14ac:dyDescent="0.3">
      <c r="A560">
        <v>559</v>
      </c>
      <c r="B560">
        <v>46</v>
      </c>
      <c r="C560" t="s">
        <v>10</v>
      </c>
      <c r="D560">
        <v>27.4</v>
      </c>
      <c r="E560">
        <v>88</v>
      </c>
      <c r="F560" t="s">
        <v>12</v>
      </c>
      <c r="G560">
        <v>2</v>
      </c>
      <c r="H560" t="s">
        <v>12</v>
      </c>
      <c r="I560" t="s">
        <v>15</v>
      </c>
      <c r="J560">
        <v>7726.85</v>
      </c>
      <c r="K560" t="str">
        <f t="shared" si="80"/>
        <v>25-30</v>
      </c>
      <c r="L560">
        <f t="shared" si="81"/>
        <v>0</v>
      </c>
      <c r="M560">
        <f t="shared" si="82"/>
        <v>0</v>
      </c>
      <c r="N560">
        <f t="shared" si="83"/>
        <v>1</v>
      </c>
      <c r="O560">
        <f t="shared" si="84"/>
        <v>0</v>
      </c>
      <c r="P560">
        <v>0.85574610471492984</v>
      </c>
      <c r="Q560">
        <f t="shared" si="85"/>
        <v>0</v>
      </c>
      <c r="R560">
        <f t="shared" si="86"/>
        <v>0</v>
      </c>
      <c r="S560">
        <f t="shared" si="87"/>
        <v>0</v>
      </c>
      <c r="T560">
        <f t="shared" si="88"/>
        <v>7570.4</v>
      </c>
      <c r="U560">
        <f t="shared" si="89"/>
        <v>156.45000000000073</v>
      </c>
    </row>
    <row r="561" spans="1:21" x14ac:dyDescent="0.3">
      <c r="A561">
        <v>560</v>
      </c>
      <c r="B561">
        <v>54</v>
      </c>
      <c r="C561" t="s">
        <v>16</v>
      </c>
      <c r="D561">
        <v>34.6</v>
      </c>
      <c r="E561">
        <v>83</v>
      </c>
      <c r="F561" t="s">
        <v>12</v>
      </c>
      <c r="G561">
        <v>1</v>
      </c>
      <c r="H561" t="s">
        <v>12</v>
      </c>
      <c r="I561" t="s">
        <v>14</v>
      </c>
      <c r="J561">
        <v>7727.25</v>
      </c>
      <c r="K561" t="str">
        <f t="shared" si="80"/>
        <v>30-35</v>
      </c>
      <c r="L561">
        <f t="shared" si="81"/>
        <v>0</v>
      </c>
      <c r="M561">
        <f t="shared" si="82"/>
        <v>0</v>
      </c>
      <c r="N561">
        <f t="shared" si="83"/>
        <v>0</v>
      </c>
      <c r="O561">
        <f t="shared" si="84"/>
        <v>1</v>
      </c>
      <c r="P561">
        <v>0.3888047625654204</v>
      </c>
      <c r="Q561">
        <f t="shared" si="85"/>
        <v>0</v>
      </c>
      <c r="R561">
        <f t="shared" si="86"/>
        <v>0</v>
      </c>
      <c r="S561">
        <f t="shared" si="87"/>
        <v>1</v>
      </c>
      <c r="T561">
        <f t="shared" si="88"/>
        <v>7092.59</v>
      </c>
      <c r="U561">
        <f t="shared" si="89"/>
        <v>634.65999999999985</v>
      </c>
    </row>
    <row r="562" spans="1:21" x14ac:dyDescent="0.3">
      <c r="A562">
        <v>561</v>
      </c>
      <c r="B562">
        <v>50</v>
      </c>
      <c r="C562" t="s">
        <v>10</v>
      </c>
      <c r="D562">
        <v>26.1</v>
      </c>
      <c r="E562">
        <v>96</v>
      </c>
      <c r="F562" t="s">
        <v>11</v>
      </c>
      <c r="G562">
        <v>2</v>
      </c>
      <c r="H562" t="s">
        <v>12</v>
      </c>
      <c r="I562" t="s">
        <v>13</v>
      </c>
      <c r="J562">
        <v>7729.65</v>
      </c>
      <c r="K562" t="str">
        <f t="shared" si="80"/>
        <v>25-30</v>
      </c>
      <c r="L562">
        <f t="shared" si="81"/>
        <v>0</v>
      </c>
      <c r="M562">
        <f t="shared" si="82"/>
        <v>1</v>
      </c>
      <c r="N562">
        <f t="shared" si="83"/>
        <v>0</v>
      </c>
      <c r="O562">
        <f t="shared" si="84"/>
        <v>0</v>
      </c>
      <c r="P562">
        <v>0.40376865320885202</v>
      </c>
      <c r="Q562">
        <f t="shared" si="85"/>
        <v>0</v>
      </c>
      <c r="R562">
        <f t="shared" si="86"/>
        <v>1</v>
      </c>
      <c r="S562">
        <f t="shared" si="87"/>
        <v>0</v>
      </c>
      <c r="T562">
        <f t="shared" si="88"/>
        <v>7973.1699999999992</v>
      </c>
      <c r="U562">
        <f t="shared" si="89"/>
        <v>-243.51999999999953</v>
      </c>
    </row>
    <row r="563" spans="1:21" x14ac:dyDescent="0.3">
      <c r="A563">
        <v>562</v>
      </c>
      <c r="B563">
        <v>48</v>
      </c>
      <c r="C563" t="s">
        <v>10</v>
      </c>
      <c r="D563">
        <v>30.7</v>
      </c>
      <c r="E563">
        <v>84</v>
      </c>
      <c r="F563" t="s">
        <v>12</v>
      </c>
      <c r="G563">
        <v>2</v>
      </c>
      <c r="H563" t="s">
        <v>12</v>
      </c>
      <c r="I563" t="s">
        <v>13</v>
      </c>
      <c r="J563">
        <v>7731.43</v>
      </c>
      <c r="K563" t="str">
        <f t="shared" si="80"/>
        <v>30-35</v>
      </c>
      <c r="L563">
        <f t="shared" si="81"/>
        <v>0</v>
      </c>
      <c r="M563">
        <f t="shared" si="82"/>
        <v>1</v>
      </c>
      <c r="N563">
        <f t="shared" si="83"/>
        <v>0</v>
      </c>
      <c r="O563">
        <f t="shared" si="84"/>
        <v>0</v>
      </c>
      <c r="P563">
        <v>0.54957682292219945</v>
      </c>
      <c r="Q563">
        <f t="shared" si="85"/>
        <v>0</v>
      </c>
      <c r="R563">
        <f t="shared" si="86"/>
        <v>0</v>
      </c>
      <c r="S563">
        <f t="shared" si="87"/>
        <v>0</v>
      </c>
      <c r="T563">
        <f t="shared" si="88"/>
        <v>6523.01</v>
      </c>
      <c r="U563">
        <f t="shared" si="89"/>
        <v>1208.42</v>
      </c>
    </row>
    <row r="564" spans="1:21" x14ac:dyDescent="0.3">
      <c r="A564">
        <v>563</v>
      </c>
      <c r="B564">
        <v>26</v>
      </c>
      <c r="C564" t="s">
        <v>16</v>
      </c>
      <c r="D564">
        <v>35.799999999999997</v>
      </c>
      <c r="E564">
        <v>100</v>
      </c>
      <c r="F564" t="s">
        <v>11</v>
      </c>
      <c r="G564">
        <v>0</v>
      </c>
      <c r="H564" t="s">
        <v>12</v>
      </c>
      <c r="I564" t="s">
        <v>14</v>
      </c>
      <c r="J564">
        <v>7731.86</v>
      </c>
      <c r="K564" t="str">
        <f t="shared" si="80"/>
        <v>35+</v>
      </c>
      <c r="L564">
        <f t="shared" si="81"/>
        <v>0</v>
      </c>
      <c r="M564">
        <f t="shared" si="82"/>
        <v>0</v>
      </c>
      <c r="N564">
        <f t="shared" si="83"/>
        <v>0</v>
      </c>
      <c r="O564">
        <f t="shared" si="84"/>
        <v>1</v>
      </c>
      <c r="P564">
        <v>0.4667484295596761</v>
      </c>
      <c r="Q564">
        <f t="shared" si="85"/>
        <v>0</v>
      </c>
      <c r="R564">
        <f t="shared" si="86"/>
        <v>1</v>
      </c>
      <c r="S564">
        <f t="shared" si="87"/>
        <v>1</v>
      </c>
      <c r="T564">
        <f t="shared" si="88"/>
        <v>9136.76</v>
      </c>
      <c r="U564">
        <f t="shared" si="89"/>
        <v>-1404.9000000000005</v>
      </c>
    </row>
    <row r="565" spans="1:21" x14ac:dyDescent="0.3">
      <c r="A565">
        <v>564</v>
      </c>
      <c r="B565">
        <v>36</v>
      </c>
      <c r="C565" t="s">
        <v>10</v>
      </c>
      <c r="D565">
        <v>37.1</v>
      </c>
      <c r="E565">
        <v>90</v>
      </c>
      <c r="F565" t="s">
        <v>12</v>
      </c>
      <c r="G565">
        <v>2</v>
      </c>
      <c r="H565" t="s">
        <v>12</v>
      </c>
      <c r="I565" t="s">
        <v>15</v>
      </c>
      <c r="J565">
        <v>7740.34</v>
      </c>
      <c r="K565" t="str">
        <f t="shared" si="80"/>
        <v>35+</v>
      </c>
      <c r="L565">
        <f t="shared" si="81"/>
        <v>0</v>
      </c>
      <c r="M565">
        <f t="shared" si="82"/>
        <v>0</v>
      </c>
      <c r="N565">
        <f t="shared" si="83"/>
        <v>1</v>
      </c>
      <c r="O565">
        <f t="shared" si="84"/>
        <v>0</v>
      </c>
      <c r="P565">
        <v>0.98810520784794331</v>
      </c>
      <c r="Q565">
        <f t="shared" si="85"/>
        <v>0</v>
      </c>
      <c r="R565">
        <f t="shared" si="86"/>
        <v>0</v>
      </c>
      <c r="S565">
        <f t="shared" si="87"/>
        <v>0</v>
      </c>
      <c r="T565">
        <f t="shared" si="88"/>
        <v>8731.73</v>
      </c>
      <c r="U565">
        <f t="shared" si="89"/>
        <v>-991.38999999999942</v>
      </c>
    </row>
    <row r="566" spans="1:21" x14ac:dyDescent="0.3">
      <c r="A566">
        <v>565</v>
      </c>
      <c r="B566">
        <v>18</v>
      </c>
      <c r="C566" t="s">
        <v>10</v>
      </c>
      <c r="D566">
        <v>26.6</v>
      </c>
      <c r="E566">
        <v>95</v>
      </c>
      <c r="F566" t="s">
        <v>12</v>
      </c>
      <c r="G566">
        <v>1</v>
      </c>
      <c r="H566" t="s">
        <v>12</v>
      </c>
      <c r="I566" t="s">
        <v>13</v>
      </c>
      <c r="J566">
        <v>7742.11</v>
      </c>
      <c r="K566" t="str">
        <f t="shared" si="80"/>
        <v>25-30</v>
      </c>
      <c r="L566">
        <f t="shared" si="81"/>
        <v>0</v>
      </c>
      <c r="M566">
        <f t="shared" si="82"/>
        <v>1</v>
      </c>
      <c r="N566">
        <f t="shared" si="83"/>
        <v>0</v>
      </c>
      <c r="O566">
        <f t="shared" si="84"/>
        <v>0</v>
      </c>
      <c r="P566">
        <v>0.26392853726927812</v>
      </c>
      <c r="Q566">
        <f t="shared" si="85"/>
        <v>0</v>
      </c>
      <c r="R566">
        <f t="shared" si="86"/>
        <v>0</v>
      </c>
      <c r="S566">
        <f t="shared" si="87"/>
        <v>0</v>
      </c>
      <c r="T566">
        <f t="shared" si="88"/>
        <v>7228.1100000000006</v>
      </c>
      <c r="U566">
        <f t="shared" si="89"/>
        <v>513.99999999999909</v>
      </c>
    </row>
    <row r="567" spans="1:21" x14ac:dyDescent="0.3">
      <c r="A567">
        <v>566</v>
      </c>
      <c r="B567">
        <v>56</v>
      </c>
      <c r="C567" t="s">
        <v>16</v>
      </c>
      <c r="D567">
        <v>33.1</v>
      </c>
      <c r="E567">
        <v>91</v>
      </c>
      <c r="F567" t="s">
        <v>12</v>
      </c>
      <c r="G567">
        <v>2</v>
      </c>
      <c r="H567" t="s">
        <v>12</v>
      </c>
      <c r="I567" t="s">
        <v>14</v>
      </c>
      <c r="J567">
        <v>7749.16</v>
      </c>
      <c r="K567" t="str">
        <f t="shared" si="80"/>
        <v>30-35</v>
      </c>
      <c r="L567">
        <f t="shared" si="81"/>
        <v>0</v>
      </c>
      <c r="M567">
        <f t="shared" si="82"/>
        <v>0</v>
      </c>
      <c r="N567">
        <f t="shared" si="83"/>
        <v>0</v>
      </c>
      <c r="O567">
        <f t="shared" si="84"/>
        <v>1</v>
      </c>
      <c r="P567">
        <v>0.48244526880140148</v>
      </c>
      <c r="Q567">
        <f t="shared" si="85"/>
        <v>0</v>
      </c>
      <c r="R567">
        <f t="shared" si="86"/>
        <v>0</v>
      </c>
      <c r="S567">
        <f t="shared" si="87"/>
        <v>1</v>
      </c>
      <c r="T567">
        <f t="shared" si="88"/>
        <v>8976.7400000000016</v>
      </c>
      <c r="U567">
        <f t="shared" si="89"/>
        <v>-1227.5800000000017</v>
      </c>
    </row>
    <row r="568" spans="1:21" x14ac:dyDescent="0.3">
      <c r="A568">
        <v>567</v>
      </c>
      <c r="B568">
        <v>29</v>
      </c>
      <c r="C568" t="s">
        <v>10</v>
      </c>
      <c r="D568">
        <v>29.7</v>
      </c>
      <c r="E568">
        <v>100</v>
      </c>
      <c r="F568" t="s">
        <v>11</v>
      </c>
      <c r="G568">
        <v>0</v>
      </c>
      <c r="H568" t="s">
        <v>12</v>
      </c>
      <c r="I568" t="s">
        <v>13</v>
      </c>
      <c r="J568">
        <v>7789.64</v>
      </c>
      <c r="K568" t="str">
        <f t="shared" si="80"/>
        <v>25-30</v>
      </c>
      <c r="L568">
        <f t="shared" si="81"/>
        <v>0</v>
      </c>
      <c r="M568">
        <f t="shared" si="82"/>
        <v>1</v>
      </c>
      <c r="N568">
        <f t="shared" si="83"/>
        <v>0</v>
      </c>
      <c r="O568">
        <f t="shared" si="84"/>
        <v>0</v>
      </c>
      <c r="P568">
        <v>0.10878151547567116</v>
      </c>
      <c r="Q568">
        <f t="shared" si="85"/>
        <v>0</v>
      </c>
      <c r="R568">
        <f t="shared" si="86"/>
        <v>1</v>
      </c>
      <c r="S568">
        <f t="shared" si="87"/>
        <v>0</v>
      </c>
      <c r="T568">
        <f t="shared" si="88"/>
        <v>7469.7300000000005</v>
      </c>
      <c r="U568">
        <f t="shared" si="89"/>
        <v>319.90999999999985</v>
      </c>
    </row>
    <row r="569" spans="1:21" x14ac:dyDescent="0.3">
      <c r="A569">
        <v>568</v>
      </c>
      <c r="B569">
        <v>50</v>
      </c>
      <c r="C569" t="s">
        <v>10</v>
      </c>
      <c r="D569">
        <v>40.200000000000003</v>
      </c>
      <c r="E569">
        <v>91</v>
      </c>
      <c r="F569" t="s">
        <v>11</v>
      </c>
      <c r="G569">
        <v>0</v>
      </c>
      <c r="H569" t="s">
        <v>12</v>
      </c>
      <c r="I569" t="s">
        <v>13</v>
      </c>
      <c r="J569">
        <v>7804.16</v>
      </c>
      <c r="K569" t="str">
        <f t="shared" si="80"/>
        <v>35+</v>
      </c>
      <c r="L569">
        <f t="shared" si="81"/>
        <v>0</v>
      </c>
      <c r="M569">
        <f t="shared" si="82"/>
        <v>1</v>
      </c>
      <c r="N569">
        <f t="shared" si="83"/>
        <v>0</v>
      </c>
      <c r="O569">
        <f t="shared" si="84"/>
        <v>0</v>
      </c>
      <c r="P569">
        <v>0.5377851312903339</v>
      </c>
      <c r="Q569">
        <f t="shared" si="85"/>
        <v>0</v>
      </c>
      <c r="R569">
        <f t="shared" si="86"/>
        <v>1</v>
      </c>
      <c r="S569">
        <f t="shared" si="87"/>
        <v>0</v>
      </c>
      <c r="T569">
        <f t="shared" si="88"/>
        <v>6904.2900000000018</v>
      </c>
      <c r="U569">
        <f t="shared" si="89"/>
        <v>899.86999999999807</v>
      </c>
    </row>
    <row r="570" spans="1:21" x14ac:dyDescent="0.3">
      <c r="A570">
        <v>569</v>
      </c>
      <c r="B570">
        <v>58</v>
      </c>
      <c r="C570" t="s">
        <v>16</v>
      </c>
      <c r="D570">
        <v>38.299999999999997</v>
      </c>
      <c r="E570">
        <v>87</v>
      </c>
      <c r="F570" t="s">
        <v>11</v>
      </c>
      <c r="G570">
        <v>0</v>
      </c>
      <c r="H570" t="s">
        <v>12</v>
      </c>
      <c r="I570" t="s">
        <v>17</v>
      </c>
      <c r="J570">
        <v>7935.29</v>
      </c>
      <c r="K570" t="str">
        <f t="shared" si="80"/>
        <v>35+</v>
      </c>
      <c r="L570">
        <f t="shared" si="81"/>
        <v>0</v>
      </c>
      <c r="M570">
        <f t="shared" si="82"/>
        <v>0</v>
      </c>
      <c r="N570">
        <f t="shared" si="83"/>
        <v>0</v>
      </c>
      <c r="O570">
        <f t="shared" si="84"/>
        <v>0</v>
      </c>
      <c r="P570">
        <v>7.8233956006534933E-2</v>
      </c>
      <c r="Q570">
        <f t="shared" si="85"/>
        <v>0</v>
      </c>
      <c r="R570">
        <f t="shared" si="86"/>
        <v>1</v>
      </c>
      <c r="S570">
        <f t="shared" si="87"/>
        <v>1</v>
      </c>
      <c r="T570">
        <f t="shared" si="88"/>
        <v>10182.92</v>
      </c>
      <c r="U570">
        <f t="shared" si="89"/>
        <v>-2247.63</v>
      </c>
    </row>
    <row r="571" spans="1:21" x14ac:dyDescent="0.3">
      <c r="A571">
        <v>570</v>
      </c>
      <c r="B571">
        <v>49</v>
      </c>
      <c r="C571" t="s">
        <v>16</v>
      </c>
      <c r="D571">
        <v>32.6</v>
      </c>
      <c r="E571">
        <v>97</v>
      </c>
      <c r="F571" t="s">
        <v>12</v>
      </c>
      <c r="G571">
        <v>3</v>
      </c>
      <c r="H571" t="s">
        <v>12</v>
      </c>
      <c r="I571" t="s">
        <v>15</v>
      </c>
      <c r="J571">
        <v>7954.52</v>
      </c>
      <c r="K571" t="str">
        <f t="shared" si="80"/>
        <v>30-35</v>
      </c>
      <c r="L571">
        <f t="shared" si="81"/>
        <v>0</v>
      </c>
      <c r="M571">
        <f t="shared" si="82"/>
        <v>0</v>
      </c>
      <c r="N571">
        <f t="shared" si="83"/>
        <v>1</v>
      </c>
      <c r="O571">
        <f t="shared" si="84"/>
        <v>0</v>
      </c>
      <c r="P571">
        <v>0.82162293017781163</v>
      </c>
      <c r="Q571">
        <f t="shared" si="85"/>
        <v>0</v>
      </c>
      <c r="R571">
        <f t="shared" si="86"/>
        <v>0</v>
      </c>
      <c r="S571">
        <f t="shared" si="87"/>
        <v>1</v>
      </c>
      <c r="T571">
        <f t="shared" si="88"/>
        <v>10630.66</v>
      </c>
      <c r="U571">
        <f t="shared" si="89"/>
        <v>-2676.1399999999994</v>
      </c>
    </row>
    <row r="572" spans="1:21" x14ac:dyDescent="0.3">
      <c r="A572">
        <v>571</v>
      </c>
      <c r="B572">
        <v>51</v>
      </c>
      <c r="C572" t="s">
        <v>16</v>
      </c>
      <c r="D572">
        <v>22.8</v>
      </c>
      <c r="E572">
        <v>86</v>
      </c>
      <c r="F572" t="s">
        <v>11</v>
      </c>
      <c r="G572">
        <v>3</v>
      </c>
      <c r="H572" t="s">
        <v>12</v>
      </c>
      <c r="I572" t="s">
        <v>17</v>
      </c>
      <c r="J572">
        <v>7985.82</v>
      </c>
      <c r="K572" t="str">
        <f t="shared" si="80"/>
        <v>20-25</v>
      </c>
      <c r="L572">
        <f t="shared" si="81"/>
        <v>0</v>
      </c>
      <c r="M572">
        <f t="shared" si="82"/>
        <v>0</v>
      </c>
      <c r="N572">
        <f t="shared" si="83"/>
        <v>0</v>
      </c>
      <c r="O572">
        <f t="shared" si="84"/>
        <v>0</v>
      </c>
      <c r="P572">
        <v>0.42231114977886985</v>
      </c>
      <c r="Q572">
        <f t="shared" si="85"/>
        <v>0</v>
      </c>
      <c r="R572">
        <f t="shared" si="86"/>
        <v>1</v>
      </c>
      <c r="S572">
        <f t="shared" si="87"/>
        <v>1</v>
      </c>
      <c r="T572">
        <f t="shared" si="88"/>
        <v>10921.76</v>
      </c>
      <c r="U572">
        <f t="shared" si="89"/>
        <v>-2935.9400000000005</v>
      </c>
    </row>
    <row r="573" spans="1:21" x14ac:dyDescent="0.3">
      <c r="A573">
        <v>572</v>
      </c>
      <c r="B573">
        <v>60</v>
      </c>
      <c r="C573" t="s">
        <v>16</v>
      </c>
      <c r="D573">
        <v>23.3</v>
      </c>
      <c r="E573">
        <v>87</v>
      </c>
      <c r="F573" t="s">
        <v>11</v>
      </c>
      <c r="G573">
        <v>3</v>
      </c>
      <c r="H573" t="s">
        <v>12</v>
      </c>
      <c r="I573" t="s">
        <v>17</v>
      </c>
      <c r="J573">
        <v>7986.48</v>
      </c>
      <c r="K573" t="str">
        <f t="shared" si="80"/>
        <v>20-25</v>
      </c>
      <c r="L573">
        <f t="shared" si="81"/>
        <v>0</v>
      </c>
      <c r="M573">
        <f t="shared" si="82"/>
        <v>0</v>
      </c>
      <c r="N573">
        <f t="shared" si="83"/>
        <v>0</v>
      </c>
      <c r="O573">
        <f t="shared" si="84"/>
        <v>0</v>
      </c>
      <c r="P573">
        <v>0.50641616998697236</v>
      </c>
      <c r="Q573">
        <f t="shared" si="85"/>
        <v>0</v>
      </c>
      <c r="R573">
        <f t="shared" si="86"/>
        <v>1</v>
      </c>
      <c r="S573">
        <f t="shared" si="87"/>
        <v>1</v>
      </c>
      <c r="T573">
        <f t="shared" si="88"/>
        <v>11112.58</v>
      </c>
      <c r="U573">
        <f t="shared" si="89"/>
        <v>-3126.1000000000004</v>
      </c>
    </row>
    <row r="574" spans="1:21" x14ac:dyDescent="0.3">
      <c r="A574">
        <v>573</v>
      </c>
      <c r="B574">
        <v>54</v>
      </c>
      <c r="C574" t="s">
        <v>16</v>
      </c>
      <c r="D574">
        <v>25</v>
      </c>
      <c r="E574">
        <v>81</v>
      </c>
      <c r="F574" t="s">
        <v>11</v>
      </c>
      <c r="G574">
        <v>2</v>
      </c>
      <c r="H574" t="s">
        <v>12</v>
      </c>
      <c r="I574" t="s">
        <v>14</v>
      </c>
      <c r="J574">
        <v>8017.06</v>
      </c>
      <c r="K574" t="str">
        <f t="shared" si="80"/>
        <v>25-30</v>
      </c>
      <c r="L574">
        <f t="shared" si="81"/>
        <v>0</v>
      </c>
      <c r="M574">
        <f t="shared" si="82"/>
        <v>0</v>
      </c>
      <c r="N574">
        <f t="shared" si="83"/>
        <v>0</v>
      </c>
      <c r="O574">
        <f t="shared" si="84"/>
        <v>1</v>
      </c>
      <c r="P574">
        <v>0.56894383308711904</v>
      </c>
      <c r="Q574">
        <f t="shared" si="85"/>
        <v>0</v>
      </c>
      <c r="R574">
        <f t="shared" si="86"/>
        <v>1</v>
      </c>
      <c r="S574">
        <f t="shared" si="87"/>
        <v>1</v>
      </c>
      <c r="T574">
        <f t="shared" si="88"/>
        <v>6621.79</v>
      </c>
      <c r="U574">
        <f t="shared" si="89"/>
        <v>1395.2700000000004</v>
      </c>
    </row>
    <row r="575" spans="1:21" x14ac:dyDescent="0.3">
      <c r="A575">
        <v>574</v>
      </c>
      <c r="B575">
        <v>42</v>
      </c>
      <c r="C575" t="s">
        <v>16</v>
      </c>
      <c r="D575">
        <v>37</v>
      </c>
      <c r="E575">
        <v>80</v>
      </c>
      <c r="F575" t="s">
        <v>12</v>
      </c>
      <c r="G575">
        <v>1</v>
      </c>
      <c r="H575" t="s">
        <v>12</v>
      </c>
      <c r="I575" t="s">
        <v>14</v>
      </c>
      <c r="J575">
        <v>8023.14</v>
      </c>
      <c r="K575" t="str">
        <f t="shared" si="80"/>
        <v>35+</v>
      </c>
      <c r="L575">
        <f t="shared" si="81"/>
        <v>0</v>
      </c>
      <c r="M575">
        <f t="shared" si="82"/>
        <v>0</v>
      </c>
      <c r="N575">
        <f t="shared" si="83"/>
        <v>0</v>
      </c>
      <c r="O575">
        <f t="shared" si="84"/>
        <v>1</v>
      </c>
      <c r="P575">
        <v>0.76955053593122247</v>
      </c>
      <c r="Q575">
        <f t="shared" si="85"/>
        <v>0</v>
      </c>
      <c r="R575">
        <f t="shared" si="86"/>
        <v>0</v>
      </c>
      <c r="S575">
        <f t="shared" si="87"/>
        <v>1</v>
      </c>
      <c r="T575">
        <f t="shared" si="88"/>
        <v>6834.380000000001</v>
      </c>
      <c r="U575">
        <f t="shared" si="89"/>
        <v>1188.7599999999993</v>
      </c>
    </row>
    <row r="576" spans="1:21" x14ac:dyDescent="0.3">
      <c r="A576">
        <v>575</v>
      </c>
      <c r="B576">
        <v>53</v>
      </c>
      <c r="C576" t="s">
        <v>16</v>
      </c>
      <c r="D576">
        <v>27.7</v>
      </c>
      <c r="E576">
        <v>88</v>
      </c>
      <c r="F576" t="s">
        <v>11</v>
      </c>
      <c r="G576">
        <v>0</v>
      </c>
      <c r="H576" t="s">
        <v>12</v>
      </c>
      <c r="I576" t="s">
        <v>14</v>
      </c>
      <c r="J576">
        <v>8026.67</v>
      </c>
      <c r="K576" t="str">
        <f t="shared" si="80"/>
        <v>25-30</v>
      </c>
      <c r="L576">
        <f t="shared" si="81"/>
        <v>0</v>
      </c>
      <c r="M576">
        <f t="shared" si="82"/>
        <v>0</v>
      </c>
      <c r="N576">
        <f t="shared" si="83"/>
        <v>0</v>
      </c>
      <c r="O576">
        <f t="shared" si="84"/>
        <v>1</v>
      </c>
      <c r="P576">
        <v>0.63123975497974028</v>
      </c>
      <c r="Q576">
        <f t="shared" si="85"/>
        <v>0</v>
      </c>
      <c r="R576">
        <f t="shared" si="86"/>
        <v>1</v>
      </c>
      <c r="S576">
        <f t="shared" si="87"/>
        <v>1</v>
      </c>
      <c r="T576">
        <f t="shared" si="88"/>
        <v>6494.5699999999988</v>
      </c>
      <c r="U576">
        <f t="shared" si="89"/>
        <v>1532.1000000000013</v>
      </c>
    </row>
    <row r="577" spans="1:21" x14ac:dyDescent="0.3">
      <c r="A577">
        <v>576</v>
      </c>
      <c r="B577">
        <v>42</v>
      </c>
      <c r="C577" t="s">
        <v>10</v>
      </c>
      <c r="D577">
        <v>28.7</v>
      </c>
      <c r="E577">
        <v>88</v>
      </c>
      <c r="F577" t="s">
        <v>12</v>
      </c>
      <c r="G577">
        <v>2</v>
      </c>
      <c r="H577" t="s">
        <v>12</v>
      </c>
      <c r="I577" t="s">
        <v>15</v>
      </c>
      <c r="J577">
        <v>8027.97</v>
      </c>
      <c r="K577" t="str">
        <f t="shared" si="80"/>
        <v>25-30</v>
      </c>
      <c r="L577">
        <f t="shared" si="81"/>
        <v>0</v>
      </c>
      <c r="M577">
        <f t="shared" si="82"/>
        <v>0</v>
      </c>
      <c r="N577">
        <f t="shared" si="83"/>
        <v>1</v>
      </c>
      <c r="O577">
        <f t="shared" si="84"/>
        <v>0</v>
      </c>
      <c r="P577">
        <v>5.9458200824989316E-2</v>
      </c>
      <c r="Q577">
        <f t="shared" si="85"/>
        <v>0</v>
      </c>
      <c r="R577">
        <f t="shared" si="86"/>
        <v>0</v>
      </c>
      <c r="S577">
        <f t="shared" si="87"/>
        <v>0</v>
      </c>
      <c r="T577">
        <f t="shared" si="88"/>
        <v>7686.6699999999983</v>
      </c>
      <c r="U577">
        <f t="shared" si="89"/>
        <v>341.300000000002</v>
      </c>
    </row>
    <row r="578" spans="1:21" x14ac:dyDescent="0.3">
      <c r="A578">
        <v>577</v>
      </c>
      <c r="B578">
        <v>44</v>
      </c>
      <c r="C578" t="s">
        <v>16</v>
      </c>
      <c r="D578">
        <v>28.7</v>
      </c>
      <c r="E578">
        <v>88</v>
      </c>
      <c r="F578" t="s">
        <v>12</v>
      </c>
      <c r="G578">
        <v>3</v>
      </c>
      <c r="H578" t="s">
        <v>12</v>
      </c>
      <c r="I578" t="s">
        <v>14</v>
      </c>
      <c r="J578">
        <v>8059.68</v>
      </c>
      <c r="K578" t="str">
        <f t="shared" si="80"/>
        <v>25-30</v>
      </c>
      <c r="L578">
        <f t="shared" si="81"/>
        <v>0</v>
      </c>
      <c r="M578">
        <f t="shared" si="82"/>
        <v>0</v>
      </c>
      <c r="N578">
        <f t="shared" si="83"/>
        <v>0</v>
      </c>
      <c r="O578">
        <f t="shared" si="84"/>
        <v>1</v>
      </c>
      <c r="P578">
        <v>0.33932227653689184</v>
      </c>
      <c r="Q578">
        <f t="shared" si="85"/>
        <v>0</v>
      </c>
      <c r="R578">
        <f t="shared" si="86"/>
        <v>0</v>
      </c>
      <c r="S578">
        <f t="shared" si="87"/>
        <v>1</v>
      </c>
      <c r="T578">
        <f t="shared" si="88"/>
        <v>8875.369999999999</v>
      </c>
      <c r="U578">
        <f t="shared" si="89"/>
        <v>-815.68999999999869</v>
      </c>
    </row>
    <row r="579" spans="1:21" x14ac:dyDescent="0.3">
      <c r="A579">
        <v>578</v>
      </c>
      <c r="B579">
        <v>25</v>
      </c>
      <c r="C579" t="s">
        <v>10</v>
      </c>
      <c r="D579">
        <v>32.299999999999997</v>
      </c>
      <c r="E579">
        <v>98</v>
      </c>
      <c r="F579" t="s">
        <v>12</v>
      </c>
      <c r="G579">
        <v>1</v>
      </c>
      <c r="H579" t="s">
        <v>12</v>
      </c>
      <c r="I579" t="s">
        <v>15</v>
      </c>
      <c r="J579">
        <v>8062.76</v>
      </c>
      <c r="K579" t="str">
        <f t="shared" ref="K579:K642" si="90">IF(D579&lt;20, "&lt;20", IF(D579&lt;25, "20-25", IF(D579&lt;30, "25-30", IF(D579&lt;35, "30-35", "35+"))))</f>
        <v>30-35</v>
      </c>
      <c r="L579">
        <f t="shared" ref="L579:L642" si="91">D579*Q579</f>
        <v>0</v>
      </c>
      <c r="M579">
        <f t="shared" ref="M579:M642" si="92">IF(I579="southeast", 1, 0)</f>
        <v>0</v>
      </c>
      <c r="N579">
        <f t="shared" ref="N579:N642" si="93">IF(I579="southwest", 1, 0)</f>
        <v>1</v>
      </c>
      <c r="O579">
        <f t="shared" ref="O579:O642" si="94">IF(I579="northwest", 1, 0)</f>
        <v>0</v>
      </c>
      <c r="P579">
        <v>0.5597065363487076</v>
      </c>
      <c r="Q579">
        <f t="shared" ref="Q579:Q642" si="95">IF(H579="Yes", 1, 0)</f>
        <v>0</v>
      </c>
      <c r="R579">
        <f t="shared" ref="R579:R642" si="96">IF(F579="yes", 1, 0)</f>
        <v>0</v>
      </c>
      <c r="S579">
        <f t="shared" ref="S579:S642" si="97">IF(C579="female", 1, 0)</f>
        <v>0</v>
      </c>
      <c r="T579">
        <f t="shared" ref="T579:T642" si="98">-7277.71 + (-1.28*B579) + (85.5*D579) + (738.24*G579) + (159.59*E579) + (1259.19*L579) + (-3644.73*M579) + (-2956.11*N579) + (-2948.04*O579) + (-17828.85*Q579) + (-69.06*R579) + (444.95*S579)</f>
        <v>8873.89</v>
      </c>
      <c r="U579">
        <f t="shared" ref="U579:U642" si="99">J579-T579</f>
        <v>-811.1299999999992</v>
      </c>
    </row>
    <row r="580" spans="1:21" x14ac:dyDescent="0.3">
      <c r="A580">
        <v>579</v>
      </c>
      <c r="B580">
        <v>22</v>
      </c>
      <c r="C580" t="s">
        <v>10</v>
      </c>
      <c r="D580">
        <v>36.200000000000003</v>
      </c>
      <c r="E580">
        <v>100</v>
      </c>
      <c r="F580" t="s">
        <v>11</v>
      </c>
      <c r="G580">
        <v>1</v>
      </c>
      <c r="H580" t="s">
        <v>12</v>
      </c>
      <c r="I580" t="s">
        <v>15</v>
      </c>
      <c r="J580">
        <v>8068.19</v>
      </c>
      <c r="K580" t="str">
        <f t="shared" si="90"/>
        <v>35+</v>
      </c>
      <c r="L580">
        <f t="shared" si="91"/>
        <v>0</v>
      </c>
      <c r="M580">
        <f t="shared" si="92"/>
        <v>0</v>
      </c>
      <c r="N580">
        <f t="shared" si="93"/>
        <v>1</v>
      </c>
      <c r="O580">
        <f t="shared" si="94"/>
        <v>0</v>
      </c>
      <c r="P580">
        <v>0.36421205017985836</v>
      </c>
      <c r="Q580">
        <f t="shared" si="95"/>
        <v>0</v>
      </c>
      <c r="R580">
        <f t="shared" si="96"/>
        <v>1</v>
      </c>
      <c r="S580">
        <f t="shared" si="97"/>
        <v>0</v>
      </c>
      <c r="T580">
        <f t="shared" si="98"/>
        <v>9461.3000000000011</v>
      </c>
      <c r="U580">
        <f t="shared" si="99"/>
        <v>-1393.1100000000015</v>
      </c>
    </row>
    <row r="581" spans="1:21" x14ac:dyDescent="0.3">
      <c r="A581">
        <v>580</v>
      </c>
      <c r="B581">
        <v>25</v>
      </c>
      <c r="C581" t="s">
        <v>10</v>
      </c>
      <c r="D581">
        <v>47.5</v>
      </c>
      <c r="E581">
        <v>84</v>
      </c>
      <c r="F581" t="s">
        <v>11</v>
      </c>
      <c r="G581">
        <v>1</v>
      </c>
      <c r="H581" t="s">
        <v>12</v>
      </c>
      <c r="I581" t="s">
        <v>13</v>
      </c>
      <c r="J581">
        <v>8083.92</v>
      </c>
      <c r="K581" t="str">
        <f t="shared" si="90"/>
        <v>35+</v>
      </c>
      <c r="L581">
        <f t="shared" si="91"/>
        <v>0</v>
      </c>
      <c r="M581">
        <f t="shared" si="92"/>
        <v>1</v>
      </c>
      <c r="N581">
        <f t="shared" si="93"/>
        <v>0</v>
      </c>
      <c r="O581">
        <f t="shared" si="94"/>
        <v>0</v>
      </c>
      <c r="P581">
        <v>0.87550682806085256</v>
      </c>
      <c r="Q581">
        <f t="shared" si="95"/>
        <v>0</v>
      </c>
      <c r="R581">
        <f t="shared" si="96"/>
        <v>1</v>
      </c>
      <c r="S581">
        <f t="shared" si="97"/>
        <v>0</v>
      </c>
      <c r="T581">
        <f t="shared" si="98"/>
        <v>7181.55</v>
      </c>
      <c r="U581">
        <f t="shared" si="99"/>
        <v>902.36999999999989</v>
      </c>
    </row>
    <row r="582" spans="1:21" x14ac:dyDescent="0.3">
      <c r="A582">
        <v>581</v>
      </c>
      <c r="B582">
        <v>18</v>
      </c>
      <c r="C582" t="s">
        <v>10</v>
      </c>
      <c r="D582">
        <v>32</v>
      </c>
      <c r="E582">
        <v>81</v>
      </c>
      <c r="F582" t="s">
        <v>11</v>
      </c>
      <c r="G582">
        <v>2</v>
      </c>
      <c r="H582" t="s">
        <v>12</v>
      </c>
      <c r="I582" t="s">
        <v>14</v>
      </c>
      <c r="J582">
        <v>8116.27</v>
      </c>
      <c r="K582" t="str">
        <f t="shared" si="90"/>
        <v>30-35</v>
      </c>
      <c r="L582">
        <f t="shared" si="91"/>
        <v>0</v>
      </c>
      <c r="M582">
        <f t="shared" si="92"/>
        <v>0</v>
      </c>
      <c r="N582">
        <f t="shared" si="93"/>
        <v>0</v>
      </c>
      <c r="O582">
        <f t="shared" si="94"/>
        <v>1</v>
      </c>
      <c r="P582">
        <v>0.44371410279416545</v>
      </c>
      <c r="Q582">
        <f t="shared" si="95"/>
        <v>0</v>
      </c>
      <c r="R582">
        <f t="shared" si="96"/>
        <v>1</v>
      </c>
      <c r="S582">
        <f t="shared" si="97"/>
        <v>0</v>
      </c>
      <c r="T582">
        <f t="shared" si="98"/>
        <v>6821.42</v>
      </c>
      <c r="U582">
        <f t="shared" si="99"/>
        <v>1294.8500000000004</v>
      </c>
    </row>
    <row r="583" spans="1:21" x14ac:dyDescent="0.3">
      <c r="A583">
        <v>582</v>
      </c>
      <c r="B583">
        <v>40</v>
      </c>
      <c r="C583" t="s">
        <v>10</v>
      </c>
      <c r="D583">
        <v>30.3</v>
      </c>
      <c r="E583">
        <v>83</v>
      </c>
      <c r="F583" t="s">
        <v>11</v>
      </c>
      <c r="G583">
        <v>0</v>
      </c>
      <c r="H583" t="s">
        <v>12</v>
      </c>
      <c r="I583" t="s">
        <v>15</v>
      </c>
      <c r="J583">
        <v>8116.68</v>
      </c>
      <c r="K583" t="str">
        <f t="shared" si="90"/>
        <v>30-35</v>
      </c>
      <c r="L583">
        <f t="shared" si="91"/>
        <v>0</v>
      </c>
      <c r="M583">
        <f t="shared" si="92"/>
        <v>0</v>
      </c>
      <c r="N583">
        <f t="shared" si="93"/>
        <v>1</v>
      </c>
      <c r="O583">
        <f t="shared" si="94"/>
        <v>0</v>
      </c>
      <c r="P583">
        <v>0.89702367165996744</v>
      </c>
      <c r="Q583">
        <f t="shared" si="95"/>
        <v>0</v>
      </c>
      <c r="R583">
        <f t="shared" si="96"/>
        <v>1</v>
      </c>
      <c r="S583">
        <f t="shared" si="97"/>
        <v>0</v>
      </c>
      <c r="T583">
        <f t="shared" si="98"/>
        <v>5482.54</v>
      </c>
      <c r="U583">
        <f t="shared" si="99"/>
        <v>2634.1400000000003</v>
      </c>
    </row>
    <row r="584" spans="1:21" x14ac:dyDescent="0.3">
      <c r="A584">
        <v>583</v>
      </c>
      <c r="B584">
        <v>27</v>
      </c>
      <c r="C584" t="s">
        <v>10</v>
      </c>
      <c r="D584">
        <v>35.9</v>
      </c>
      <c r="E584">
        <v>90</v>
      </c>
      <c r="F584" t="s">
        <v>12</v>
      </c>
      <c r="G584">
        <v>0</v>
      </c>
      <c r="H584" t="s">
        <v>12</v>
      </c>
      <c r="I584" t="s">
        <v>13</v>
      </c>
      <c r="J584">
        <v>8124.41</v>
      </c>
      <c r="K584" t="str">
        <f t="shared" si="90"/>
        <v>35+</v>
      </c>
      <c r="L584">
        <f t="shared" si="91"/>
        <v>0</v>
      </c>
      <c r="M584">
        <f t="shared" si="92"/>
        <v>1</v>
      </c>
      <c r="N584">
        <f t="shared" si="93"/>
        <v>0</v>
      </c>
      <c r="O584">
        <f t="shared" si="94"/>
        <v>0</v>
      </c>
      <c r="P584">
        <v>0.39522568659934265</v>
      </c>
      <c r="Q584">
        <f t="shared" si="95"/>
        <v>0</v>
      </c>
      <c r="R584">
        <f t="shared" si="96"/>
        <v>0</v>
      </c>
      <c r="S584">
        <f t="shared" si="97"/>
        <v>0</v>
      </c>
      <c r="T584">
        <f t="shared" si="98"/>
        <v>6475.5499999999993</v>
      </c>
      <c r="U584">
        <f t="shared" si="99"/>
        <v>1648.8600000000006</v>
      </c>
    </row>
    <row r="585" spans="1:21" x14ac:dyDescent="0.3">
      <c r="A585">
        <v>584</v>
      </c>
      <c r="B585">
        <v>44</v>
      </c>
      <c r="C585" t="s">
        <v>10</v>
      </c>
      <c r="D585">
        <v>36.9</v>
      </c>
      <c r="E585">
        <v>94</v>
      </c>
      <c r="F585" t="s">
        <v>12</v>
      </c>
      <c r="G585">
        <v>0</v>
      </c>
      <c r="H585" t="s">
        <v>12</v>
      </c>
      <c r="I585" t="s">
        <v>13</v>
      </c>
      <c r="J585">
        <v>8125.78</v>
      </c>
      <c r="K585" t="str">
        <f t="shared" si="90"/>
        <v>35+</v>
      </c>
      <c r="L585">
        <f t="shared" si="91"/>
        <v>0</v>
      </c>
      <c r="M585">
        <f t="shared" si="92"/>
        <v>1</v>
      </c>
      <c r="N585">
        <f t="shared" si="93"/>
        <v>0</v>
      </c>
      <c r="O585">
        <f t="shared" si="94"/>
        <v>0</v>
      </c>
      <c r="P585">
        <v>0.84705905272168125</v>
      </c>
      <c r="Q585">
        <f t="shared" si="95"/>
        <v>0</v>
      </c>
      <c r="R585">
        <f t="shared" si="96"/>
        <v>0</v>
      </c>
      <c r="S585">
        <f t="shared" si="97"/>
        <v>0</v>
      </c>
      <c r="T585">
        <f t="shared" si="98"/>
        <v>7177.6500000000015</v>
      </c>
      <c r="U585">
        <f t="shared" si="99"/>
        <v>948.12999999999829</v>
      </c>
    </row>
    <row r="586" spans="1:21" x14ac:dyDescent="0.3">
      <c r="A586">
        <v>585</v>
      </c>
      <c r="B586">
        <v>29</v>
      </c>
      <c r="C586" t="s">
        <v>10</v>
      </c>
      <c r="D586">
        <v>30.9</v>
      </c>
      <c r="E586">
        <v>89</v>
      </c>
      <c r="F586" t="s">
        <v>11</v>
      </c>
      <c r="G586">
        <v>4</v>
      </c>
      <c r="H586" t="s">
        <v>12</v>
      </c>
      <c r="I586" t="s">
        <v>14</v>
      </c>
      <c r="J586">
        <v>8162.72</v>
      </c>
      <c r="K586" t="str">
        <f t="shared" si="90"/>
        <v>30-35</v>
      </c>
      <c r="L586">
        <f t="shared" si="91"/>
        <v>0</v>
      </c>
      <c r="M586">
        <f t="shared" si="92"/>
        <v>0</v>
      </c>
      <c r="N586">
        <f t="shared" si="93"/>
        <v>0</v>
      </c>
      <c r="O586">
        <f t="shared" si="94"/>
        <v>1</v>
      </c>
      <c r="P586">
        <v>0.33155251833741506</v>
      </c>
      <c r="Q586">
        <f t="shared" si="95"/>
        <v>0</v>
      </c>
      <c r="R586">
        <f t="shared" si="96"/>
        <v>1</v>
      </c>
      <c r="S586">
        <f t="shared" si="97"/>
        <v>0</v>
      </c>
      <c r="T586">
        <f t="shared" si="98"/>
        <v>9466.49</v>
      </c>
      <c r="U586">
        <f t="shared" si="99"/>
        <v>-1303.7699999999995</v>
      </c>
    </row>
    <row r="587" spans="1:21" x14ac:dyDescent="0.3">
      <c r="A587">
        <v>586</v>
      </c>
      <c r="B587">
        <v>29</v>
      </c>
      <c r="C587" t="s">
        <v>16</v>
      </c>
      <c r="D587">
        <v>24</v>
      </c>
      <c r="E587">
        <v>92</v>
      </c>
      <c r="F587" t="s">
        <v>12</v>
      </c>
      <c r="G587">
        <v>2</v>
      </c>
      <c r="H587" t="s">
        <v>12</v>
      </c>
      <c r="I587" t="s">
        <v>13</v>
      </c>
      <c r="J587">
        <v>8211.1</v>
      </c>
      <c r="K587" t="str">
        <f t="shared" si="90"/>
        <v>20-25</v>
      </c>
      <c r="L587">
        <f t="shared" si="91"/>
        <v>0</v>
      </c>
      <c r="M587">
        <f t="shared" si="92"/>
        <v>1</v>
      </c>
      <c r="N587">
        <f t="shared" si="93"/>
        <v>0</v>
      </c>
      <c r="O587">
        <f t="shared" si="94"/>
        <v>0</v>
      </c>
      <c r="P587">
        <v>0.4127000168451016</v>
      </c>
      <c r="Q587">
        <f t="shared" si="95"/>
        <v>0</v>
      </c>
      <c r="R587">
        <f t="shared" si="96"/>
        <v>0</v>
      </c>
      <c r="S587">
        <f t="shared" si="97"/>
        <v>1</v>
      </c>
      <c r="T587">
        <f t="shared" si="98"/>
        <v>7696.1500000000005</v>
      </c>
      <c r="U587">
        <f t="shared" si="99"/>
        <v>514.94999999999982</v>
      </c>
    </row>
    <row r="588" spans="1:21" x14ac:dyDescent="0.3">
      <c r="A588">
        <v>587</v>
      </c>
      <c r="B588">
        <v>26</v>
      </c>
      <c r="C588" t="s">
        <v>16</v>
      </c>
      <c r="D588">
        <v>29.8</v>
      </c>
      <c r="E588">
        <v>84</v>
      </c>
      <c r="F588" t="s">
        <v>12</v>
      </c>
      <c r="G588">
        <v>2</v>
      </c>
      <c r="H588" t="s">
        <v>12</v>
      </c>
      <c r="I588" t="s">
        <v>13</v>
      </c>
      <c r="J588">
        <v>8219.2000000000007</v>
      </c>
      <c r="K588" t="str">
        <f t="shared" si="90"/>
        <v>25-30</v>
      </c>
      <c r="L588">
        <f t="shared" si="91"/>
        <v>0</v>
      </c>
      <c r="M588">
        <f t="shared" si="92"/>
        <v>1</v>
      </c>
      <c r="N588">
        <f t="shared" si="93"/>
        <v>0</v>
      </c>
      <c r="O588">
        <f t="shared" si="94"/>
        <v>0</v>
      </c>
      <c r="P588">
        <v>8.2943722981550283E-2</v>
      </c>
      <c r="Q588">
        <f t="shared" si="95"/>
        <v>0</v>
      </c>
      <c r="R588">
        <f t="shared" si="96"/>
        <v>0</v>
      </c>
      <c r="S588">
        <f t="shared" si="97"/>
        <v>1</v>
      </c>
      <c r="T588">
        <f t="shared" si="98"/>
        <v>6919.1699999999992</v>
      </c>
      <c r="U588">
        <f t="shared" si="99"/>
        <v>1300.0300000000016</v>
      </c>
    </row>
    <row r="589" spans="1:21" x14ac:dyDescent="0.3">
      <c r="A589">
        <v>588</v>
      </c>
      <c r="B589">
        <v>54</v>
      </c>
      <c r="C589" t="s">
        <v>16</v>
      </c>
      <c r="D589">
        <v>27.7</v>
      </c>
      <c r="E589">
        <v>100</v>
      </c>
      <c r="F589" t="s">
        <v>12</v>
      </c>
      <c r="G589">
        <v>1</v>
      </c>
      <c r="H589" t="s">
        <v>12</v>
      </c>
      <c r="I589" t="s">
        <v>13</v>
      </c>
      <c r="J589">
        <v>8232.64</v>
      </c>
      <c r="K589" t="str">
        <f t="shared" si="90"/>
        <v>25-30</v>
      </c>
      <c r="L589">
        <f t="shared" si="91"/>
        <v>0</v>
      </c>
      <c r="M589">
        <f t="shared" si="92"/>
        <v>1</v>
      </c>
      <c r="N589">
        <f t="shared" si="93"/>
        <v>0</v>
      </c>
      <c r="O589">
        <f t="shared" si="94"/>
        <v>0</v>
      </c>
      <c r="P589">
        <v>0.22703937639628868</v>
      </c>
      <c r="Q589">
        <f t="shared" si="95"/>
        <v>0</v>
      </c>
      <c r="R589">
        <f t="shared" si="96"/>
        <v>0</v>
      </c>
      <c r="S589">
        <f t="shared" si="97"/>
        <v>1</v>
      </c>
      <c r="T589">
        <f t="shared" si="98"/>
        <v>8518.9800000000014</v>
      </c>
      <c r="U589">
        <f t="shared" si="99"/>
        <v>-286.34000000000196</v>
      </c>
    </row>
    <row r="590" spans="1:21" x14ac:dyDescent="0.3">
      <c r="A590">
        <v>589</v>
      </c>
      <c r="B590">
        <v>33</v>
      </c>
      <c r="C590" t="s">
        <v>16</v>
      </c>
      <c r="D590">
        <v>28.1</v>
      </c>
      <c r="E590">
        <v>92</v>
      </c>
      <c r="F590" t="s">
        <v>12</v>
      </c>
      <c r="G590">
        <v>1</v>
      </c>
      <c r="H590" t="s">
        <v>12</v>
      </c>
      <c r="I590" t="s">
        <v>13</v>
      </c>
      <c r="J590">
        <v>8233.1</v>
      </c>
      <c r="K590" t="str">
        <f t="shared" si="90"/>
        <v>25-30</v>
      </c>
      <c r="L590">
        <f t="shared" si="91"/>
        <v>0</v>
      </c>
      <c r="M590">
        <f t="shared" si="92"/>
        <v>1</v>
      </c>
      <c r="N590">
        <f t="shared" si="93"/>
        <v>0</v>
      </c>
      <c r="O590">
        <f t="shared" si="94"/>
        <v>0</v>
      </c>
      <c r="P590">
        <v>0.75897332469825407</v>
      </c>
      <c r="Q590">
        <f t="shared" si="95"/>
        <v>0</v>
      </c>
      <c r="R590">
        <f t="shared" si="96"/>
        <v>0</v>
      </c>
      <c r="S590">
        <f t="shared" si="97"/>
        <v>1</v>
      </c>
      <c r="T590">
        <f t="shared" si="98"/>
        <v>7303.3400000000011</v>
      </c>
      <c r="U590">
        <f t="shared" si="99"/>
        <v>929.75999999999931</v>
      </c>
    </row>
    <row r="591" spans="1:21" x14ac:dyDescent="0.3">
      <c r="A591">
        <v>590</v>
      </c>
      <c r="B591">
        <v>37</v>
      </c>
      <c r="C591" t="s">
        <v>16</v>
      </c>
      <c r="D591">
        <v>33.4</v>
      </c>
      <c r="E591">
        <v>100</v>
      </c>
      <c r="F591" t="s">
        <v>12</v>
      </c>
      <c r="G591">
        <v>1</v>
      </c>
      <c r="H591" t="s">
        <v>12</v>
      </c>
      <c r="I591" t="s">
        <v>13</v>
      </c>
      <c r="J591">
        <v>8240.59</v>
      </c>
      <c r="K591" t="str">
        <f t="shared" si="90"/>
        <v>30-35</v>
      </c>
      <c r="L591">
        <f t="shared" si="91"/>
        <v>0</v>
      </c>
      <c r="M591">
        <f t="shared" si="92"/>
        <v>1</v>
      </c>
      <c r="N591">
        <f t="shared" si="93"/>
        <v>0</v>
      </c>
      <c r="O591">
        <f t="shared" si="94"/>
        <v>0</v>
      </c>
      <c r="P591">
        <v>0.3723024842263073</v>
      </c>
      <c r="Q591">
        <f t="shared" si="95"/>
        <v>0</v>
      </c>
      <c r="R591">
        <f t="shared" si="96"/>
        <v>0</v>
      </c>
      <c r="S591">
        <f t="shared" si="97"/>
        <v>1</v>
      </c>
      <c r="T591">
        <f t="shared" si="98"/>
        <v>9028.09</v>
      </c>
      <c r="U591">
        <f t="shared" si="99"/>
        <v>-787.5</v>
      </c>
    </row>
    <row r="592" spans="1:21" x14ac:dyDescent="0.3">
      <c r="A592">
        <v>591</v>
      </c>
      <c r="B592">
        <v>38</v>
      </c>
      <c r="C592" t="s">
        <v>16</v>
      </c>
      <c r="D592">
        <v>23.4</v>
      </c>
      <c r="E592">
        <v>96</v>
      </c>
      <c r="F592" t="s">
        <v>11</v>
      </c>
      <c r="G592">
        <v>3</v>
      </c>
      <c r="H592" t="s">
        <v>12</v>
      </c>
      <c r="I592" t="s">
        <v>17</v>
      </c>
      <c r="J592">
        <v>8252.2800000000007</v>
      </c>
      <c r="K592" t="str">
        <f t="shared" si="90"/>
        <v>20-25</v>
      </c>
      <c r="L592">
        <f t="shared" si="91"/>
        <v>0</v>
      </c>
      <c r="M592">
        <f t="shared" si="92"/>
        <v>0</v>
      </c>
      <c r="N592">
        <f t="shared" si="93"/>
        <v>0</v>
      </c>
      <c r="O592">
        <f t="shared" si="94"/>
        <v>0</v>
      </c>
      <c r="P592">
        <v>0.14017203726905181</v>
      </c>
      <c r="Q592">
        <f t="shared" si="95"/>
        <v>0</v>
      </c>
      <c r="R592">
        <f t="shared" si="96"/>
        <v>1</v>
      </c>
      <c r="S592">
        <f t="shared" si="97"/>
        <v>1</v>
      </c>
      <c r="T592">
        <f t="shared" si="98"/>
        <v>12585.6</v>
      </c>
      <c r="U592">
        <f t="shared" si="99"/>
        <v>-4333.32</v>
      </c>
    </row>
    <row r="593" spans="1:21" x14ac:dyDescent="0.3">
      <c r="A593">
        <v>592</v>
      </c>
      <c r="B593">
        <v>31</v>
      </c>
      <c r="C593" t="s">
        <v>16</v>
      </c>
      <c r="D593">
        <v>22.8</v>
      </c>
      <c r="E593">
        <v>82</v>
      </c>
      <c r="F593" t="s">
        <v>11</v>
      </c>
      <c r="G593">
        <v>0</v>
      </c>
      <c r="H593" t="s">
        <v>12</v>
      </c>
      <c r="I593" t="s">
        <v>15</v>
      </c>
      <c r="J593">
        <v>8269.0400000000009</v>
      </c>
      <c r="K593" t="str">
        <f t="shared" si="90"/>
        <v>20-25</v>
      </c>
      <c r="L593">
        <f t="shared" si="91"/>
        <v>0</v>
      </c>
      <c r="M593">
        <f t="shared" si="92"/>
        <v>0</v>
      </c>
      <c r="N593">
        <f t="shared" si="93"/>
        <v>1</v>
      </c>
      <c r="O593">
        <f t="shared" si="94"/>
        <v>0</v>
      </c>
      <c r="P593">
        <v>0.45773229311140307</v>
      </c>
      <c r="Q593">
        <f t="shared" si="95"/>
        <v>0</v>
      </c>
      <c r="R593">
        <f t="shared" si="96"/>
        <v>1</v>
      </c>
      <c r="S593">
        <f t="shared" si="97"/>
        <v>1</v>
      </c>
      <c r="T593">
        <f t="shared" si="98"/>
        <v>5138.17</v>
      </c>
      <c r="U593">
        <f t="shared" si="99"/>
        <v>3130.8700000000008</v>
      </c>
    </row>
    <row r="594" spans="1:21" x14ac:dyDescent="0.3">
      <c r="A594">
        <v>593</v>
      </c>
      <c r="B594">
        <v>41</v>
      </c>
      <c r="C594" t="s">
        <v>16</v>
      </c>
      <c r="D594">
        <v>28.9</v>
      </c>
      <c r="E594">
        <v>80</v>
      </c>
      <c r="F594" t="s">
        <v>11</v>
      </c>
      <c r="G594">
        <v>0</v>
      </c>
      <c r="H594" t="s">
        <v>12</v>
      </c>
      <c r="I594" t="s">
        <v>15</v>
      </c>
      <c r="J594">
        <v>8277.52</v>
      </c>
      <c r="K594" t="str">
        <f t="shared" si="90"/>
        <v>25-30</v>
      </c>
      <c r="L594">
        <f t="shared" si="91"/>
        <v>0</v>
      </c>
      <c r="M594">
        <f t="shared" si="92"/>
        <v>0</v>
      </c>
      <c r="N594">
        <f t="shared" si="93"/>
        <v>1</v>
      </c>
      <c r="O594">
        <f t="shared" si="94"/>
        <v>0</v>
      </c>
      <c r="P594">
        <v>0.92683455554124428</v>
      </c>
      <c r="Q594">
        <f t="shared" si="95"/>
        <v>0</v>
      </c>
      <c r="R594">
        <f t="shared" si="96"/>
        <v>1</v>
      </c>
      <c r="S594">
        <f t="shared" si="97"/>
        <v>1</v>
      </c>
      <c r="T594">
        <f t="shared" si="98"/>
        <v>5327.74</v>
      </c>
      <c r="U594">
        <f t="shared" si="99"/>
        <v>2949.7800000000007</v>
      </c>
    </row>
    <row r="595" spans="1:21" x14ac:dyDescent="0.3">
      <c r="A595">
        <v>594</v>
      </c>
      <c r="B595">
        <v>41</v>
      </c>
      <c r="C595" t="s">
        <v>16</v>
      </c>
      <c r="D595">
        <v>31.1</v>
      </c>
      <c r="E595">
        <v>93</v>
      </c>
      <c r="F595" t="s">
        <v>12</v>
      </c>
      <c r="G595">
        <v>0</v>
      </c>
      <c r="H595" t="s">
        <v>12</v>
      </c>
      <c r="I595" t="s">
        <v>13</v>
      </c>
      <c r="J595">
        <v>8280.6200000000008</v>
      </c>
      <c r="K595" t="str">
        <f t="shared" si="90"/>
        <v>30-35</v>
      </c>
      <c r="L595">
        <f t="shared" si="91"/>
        <v>0</v>
      </c>
      <c r="M595">
        <f t="shared" si="92"/>
        <v>1</v>
      </c>
      <c r="N595">
        <f t="shared" si="93"/>
        <v>0</v>
      </c>
      <c r="O595">
        <f t="shared" si="94"/>
        <v>0</v>
      </c>
      <c r="P595">
        <v>0.95485399429069628</v>
      </c>
      <c r="Q595">
        <f t="shared" si="95"/>
        <v>0</v>
      </c>
      <c r="R595">
        <f t="shared" si="96"/>
        <v>0</v>
      </c>
      <c r="S595">
        <f t="shared" si="97"/>
        <v>1</v>
      </c>
      <c r="T595">
        <f t="shared" si="98"/>
        <v>6970.9500000000016</v>
      </c>
      <c r="U595">
        <f t="shared" si="99"/>
        <v>1309.6699999999992</v>
      </c>
    </row>
    <row r="596" spans="1:21" x14ac:dyDescent="0.3">
      <c r="A596">
        <v>595</v>
      </c>
      <c r="B596">
        <v>33</v>
      </c>
      <c r="C596" t="s">
        <v>16</v>
      </c>
      <c r="D596">
        <v>33.299999999999997</v>
      </c>
      <c r="E596">
        <v>93</v>
      </c>
      <c r="F596" t="s">
        <v>11</v>
      </c>
      <c r="G596">
        <v>0</v>
      </c>
      <c r="H596" t="s">
        <v>12</v>
      </c>
      <c r="I596" t="s">
        <v>13</v>
      </c>
      <c r="J596">
        <v>8283.68</v>
      </c>
      <c r="K596" t="str">
        <f t="shared" si="90"/>
        <v>30-35</v>
      </c>
      <c r="L596">
        <f t="shared" si="91"/>
        <v>0</v>
      </c>
      <c r="M596">
        <f t="shared" si="92"/>
        <v>1</v>
      </c>
      <c r="N596">
        <f t="shared" si="93"/>
        <v>0</v>
      </c>
      <c r="O596">
        <f t="shared" si="94"/>
        <v>0</v>
      </c>
      <c r="P596">
        <v>4.5932397742736275E-2</v>
      </c>
      <c r="Q596">
        <f t="shared" si="95"/>
        <v>0</v>
      </c>
      <c r="R596">
        <f t="shared" si="96"/>
        <v>1</v>
      </c>
      <c r="S596">
        <f t="shared" si="97"/>
        <v>1</v>
      </c>
      <c r="T596">
        <f t="shared" si="98"/>
        <v>7100.23</v>
      </c>
      <c r="U596">
        <f t="shared" si="99"/>
        <v>1183.4500000000007</v>
      </c>
    </row>
    <row r="597" spans="1:21" x14ac:dyDescent="0.3">
      <c r="A597">
        <v>596</v>
      </c>
      <c r="B597">
        <v>27</v>
      </c>
      <c r="C597" t="s">
        <v>10</v>
      </c>
      <c r="D597">
        <v>22.1</v>
      </c>
      <c r="E597">
        <v>81</v>
      </c>
      <c r="F597" t="s">
        <v>12</v>
      </c>
      <c r="G597">
        <v>2</v>
      </c>
      <c r="H597" t="s">
        <v>12</v>
      </c>
      <c r="I597" t="s">
        <v>17</v>
      </c>
      <c r="J597">
        <v>8302.5400000000009</v>
      </c>
      <c r="K597" t="str">
        <f t="shared" si="90"/>
        <v>20-25</v>
      </c>
      <c r="L597">
        <f t="shared" si="91"/>
        <v>0</v>
      </c>
      <c r="M597">
        <f t="shared" si="92"/>
        <v>0</v>
      </c>
      <c r="N597">
        <f t="shared" si="93"/>
        <v>0</v>
      </c>
      <c r="O597">
        <f t="shared" si="94"/>
        <v>0</v>
      </c>
      <c r="P597">
        <v>0.34651771884892102</v>
      </c>
      <c r="Q597">
        <f t="shared" si="95"/>
        <v>0</v>
      </c>
      <c r="R597">
        <f t="shared" si="96"/>
        <v>0</v>
      </c>
      <c r="S597">
        <f t="shared" si="97"/>
        <v>0</v>
      </c>
      <c r="T597">
        <f t="shared" si="98"/>
        <v>8980.5500000000011</v>
      </c>
      <c r="U597">
        <f t="shared" si="99"/>
        <v>-678.01000000000022</v>
      </c>
    </row>
    <row r="598" spans="1:21" x14ac:dyDescent="0.3">
      <c r="A598">
        <v>597</v>
      </c>
      <c r="B598">
        <v>38</v>
      </c>
      <c r="C598" t="s">
        <v>16</v>
      </c>
      <c r="D598">
        <v>30.7</v>
      </c>
      <c r="E598">
        <v>92</v>
      </c>
      <c r="F598" t="s">
        <v>11</v>
      </c>
      <c r="G598">
        <v>2</v>
      </c>
      <c r="H598" t="s">
        <v>12</v>
      </c>
      <c r="I598" t="s">
        <v>14</v>
      </c>
      <c r="J598">
        <v>8310.84</v>
      </c>
      <c r="K598" t="str">
        <f t="shared" si="90"/>
        <v>30-35</v>
      </c>
      <c r="L598">
        <f t="shared" si="91"/>
        <v>0</v>
      </c>
      <c r="M598">
        <f t="shared" si="92"/>
        <v>0</v>
      </c>
      <c r="N598">
        <f t="shared" si="93"/>
        <v>0</v>
      </c>
      <c r="O598">
        <f t="shared" si="94"/>
        <v>1</v>
      </c>
      <c r="P598">
        <v>0.69625005920235128</v>
      </c>
      <c r="Q598">
        <f t="shared" si="95"/>
        <v>0</v>
      </c>
      <c r="R598">
        <f t="shared" si="96"/>
        <v>1</v>
      </c>
      <c r="S598">
        <f t="shared" si="97"/>
        <v>1</v>
      </c>
      <c r="T598">
        <f t="shared" si="98"/>
        <v>8885.1100000000024</v>
      </c>
      <c r="U598">
        <f t="shared" si="99"/>
        <v>-574.27000000000226</v>
      </c>
    </row>
    <row r="599" spans="1:21" x14ac:dyDescent="0.3">
      <c r="A599">
        <v>598</v>
      </c>
      <c r="B599">
        <v>20</v>
      </c>
      <c r="C599" t="s">
        <v>10</v>
      </c>
      <c r="D599">
        <v>33.299999999999997</v>
      </c>
      <c r="E599">
        <v>93</v>
      </c>
      <c r="F599" t="s">
        <v>11</v>
      </c>
      <c r="G599">
        <v>1</v>
      </c>
      <c r="H599" t="s">
        <v>12</v>
      </c>
      <c r="I599" t="s">
        <v>17</v>
      </c>
      <c r="J599">
        <v>8334.4599999999991</v>
      </c>
      <c r="K599" t="str">
        <f t="shared" si="90"/>
        <v>30-35</v>
      </c>
      <c r="L599">
        <f t="shared" si="91"/>
        <v>0</v>
      </c>
      <c r="M599">
        <f t="shared" si="92"/>
        <v>0</v>
      </c>
      <c r="N599">
        <f t="shared" si="93"/>
        <v>0</v>
      </c>
      <c r="O599">
        <f t="shared" si="94"/>
        <v>0</v>
      </c>
      <c r="P599">
        <v>0.78957751072989424</v>
      </c>
      <c r="Q599">
        <f t="shared" si="95"/>
        <v>0</v>
      </c>
      <c r="R599">
        <f t="shared" si="96"/>
        <v>1</v>
      </c>
      <c r="S599">
        <f t="shared" si="97"/>
        <v>0</v>
      </c>
      <c r="T599">
        <f t="shared" si="98"/>
        <v>11054.890000000001</v>
      </c>
      <c r="U599">
        <f t="shared" si="99"/>
        <v>-2720.4300000000021</v>
      </c>
    </row>
    <row r="600" spans="1:21" x14ac:dyDescent="0.3">
      <c r="A600">
        <v>599</v>
      </c>
      <c r="B600">
        <v>40</v>
      </c>
      <c r="C600" t="s">
        <v>10</v>
      </c>
      <c r="D600">
        <v>33.4</v>
      </c>
      <c r="E600">
        <v>94</v>
      </c>
      <c r="F600" t="s">
        <v>12</v>
      </c>
      <c r="G600">
        <v>1</v>
      </c>
      <c r="H600" t="s">
        <v>12</v>
      </c>
      <c r="I600" t="s">
        <v>17</v>
      </c>
      <c r="J600">
        <v>8334.59</v>
      </c>
      <c r="K600" t="str">
        <f t="shared" si="90"/>
        <v>30-35</v>
      </c>
      <c r="L600">
        <f t="shared" si="91"/>
        <v>0</v>
      </c>
      <c r="M600">
        <f t="shared" si="92"/>
        <v>0</v>
      </c>
      <c r="N600">
        <f t="shared" si="93"/>
        <v>0</v>
      </c>
      <c r="O600">
        <f t="shared" si="94"/>
        <v>0</v>
      </c>
      <c r="P600">
        <v>1.0911074073535088E-2</v>
      </c>
      <c r="Q600">
        <f t="shared" si="95"/>
        <v>0</v>
      </c>
      <c r="R600">
        <f t="shared" si="96"/>
        <v>0</v>
      </c>
      <c r="S600">
        <f t="shared" si="97"/>
        <v>0</v>
      </c>
      <c r="T600">
        <f t="shared" si="98"/>
        <v>11266.490000000002</v>
      </c>
      <c r="U600">
        <f t="shared" si="99"/>
        <v>-2931.9000000000015</v>
      </c>
    </row>
    <row r="601" spans="1:21" x14ac:dyDescent="0.3">
      <c r="A601">
        <v>600</v>
      </c>
      <c r="B601">
        <v>34</v>
      </c>
      <c r="C601" t="s">
        <v>10</v>
      </c>
      <c r="D601">
        <v>39.4</v>
      </c>
      <c r="E601">
        <v>94</v>
      </c>
      <c r="F601" t="s">
        <v>11</v>
      </c>
      <c r="G601">
        <v>1</v>
      </c>
      <c r="H601" t="s">
        <v>12</v>
      </c>
      <c r="I601" t="s">
        <v>17</v>
      </c>
      <c r="J601">
        <v>8342.91</v>
      </c>
      <c r="K601" t="str">
        <f t="shared" si="90"/>
        <v>35+</v>
      </c>
      <c r="L601">
        <f t="shared" si="91"/>
        <v>0</v>
      </c>
      <c r="M601">
        <f t="shared" si="92"/>
        <v>0</v>
      </c>
      <c r="N601">
        <f t="shared" si="93"/>
        <v>0</v>
      </c>
      <c r="O601">
        <f t="shared" si="94"/>
        <v>0</v>
      </c>
      <c r="P601">
        <v>0.77422443837874266</v>
      </c>
      <c r="Q601">
        <f t="shared" si="95"/>
        <v>0</v>
      </c>
      <c r="R601">
        <f t="shared" si="96"/>
        <v>1</v>
      </c>
      <c r="S601">
        <f t="shared" si="97"/>
        <v>0</v>
      </c>
      <c r="T601">
        <f t="shared" si="98"/>
        <v>11718.11</v>
      </c>
      <c r="U601">
        <f t="shared" si="99"/>
        <v>-3375.2000000000007</v>
      </c>
    </row>
    <row r="602" spans="1:21" x14ac:dyDescent="0.3">
      <c r="A602">
        <v>601</v>
      </c>
      <c r="B602">
        <v>48</v>
      </c>
      <c r="C602" t="s">
        <v>10</v>
      </c>
      <c r="D602">
        <v>38.200000000000003</v>
      </c>
      <c r="E602">
        <v>81</v>
      </c>
      <c r="F602" t="s">
        <v>11</v>
      </c>
      <c r="G602">
        <v>2</v>
      </c>
      <c r="H602" t="s">
        <v>12</v>
      </c>
      <c r="I602" t="s">
        <v>13</v>
      </c>
      <c r="J602">
        <v>8347.16</v>
      </c>
      <c r="K602" t="str">
        <f t="shared" si="90"/>
        <v>35+</v>
      </c>
      <c r="L602">
        <f t="shared" si="91"/>
        <v>0</v>
      </c>
      <c r="M602">
        <f t="shared" si="92"/>
        <v>1</v>
      </c>
      <c r="N602">
        <f t="shared" si="93"/>
        <v>0</v>
      </c>
      <c r="O602">
        <f t="shared" si="94"/>
        <v>0</v>
      </c>
      <c r="P602">
        <v>0.14310717298499942</v>
      </c>
      <c r="Q602">
        <f t="shared" si="95"/>
        <v>0</v>
      </c>
      <c r="R602">
        <f t="shared" si="96"/>
        <v>1</v>
      </c>
      <c r="S602">
        <f t="shared" si="97"/>
        <v>0</v>
      </c>
      <c r="T602">
        <f t="shared" si="98"/>
        <v>6616.4300000000012</v>
      </c>
      <c r="U602">
        <f t="shared" si="99"/>
        <v>1730.7299999999987</v>
      </c>
    </row>
    <row r="603" spans="1:21" x14ac:dyDescent="0.3">
      <c r="A603">
        <v>602</v>
      </c>
      <c r="B603">
        <v>44</v>
      </c>
      <c r="C603" t="s">
        <v>10</v>
      </c>
      <c r="D603">
        <v>30.1</v>
      </c>
      <c r="E603">
        <v>86</v>
      </c>
      <c r="F603" t="s">
        <v>12</v>
      </c>
      <c r="G603">
        <v>3</v>
      </c>
      <c r="H603" t="s">
        <v>12</v>
      </c>
      <c r="I603" t="s">
        <v>14</v>
      </c>
      <c r="J603">
        <v>8410.0499999999993</v>
      </c>
      <c r="K603" t="str">
        <f t="shared" si="90"/>
        <v>30-35</v>
      </c>
      <c r="L603">
        <f t="shared" si="91"/>
        <v>0</v>
      </c>
      <c r="M603">
        <f t="shared" si="92"/>
        <v>0</v>
      </c>
      <c r="N603">
        <f t="shared" si="93"/>
        <v>0</v>
      </c>
      <c r="O603">
        <f t="shared" si="94"/>
        <v>1</v>
      </c>
      <c r="P603">
        <v>7.1260735617203141E-2</v>
      </c>
      <c r="Q603">
        <f t="shared" si="95"/>
        <v>0</v>
      </c>
      <c r="R603">
        <f t="shared" si="96"/>
        <v>0</v>
      </c>
      <c r="S603">
        <f t="shared" si="97"/>
        <v>0</v>
      </c>
      <c r="T603">
        <f t="shared" si="98"/>
        <v>8230.9399999999987</v>
      </c>
      <c r="U603">
        <f t="shared" si="99"/>
        <v>179.11000000000058</v>
      </c>
    </row>
    <row r="604" spans="1:21" x14ac:dyDescent="0.3">
      <c r="A604">
        <v>603</v>
      </c>
      <c r="B604">
        <v>30</v>
      </c>
      <c r="C604" t="s">
        <v>10</v>
      </c>
      <c r="D604">
        <v>30.5</v>
      </c>
      <c r="E604">
        <v>87</v>
      </c>
      <c r="F604" t="s">
        <v>11</v>
      </c>
      <c r="G604">
        <v>2</v>
      </c>
      <c r="H604" t="s">
        <v>12</v>
      </c>
      <c r="I604" t="s">
        <v>14</v>
      </c>
      <c r="J604">
        <v>8413.4599999999991</v>
      </c>
      <c r="K604" t="str">
        <f t="shared" si="90"/>
        <v>30-35</v>
      </c>
      <c r="L604">
        <f t="shared" si="91"/>
        <v>0</v>
      </c>
      <c r="M604">
        <f t="shared" si="92"/>
        <v>0</v>
      </c>
      <c r="N604">
        <f t="shared" si="93"/>
        <v>0</v>
      </c>
      <c r="O604">
        <f t="shared" si="94"/>
        <v>1</v>
      </c>
      <c r="P604">
        <v>0.48053186078887522</v>
      </c>
      <c r="Q604">
        <f t="shared" si="95"/>
        <v>0</v>
      </c>
      <c r="R604">
        <f t="shared" si="96"/>
        <v>1</v>
      </c>
      <c r="S604">
        <f t="shared" si="97"/>
        <v>0</v>
      </c>
      <c r="T604">
        <f t="shared" si="98"/>
        <v>7635.35</v>
      </c>
      <c r="U604">
        <f t="shared" si="99"/>
        <v>778.10999999999876</v>
      </c>
    </row>
    <row r="605" spans="1:21" x14ac:dyDescent="0.3">
      <c r="A605">
        <v>604</v>
      </c>
      <c r="B605">
        <v>39</v>
      </c>
      <c r="C605" t="s">
        <v>10</v>
      </c>
      <c r="D605">
        <v>19.600000000000001</v>
      </c>
      <c r="E605">
        <v>91</v>
      </c>
      <c r="F605" t="s">
        <v>11</v>
      </c>
      <c r="G605">
        <v>1</v>
      </c>
      <c r="H605" t="s">
        <v>12</v>
      </c>
      <c r="I605" t="s">
        <v>14</v>
      </c>
      <c r="J605">
        <v>8428.07</v>
      </c>
      <c r="K605" t="str">
        <f t="shared" si="90"/>
        <v>&lt;20</v>
      </c>
      <c r="L605">
        <f t="shared" si="91"/>
        <v>0</v>
      </c>
      <c r="M605">
        <f t="shared" si="92"/>
        <v>0</v>
      </c>
      <c r="N605">
        <f t="shared" si="93"/>
        <v>0</v>
      </c>
      <c r="O605">
        <f t="shared" si="94"/>
        <v>1</v>
      </c>
      <c r="P605">
        <v>0.8975380599763344</v>
      </c>
      <c r="Q605">
        <f t="shared" si="95"/>
        <v>0</v>
      </c>
      <c r="R605">
        <f t="shared" si="96"/>
        <v>1</v>
      </c>
      <c r="S605">
        <f t="shared" si="97"/>
        <v>0</v>
      </c>
      <c r="T605">
        <f t="shared" si="98"/>
        <v>6592</v>
      </c>
      <c r="U605">
        <f t="shared" si="99"/>
        <v>1836.0699999999997</v>
      </c>
    </row>
    <row r="606" spans="1:21" x14ac:dyDescent="0.3">
      <c r="A606">
        <v>605</v>
      </c>
      <c r="B606">
        <v>34</v>
      </c>
      <c r="C606" t="s">
        <v>10</v>
      </c>
      <c r="D606">
        <v>25.3</v>
      </c>
      <c r="E606">
        <v>100</v>
      </c>
      <c r="F606" t="s">
        <v>12</v>
      </c>
      <c r="G606">
        <v>0</v>
      </c>
      <c r="H606" t="s">
        <v>12</v>
      </c>
      <c r="I606" t="s">
        <v>13</v>
      </c>
      <c r="J606">
        <v>8442.67</v>
      </c>
      <c r="K606" t="str">
        <f t="shared" si="90"/>
        <v>25-30</v>
      </c>
      <c r="L606">
        <f t="shared" si="91"/>
        <v>0</v>
      </c>
      <c r="M606">
        <f t="shared" si="92"/>
        <v>1</v>
      </c>
      <c r="N606">
        <f t="shared" si="93"/>
        <v>0</v>
      </c>
      <c r="O606">
        <f t="shared" si="94"/>
        <v>0</v>
      </c>
      <c r="P606">
        <v>5.0214013282908865E-2</v>
      </c>
      <c r="Q606">
        <f t="shared" si="95"/>
        <v>0</v>
      </c>
      <c r="R606">
        <f t="shared" si="96"/>
        <v>0</v>
      </c>
      <c r="S606">
        <f t="shared" si="97"/>
        <v>0</v>
      </c>
      <c r="T606">
        <f t="shared" si="98"/>
        <v>7156.1900000000005</v>
      </c>
      <c r="U606">
        <f t="shared" si="99"/>
        <v>1286.4799999999996</v>
      </c>
    </row>
    <row r="607" spans="1:21" x14ac:dyDescent="0.3">
      <c r="A607">
        <v>606</v>
      </c>
      <c r="B607">
        <v>45</v>
      </c>
      <c r="C607" t="s">
        <v>10</v>
      </c>
      <c r="D607">
        <v>26.6</v>
      </c>
      <c r="E607">
        <v>99</v>
      </c>
      <c r="F607" t="s">
        <v>12</v>
      </c>
      <c r="G607">
        <v>0</v>
      </c>
      <c r="H607" t="s">
        <v>12</v>
      </c>
      <c r="I607" t="s">
        <v>15</v>
      </c>
      <c r="J607">
        <v>8444.4699999999993</v>
      </c>
      <c r="K607" t="str">
        <f t="shared" si="90"/>
        <v>25-30</v>
      </c>
      <c r="L607">
        <f t="shared" si="91"/>
        <v>0</v>
      </c>
      <c r="M607">
        <f t="shared" si="92"/>
        <v>0</v>
      </c>
      <c r="N607">
        <f t="shared" si="93"/>
        <v>1</v>
      </c>
      <c r="O607">
        <f t="shared" si="94"/>
        <v>0</v>
      </c>
      <c r="P607">
        <v>0.66054915023676719</v>
      </c>
      <c r="Q607">
        <f t="shared" si="95"/>
        <v>0</v>
      </c>
      <c r="R607">
        <f t="shared" si="96"/>
        <v>0</v>
      </c>
      <c r="S607">
        <f t="shared" si="97"/>
        <v>0</v>
      </c>
      <c r="T607">
        <f t="shared" si="98"/>
        <v>7782.2899999999991</v>
      </c>
      <c r="U607">
        <f t="shared" si="99"/>
        <v>662.18000000000029</v>
      </c>
    </row>
    <row r="608" spans="1:21" x14ac:dyDescent="0.3">
      <c r="A608">
        <v>607</v>
      </c>
      <c r="B608">
        <v>46</v>
      </c>
      <c r="C608" t="s">
        <v>10</v>
      </c>
      <c r="D608">
        <v>36.200000000000003</v>
      </c>
      <c r="E608">
        <v>85</v>
      </c>
      <c r="F608" t="s">
        <v>12</v>
      </c>
      <c r="G608">
        <v>0</v>
      </c>
      <c r="H608" t="s">
        <v>12</v>
      </c>
      <c r="I608" t="s">
        <v>15</v>
      </c>
      <c r="J608">
        <v>8457.82</v>
      </c>
      <c r="K608" t="str">
        <f t="shared" si="90"/>
        <v>35+</v>
      </c>
      <c r="L608">
        <f t="shared" si="91"/>
        <v>0</v>
      </c>
      <c r="M608">
        <f t="shared" si="92"/>
        <v>0</v>
      </c>
      <c r="N608">
        <f t="shared" si="93"/>
        <v>1</v>
      </c>
      <c r="O608">
        <f t="shared" si="94"/>
        <v>0</v>
      </c>
      <c r="P608">
        <v>0.12818614430948871</v>
      </c>
      <c r="Q608">
        <f t="shared" si="95"/>
        <v>0</v>
      </c>
      <c r="R608">
        <f t="shared" si="96"/>
        <v>0</v>
      </c>
      <c r="S608">
        <f t="shared" si="97"/>
        <v>0</v>
      </c>
      <c r="T608">
        <f t="shared" si="98"/>
        <v>6367.5499999999993</v>
      </c>
      <c r="U608">
        <f t="shared" si="99"/>
        <v>2090.2700000000004</v>
      </c>
    </row>
    <row r="609" spans="1:21" x14ac:dyDescent="0.3">
      <c r="A609">
        <v>608</v>
      </c>
      <c r="B609">
        <v>50</v>
      </c>
      <c r="C609" t="s">
        <v>16</v>
      </c>
      <c r="D609">
        <v>27.8</v>
      </c>
      <c r="E609">
        <v>80</v>
      </c>
      <c r="F609" t="s">
        <v>12</v>
      </c>
      <c r="G609">
        <v>2</v>
      </c>
      <c r="H609" t="s">
        <v>12</v>
      </c>
      <c r="I609" t="s">
        <v>13</v>
      </c>
      <c r="J609">
        <v>8515.76</v>
      </c>
      <c r="K609" t="str">
        <f t="shared" si="90"/>
        <v>25-30</v>
      </c>
      <c r="L609">
        <f t="shared" si="91"/>
        <v>0</v>
      </c>
      <c r="M609">
        <f t="shared" si="92"/>
        <v>1</v>
      </c>
      <c r="N609">
        <f t="shared" si="93"/>
        <v>0</v>
      </c>
      <c r="O609">
        <f t="shared" si="94"/>
        <v>0</v>
      </c>
      <c r="P609">
        <v>0.43299659821455772</v>
      </c>
      <c r="Q609">
        <f t="shared" si="95"/>
        <v>0</v>
      </c>
      <c r="R609">
        <f t="shared" si="96"/>
        <v>0</v>
      </c>
      <c r="S609">
        <f t="shared" si="97"/>
        <v>1</v>
      </c>
      <c r="T609">
        <f t="shared" si="98"/>
        <v>6079.0900000000011</v>
      </c>
      <c r="U609">
        <f t="shared" si="99"/>
        <v>2436.6699999999992</v>
      </c>
    </row>
    <row r="610" spans="1:21" x14ac:dyDescent="0.3">
      <c r="A610">
        <v>609</v>
      </c>
      <c r="B610">
        <v>59</v>
      </c>
      <c r="C610" t="s">
        <v>16</v>
      </c>
      <c r="D610">
        <v>28.6</v>
      </c>
      <c r="E610">
        <v>80</v>
      </c>
      <c r="F610" t="s">
        <v>11</v>
      </c>
      <c r="G610">
        <v>2</v>
      </c>
      <c r="H610" t="s">
        <v>12</v>
      </c>
      <c r="I610" t="s">
        <v>13</v>
      </c>
      <c r="J610">
        <v>8516.83</v>
      </c>
      <c r="K610" t="str">
        <f t="shared" si="90"/>
        <v>25-30</v>
      </c>
      <c r="L610">
        <f t="shared" si="91"/>
        <v>0</v>
      </c>
      <c r="M610">
        <f t="shared" si="92"/>
        <v>1</v>
      </c>
      <c r="N610">
        <f t="shared" si="93"/>
        <v>0</v>
      </c>
      <c r="O610">
        <f t="shared" si="94"/>
        <v>0</v>
      </c>
      <c r="P610">
        <v>0.38286602178461027</v>
      </c>
      <c r="Q610">
        <f t="shared" si="95"/>
        <v>0</v>
      </c>
      <c r="R610">
        <f t="shared" si="96"/>
        <v>1</v>
      </c>
      <c r="S610">
        <f t="shared" si="97"/>
        <v>1</v>
      </c>
      <c r="T610">
        <f t="shared" si="98"/>
        <v>6066.91</v>
      </c>
      <c r="U610">
        <f t="shared" si="99"/>
        <v>2449.92</v>
      </c>
    </row>
    <row r="611" spans="1:21" x14ac:dyDescent="0.3">
      <c r="A611">
        <v>610</v>
      </c>
      <c r="B611">
        <v>44</v>
      </c>
      <c r="C611" t="s">
        <v>16</v>
      </c>
      <c r="D611">
        <v>30.9</v>
      </c>
      <c r="E611">
        <v>80</v>
      </c>
      <c r="F611" t="s">
        <v>11</v>
      </c>
      <c r="G611">
        <v>2</v>
      </c>
      <c r="H611" t="s">
        <v>12</v>
      </c>
      <c r="I611" t="s">
        <v>15</v>
      </c>
      <c r="J611">
        <v>8520.0300000000007</v>
      </c>
      <c r="K611" t="str">
        <f t="shared" si="90"/>
        <v>30-35</v>
      </c>
      <c r="L611">
        <f t="shared" si="91"/>
        <v>0</v>
      </c>
      <c r="M611">
        <f t="shared" si="92"/>
        <v>0</v>
      </c>
      <c r="N611">
        <f t="shared" si="93"/>
        <v>1</v>
      </c>
      <c r="O611">
        <f t="shared" si="94"/>
        <v>0</v>
      </c>
      <c r="P611">
        <v>4.9067316157160978E-2</v>
      </c>
      <c r="Q611">
        <f t="shared" si="95"/>
        <v>0</v>
      </c>
      <c r="R611">
        <f t="shared" si="96"/>
        <v>1</v>
      </c>
      <c r="S611">
        <f t="shared" si="97"/>
        <v>1</v>
      </c>
      <c r="T611">
        <f t="shared" si="98"/>
        <v>6971.3799999999992</v>
      </c>
      <c r="U611">
        <f t="shared" si="99"/>
        <v>1548.6500000000015</v>
      </c>
    </row>
    <row r="612" spans="1:21" x14ac:dyDescent="0.3">
      <c r="A612">
        <v>611</v>
      </c>
      <c r="B612">
        <v>27</v>
      </c>
      <c r="C612" t="s">
        <v>16</v>
      </c>
      <c r="D612">
        <v>34.4</v>
      </c>
      <c r="E612">
        <v>85</v>
      </c>
      <c r="F612" t="s">
        <v>12</v>
      </c>
      <c r="G612">
        <v>3</v>
      </c>
      <c r="H612" t="s">
        <v>12</v>
      </c>
      <c r="I612" t="s">
        <v>15</v>
      </c>
      <c r="J612">
        <v>8522</v>
      </c>
      <c r="K612" t="str">
        <f t="shared" si="90"/>
        <v>30-35</v>
      </c>
      <c r="L612">
        <f t="shared" si="91"/>
        <v>0</v>
      </c>
      <c r="M612">
        <f t="shared" si="92"/>
        <v>0</v>
      </c>
      <c r="N612">
        <f t="shared" si="93"/>
        <v>1</v>
      </c>
      <c r="O612">
        <f t="shared" si="94"/>
        <v>0</v>
      </c>
      <c r="P612">
        <v>0.23410701831756464</v>
      </c>
      <c r="Q612">
        <f t="shared" si="95"/>
        <v>0</v>
      </c>
      <c r="R612">
        <f t="shared" si="96"/>
        <v>0</v>
      </c>
      <c r="S612">
        <f t="shared" si="97"/>
        <v>1</v>
      </c>
      <c r="T612">
        <f t="shared" si="98"/>
        <v>8897.64</v>
      </c>
      <c r="U612">
        <f t="shared" si="99"/>
        <v>-375.63999999999942</v>
      </c>
    </row>
    <row r="613" spans="1:21" x14ac:dyDescent="0.3">
      <c r="A613">
        <v>612</v>
      </c>
      <c r="B613">
        <v>29</v>
      </c>
      <c r="C613" t="s">
        <v>16</v>
      </c>
      <c r="D613">
        <v>36.299999999999997</v>
      </c>
      <c r="E613">
        <v>91</v>
      </c>
      <c r="F613" t="s">
        <v>11</v>
      </c>
      <c r="G613">
        <v>2</v>
      </c>
      <c r="H613" t="s">
        <v>12</v>
      </c>
      <c r="I613" t="s">
        <v>13</v>
      </c>
      <c r="J613">
        <v>8527.5300000000007</v>
      </c>
      <c r="K613" t="str">
        <f t="shared" si="90"/>
        <v>35+</v>
      </c>
      <c r="L613">
        <f t="shared" si="91"/>
        <v>0</v>
      </c>
      <c r="M613">
        <f t="shared" si="92"/>
        <v>1</v>
      </c>
      <c r="N613">
        <f t="shared" si="93"/>
        <v>0</v>
      </c>
      <c r="O613">
        <f t="shared" si="94"/>
        <v>0</v>
      </c>
      <c r="P613">
        <v>0.53130294066580375</v>
      </c>
      <c r="Q613">
        <f t="shared" si="95"/>
        <v>0</v>
      </c>
      <c r="R613">
        <f t="shared" si="96"/>
        <v>1</v>
      </c>
      <c r="S613">
        <f t="shared" si="97"/>
        <v>1</v>
      </c>
      <c r="T613">
        <f t="shared" si="98"/>
        <v>8519.15</v>
      </c>
      <c r="U613">
        <f t="shared" si="99"/>
        <v>8.3800000000010186</v>
      </c>
    </row>
    <row r="614" spans="1:21" x14ac:dyDescent="0.3">
      <c r="A614">
        <v>613</v>
      </c>
      <c r="B614">
        <v>28</v>
      </c>
      <c r="C614" t="s">
        <v>16</v>
      </c>
      <c r="D614">
        <v>24.3</v>
      </c>
      <c r="E614">
        <v>93</v>
      </c>
      <c r="F614" t="s">
        <v>11</v>
      </c>
      <c r="G614">
        <v>0</v>
      </c>
      <c r="H614" t="s">
        <v>12</v>
      </c>
      <c r="I614" t="s">
        <v>17</v>
      </c>
      <c r="J614">
        <v>8534.67</v>
      </c>
      <c r="K614" t="str">
        <f t="shared" si="90"/>
        <v>20-25</v>
      </c>
      <c r="L614">
        <f t="shared" si="91"/>
        <v>0</v>
      </c>
      <c r="M614">
        <f t="shared" si="92"/>
        <v>0</v>
      </c>
      <c r="N614">
        <f t="shared" si="93"/>
        <v>0</v>
      </c>
      <c r="O614">
        <f t="shared" si="94"/>
        <v>0</v>
      </c>
      <c r="P614">
        <v>0.46618079380097144</v>
      </c>
      <c r="Q614">
        <f t="shared" si="95"/>
        <v>0</v>
      </c>
      <c r="R614">
        <f t="shared" si="96"/>
        <v>1</v>
      </c>
      <c r="S614">
        <f t="shared" si="97"/>
        <v>1</v>
      </c>
      <c r="T614">
        <f t="shared" si="98"/>
        <v>9981.8600000000024</v>
      </c>
      <c r="U614">
        <f t="shared" si="99"/>
        <v>-1447.1900000000023</v>
      </c>
    </row>
    <row r="615" spans="1:21" x14ac:dyDescent="0.3">
      <c r="A615">
        <v>614</v>
      </c>
      <c r="B615">
        <v>36</v>
      </c>
      <c r="C615" t="s">
        <v>16</v>
      </c>
      <c r="D615">
        <v>33.200000000000003</v>
      </c>
      <c r="E615">
        <v>98</v>
      </c>
      <c r="F615" t="s">
        <v>12</v>
      </c>
      <c r="G615">
        <v>3</v>
      </c>
      <c r="H615" t="s">
        <v>12</v>
      </c>
      <c r="I615" t="s">
        <v>17</v>
      </c>
      <c r="J615">
        <v>8538.2900000000009</v>
      </c>
      <c r="K615" t="str">
        <f t="shared" si="90"/>
        <v>30-35</v>
      </c>
      <c r="L615">
        <f t="shared" si="91"/>
        <v>0</v>
      </c>
      <c r="M615">
        <f t="shared" si="92"/>
        <v>0</v>
      </c>
      <c r="N615">
        <f t="shared" si="93"/>
        <v>0</v>
      </c>
      <c r="O615">
        <f t="shared" si="94"/>
        <v>0</v>
      </c>
      <c r="P615">
        <v>0.9149026718972133</v>
      </c>
      <c r="Q615">
        <f t="shared" si="95"/>
        <v>0</v>
      </c>
      <c r="R615">
        <f t="shared" si="96"/>
        <v>0</v>
      </c>
      <c r="S615">
        <f t="shared" si="97"/>
        <v>1</v>
      </c>
      <c r="T615">
        <f t="shared" si="98"/>
        <v>13814.300000000001</v>
      </c>
      <c r="U615">
        <f t="shared" si="99"/>
        <v>-5276.01</v>
      </c>
    </row>
    <row r="616" spans="1:21" x14ac:dyDescent="0.3">
      <c r="A616">
        <v>615</v>
      </c>
      <c r="B616">
        <v>26</v>
      </c>
      <c r="C616" t="s">
        <v>16</v>
      </c>
      <c r="D616">
        <v>23.6</v>
      </c>
      <c r="E616">
        <v>92</v>
      </c>
      <c r="F616" t="s">
        <v>11</v>
      </c>
      <c r="G616">
        <v>1</v>
      </c>
      <c r="H616" t="s">
        <v>12</v>
      </c>
      <c r="I616" t="s">
        <v>15</v>
      </c>
      <c r="J616">
        <v>8539.67</v>
      </c>
      <c r="K616" t="str">
        <f t="shared" si="90"/>
        <v>20-25</v>
      </c>
      <c r="L616">
        <f t="shared" si="91"/>
        <v>0</v>
      </c>
      <c r="M616">
        <f t="shared" si="92"/>
        <v>0</v>
      </c>
      <c r="N616">
        <f t="shared" si="93"/>
        <v>1</v>
      </c>
      <c r="O616">
        <f t="shared" si="94"/>
        <v>0</v>
      </c>
      <c r="P616">
        <v>9.7481890761236256E-3</v>
      </c>
      <c r="Q616">
        <f t="shared" si="95"/>
        <v>0</v>
      </c>
      <c r="R616">
        <f t="shared" si="96"/>
        <v>1</v>
      </c>
      <c r="S616">
        <f t="shared" si="97"/>
        <v>1</v>
      </c>
      <c r="T616">
        <f t="shared" si="98"/>
        <v>7547.1100000000006</v>
      </c>
      <c r="U616">
        <f t="shared" si="99"/>
        <v>992.55999999999949</v>
      </c>
    </row>
    <row r="617" spans="1:21" x14ac:dyDescent="0.3">
      <c r="A617">
        <v>616</v>
      </c>
      <c r="B617">
        <v>54</v>
      </c>
      <c r="C617" t="s">
        <v>16</v>
      </c>
      <c r="D617">
        <v>29.4</v>
      </c>
      <c r="E617">
        <v>96</v>
      </c>
      <c r="F617" t="s">
        <v>11</v>
      </c>
      <c r="G617">
        <v>1</v>
      </c>
      <c r="H617" t="s">
        <v>12</v>
      </c>
      <c r="I617" t="s">
        <v>13</v>
      </c>
      <c r="J617">
        <v>8547.69</v>
      </c>
      <c r="K617" t="str">
        <f t="shared" si="90"/>
        <v>25-30</v>
      </c>
      <c r="L617">
        <f t="shared" si="91"/>
        <v>0</v>
      </c>
      <c r="M617">
        <f t="shared" si="92"/>
        <v>1</v>
      </c>
      <c r="N617">
        <f t="shared" si="93"/>
        <v>0</v>
      </c>
      <c r="O617">
        <f t="shared" si="94"/>
        <v>0</v>
      </c>
      <c r="P617">
        <v>0.6775727261768334</v>
      </c>
      <c r="Q617">
        <f t="shared" si="95"/>
        <v>0</v>
      </c>
      <c r="R617">
        <f t="shared" si="96"/>
        <v>1</v>
      </c>
      <c r="S617">
        <f t="shared" si="97"/>
        <v>1</v>
      </c>
      <c r="T617">
        <f t="shared" si="98"/>
        <v>7956.91</v>
      </c>
      <c r="U617">
        <f t="shared" si="99"/>
        <v>590.78000000000065</v>
      </c>
    </row>
    <row r="618" spans="1:21" x14ac:dyDescent="0.3">
      <c r="A618">
        <v>617</v>
      </c>
      <c r="B618">
        <v>36</v>
      </c>
      <c r="C618" t="s">
        <v>16</v>
      </c>
      <c r="D618">
        <v>32</v>
      </c>
      <c r="E618">
        <v>81</v>
      </c>
      <c r="F618" t="s">
        <v>12</v>
      </c>
      <c r="G618">
        <v>1</v>
      </c>
      <c r="H618" t="s">
        <v>12</v>
      </c>
      <c r="I618" t="s">
        <v>15</v>
      </c>
      <c r="J618">
        <v>8551.35</v>
      </c>
      <c r="K618" t="str">
        <f t="shared" si="90"/>
        <v>30-35</v>
      </c>
      <c r="L618">
        <f t="shared" si="91"/>
        <v>0</v>
      </c>
      <c r="M618">
        <f t="shared" si="92"/>
        <v>0</v>
      </c>
      <c r="N618">
        <f t="shared" si="93"/>
        <v>1</v>
      </c>
      <c r="O618">
        <f t="shared" si="94"/>
        <v>0</v>
      </c>
      <c r="P618">
        <v>0.58291244298768108</v>
      </c>
      <c r="Q618">
        <f t="shared" si="95"/>
        <v>0</v>
      </c>
      <c r="R618">
        <f t="shared" si="96"/>
        <v>0</v>
      </c>
      <c r="S618">
        <f t="shared" si="97"/>
        <v>1</v>
      </c>
      <c r="T618">
        <f t="shared" si="98"/>
        <v>6566.0800000000008</v>
      </c>
      <c r="U618">
        <f t="shared" si="99"/>
        <v>1985.2699999999995</v>
      </c>
    </row>
    <row r="619" spans="1:21" x14ac:dyDescent="0.3">
      <c r="A619">
        <v>618</v>
      </c>
      <c r="B619">
        <v>60</v>
      </c>
      <c r="C619" t="s">
        <v>16</v>
      </c>
      <c r="D619">
        <v>36</v>
      </c>
      <c r="E619">
        <v>90</v>
      </c>
      <c r="F619" t="s">
        <v>12</v>
      </c>
      <c r="G619">
        <v>1</v>
      </c>
      <c r="H619" t="s">
        <v>12</v>
      </c>
      <c r="I619" t="s">
        <v>15</v>
      </c>
      <c r="J619">
        <v>8556.91</v>
      </c>
      <c r="K619" t="str">
        <f t="shared" si="90"/>
        <v>35+</v>
      </c>
      <c r="L619">
        <f t="shared" si="91"/>
        <v>0</v>
      </c>
      <c r="M619">
        <f t="shared" si="92"/>
        <v>0</v>
      </c>
      <c r="N619">
        <f t="shared" si="93"/>
        <v>1</v>
      </c>
      <c r="O619">
        <f t="shared" si="94"/>
        <v>0</v>
      </c>
      <c r="P619">
        <v>0.36014743129060656</v>
      </c>
      <c r="Q619">
        <f t="shared" si="95"/>
        <v>0</v>
      </c>
      <c r="R619">
        <f t="shared" si="96"/>
        <v>0</v>
      </c>
      <c r="S619">
        <f t="shared" si="97"/>
        <v>1</v>
      </c>
      <c r="T619">
        <f t="shared" si="98"/>
        <v>8313.67</v>
      </c>
      <c r="U619">
        <f t="shared" si="99"/>
        <v>243.23999999999978</v>
      </c>
    </row>
    <row r="620" spans="1:21" x14ac:dyDescent="0.3">
      <c r="A620">
        <v>619</v>
      </c>
      <c r="B620">
        <v>36</v>
      </c>
      <c r="C620" t="s">
        <v>16</v>
      </c>
      <c r="D620">
        <v>45.3</v>
      </c>
      <c r="E620">
        <v>96</v>
      </c>
      <c r="F620" t="s">
        <v>11</v>
      </c>
      <c r="G620">
        <v>1</v>
      </c>
      <c r="H620" t="s">
        <v>12</v>
      </c>
      <c r="I620" t="s">
        <v>13</v>
      </c>
      <c r="J620">
        <v>8569.86</v>
      </c>
      <c r="K620" t="str">
        <f t="shared" si="90"/>
        <v>35+</v>
      </c>
      <c r="L620">
        <f t="shared" si="91"/>
        <v>0</v>
      </c>
      <c r="M620">
        <f t="shared" si="92"/>
        <v>1</v>
      </c>
      <c r="N620">
        <f t="shared" si="93"/>
        <v>0</v>
      </c>
      <c r="O620">
        <f t="shared" si="94"/>
        <v>0</v>
      </c>
      <c r="P620">
        <v>0.45093606625833527</v>
      </c>
      <c r="Q620">
        <f t="shared" si="95"/>
        <v>0</v>
      </c>
      <c r="R620">
        <f t="shared" si="96"/>
        <v>1</v>
      </c>
      <c r="S620">
        <f t="shared" si="97"/>
        <v>1</v>
      </c>
      <c r="T620">
        <f t="shared" si="98"/>
        <v>9339.4</v>
      </c>
      <c r="U620">
        <f t="shared" si="99"/>
        <v>-769.53999999999905</v>
      </c>
    </row>
    <row r="621" spans="1:21" x14ac:dyDescent="0.3">
      <c r="A621">
        <v>620</v>
      </c>
      <c r="B621">
        <v>46</v>
      </c>
      <c r="C621" t="s">
        <v>16</v>
      </c>
      <c r="D621">
        <v>23.9</v>
      </c>
      <c r="E621">
        <v>96</v>
      </c>
      <c r="F621" t="s">
        <v>12</v>
      </c>
      <c r="G621">
        <v>5</v>
      </c>
      <c r="H621" t="s">
        <v>12</v>
      </c>
      <c r="I621" t="s">
        <v>13</v>
      </c>
      <c r="J621">
        <v>8582.2999999999993</v>
      </c>
      <c r="K621" t="str">
        <f t="shared" si="90"/>
        <v>20-25</v>
      </c>
      <c r="L621">
        <f t="shared" si="91"/>
        <v>0</v>
      </c>
      <c r="M621">
        <f t="shared" si="92"/>
        <v>1</v>
      </c>
      <c r="N621">
        <f t="shared" si="93"/>
        <v>0</v>
      </c>
      <c r="O621">
        <f t="shared" si="94"/>
        <v>0</v>
      </c>
      <c r="P621">
        <v>3.2663433188898638E-3</v>
      </c>
      <c r="Q621">
        <f t="shared" si="95"/>
        <v>0</v>
      </c>
      <c r="R621">
        <f t="shared" si="96"/>
        <v>0</v>
      </c>
      <c r="S621">
        <f t="shared" si="97"/>
        <v>1</v>
      </c>
      <c r="T621">
        <f t="shared" si="98"/>
        <v>10518.92</v>
      </c>
      <c r="U621">
        <f t="shared" si="99"/>
        <v>-1936.6200000000008</v>
      </c>
    </row>
    <row r="622" spans="1:21" x14ac:dyDescent="0.3">
      <c r="A622">
        <v>621</v>
      </c>
      <c r="B622">
        <v>43</v>
      </c>
      <c r="C622" t="s">
        <v>16</v>
      </c>
      <c r="D622">
        <v>34.299999999999997</v>
      </c>
      <c r="E622">
        <v>96</v>
      </c>
      <c r="F622" t="s">
        <v>12</v>
      </c>
      <c r="G622">
        <v>5</v>
      </c>
      <c r="H622" t="s">
        <v>12</v>
      </c>
      <c r="I622" t="s">
        <v>13</v>
      </c>
      <c r="J622">
        <v>8596.83</v>
      </c>
      <c r="K622" t="str">
        <f t="shared" si="90"/>
        <v>30-35</v>
      </c>
      <c r="L622">
        <f t="shared" si="91"/>
        <v>0</v>
      </c>
      <c r="M622">
        <f t="shared" si="92"/>
        <v>1</v>
      </c>
      <c r="N622">
        <f t="shared" si="93"/>
        <v>0</v>
      </c>
      <c r="O622">
        <f t="shared" si="94"/>
        <v>0</v>
      </c>
      <c r="P622">
        <v>0.37832933572546779</v>
      </c>
      <c r="Q622">
        <f t="shared" si="95"/>
        <v>0</v>
      </c>
      <c r="R622">
        <f t="shared" si="96"/>
        <v>0</v>
      </c>
      <c r="S622">
        <f t="shared" si="97"/>
        <v>1</v>
      </c>
      <c r="T622">
        <f t="shared" si="98"/>
        <v>11411.96</v>
      </c>
      <c r="U622">
        <f t="shared" si="99"/>
        <v>-2815.1299999999992</v>
      </c>
    </row>
    <row r="623" spans="1:21" x14ac:dyDescent="0.3">
      <c r="A623">
        <v>622</v>
      </c>
      <c r="B623">
        <v>39</v>
      </c>
      <c r="C623" t="s">
        <v>16</v>
      </c>
      <c r="D623">
        <v>27.2</v>
      </c>
      <c r="E623">
        <v>95</v>
      </c>
      <c r="F623" t="s">
        <v>11</v>
      </c>
      <c r="G623">
        <v>0</v>
      </c>
      <c r="H623" t="s">
        <v>12</v>
      </c>
      <c r="I623" t="s">
        <v>13</v>
      </c>
      <c r="J623">
        <v>8601.33</v>
      </c>
      <c r="K623" t="str">
        <f t="shared" si="90"/>
        <v>25-30</v>
      </c>
      <c r="L623">
        <f t="shared" si="91"/>
        <v>0</v>
      </c>
      <c r="M623">
        <f t="shared" si="92"/>
        <v>1</v>
      </c>
      <c r="N623">
        <f t="shared" si="93"/>
        <v>0</v>
      </c>
      <c r="O623">
        <f t="shared" si="94"/>
        <v>0</v>
      </c>
      <c r="P623">
        <v>0.23875479028379987</v>
      </c>
      <c r="Q623">
        <f t="shared" si="95"/>
        <v>0</v>
      </c>
      <c r="R623">
        <f t="shared" si="96"/>
        <v>1</v>
      </c>
      <c r="S623">
        <f t="shared" si="97"/>
        <v>1</v>
      </c>
      <c r="T623">
        <f t="shared" si="98"/>
        <v>6890.18</v>
      </c>
      <c r="U623">
        <f t="shared" si="99"/>
        <v>1711.1499999999996</v>
      </c>
    </row>
    <row r="624" spans="1:21" x14ac:dyDescent="0.3">
      <c r="A624">
        <v>623</v>
      </c>
      <c r="B624">
        <v>36</v>
      </c>
      <c r="C624" t="s">
        <v>10</v>
      </c>
      <c r="D624">
        <v>23.6</v>
      </c>
      <c r="E624">
        <v>86</v>
      </c>
      <c r="F624" t="s">
        <v>12</v>
      </c>
      <c r="G624">
        <v>2</v>
      </c>
      <c r="H624" t="s">
        <v>12</v>
      </c>
      <c r="I624" t="s">
        <v>17</v>
      </c>
      <c r="J624">
        <v>8603.82</v>
      </c>
      <c r="K624" t="str">
        <f t="shared" si="90"/>
        <v>20-25</v>
      </c>
      <c r="L624">
        <f t="shared" si="91"/>
        <v>0</v>
      </c>
      <c r="M624">
        <f t="shared" si="92"/>
        <v>0</v>
      </c>
      <c r="N624">
        <f t="shared" si="93"/>
        <v>0</v>
      </c>
      <c r="O624">
        <f t="shared" si="94"/>
        <v>0</v>
      </c>
      <c r="P624">
        <v>0.28194304924452906</v>
      </c>
      <c r="Q624">
        <f t="shared" si="95"/>
        <v>0</v>
      </c>
      <c r="R624">
        <f t="shared" si="96"/>
        <v>0</v>
      </c>
      <c r="S624">
        <f t="shared" si="97"/>
        <v>0</v>
      </c>
      <c r="T624">
        <f t="shared" si="98"/>
        <v>9895.23</v>
      </c>
      <c r="U624">
        <f t="shared" si="99"/>
        <v>-1291.4099999999999</v>
      </c>
    </row>
    <row r="625" spans="1:21" x14ac:dyDescent="0.3">
      <c r="A625">
        <v>624</v>
      </c>
      <c r="B625">
        <v>28</v>
      </c>
      <c r="C625" t="s">
        <v>10</v>
      </c>
      <c r="D625">
        <v>24</v>
      </c>
      <c r="E625">
        <v>94</v>
      </c>
      <c r="F625" t="s">
        <v>11</v>
      </c>
      <c r="G625">
        <v>2</v>
      </c>
      <c r="H625" t="s">
        <v>12</v>
      </c>
      <c r="I625" t="s">
        <v>17</v>
      </c>
      <c r="J625">
        <v>8604.48</v>
      </c>
      <c r="K625" t="str">
        <f t="shared" si="90"/>
        <v>20-25</v>
      </c>
      <c r="L625">
        <f t="shared" si="91"/>
        <v>0</v>
      </c>
      <c r="M625">
        <f t="shared" si="92"/>
        <v>0</v>
      </c>
      <c r="N625">
        <f t="shared" si="93"/>
        <v>0</v>
      </c>
      <c r="O625">
        <f t="shared" si="94"/>
        <v>0</v>
      </c>
      <c r="P625">
        <v>0.5072994251474009</v>
      </c>
      <c r="Q625">
        <f t="shared" si="95"/>
        <v>0</v>
      </c>
      <c r="R625">
        <f t="shared" si="96"/>
        <v>1</v>
      </c>
      <c r="S625">
        <f t="shared" si="97"/>
        <v>0</v>
      </c>
      <c r="T625">
        <f t="shared" si="98"/>
        <v>11147.330000000002</v>
      </c>
      <c r="U625">
        <f t="shared" si="99"/>
        <v>-2542.8500000000022</v>
      </c>
    </row>
    <row r="626" spans="1:21" x14ac:dyDescent="0.3">
      <c r="A626">
        <v>625</v>
      </c>
      <c r="B626">
        <v>42</v>
      </c>
      <c r="C626" t="s">
        <v>10</v>
      </c>
      <c r="D626">
        <v>20.399999999999999</v>
      </c>
      <c r="E626">
        <v>97</v>
      </c>
      <c r="F626" t="s">
        <v>12</v>
      </c>
      <c r="G626">
        <v>3</v>
      </c>
      <c r="H626" t="s">
        <v>12</v>
      </c>
      <c r="I626" t="s">
        <v>13</v>
      </c>
      <c r="J626">
        <v>8605.36</v>
      </c>
      <c r="K626" t="str">
        <f t="shared" si="90"/>
        <v>20-25</v>
      </c>
      <c r="L626">
        <f t="shared" si="91"/>
        <v>0</v>
      </c>
      <c r="M626">
        <f t="shared" si="92"/>
        <v>1</v>
      </c>
      <c r="N626">
        <f t="shared" si="93"/>
        <v>0</v>
      </c>
      <c r="O626">
        <f t="shared" si="94"/>
        <v>0</v>
      </c>
      <c r="P626">
        <v>0.42267832449339471</v>
      </c>
      <c r="Q626">
        <f t="shared" si="95"/>
        <v>0</v>
      </c>
      <c r="R626">
        <f t="shared" si="96"/>
        <v>0</v>
      </c>
      <c r="S626">
        <f t="shared" si="97"/>
        <v>0</v>
      </c>
      <c r="T626">
        <f t="shared" si="98"/>
        <v>8462.9500000000007</v>
      </c>
      <c r="U626">
        <f t="shared" si="99"/>
        <v>142.40999999999985</v>
      </c>
    </row>
    <row r="627" spans="1:21" x14ac:dyDescent="0.3">
      <c r="A627">
        <v>626</v>
      </c>
      <c r="B627">
        <v>26</v>
      </c>
      <c r="C627" t="s">
        <v>10</v>
      </c>
      <c r="D627">
        <v>27.4</v>
      </c>
      <c r="E627">
        <v>92</v>
      </c>
      <c r="F627" t="s">
        <v>12</v>
      </c>
      <c r="G627">
        <v>3</v>
      </c>
      <c r="H627" t="s">
        <v>12</v>
      </c>
      <c r="I627" t="s">
        <v>17</v>
      </c>
      <c r="J627">
        <v>8606.2199999999993</v>
      </c>
      <c r="K627" t="str">
        <f t="shared" si="90"/>
        <v>25-30</v>
      </c>
      <c r="L627">
        <f t="shared" si="91"/>
        <v>0</v>
      </c>
      <c r="M627">
        <f t="shared" si="92"/>
        <v>0</v>
      </c>
      <c r="N627">
        <f t="shared" si="93"/>
        <v>0</v>
      </c>
      <c r="O627">
        <f t="shared" si="94"/>
        <v>0</v>
      </c>
      <c r="P627">
        <v>0.34799482288025041</v>
      </c>
      <c r="Q627">
        <f t="shared" si="95"/>
        <v>0</v>
      </c>
      <c r="R627">
        <f t="shared" si="96"/>
        <v>0</v>
      </c>
      <c r="S627">
        <f t="shared" si="97"/>
        <v>0</v>
      </c>
      <c r="T627">
        <f t="shared" si="98"/>
        <v>11928.710000000001</v>
      </c>
      <c r="U627">
        <f t="shared" si="99"/>
        <v>-3322.4900000000016</v>
      </c>
    </row>
    <row r="628" spans="1:21" x14ac:dyDescent="0.3">
      <c r="A628">
        <v>627</v>
      </c>
      <c r="B628">
        <v>23</v>
      </c>
      <c r="C628" t="s">
        <v>10</v>
      </c>
      <c r="D628">
        <v>27.5</v>
      </c>
      <c r="E628">
        <v>97</v>
      </c>
      <c r="F628" t="s">
        <v>12</v>
      </c>
      <c r="G628">
        <v>3</v>
      </c>
      <c r="H628" t="s">
        <v>12</v>
      </c>
      <c r="I628" t="s">
        <v>15</v>
      </c>
      <c r="J628">
        <v>8615.2999999999993</v>
      </c>
      <c r="K628" t="str">
        <f t="shared" si="90"/>
        <v>25-30</v>
      </c>
      <c r="L628">
        <f t="shared" si="91"/>
        <v>0</v>
      </c>
      <c r="M628">
        <f t="shared" si="92"/>
        <v>0</v>
      </c>
      <c r="N628">
        <f t="shared" si="93"/>
        <v>1</v>
      </c>
      <c r="O628">
        <f t="shared" si="94"/>
        <v>0</v>
      </c>
      <c r="P628">
        <v>0.95884019239343254</v>
      </c>
      <c r="Q628">
        <f t="shared" si="95"/>
        <v>0</v>
      </c>
      <c r="R628">
        <f t="shared" si="96"/>
        <v>0</v>
      </c>
      <c r="S628">
        <f t="shared" si="97"/>
        <v>0</v>
      </c>
      <c r="T628">
        <f t="shared" si="98"/>
        <v>9782.9399999999987</v>
      </c>
      <c r="U628">
        <f t="shared" si="99"/>
        <v>-1167.6399999999994</v>
      </c>
    </row>
    <row r="629" spans="1:21" x14ac:dyDescent="0.3">
      <c r="A629">
        <v>628</v>
      </c>
      <c r="B629">
        <v>43</v>
      </c>
      <c r="C629" t="s">
        <v>10</v>
      </c>
      <c r="D629">
        <v>19.2</v>
      </c>
      <c r="E629">
        <v>99</v>
      </c>
      <c r="F629" t="s">
        <v>11</v>
      </c>
      <c r="G629">
        <v>1</v>
      </c>
      <c r="H629" t="s">
        <v>12</v>
      </c>
      <c r="I629" t="s">
        <v>17</v>
      </c>
      <c r="J629">
        <v>8627.5400000000009</v>
      </c>
      <c r="K629" t="str">
        <f t="shared" si="90"/>
        <v>&lt;20</v>
      </c>
      <c r="L629">
        <f t="shared" si="91"/>
        <v>0</v>
      </c>
      <c r="M629">
        <f t="shared" si="92"/>
        <v>0</v>
      </c>
      <c r="N629">
        <f t="shared" si="93"/>
        <v>0</v>
      </c>
      <c r="O629">
        <f t="shared" si="94"/>
        <v>0</v>
      </c>
      <c r="P629">
        <v>8.2772035655211962E-3</v>
      </c>
      <c r="Q629">
        <f t="shared" si="95"/>
        <v>0</v>
      </c>
      <c r="R629">
        <f t="shared" si="96"/>
        <v>1</v>
      </c>
      <c r="S629">
        <f t="shared" si="97"/>
        <v>0</v>
      </c>
      <c r="T629">
        <f t="shared" si="98"/>
        <v>10777.44</v>
      </c>
      <c r="U629">
        <f t="shared" si="99"/>
        <v>-2149.8999999999996</v>
      </c>
    </row>
    <row r="630" spans="1:21" x14ac:dyDescent="0.3">
      <c r="A630">
        <v>629</v>
      </c>
      <c r="B630">
        <v>56</v>
      </c>
      <c r="C630" t="s">
        <v>16</v>
      </c>
      <c r="D630">
        <v>36.6</v>
      </c>
      <c r="E630">
        <v>100</v>
      </c>
      <c r="F630" t="s">
        <v>12</v>
      </c>
      <c r="G630">
        <v>0</v>
      </c>
      <c r="H630" t="s">
        <v>12</v>
      </c>
      <c r="I630" t="s">
        <v>14</v>
      </c>
      <c r="J630">
        <v>8671.19</v>
      </c>
      <c r="K630" t="str">
        <f t="shared" si="90"/>
        <v>35+</v>
      </c>
      <c r="L630">
        <f t="shared" si="91"/>
        <v>0</v>
      </c>
      <c r="M630">
        <f t="shared" si="92"/>
        <v>0</v>
      </c>
      <c r="N630">
        <f t="shared" si="93"/>
        <v>0</v>
      </c>
      <c r="O630">
        <f t="shared" si="94"/>
        <v>1</v>
      </c>
      <c r="P630">
        <v>0.48757817308341678</v>
      </c>
      <c r="Q630">
        <f t="shared" si="95"/>
        <v>0</v>
      </c>
      <c r="R630">
        <f t="shared" si="96"/>
        <v>0</v>
      </c>
      <c r="S630">
        <f t="shared" si="97"/>
        <v>1</v>
      </c>
      <c r="T630">
        <f t="shared" si="98"/>
        <v>9235.82</v>
      </c>
      <c r="U630">
        <f t="shared" si="99"/>
        <v>-564.6299999999992</v>
      </c>
    </row>
    <row r="631" spans="1:21" x14ac:dyDescent="0.3">
      <c r="A631">
        <v>630</v>
      </c>
      <c r="B631">
        <v>30</v>
      </c>
      <c r="C631" t="s">
        <v>10</v>
      </c>
      <c r="D631">
        <v>22.5</v>
      </c>
      <c r="E631">
        <v>97</v>
      </c>
      <c r="F631" t="s">
        <v>11</v>
      </c>
      <c r="G631">
        <v>0</v>
      </c>
      <c r="H631" t="s">
        <v>12</v>
      </c>
      <c r="I631" t="s">
        <v>17</v>
      </c>
      <c r="J631">
        <v>8688.86</v>
      </c>
      <c r="K631" t="str">
        <f t="shared" si="90"/>
        <v>20-25</v>
      </c>
      <c r="L631">
        <f t="shared" si="91"/>
        <v>0</v>
      </c>
      <c r="M631">
        <f t="shared" si="92"/>
        <v>0</v>
      </c>
      <c r="N631">
        <f t="shared" si="93"/>
        <v>0</v>
      </c>
      <c r="O631">
        <f t="shared" si="94"/>
        <v>0</v>
      </c>
      <c r="P631">
        <v>0.38104264198268378</v>
      </c>
      <c r="Q631">
        <f t="shared" si="95"/>
        <v>0</v>
      </c>
      <c r="R631">
        <f t="shared" si="96"/>
        <v>1</v>
      </c>
      <c r="S631">
        <f t="shared" si="97"/>
        <v>0</v>
      </c>
      <c r="T631">
        <f t="shared" si="98"/>
        <v>10018.81</v>
      </c>
      <c r="U631">
        <f t="shared" si="99"/>
        <v>-1329.9499999999989</v>
      </c>
    </row>
    <row r="632" spans="1:21" x14ac:dyDescent="0.3">
      <c r="A632">
        <v>631</v>
      </c>
      <c r="B632">
        <v>26</v>
      </c>
      <c r="C632" t="s">
        <v>10</v>
      </c>
      <c r="D632">
        <v>28.7</v>
      </c>
      <c r="E632">
        <v>93</v>
      </c>
      <c r="F632" t="s">
        <v>12</v>
      </c>
      <c r="G632">
        <v>1</v>
      </c>
      <c r="H632" t="s">
        <v>12</v>
      </c>
      <c r="I632" t="s">
        <v>15</v>
      </c>
      <c r="J632">
        <v>8703.4599999999991</v>
      </c>
      <c r="K632" t="str">
        <f t="shared" si="90"/>
        <v>25-30</v>
      </c>
      <c r="L632">
        <f t="shared" si="91"/>
        <v>0</v>
      </c>
      <c r="M632">
        <f t="shared" si="92"/>
        <v>0</v>
      </c>
      <c r="N632">
        <f t="shared" si="93"/>
        <v>1</v>
      </c>
      <c r="O632">
        <f t="shared" si="94"/>
        <v>0</v>
      </c>
      <c r="P632">
        <v>0.45968416262965994</v>
      </c>
      <c r="Q632">
        <f t="shared" si="95"/>
        <v>0</v>
      </c>
      <c r="R632">
        <f t="shared" si="96"/>
        <v>0</v>
      </c>
      <c r="S632">
        <f t="shared" si="97"/>
        <v>0</v>
      </c>
      <c r="T632">
        <f t="shared" si="98"/>
        <v>7766.8600000000006</v>
      </c>
      <c r="U632">
        <f t="shared" si="99"/>
        <v>936.59999999999854</v>
      </c>
    </row>
    <row r="633" spans="1:21" x14ac:dyDescent="0.3">
      <c r="A633">
        <v>632</v>
      </c>
      <c r="B633">
        <v>21</v>
      </c>
      <c r="C633" t="s">
        <v>10</v>
      </c>
      <c r="D633">
        <v>40.4</v>
      </c>
      <c r="E633">
        <v>98</v>
      </c>
      <c r="F633" t="s">
        <v>12</v>
      </c>
      <c r="G633">
        <v>2</v>
      </c>
      <c r="H633" t="s">
        <v>12</v>
      </c>
      <c r="I633" t="s">
        <v>14</v>
      </c>
      <c r="J633">
        <v>8733.23</v>
      </c>
      <c r="K633" t="str">
        <f t="shared" si="90"/>
        <v>35+</v>
      </c>
      <c r="L633">
        <f t="shared" si="91"/>
        <v>0</v>
      </c>
      <c r="M633">
        <f t="shared" si="92"/>
        <v>0</v>
      </c>
      <c r="N633">
        <f t="shared" si="93"/>
        <v>0</v>
      </c>
      <c r="O633">
        <f t="shared" si="94"/>
        <v>1</v>
      </c>
      <c r="P633">
        <v>0.24733370035961244</v>
      </c>
      <c r="Q633">
        <f t="shared" si="95"/>
        <v>0</v>
      </c>
      <c r="R633">
        <f t="shared" si="96"/>
        <v>0</v>
      </c>
      <c r="S633">
        <f t="shared" si="97"/>
        <v>0</v>
      </c>
      <c r="T633">
        <f t="shared" si="98"/>
        <v>10317.869999999999</v>
      </c>
      <c r="U633">
        <f t="shared" si="99"/>
        <v>-1584.6399999999994</v>
      </c>
    </row>
    <row r="634" spans="1:21" x14ac:dyDescent="0.3">
      <c r="A634">
        <v>633</v>
      </c>
      <c r="B634">
        <v>18</v>
      </c>
      <c r="C634" t="s">
        <v>10</v>
      </c>
      <c r="D634">
        <v>32.299999999999997</v>
      </c>
      <c r="E634">
        <v>98</v>
      </c>
      <c r="F634" t="s">
        <v>11</v>
      </c>
      <c r="G634">
        <v>1</v>
      </c>
      <c r="H634" t="s">
        <v>12</v>
      </c>
      <c r="I634" t="s">
        <v>14</v>
      </c>
      <c r="J634">
        <v>8765.25</v>
      </c>
      <c r="K634" t="str">
        <f t="shared" si="90"/>
        <v>30-35</v>
      </c>
      <c r="L634">
        <f t="shared" si="91"/>
        <v>0</v>
      </c>
      <c r="M634">
        <f t="shared" si="92"/>
        <v>0</v>
      </c>
      <c r="N634">
        <f t="shared" si="93"/>
        <v>0</v>
      </c>
      <c r="O634">
        <f t="shared" si="94"/>
        <v>1</v>
      </c>
      <c r="P634">
        <v>0.77994957274391286</v>
      </c>
      <c r="Q634">
        <f t="shared" si="95"/>
        <v>0</v>
      </c>
      <c r="R634">
        <f t="shared" si="96"/>
        <v>1</v>
      </c>
      <c r="S634">
        <f t="shared" si="97"/>
        <v>0</v>
      </c>
      <c r="T634">
        <f t="shared" si="98"/>
        <v>8821.8599999999988</v>
      </c>
      <c r="U634">
        <f t="shared" si="99"/>
        <v>-56.609999999998763</v>
      </c>
    </row>
    <row r="635" spans="1:21" x14ac:dyDescent="0.3">
      <c r="A635">
        <v>634</v>
      </c>
      <c r="B635">
        <v>29</v>
      </c>
      <c r="C635" t="s">
        <v>10</v>
      </c>
      <c r="D635">
        <v>25.4</v>
      </c>
      <c r="E635">
        <v>87</v>
      </c>
      <c r="F635" t="s">
        <v>11</v>
      </c>
      <c r="G635">
        <v>0</v>
      </c>
      <c r="H635" t="s">
        <v>12</v>
      </c>
      <c r="I635" t="s">
        <v>15</v>
      </c>
      <c r="J635">
        <v>8782.4699999999993</v>
      </c>
      <c r="K635" t="str">
        <f t="shared" si="90"/>
        <v>25-30</v>
      </c>
      <c r="L635">
        <f t="shared" si="91"/>
        <v>0</v>
      </c>
      <c r="M635">
        <f t="shared" si="92"/>
        <v>0</v>
      </c>
      <c r="N635">
        <f t="shared" si="93"/>
        <v>1</v>
      </c>
      <c r="O635">
        <f t="shared" si="94"/>
        <v>0</v>
      </c>
      <c r="P635">
        <v>0.92997129747313412</v>
      </c>
      <c r="Q635">
        <f t="shared" si="95"/>
        <v>0</v>
      </c>
      <c r="R635">
        <f t="shared" si="96"/>
        <v>1</v>
      </c>
      <c r="S635">
        <f t="shared" si="97"/>
        <v>0</v>
      </c>
      <c r="T635">
        <f t="shared" si="98"/>
        <v>5716.03</v>
      </c>
      <c r="U635">
        <f t="shared" si="99"/>
        <v>3066.4399999999996</v>
      </c>
    </row>
    <row r="636" spans="1:21" x14ac:dyDescent="0.3">
      <c r="A636">
        <v>635</v>
      </c>
      <c r="B636">
        <v>29</v>
      </c>
      <c r="C636" t="s">
        <v>10</v>
      </c>
      <c r="D636">
        <v>37</v>
      </c>
      <c r="E636">
        <v>84</v>
      </c>
      <c r="F636" t="s">
        <v>11</v>
      </c>
      <c r="G636">
        <v>0</v>
      </c>
      <c r="H636" t="s">
        <v>12</v>
      </c>
      <c r="I636" t="s">
        <v>15</v>
      </c>
      <c r="J636">
        <v>8798.59</v>
      </c>
      <c r="K636" t="str">
        <f t="shared" si="90"/>
        <v>35+</v>
      </c>
      <c r="L636">
        <f t="shared" si="91"/>
        <v>0</v>
      </c>
      <c r="M636">
        <f t="shared" si="92"/>
        <v>0</v>
      </c>
      <c r="N636">
        <f t="shared" si="93"/>
        <v>1</v>
      </c>
      <c r="O636">
        <f t="shared" si="94"/>
        <v>0</v>
      </c>
      <c r="P636">
        <v>0.65643706139598945</v>
      </c>
      <c r="Q636">
        <f t="shared" si="95"/>
        <v>0</v>
      </c>
      <c r="R636">
        <f t="shared" si="96"/>
        <v>1</v>
      </c>
      <c r="S636">
        <f t="shared" si="97"/>
        <v>0</v>
      </c>
      <c r="T636">
        <f t="shared" si="98"/>
        <v>6229.0599999999986</v>
      </c>
      <c r="U636">
        <f t="shared" si="99"/>
        <v>2569.5300000000016</v>
      </c>
    </row>
    <row r="637" spans="1:21" x14ac:dyDescent="0.3">
      <c r="A637">
        <v>636</v>
      </c>
      <c r="B637">
        <v>43</v>
      </c>
      <c r="C637" t="s">
        <v>16</v>
      </c>
      <c r="D637">
        <v>28.9</v>
      </c>
      <c r="E637">
        <v>95</v>
      </c>
      <c r="F637" t="s">
        <v>12</v>
      </c>
      <c r="G637">
        <v>2</v>
      </c>
      <c r="H637" t="s">
        <v>12</v>
      </c>
      <c r="I637" t="s">
        <v>15</v>
      </c>
      <c r="J637">
        <v>8823.2800000000007</v>
      </c>
      <c r="K637" t="str">
        <f t="shared" si="90"/>
        <v>25-30</v>
      </c>
      <c r="L637">
        <f t="shared" si="91"/>
        <v>0</v>
      </c>
      <c r="M637">
        <f t="shared" si="92"/>
        <v>0</v>
      </c>
      <c r="N637">
        <f t="shared" si="93"/>
        <v>1</v>
      </c>
      <c r="O637">
        <f t="shared" si="94"/>
        <v>0</v>
      </c>
      <c r="P637">
        <v>0.89833572041823129</v>
      </c>
      <c r="Q637">
        <f t="shared" si="95"/>
        <v>0</v>
      </c>
      <c r="R637">
        <f t="shared" si="96"/>
        <v>0</v>
      </c>
      <c r="S637">
        <f t="shared" si="97"/>
        <v>1</v>
      </c>
      <c r="T637">
        <f t="shared" si="98"/>
        <v>9264.5700000000015</v>
      </c>
      <c r="U637">
        <f t="shared" si="99"/>
        <v>-441.29000000000087</v>
      </c>
    </row>
    <row r="638" spans="1:21" x14ac:dyDescent="0.3">
      <c r="A638">
        <v>637</v>
      </c>
      <c r="B638">
        <v>33</v>
      </c>
      <c r="C638" t="s">
        <v>16</v>
      </c>
      <c r="D638">
        <v>33.700000000000003</v>
      </c>
      <c r="E638">
        <v>81</v>
      </c>
      <c r="F638" t="s">
        <v>11</v>
      </c>
      <c r="G638">
        <v>1</v>
      </c>
      <c r="H638" t="s">
        <v>12</v>
      </c>
      <c r="I638" t="s">
        <v>17</v>
      </c>
      <c r="J638">
        <v>8823.99</v>
      </c>
      <c r="K638" t="str">
        <f t="shared" si="90"/>
        <v>30-35</v>
      </c>
      <c r="L638">
        <f t="shared" si="91"/>
        <v>0</v>
      </c>
      <c r="M638">
        <f t="shared" si="92"/>
        <v>0</v>
      </c>
      <c r="N638">
        <f t="shared" si="93"/>
        <v>0</v>
      </c>
      <c r="O638">
        <f t="shared" si="94"/>
        <v>0</v>
      </c>
      <c r="P638">
        <v>0.67541109209441574</v>
      </c>
      <c r="Q638">
        <f t="shared" si="95"/>
        <v>0</v>
      </c>
      <c r="R638">
        <f t="shared" si="96"/>
        <v>1</v>
      </c>
      <c r="S638">
        <f t="shared" si="97"/>
        <v>1</v>
      </c>
      <c r="T638">
        <f t="shared" si="98"/>
        <v>9602.3200000000015</v>
      </c>
      <c r="U638">
        <f t="shared" si="99"/>
        <v>-778.33000000000175</v>
      </c>
    </row>
    <row r="639" spans="1:21" x14ac:dyDescent="0.3">
      <c r="A639">
        <v>638</v>
      </c>
      <c r="B639">
        <v>46</v>
      </c>
      <c r="C639" t="s">
        <v>16</v>
      </c>
      <c r="D639">
        <v>30.2</v>
      </c>
      <c r="E639">
        <v>99</v>
      </c>
      <c r="F639" t="s">
        <v>11</v>
      </c>
      <c r="G639">
        <v>2</v>
      </c>
      <c r="H639" t="s">
        <v>12</v>
      </c>
      <c r="I639" t="s">
        <v>15</v>
      </c>
      <c r="J639">
        <v>8825.09</v>
      </c>
      <c r="K639" t="str">
        <f t="shared" si="90"/>
        <v>30-35</v>
      </c>
      <c r="L639">
        <f t="shared" si="91"/>
        <v>0</v>
      </c>
      <c r="M639">
        <f t="shared" si="92"/>
        <v>0</v>
      </c>
      <c r="N639">
        <f t="shared" si="93"/>
        <v>1</v>
      </c>
      <c r="O639">
        <f t="shared" si="94"/>
        <v>0</v>
      </c>
      <c r="P639">
        <v>0.18406172389725439</v>
      </c>
      <c r="Q639">
        <f t="shared" si="95"/>
        <v>0</v>
      </c>
      <c r="R639">
        <f t="shared" si="96"/>
        <v>1</v>
      </c>
      <c r="S639">
        <f t="shared" si="97"/>
        <v>1</v>
      </c>
      <c r="T639">
        <f t="shared" si="98"/>
        <v>9941.18</v>
      </c>
      <c r="U639">
        <f t="shared" si="99"/>
        <v>-1116.0900000000001</v>
      </c>
    </row>
    <row r="640" spans="1:21" x14ac:dyDescent="0.3">
      <c r="A640">
        <v>639</v>
      </c>
      <c r="B640">
        <v>31</v>
      </c>
      <c r="C640" t="s">
        <v>10</v>
      </c>
      <c r="D640">
        <v>26.4</v>
      </c>
      <c r="E640">
        <v>100</v>
      </c>
      <c r="F640" t="s">
        <v>11</v>
      </c>
      <c r="G640">
        <v>0</v>
      </c>
      <c r="H640" t="s">
        <v>12</v>
      </c>
      <c r="I640" t="s">
        <v>14</v>
      </c>
      <c r="J640">
        <v>8827.2099999999991</v>
      </c>
      <c r="K640" t="str">
        <f t="shared" si="90"/>
        <v>25-30</v>
      </c>
      <c r="L640">
        <f t="shared" si="91"/>
        <v>0</v>
      </c>
      <c r="M640">
        <f t="shared" si="92"/>
        <v>0</v>
      </c>
      <c r="N640">
        <f t="shared" si="93"/>
        <v>0</v>
      </c>
      <c r="O640">
        <f t="shared" si="94"/>
        <v>1</v>
      </c>
      <c r="P640">
        <v>2.7181771742407879E-2</v>
      </c>
      <c r="Q640">
        <f t="shared" si="95"/>
        <v>0</v>
      </c>
      <c r="R640">
        <f t="shared" si="96"/>
        <v>1</v>
      </c>
      <c r="S640">
        <f t="shared" si="97"/>
        <v>0</v>
      </c>
      <c r="T640">
        <f t="shared" si="98"/>
        <v>7881.7099999999991</v>
      </c>
      <c r="U640">
        <f t="shared" si="99"/>
        <v>945.5</v>
      </c>
    </row>
    <row r="641" spans="1:21" x14ac:dyDescent="0.3">
      <c r="A641">
        <v>640</v>
      </c>
      <c r="B641">
        <v>22</v>
      </c>
      <c r="C641" t="s">
        <v>10</v>
      </c>
      <c r="D641">
        <v>32.200000000000003</v>
      </c>
      <c r="E641">
        <v>95</v>
      </c>
      <c r="F641" t="s">
        <v>11</v>
      </c>
      <c r="G641">
        <v>0</v>
      </c>
      <c r="H641" t="s">
        <v>12</v>
      </c>
      <c r="I641" t="s">
        <v>14</v>
      </c>
      <c r="J641">
        <v>8835.26</v>
      </c>
      <c r="K641" t="str">
        <f t="shared" si="90"/>
        <v>30-35</v>
      </c>
      <c r="L641">
        <f t="shared" si="91"/>
        <v>0</v>
      </c>
      <c r="M641">
        <f t="shared" si="92"/>
        <v>0</v>
      </c>
      <c r="N641">
        <f t="shared" si="93"/>
        <v>0</v>
      </c>
      <c r="O641">
        <f t="shared" si="94"/>
        <v>1</v>
      </c>
      <c r="P641">
        <v>0.64356346150812438</v>
      </c>
      <c r="Q641">
        <f t="shared" si="95"/>
        <v>0</v>
      </c>
      <c r="R641">
        <f t="shared" si="96"/>
        <v>1</v>
      </c>
      <c r="S641">
        <f t="shared" si="97"/>
        <v>0</v>
      </c>
      <c r="T641">
        <f t="shared" si="98"/>
        <v>7591.1800000000021</v>
      </c>
      <c r="U641">
        <f t="shared" si="99"/>
        <v>1244.0799999999981</v>
      </c>
    </row>
    <row r="642" spans="1:21" x14ac:dyDescent="0.3">
      <c r="A642">
        <v>641</v>
      </c>
      <c r="B642">
        <v>34</v>
      </c>
      <c r="C642" t="s">
        <v>16</v>
      </c>
      <c r="D642">
        <v>32.200000000000003</v>
      </c>
      <c r="E642">
        <v>96</v>
      </c>
      <c r="F642" t="s">
        <v>11</v>
      </c>
      <c r="G642">
        <v>1</v>
      </c>
      <c r="H642" t="s">
        <v>12</v>
      </c>
      <c r="I642" t="s">
        <v>13</v>
      </c>
      <c r="J642">
        <v>8871.15</v>
      </c>
      <c r="K642" t="str">
        <f t="shared" si="90"/>
        <v>30-35</v>
      </c>
      <c r="L642">
        <f t="shared" si="91"/>
        <v>0</v>
      </c>
      <c r="M642">
        <f t="shared" si="92"/>
        <v>1</v>
      </c>
      <c r="N642">
        <f t="shared" si="93"/>
        <v>0</v>
      </c>
      <c r="O642">
        <f t="shared" si="94"/>
        <v>0</v>
      </c>
      <c r="P642">
        <v>0.45398029789004379</v>
      </c>
      <c r="Q642">
        <f t="shared" si="95"/>
        <v>0</v>
      </c>
      <c r="R642">
        <f t="shared" si="96"/>
        <v>1</v>
      </c>
      <c r="S642">
        <f t="shared" si="97"/>
        <v>1</v>
      </c>
      <c r="T642">
        <f t="shared" si="98"/>
        <v>8221.91</v>
      </c>
      <c r="U642">
        <f t="shared" si="99"/>
        <v>649.23999999999978</v>
      </c>
    </row>
    <row r="643" spans="1:21" x14ac:dyDescent="0.3">
      <c r="A643">
        <v>642</v>
      </c>
      <c r="B643">
        <v>35</v>
      </c>
      <c r="C643" t="s">
        <v>10</v>
      </c>
      <c r="D643">
        <v>21.9</v>
      </c>
      <c r="E643">
        <v>99</v>
      </c>
      <c r="F643" t="s">
        <v>12</v>
      </c>
      <c r="G643">
        <v>3</v>
      </c>
      <c r="H643" t="s">
        <v>12</v>
      </c>
      <c r="I643" t="s">
        <v>17</v>
      </c>
      <c r="J643">
        <v>8891.14</v>
      </c>
      <c r="K643" t="str">
        <f t="shared" ref="K643:K706" si="100">IF(D643&lt;20, "&lt;20", IF(D643&lt;25, "20-25", IF(D643&lt;30, "25-30", IF(D643&lt;35, "30-35", "35+"))))</f>
        <v>20-25</v>
      </c>
      <c r="L643">
        <f t="shared" ref="L643:L706" si="101">D643*Q643</f>
        <v>0</v>
      </c>
      <c r="M643">
        <f t="shared" ref="M643:M706" si="102">IF(I643="southeast", 1, 0)</f>
        <v>0</v>
      </c>
      <c r="N643">
        <f t="shared" ref="N643:N706" si="103">IF(I643="southwest", 1, 0)</f>
        <v>0</v>
      </c>
      <c r="O643">
        <f t="shared" ref="O643:O706" si="104">IF(I643="northwest", 1, 0)</f>
        <v>0</v>
      </c>
      <c r="P643">
        <v>0.618280606688971</v>
      </c>
      <c r="Q643">
        <f t="shared" ref="Q643:Q706" si="105">IF(H643="Yes", 1, 0)</f>
        <v>0</v>
      </c>
      <c r="R643">
        <f t="shared" ref="R643:R706" si="106">IF(F643="yes", 1, 0)</f>
        <v>0</v>
      </c>
      <c r="S643">
        <f t="shared" ref="S643:S706" si="107">IF(C643="female", 1, 0)</f>
        <v>0</v>
      </c>
      <c r="T643">
        <f t="shared" ref="T643:T706" si="108">-7277.71 + (-1.28*B643) + (85.5*D643) + (738.24*G643) + (159.59*E643) + (1259.19*L643) + (-3644.73*M643) + (-2956.11*N643) + (-2948.04*O643) + (-17828.85*Q643) + (-69.06*R643) + (444.95*S643)</f>
        <v>12564.07</v>
      </c>
      <c r="U643">
        <f t="shared" ref="U643:U706" si="109">J643-T643</f>
        <v>-3672.9300000000003</v>
      </c>
    </row>
    <row r="644" spans="1:21" x14ac:dyDescent="0.3">
      <c r="A644">
        <v>643</v>
      </c>
      <c r="B644">
        <v>54</v>
      </c>
      <c r="C644" t="s">
        <v>16</v>
      </c>
      <c r="D644">
        <v>29.5</v>
      </c>
      <c r="E644">
        <v>99</v>
      </c>
      <c r="F644" t="s">
        <v>12</v>
      </c>
      <c r="G644">
        <v>1</v>
      </c>
      <c r="H644" t="s">
        <v>12</v>
      </c>
      <c r="I644" t="s">
        <v>14</v>
      </c>
      <c r="J644">
        <v>8930.93</v>
      </c>
      <c r="K644" t="str">
        <f t="shared" si="100"/>
        <v>25-30</v>
      </c>
      <c r="L644">
        <f t="shared" si="101"/>
        <v>0</v>
      </c>
      <c r="M644">
        <f t="shared" si="102"/>
        <v>0</v>
      </c>
      <c r="N644">
        <f t="shared" si="103"/>
        <v>0</v>
      </c>
      <c r="O644">
        <f t="shared" si="104"/>
        <v>1</v>
      </c>
      <c r="P644">
        <v>0.70819470097400417</v>
      </c>
      <c r="Q644">
        <f t="shared" si="105"/>
        <v>0</v>
      </c>
      <c r="R644">
        <f t="shared" si="106"/>
        <v>0</v>
      </c>
      <c r="S644">
        <f t="shared" si="107"/>
        <v>1</v>
      </c>
      <c r="T644">
        <f t="shared" si="108"/>
        <v>9209.98</v>
      </c>
      <c r="U644">
        <f t="shared" si="109"/>
        <v>-279.04999999999927</v>
      </c>
    </row>
    <row r="645" spans="1:21" x14ac:dyDescent="0.3">
      <c r="A645">
        <v>644</v>
      </c>
      <c r="B645">
        <v>43</v>
      </c>
      <c r="C645" t="s">
        <v>16</v>
      </c>
      <c r="D645">
        <v>25.6</v>
      </c>
      <c r="E645">
        <v>100</v>
      </c>
      <c r="F645" t="s">
        <v>11</v>
      </c>
      <c r="G645">
        <v>0</v>
      </c>
      <c r="H645" t="s">
        <v>12</v>
      </c>
      <c r="I645" t="s">
        <v>15</v>
      </c>
      <c r="J645">
        <v>8932.08</v>
      </c>
      <c r="K645" t="str">
        <f t="shared" si="100"/>
        <v>25-30</v>
      </c>
      <c r="L645">
        <f t="shared" si="101"/>
        <v>0</v>
      </c>
      <c r="M645">
        <f t="shared" si="102"/>
        <v>0</v>
      </c>
      <c r="N645">
        <f t="shared" si="103"/>
        <v>1</v>
      </c>
      <c r="O645">
        <f t="shared" si="104"/>
        <v>0</v>
      </c>
      <c r="P645">
        <v>0.60527463196061659</v>
      </c>
      <c r="Q645">
        <f t="shared" si="105"/>
        <v>0</v>
      </c>
      <c r="R645">
        <f t="shared" si="106"/>
        <v>1</v>
      </c>
      <c r="S645">
        <f t="shared" si="107"/>
        <v>1</v>
      </c>
      <c r="T645">
        <f t="shared" si="108"/>
        <v>8234.8299999999981</v>
      </c>
      <c r="U645">
        <f t="shared" si="109"/>
        <v>697.25000000000182</v>
      </c>
    </row>
    <row r="646" spans="1:21" x14ac:dyDescent="0.3">
      <c r="A646">
        <v>645</v>
      </c>
      <c r="B646">
        <v>43</v>
      </c>
      <c r="C646" t="s">
        <v>10</v>
      </c>
      <c r="D646">
        <v>43.9</v>
      </c>
      <c r="E646">
        <v>89</v>
      </c>
      <c r="F646" t="s">
        <v>11</v>
      </c>
      <c r="G646">
        <v>3</v>
      </c>
      <c r="H646" t="s">
        <v>12</v>
      </c>
      <c r="I646" t="s">
        <v>13</v>
      </c>
      <c r="J646">
        <v>8944.1200000000008</v>
      </c>
      <c r="K646" t="str">
        <f t="shared" si="100"/>
        <v>35+</v>
      </c>
      <c r="L646">
        <f t="shared" si="101"/>
        <v>0</v>
      </c>
      <c r="M646">
        <f t="shared" si="102"/>
        <v>1</v>
      </c>
      <c r="N646">
        <f t="shared" si="103"/>
        <v>0</v>
      </c>
      <c r="O646">
        <f t="shared" si="104"/>
        <v>0</v>
      </c>
      <c r="P646">
        <v>0.46293394788031328</v>
      </c>
      <c r="Q646">
        <f t="shared" si="105"/>
        <v>0</v>
      </c>
      <c r="R646">
        <f t="shared" si="106"/>
        <v>1</v>
      </c>
      <c r="S646">
        <f t="shared" si="107"/>
        <v>0</v>
      </c>
      <c r="T646">
        <f t="shared" si="108"/>
        <v>9125.1400000000012</v>
      </c>
      <c r="U646">
        <f t="shared" si="109"/>
        <v>-181.02000000000044</v>
      </c>
    </row>
    <row r="647" spans="1:21" x14ac:dyDescent="0.3">
      <c r="A647">
        <v>646</v>
      </c>
      <c r="B647">
        <v>38</v>
      </c>
      <c r="C647" t="s">
        <v>10</v>
      </c>
      <c r="D647">
        <v>31.4</v>
      </c>
      <c r="E647">
        <v>98</v>
      </c>
      <c r="F647" t="s">
        <v>11</v>
      </c>
      <c r="G647">
        <v>1</v>
      </c>
      <c r="H647" t="s">
        <v>12</v>
      </c>
      <c r="I647" t="s">
        <v>17</v>
      </c>
      <c r="J647">
        <v>8964.06</v>
      </c>
      <c r="K647" t="str">
        <f t="shared" si="100"/>
        <v>30-35</v>
      </c>
      <c r="L647">
        <f t="shared" si="101"/>
        <v>0</v>
      </c>
      <c r="M647">
        <f t="shared" si="102"/>
        <v>0</v>
      </c>
      <c r="N647">
        <f t="shared" si="103"/>
        <v>0</v>
      </c>
      <c r="O647">
        <f t="shared" si="104"/>
        <v>0</v>
      </c>
      <c r="P647">
        <v>0.2760674702098832</v>
      </c>
      <c r="Q647">
        <f t="shared" si="105"/>
        <v>0</v>
      </c>
      <c r="R647">
        <f t="shared" si="106"/>
        <v>1</v>
      </c>
      <c r="S647">
        <f t="shared" si="107"/>
        <v>0</v>
      </c>
      <c r="T647">
        <f t="shared" si="108"/>
        <v>11667.35</v>
      </c>
      <c r="U647">
        <f t="shared" si="109"/>
        <v>-2703.2900000000009</v>
      </c>
    </row>
    <row r="648" spans="1:21" x14ac:dyDescent="0.3">
      <c r="A648">
        <v>647</v>
      </c>
      <c r="B648">
        <v>45</v>
      </c>
      <c r="C648" t="s">
        <v>16</v>
      </c>
      <c r="D648">
        <v>24.2</v>
      </c>
      <c r="E648">
        <v>98</v>
      </c>
      <c r="F648" t="s">
        <v>12</v>
      </c>
      <c r="G648">
        <v>5</v>
      </c>
      <c r="H648" t="s">
        <v>12</v>
      </c>
      <c r="I648" t="s">
        <v>14</v>
      </c>
      <c r="J648">
        <v>8965.7999999999993</v>
      </c>
      <c r="K648" t="str">
        <f t="shared" si="100"/>
        <v>20-25</v>
      </c>
      <c r="L648">
        <f t="shared" si="101"/>
        <v>0</v>
      </c>
      <c r="M648">
        <f t="shared" si="102"/>
        <v>0</v>
      </c>
      <c r="N648">
        <f t="shared" si="103"/>
        <v>0</v>
      </c>
      <c r="O648">
        <f t="shared" si="104"/>
        <v>1</v>
      </c>
      <c r="P648">
        <v>0.6390149958128869</v>
      </c>
      <c r="Q648">
        <f t="shared" si="105"/>
        <v>0</v>
      </c>
      <c r="R648">
        <f t="shared" si="106"/>
        <v>0</v>
      </c>
      <c r="S648">
        <f t="shared" si="107"/>
        <v>1</v>
      </c>
      <c r="T648">
        <f t="shared" si="108"/>
        <v>11561.719999999998</v>
      </c>
      <c r="U648">
        <f t="shared" si="109"/>
        <v>-2595.9199999999983</v>
      </c>
    </row>
    <row r="649" spans="1:21" x14ac:dyDescent="0.3">
      <c r="A649">
        <v>648</v>
      </c>
      <c r="B649">
        <v>23</v>
      </c>
      <c r="C649" t="s">
        <v>10</v>
      </c>
      <c r="D649">
        <v>30.2</v>
      </c>
      <c r="E649">
        <v>95</v>
      </c>
      <c r="F649" t="s">
        <v>12</v>
      </c>
      <c r="G649">
        <v>2</v>
      </c>
      <c r="H649" t="s">
        <v>12</v>
      </c>
      <c r="I649" t="s">
        <v>15</v>
      </c>
      <c r="J649">
        <v>8968.33</v>
      </c>
      <c r="K649" t="str">
        <f t="shared" si="100"/>
        <v>30-35</v>
      </c>
      <c r="L649">
        <f t="shared" si="101"/>
        <v>0</v>
      </c>
      <c r="M649">
        <f t="shared" si="102"/>
        <v>0</v>
      </c>
      <c r="N649">
        <f t="shared" si="103"/>
        <v>1</v>
      </c>
      <c r="O649">
        <f t="shared" si="104"/>
        <v>0</v>
      </c>
      <c r="P649">
        <v>0.70071338724993071</v>
      </c>
      <c r="Q649">
        <f t="shared" si="105"/>
        <v>0</v>
      </c>
      <c r="R649">
        <f t="shared" si="106"/>
        <v>0</v>
      </c>
      <c r="S649">
        <f t="shared" si="107"/>
        <v>0</v>
      </c>
      <c r="T649">
        <f t="shared" si="108"/>
        <v>8956.3700000000008</v>
      </c>
      <c r="U649">
        <f t="shared" si="109"/>
        <v>11.959999999999127</v>
      </c>
    </row>
    <row r="650" spans="1:21" x14ac:dyDescent="0.3">
      <c r="A650">
        <v>649</v>
      </c>
      <c r="B650">
        <v>32</v>
      </c>
      <c r="C650" t="s">
        <v>10</v>
      </c>
      <c r="D650">
        <v>37.299999999999997</v>
      </c>
      <c r="E650">
        <v>85</v>
      </c>
      <c r="F650" t="s">
        <v>12</v>
      </c>
      <c r="G650">
        <v>2</v>
      </c>
      <c r="H650" t="s">
        <v>12</v>
      </c>
      <c r="I650" t="s">
        <v>13</v>
      </c>
      <c r="J650">
        <v>8978.19</v>
      </c>
      <c r="K650" t="str">
        <f t="shared" si="100"/>
        <v>35+</v>
      </c>
      <c r="L650">
        <f t="shared" si="101"/>
        <v>0</v>
      </c>
      <c r="M650">
        <f t="shared" si="102"/>
        <v>1</v>
      </c>
      <c r="N650">
        <f t="shared" si="103"/>
        <v>0</v>
      </c>
      <c r="O650">
        <f t="shared" si="104"/>
        <v>0</v>
      </c>
      <c r="P650">
        <v>0.89525416545145431</v>
      </c>
      <c r="Q650">
        <f t="shared" si="105"/>
        <v>0</v>
      </c>
      <c r="R650">
        <f t="shared" si="106"/>
        <v>0</v>
      </c>
      <c r="S650">
        <f t="shared" si="107"/>
        <v>0</v>
      </c>
      <c r="T650">
        <f t="shared" si="108"/>
        <v>7267.3799999999992</v>
      </c>
      <c r="U650">
        <f t="shared" si="109"/>
        <v>1710.8100000000013</v>
      </c>
    </row>
    <row r="651" spans="1:21" x14ac:dyDescent="0.3">
      <c r="A651">
        <v>650</v>
      </c>
      <c r="B651">
        <v>37</v>
      </c>
      <c r="C651" t="s">
        <v>16</v>
      </c>
      <c r="D651">
        <v>29.9</v>
      </c>
      <c r="E651">
        <v>85</v>
      </c>
      <c r="F651" t="s">
        <v>12</v>
      </c>
      <c r="G651">
        <v>0</v>
      </c>
      <c r="H651" t="s">
        <v>12</v>
      </c>
      <c r="I651" t="s">
        <v>14</v>
      </c>
      <c r="J651">
        <v>8988.16</v>
      </c>
      <c r="K651" t="str">
        <f t="shared" si="100"/>
        <v>25-30</v>
      </c>
      <c r="L651">
        <f t="shared" si="101"/>
        <v>0</v>
      </c>
      <c r="M651">
        <f t="shared" si="102"/>
        <v>0</v>
      </c>
      <c r="N651">
        <f t="shared" si="103"/>
        <v>0</v>
      </c>
      <c r="O651">
        <f t="shared" si="104"/>
        <v>1</v>
      </c>
      <c r="P651">
        <v>5.8329128937483654E-2</v>
      </c>
      <c r="Q651">
        <f t="shared" si="105"/>
        <v>0</v>
      </c>
      <c r="R651">
        <f t="shared" si="106"/>
        <v>0</v>
      </c>
      <c r="S651">
        <f t="shared" si="107"/>
        <v>1</v>
      </c>
      <c r="T651">
        <f t="shared" si="108"/>
        <v>6293.4399999999987</v>
      </c>
      <c r="U651">
        <f t="shared" si="109"/>
        <v>2694.7200000000012</v>
      </c>
    </row>
    <row r="652" spans="1:21" x14ac:dyDescent="0.3">
      <c r="A652">
        <v>651</v>
      </c>
      <c r="B652">
        <v>50</v>
      </c>
      <c r="C652" t="s">
        <v>10</v>
      </c>
      <c r="D652">
        <v>37.1</v>
      </c>
      <c r="E652">
        <v>96</v>
      </c>
      <c r="F652" t="s">
        <v>12</v>
      </c>
      <c r="G652">
        <v>1</v>
      </c>
      <c r="H652" t="s">
        <v>12</v>
      </c>
      <c r="I652" t="s">
        <v>13</v>
      </c>
      <c r="J652">
        <v>9048.0300000000007</v>
      </c>
      <c r="K652" t="str">
        <f t="shared" si="100"/>
        <v>35+</v>
      </c>
      <c r="L652">
        <f t="shared" si="101"/>
        <v>0</v>
      </c>
      <c r="M652">
        <f t="shared" si="102"/>
        <v>1</v>
      </c>
      <c r="N652">
        <f t="shared" si="103"/>
        <v>0</v>
      </c>
      <c r="O652">
        <f t="shared" si="104"/>
        <v>0</v>
      </c>
      <c r="P652">
        <v>0.39774049593591831</v>
      </c>
      <c r="Q652">
        <f t="shared" si="105"/>
        <v>0</v>
      </c>
      <c r="R652">
        <f t="shared" si="106"/>
        <v>0</v>
      </c>
      <c r="S652">
        <f t="shared" si="107"/>
        <v>0</v>
      </c>
      <c r="T652">
        <f t="shared" si="108"/>
        <v>8244.49</v>
      </c>
      <c r="U652">
        <f t="shared" si="109"/>
        <v>803.54000000000087</v>
      </c>
    </row>
    <row r="653" spans="1:21" x14ac:dyDescent="0.3">
      <c r="A653">
        <v>652</v>
      </c>
      <c r="B653">
        <v>22</v>
      </c>
      <c r="C653" t="s">
        <v>10</v>
      </c>
      <c r="D653">
        <v>44.8</v>
      </c>
      <c r="E653">
        <v>92</v>
      </c>
      <c r="F653" t="s">
        <v>11</v>
      </c>
      <c r="G653">
        <v>1</v>
      </c>
      <c r="H653" t="s">
        <v>12</v>
      </c>
      <c r="I653" t="s">
        <v>13</v>
      </c>
      <c r="J653">
        <v>9058.73</v>
      </c>
      <c r="K653" t="str">
        <f t="shared" si="100"/>
        <v>35+</v>
      </c>
      <c r="L653">
        <f t="shared" si="101"/>
        <v>0</v>
      </c>
      <c r="M653">
        <f t="shared" si="102"/>
        <v>1</v>
      </c>
      <c r="N653">
        <f t="shared" si="103"/>
        <v>0</v>
      </c>
      <c r="O653">
        <f t="shared" si="104"/>
        <v>0</v>
      </c>
      <c r="P653">
        <v>0.16023368377461356</v>
      </c>
      <c r="Q653">
        <f t="shared" si="105"/>
        <v>0</v>
      </c>
      <c r="R653">
        <f t="shared" si="106"/>
        <v>1</v>
      </c>
      <c r="S653">
        <f t="shared" si="107"/>
        <v>0</v>
      </c>
      <c r="T653">
        <f t="shared" si="108"/>
        <v>8231.26</v>
      </c>
      <c r="U653">
        <f t="shared" si="109"/>
        <v>827.46999999999935</v>
      </c>
    </row>
    <row r="654" spans="1:21" x14ac:dyDescent="0.3">
      <c r="A654">
        <v>653</v>
      </c>
      <c r="B654">
        <v>55</v>
      </c>
      <c r="C654" t="s">
        <v>16</v>
      </c>
      <c r="D654">
        <v>25.2</v>
      </c>
      <c r="E654">
        <v>81</v>
      </c>
      <c r="F654" t="s">
        <v>11</v>
      </c>
      <c r="G654">
        <v>2</v>
      </c>
      <c r="H654" t="s">
        <v>12</v>
      </c>
      <c r="I654" t="s">
        <v>17</v>
      </c>
      <c r="J654">
        <v>9095.07</v>
      </c>
      <c r="K654" t="str">
        <f t="shared" si="100"/>
        <v>25-30</v>
      </c>
      <c r="L654">
        <f t="shared" si="101"/>
        <v>0</v>
      </c>
      <c r="M654">
        <f t="shared" si="102"/>
        <v>0</v>
      </c>
      <c r="N654">
        <f t="shared" si="103"/>
        <v>0</v>
      </c>
      <c r="O654">
        <f t="shared" si="104"/>
        <v>0</v>
      </c>
      <c r="P654">
        <v>0.88209811408012906</v>
      </c>
      <c r="Q654">
        <f t="shared" si="105"/>
        <v>0</v>
      </c>
      <c r="R654">
        <f t="shared" si="106"/>
        <v>1</v>
      </c>
      <c r="S654">
        <f t="shared" si="107"/>
        <v>1</v>
      </c>
      <c r="T654">
        <f t="shared" si="108"/>
        <v>9585.6500000000015</v>
      </c>
      <c r="U654">
        <f t="shared" si="109"/>
        <v>-490.58000000000175</v>
      </c>
    </row>
    <row r="655" spans="1:21" x14ac:dyDescent="0.3">
      <c r="A655">
        <v>654</v>
      </c>
      <c r="B655">
        <v>48</v>
      </c>
      <c r="C655" t="s">
        <v>16</v>
      </c>
      <c r="D655">
        <v>25.7</v>
      </c>
      <c r="E655">
        <v>93</v>
      </c>
      <c r="F655" t="s">
        <v>12</v>
      </c>
      <c r="G655">
        <v>3</v>
      </c>
      <c r="H655" t="s">
        <v>12</v>
      </c>
      <c r="I655" t="s">
        <v>15</v>
      </c>
      <c r="J655">
        <v>9101.7999999999993</v>
      </c>
      <c r="K655" t="str">
        <f t="shared" si="100"/>
        <v>25-30</v>
      </c>
      <c r="L655">
        <f t="shared" si="101"/>
        <v>0</v>
      </c>
      <c r="M655">
        <f t="shared" si="102"/>
        <v>0</v>
      </c>
      <c r="N655">
        <f t="shared" si="103"/>
        <v>1</v>
      </c>
      <c r="O655">
        <f t="shared" si="104"/>
        <v>0</v>
      </c>
      <c r="P655">
        <v>0.59410304901528144</v>
      </c>
      <c r="Q655">
        <f t="shared" si="105"/>
        <v>0</v>
      </c>
      <c r="R655">
        <f t="shared" si="106"/>
        <v>0</v>
      </c>
      <c r="S655">
        <f t="shared" si="107"/>
        <v>1</v>
      </c>
      <c r="T655">
        <f t="shared" si="108"/>
        <v>9403.630000000001</v>
      </c>
      <c r="U655">
        <f t="shared" si="109"/>
        <v>-301.83000000000175</v>
      </c>
    </row>
    <row r="656" spans="1:21" x14ac:dyDescent="0.3">
      <c r="A656">
        <v>655</v>
      </c>
      <c r="B656">
        <v>43</v>
      </c>
      <c r="C656" t="s">
        <v>10</v>
      </c>
      <c r="D656">
        <v>34.1</v>
      </c>
      <c r="E656">
        <v>89</v>
      </c>
      <c r="F656" t="s">
        <v>11</v>
      </c>
      <c r="G656">
        <v>0</v>
      </c>
      <c r="H656" t="s">
        <v>12</v>
      </c>
      <c r="I656" t="s">
        <v>13</v>
      </c>
      <c r="J656">
        <v>9140.9500000000007</v>
      </c>
      <c r="K656" t="str">
        <f t="shared" si="100"/>
        <v>30-35</v>
      </c>
      <c r="L656">
        <f t="shared" si="101"/>
        <v>0</v>
      </c>
      <c r="M656">
        <f t="shared" si="102"/>
        <v>1</v>
      </c>
      <c r="N656">
        <f t="shared" si="103"/>
        <v>0</v>
      </c>
      <c r="O656">
        <f t="shared" si="104"/>
        <v>0</v>
      </c>
      <c r="P656">
        <v>0.78489081627799429</v>
      </c>
      <c r="Q656">
        <f t="shared" si="105"/>
        <v>0</v>
      </c>
      <c r="R656">
        <f t="shared" si="106"/>
        <v>1</v>
      </c>
      <c r="S656">
        <f t="shared" si="107"/>
        <v>0</v>
      </c>
      <c r="T656">
        <f t="shared" si="108"/>
        <v>6072.5200000000013</v>
      </c>
      <c r="U656">
        <f t="shared" si="109"/>
        <v>3068.4299999999994</v>
      </c>
    </row>
    <row r="657" spans="1:21" x14ac:dyDescent="0.3">
      <c r="A657">
        <v>656</v>
      </c>
      <c r="B657">
        <v>34</v>
      </c>
      <c r="C657" t="s">
        <v>10</v>
      </c>
      <c r="D657">
        <v>36.700000000000003</v>
      </c>
      <c r="E657">
        <v>92</v>
      </c>
      <c r="F657" t="s">
        <v>12</v>
      </c>
      <c r="G657">
        <v>0</v>
      </c>
      <c r="H657" t="s">
        <v>12</v>
      </c>
      <c r="I657" t="s">
        <v>15</v>
      </c>
      <c r="J657">
        <v>9144.57</v>
      </c>
      <c r="K657" t="str">
        <f t="shared" si="100"/>
        <v>35+</v>
      </c>
      <c r="L657">
        <f t="shared" si="101"/>
        <v>0</v>
      </c>
      <c r="M657">
        <f t="shared" si="102"/>
        <v>0</v>
      </c>
      <c r="N657">
        <f t="shared" si="103"/>
        <v>1</v>
      </c>
      <c r="O657">
        <f t="shared" si="104"/>
        <v>0</v>
      </c>
      <c r="P657">
        <v>0.31505026712788842</v>
      </c>
      <c r="Q657">
        <f t="shared" si="105"/>
        <v>0</v>
      </c>
      <c r="R657">
        <f t="shared" si="106"/>
        <v>0</v>
      </c>
      <c r="S657">
        <f t="shared" si="107"/>
        <v>0</v>
      </c>
      <c r="T657">
        <f t="shared" si="108"/>
        <v>7542.7900000000009</v>
      </c>
      <c r="U657">
        <f t="shared" si="109"/>
        <v>1601.7799999999988</v>
      </c>
    </row>
    <row r="658" spans="1:21" x14ac:dyDescent="0.3">
      <c r="A658">
        <v>657</v>
      </c>
      <c r="B658">
        <v>46</v>
      </c>
      <c r="C658" t="s">
        <v>10</v>
      </c>
      <c r="D658">
        <v>31.6</v>
      </c>
      <c r="E658">
        <v>91</v>
      </c>
      <c r="F658" t="s">
        <v>12</v>
      </c>
      <c r="G658">
        <v>0</v>
      </c>
      <c r="H658" t="s">
        <v>12</v>
      </c>
      <c r="I658" t="s">
        <v>14</v>
      </c>
      <c r="J658">
        <v>9174.14</v>
      </c>
      <c r="K658" t="str">
        <f t="shared" si="100"/>
        <v>30-35</v>
      </c>
      <c r="L658">
        <f t="shared" si="101"/>
        <v>0</v>
      </c>
      <c r="M658">
        <f t="shared" si="102"/>
        <v>0</v>
      </c>
      <c r="N658">
        <f t="shared" si="103"/>
        <v>0</v>
      </c>
      <c r="O658">
        <f t="shared" si="104"/>
        <v>1</v>
      </c>
      <c r="P658">
        <v>0.34806360968648165</v>
      </c>
      <c r="Q658">
        <f t="shared" si="105"/>
        <v>0</v>
      </c>
      <c r="R658">
        <f t="shared" si="106"/>
        <v>0</v>
      </c>
      <c r="S658">
        <f t="shared" si="107"/>
        <v>0</v>
      </c>
      <c r="T658">
        <f t="shared" si="108"/>
        <v>6939.8600000000015</v>
      </c>
      <c r="U658">
        <f t="shared" si="109"/>
        <v>2234.2799999999979</v>
      </c>
    </row>
    <row r="659" spans="1:21" x14ac:dyDescent="0.3">
      <c r="A659">
        <v>658</v>
      </c>
      <c r="B659">
        <v>56</v>
      </c>
      <c r="C659" t="s">
        <v>16</v>
      </c>
      <c r="D659">
        <v>21.3</v>
      </c>
      <c r="E659">
        <v>100</v>
      </c>
      <c r="F659" t="s">
        <v>12</v>
      </c>
      <c r="G659">
        <v>1</v>
      </c>
      <c r="H659" t="s">
        <v>12</v>
      </c>
      <c r="I659" t="s">
        <v>15</v>
      </c>
      <c r="J659">
        <v>9182.17</v>
      </c>
      <c r="K659" t="str">
        <f t="shared" si="100"/>
        <v>20-25</v>
      </c>
      <c r="L659">
        <f t="shared" si="101"/>
        <v>0</v>
      </c>
      <c r="M659">
        <f t="shared" si="102"/>
        <v>0</v>
      </c>
      <c r="N659">
        <f t="shared" si="103"/>
        <v>1</v>
      </c>
      <c r="O659">
        <f t="shared" si="104"/>
        <v>0</v>
      </c>
      <c r="P659">
        <v>0.39658033875187282</v>
      </c>
      <c r="Q659">
        <f t="shared" si="105"/>
        <v>0</v>
      </c>
      <c r="R659">
        <f t="shared" si="106"/>
        <v>0</v>
      </c>
      <c r="S659">
        <f t="shared" si="107"/>
        <v>1</v>
      </c>
      <c r="T659">
        <f t="shared" si="108"/>
        <v>8657.84</v>
      </c>
      <c r="U659">
        <f t="shared" si="109"/>
        <v>524.32999999999993</v>
      </c>
    </row>
    <row r="660" spans="1:21" x14ac:dyDescent="0.3">
      <c r="A660">
        <v>659</v>
      </c>
      <c r="B660">
        <v>34</v>
      </c>
      <c r="C660" t="s">
        <v>16</v>
      </c>
      <c r="D660">
        <v>20</v>
      </c>
      <c r="E660">
        <v>91</v>
      </c>
      <c r="F660" t="s">
        <v>11</v>
      </c>
      <c r="G660">
        <v>2</v>
      </c>
      <c r="H660" t="s">
        <v>12</v>
      </c>
      <c r="I660" t="s">
        <v>14</v>
      </c>
      <c r="J660">
        <v>9193.84</v>
      </c>
      <c r="K660" t="str">
        <f t="shared" si="100"/>
        <v>20-25</v>
      </c>
      <c r="L660">
        <f t="shared" si="101"/>
        <v>0</v>
      </c>
      <c r="M660">
        <f t="shared" si="102"/>
        <v>0</v>
      </c>
      <c r="N660">
        <f t="shared" si="103"/>
        <v>0</v>
      </c>
      <c r="O660">
        <f t="shared" si="104"/>
        <v>1</v>
      </c>
      <c r="P660">
        <v>0.92451792180075298</v>
      </c>
      <c r="Q660">
        <f t="shared" si="105"/>
        <v>0</v>
      </c>
      <c r="R660">
        <f t="shared" si="106"/>
        <v>1</v>
      </c>
      <c r="S660">
        <f t="shared" si="107"/>
        <v>1</v>
      </c>
      <c r="T660">
        <f t="shared" si="108"/>
        <v>7815.79</v>
      </c>
      <c r="U660">
        <f t="shared" si="109"/>
        <v>1378.0500000000002</v>
      </c>
    </row>
    <row r="661" spans="1:21" x14ac:dyDescent="0.3">
      <c r="A661">
        <v>660</v>
      </c>
      <c r="B661">
        <v>19</v>
      </c>
      <c r="C661" t="s">
        <v>10</v>
      </c>
      <c r="D661">
        <v>29.6</v>
      </c>
      <c r="E661">
        <v>94</v>
      </c>
      <c r="F661" t="s">
        <v>12</v>
      </c>
      <c r="G661">
        <v>5</v>
      </c>
      <c r="H661" t="s">
        <v>12</v>
      </c>
      <c r="I661" t="s">
        <v>17</v>
      </c>
      <c r="J661">
        <v>9222.4</v>
      </c>
      <c r="K661" t="str">
        <f t="shared" si="100"/>
        <v>25-30</v>
      </c>
      <c r="L661">
        <f t="shared" si="101"/>
        <v>0</v>
      </c>
      <c r="M661">
        <f t="shared" si="102"/>
        <v>0</v>
      </c>
      <c r="N661">
        <f t="shared" si="103"/>
        <v>0</v>
      </c>
      <c r="O661">
        <f t="shared" si="104"/>
        <v>0</v>
      </c>
      <c r="P661">
        <v>0.68939835866104948</v>
      </c>
      <c r="Q661">
        <f t="shared" si="105"/>
        <v>0</v>
      </c>
      <c r="R661">
        <f t="shared" si="106"/>
        <v>0</v>
      </c>
      <c r="S661">
        <f t="shared" si="107"/>
        <v>0</v>
      </c>
      <c r="T661">
        <f t="shared" si="108"/>
        <v>13921.43</v>
      </c>
      <c r="U661">
        <f t="shared" si="109"/>
        <v>-4699.0300000000007</v>
      </c>
    </row>
    <row r="662" spans="1:21" x14ac:dyDescent="0.3">
      <c r="A662">
        <v>661</v>
      </c>
      <c r="B662">
        <v>50</v>
      </c>
      <c r="C662" t="s">
        <v>10</v>
      </c>
      <c r="D662">
        <v>25.5</v>
      </c>
      <c r="E662">
        <v>86</v>
      </c>
      <c r="F662" t="s">
        <v>11</v>
      </c>
      <c r="G662">
        <v>2</v>
      </c>
      <c r="H662" t="s">
        <v>12</v>
      </c>
      <c r="I662" t="s">
        <v>17</v>
      </c>
      <c r="J662">
        <v>9225.26</v>
      </c>
      <c r="K662" t="str">
        <f t="shared" si="100"/>
        <v>25-30</v>
      </c>
      <c r="L662">
        <f t="shared" si="101"/>
        <v>0</v>
      </c>
      <c r="M662">
        <f t="shared" si="102"/>
        <v>0</v>
      </c>
      <c r="N662">
        <f t="shared" si="103"/>
        <v>0</v>
      </c>
      <c r="O662">
        <f t="shared" si="104"/>
        <v>0</v>
      </c>
      <c r="P662">
        <v>7.5157098895204166E-2</v>
      </c>
      <c r="Q662">
        <f t="shared" si="105"/>
        <v>0</v>
      </c>
      <c r="R662">
        <f t="shared" si="106"/>
        <v>1</v>
      </c>
      <c r="S662">
        <f t="shared" si="107"/>
        <v>0</v>
      </c>
      <c r="T662">
        <f t="shared" si="108"/>
        <v>9970.7000000000007</v>
      </c>
      <c r="U662">
        <f t="shared" si="109"/>
        <v>-745.44000000000051</v>
      </c>
    </row>
    <row r="663" spans="1:21" x14ac:dyDescent="0.3">
      <c r="A663">
        <v>662</v>
      </c>
      <c r="B663">
        <v>43</v>
      </c>
      <c r="C663" t="s">
        <v>16</v>
      </c>
      <c r="D663">
        <v>28.9</v>
      </c>
      <c r="E663">
        <v>84</v>
      </c>
      <c r="F663" t="s">
        <v>11</v>
      </c>
      <c r="G663">
        <v>1</v>
      </c>
      <c r="H663" t="s">
        <v>12</v>
      </c>
      <c r="I663" t="s">
        <v>14</v>
      </c>
      <c r="J663">
        <v>9249.5</v>
      </c>
      <c r="K663" t="str">
        <f t="shared" si="100"/>
        <v>25-30</v>
      </c>
      <c r="L663">
        <f t="shared" si="101"/>
        <v>0</v>
      </c>
      <c r="M663">
        <f t="shared" si="102"/>
        <v>0</v>
      </c>
      <c r="N663">
        <f t="shared" si="103"/>
        <v>0</v>
      </c>
      <c r="O663">
        <f t="shared" si="104"/>
        <v>1</v>
      </c>
      <c r="P663">
        <v>0.13247047623806396</v>
      </c>
      <c r="Q663">
        <f t="shared" si="105"/>
        <v>0</v>
      </c>
      <c r="R663">
        <f t="shared" si="106"/>
        <v>1</v>
      </c>
      <c r="S663">
        <f t="shared" si="107"/>
        <v>1</v>
      </c>
      <c r="T663">
        <f t="shared" si="108"/>
        <v>6709.8499999999995</v>
      </c>
      <c r="U663">
        <f t="shared" si="109"/>
        <v>2539.6500000000005</v>
      </c>
    </row>
    <row r="664" spans="1:21" x14ac:dyDescent="0.3">
      <c r="A664">
        <v>663</v>
      </c>
      <c r="B664">
        <v>57</v>
      </c>
      <c r="C664" t="s">
        <v>16</v>
      </c>
      <c r="D664">
        <v>20.6</v>
      </c>
      <c r="E664">
        <v>98</v>
      </c>
      <c r="F664" t="s">
        <v>12</v>
      </c>
      <c r="G664">
        <v>0</v>
      </c>
      <c r="H664" t="s">
        <v>12</v>
      </c>
      <c r="I664" t="s">
        <v>15</v>
      </c>
      <c r="J664">
        <v>9264.7999999999993</v>
      </c>
      <c r="K664" t="str">
        <f t="shared" si="100"/>
        <v>20-25</v>
      </c>
      <c r="L664">
        <f t="shared" si="101"/>
        <v>0</v>
      </c>
      <c r="M664">
        <f t="shared" si="102"/>
        <v>0</v>
      </c>
      <c r="N664">
        <f t="shared" si="103"/>
        <v>1</v>
      </c>
      <c r="O664">
        <f t="shared" si="104"/>
        <v>0</v>
      </c>
      <c r="P664">
        <v>0.9482124078348344</v>
      </c>
      <c r="Q664">
        <f t="shared" si="105"/>
        <v>0</v>
      </c>
      <c r="R664">
        <f t="shared" si="106"/>
        <v>0</v>
      </c>
      <c r="S664">
        <f t="shared" si="107"/>
        <v>1</v>
      </c>
      <c r="T664">
        <f t="shared" si="108"/>
        <v>7539.29</v>
      </c>
      <c r="U664">
        <f t="shared" si="109"/>
        <v>1725.5099999999993</v>
      </c>
    </row>
    <row r="665" spans="1:21" x14ac:dyDescent="0.3">
      <c r="A665">
        <v>664</v>
      </c>
      <c r="B665">
        <v>23</v>
      </c>
      <c r="C665" t="s">
        <v>10</v>
      </c>
      <c r="D665">
        <v>25.8</v>
      </c>
      <c r="E665">
        <v>88</v>
      </c>
      <c r="F665" t="s">
        <v>11</v>
      </c>
      <c r="G665">
        <v>1</v>
      </c>
      <c r="H665" t="s">
        <v>12</v>
      </c>
      <c r="I665" t="s">
        <v>17</v>
      </c>
      <c r="J665">
        <v>9282.48</v>
      </c>
      <c r="K665" t="str">
        <f t="shared" si="100"/>
        <v>25-30</v>
      </c>
      <c r="L665">
        <f t="shared" si="101"/>
        <v>0</v>
      </c>
      <c r="M665">
        <f t="shared" si="102"/>
        <v>0</v>
      </c>
      <c r="N665">
        <f t="shared" si="103"/>
        <v>0</v>
      </c>
      <c r="O665">
        <f t="shared" si="104"/>
        <v>0</v>
      </c>
      <c r="P665">
        <v>0.30255982010414262</v>
      </c>
      <c r="Q665">
        <f t="shared" si="105"/>
        <v>0</v>
      </c>
      <c r="R665">
        <f t="shared" si="106"/>
        <v>1</v>
      </c>
      <c r="S665">
        <f t="shared" si="107"/>
        <v>0</v>
      </c>
      <c r="T665">
        <f t="shared" si="108"/>
        <v>9611.85</v>
      </c>
      <c r="U665">
        <f t="shared" si="109"/>
        <v>-329.3700000000008</v>
      </c>
    </row>
    <row r="666" spans="1:21" x14ac:dyDescent="0.3">
      <c r="A666">
        <v>665</v>
      </c>
      <c r="B666">
        <v>43</v>
      </c>
      <c r="C666" t="s">
        <v>16</v>
      </c>
      <c r="D666">
        <v>34.1</v>
      </c>
      <c r="E666">
        <v>81</v>
      </c>
      <c r="F666" t="s">
        <v>12</v>
      </c>
      <c r="G666">
        <v>0</v>
      </c>
      <c r="H666" t="s">
        <v>12</v>
      </c>
      <c r="I666" t="s">
        <v>13</v>
      </c>
      <c r="J666">
        <v>9283.56</v>
      </c>
      <c r="K666" t="str">
        <f t="shared" si="100"/>
        <v>30-35</v>
      </c>
      <c r="L666">
        <f t="shared" si="101"/>
        <v>0</v>
      </c>
      <c r="M666">
        <f t="shared" si="102"/>
        <v>1</v>
      </c>
      <c r="N666">
        <f t="shared" si="103"/>
        <v>0</v>
      </c>
      <c r="O666">
        <f t="shared" si="104"/>
        <v>0</v>
      </c>
      <c r="P666">
        <v>0.54211741068031327</v>
      </c>
      <c r="Q666">
        <f t="shared" si="105"/>
        <v>0</v>
      </c>
      <c r="R666">
        <f t="shared" si="106"/>
        <v>0</v>
      </c>
      <c r="S666">
        <f t="shared" si="107"/>
        <v>1</v>
      </c>
      <c r="T666">
        <f t="shared" si="108"/>
        <v>5309.81</v>
      </c>
      <c r="U666">
        <f t="shared" si="109"/>
        <v>3973.7499999999991</v>
      </c>
    </row>
    <row r="667" spans="1:21" x14ac:dyDescent="0.3">
      <c r="A667">
        <v>666</v>
      </c>
      <c r="B667">
        <v>44</v>
      </c>
      <c r="C667" t="s">
        <v>10</v>
      </c>
      <c r="D667">
        <v>29.8</v>
      </c>
      <c r="E667">
        <v>82</v>
      </c>
      <c r="F667" t="s">
        <v>11</v>
      </c>
      <c r="G667">
        <v>1</v>
      </c>
      <c r="H667" t="s">
        <v>12</v>
      </c>
      <c r="I667" t="s">
        <v>17</v>
      </c>
      <c r="J667">
        <v>9288.0300000000007</v>
      </c>
      <c r="K667" t="str">
        <f t="shared" si="100"/>
        <v>25-30</v>
      </c>
      <c r="L667">
        <f t="shared" si="101"/>
        <v>0</v>
      </c>
      <c r="M667">
        <f t="shared" si="102"/>
        <v>0</v>
      </c>
      <c r="N667">
        <f t="shared" si="103"/>
        <v>0</v>
      </c>
      <c r="O667">
        <f t="shared" si="104"/>
        <v>0</v>
      </c>
      <c r="P667">
        <v>0.42176002573464333</v>
      </c>
      <c r="Q667">
        <f t="shared" si="105"/>
        <v>0</v>
      </c>
      <c r="R667">
        <f t="shared" si="106"/>
        <v>1</v>
      </c>
      <c r="S667">
        <f t="shared" si="107"/>
        <v>0</v>
      </c>
      <c r="T667">
        <f t="shared" si="108"/>
        <v>8969.4300000000021</v>
      </c>
      <c r="U667">
        <f t="shared" si="109"/>
        <v>318.59999999999854</v>
      </c>
    </row>
    <row r="668" spans="1:21" x14ac:dyDescent="0.3">
      <c r="A668">
        <v>667</v>
      </c>
      <c r="B668">
        <v>23</v>
      </c>
      <c r="C668" t="s">
        <v>10</v>
      </c>
      <c r="D668">
        <v>31.4</v>
      </c>
      <c r="E668">
        <v>94</v>
      </c>
      <c r="F668" t="s">
        <v>11</v>
      </c>
      <c r="G668">
        <v>1</v>
      </c>
      <c r="H668" t="s">
        <v>12</v>
      </c>
      <c r="I668" t="s">
        <v>17</v>
      </c>
      <c r="J668">
        <v>9290.14</v>
      </c>
      <c r="K668" t="str">
        <f t="shared" si="100"/>
        <v>30-35</v>
      </c>
      <c r="L668">
        <f t="shared" si="101"/>
        <v>0</v>
      </c>
      <c r="M668">
        <f t="shared" si="102"/>
        <v>0</v>
      </c>
      <c r="N668">
        <f t="shared" si="103"/>
        <v>0</v>
      </c>
      <c r="O668">
        <f t="shared" si="104"/>
        <v>0</v>
      </c>
      <c r="P668">
        <v>8.0700042251689585E-2</v>
      </c>
      <c r="Q668">
        <f t="shared" si="105"/>
        <v>0</v>
      </c>
      <c r="R668">
        <f t="shared" si="106"/>
        <v>1</v>
      </c>
      <c r="S668">
        <f t="shared" si="107"/>
        <v>0</v>
      </c>
      <c r="T668">
        <f t="shared" si="108"/>
        <v>11048.19</v>
      </c>
      <c r="U668">
        <f t="shared" si="109"/>
        <v>-1758.0500000000011</v>
      </c>
    </row>
    <row r="669" spans="1:21" x14ac:dyDescent="0.3">
      <c r="A669">
        <v>668</v>
      </c>
      <c r="B669">
        <v>33</v>
      </c>
      <c r="C669" t="s">
        <v>10</v>
      </c>
      <c r="D669">
        <v>25.7</v>
      </c>
      <c r="E669">
        <v>80</v>
      </c>
      <c r="F669" t="s">
        <v>12</v>
      </c>
      <c r="G669">
        <v>3</v>
      </c>
      <c r="H669" t="s">
        <v>12</v>
      </c>
      <c r="I669" t="s">
        <v>14</v>
      </c>
      <c r="J669">
        <v>9301.89</v>
      </c>
      <c r="K669" t="str">
        <f t="shared" si="100"/>
        <v>25-30</v>
      </c>
      <c r="L669">
        <f t="shared" si="101"/>
        <v>0</v>
      </c>
      <c r="M669">
        <f t="shared" si="102"/>
        <v>0</v>
      </c>
      <c r="N669">
        <f t="shared" si="103"/>
        <v>0</v>
      </c>
      <c r="O669">
        <f t="shared" si="104"/>
        <v>1</v>
      </c>
      <c r="P669">
        <v>0.12292974907134246</v>
      </c>
      <c r="Q669">
        <f t="shared" si="105"/>
        <v>0</v>
      </c>
      <c r="R669">
        <f t="shared" si="106"/>
        <v>0</v>
      </c>
      <c r="S669">
        <f t="shared" si="107"/>
        <v>0</v>
      </c>
      <c r="T669">
        <f t="shared" si="108"/>
        <v>6911.28</v>
      </c>
      <c r="U669">
        <f t="shared" si="109"/>
        <v>2390.6099999999997</v>
      </c>
    </row>
    <row r="670" spans="1:21" x14ac:dyDescent="0.3">
      <c r="A670">
        <v>669</v>
      </c>
      <c r="B670">
        <v>39</v>
      </c>
      <c r="C670" t="s">
        <v>10</v>
      </c>
      <c r="D670">
        <v>37.5</v>
      </c>
      <c r="E670">
        <v>90</v>
      </c>
      <c r="F670" t="s">
        <v>11</v>
      </c>
      <c r="G670">
        <v>2</v>
      </c>
      <c r="H670" t="s">
        <v>12</v>
      </c>
      <c r="I670" t="s">
        <v>13</v>
      </c>
      <c r="J670">
        <v>9304.7000000000007</v>
      </c>
      <c r="K670" t="str">
        <f t="shared" si="100"/>
        <v>35+</v>
      </c>
      <c r="L670">
        <f t="shared" si="101"/>
        <v>0</v>
      </c>
      <c r="M670">
        <f t="shared" si="102"/>
        <v>1</v>
      </c>
      <c r="N670">
        <f t="shared" si="103"/>
        <v>0</v>
      </c>
      <c r="O670">
        <f t="shared" si="104"/>
        <v>0</v>
      </c>
      <c r="P670">
        <v>0.34570918809360496</v>
      </c>
      <c r="Q670">
        <f t="shared" si="105"/>
        <v>0</v>
      </c>
      <c r="R670">
        <f t="shared" si="106"/>
        <v>1</v>
      </c>
      <c r="S670">
        <f t="shared" si="107"/>
        <v>0</v>
      </c>
      <c r="T670">
        <f t="shared" si="108"/>
        <v>8004.4100000000008</v>
      </c>
      <c r="U670">
        <f t="shared" si="109"/>
        <v>1300.29</v>
      </c>
    </row>
    <row r="671" spans="1:21" x14ac:dyDescent="0.3">
      <c r="A671">
        <v>670</v>
      </c>
      <c r="B671">
        <v>45</v>
      </c>
      <c r="C671" t="s">
        <v>10</v>
      </c>
      <c r="D671">
        <v>22.4</v>
      </c>
      <c r="E671">
        <v>83</v>
      </c>
      <c r="F671" t="s">
        <v>11</v>
      </c>
      <c r="G671">
        <v>0</v>
      </c>
      <c r="H671" t="s">
        <v>12</v>
      </c>
      <c r="I671" t="s">
        <v>17</v>
      </c>
      <c r="J671">
        <v>9361.33</v>
      </c>
      <c r="K671" t="str">
        <f t="shared" si="100"/>
        <v>20-25</v>
      </c>
      <c r="L671">
        <f t="shared" si="101"/>
        <v>0</v>
      </c>
      <c r="M671">
        <f t="shared" si="102"/>
        <v>0</v>
      </c>
      <c r="N671">
        <f t="shared" si="103"/>
        <v>0</v>
      </c>
      <c r="O671">
        <f t="shared" si="104"/>
        <v>0</v>
      </c>
      <c r="P671">
        <v>0.64240441930678471</v>
      </c>
      <c r="Q671">
        <f t="shared" si="105"/>
        <v>0</v>
      </c>
      <c r="R671">
        <f t="shared" si="106"/>
        <v>1</v>
      </c>
      <c r="S671">
        <f t="shared" si="107"/>
        <v>0</v>
      </c>
      <c r="T671">
        <f t="shared" si="108"/>
        <v>7756.8</v>
      </c>
      <c r="U671">
        <f t="shared" si="109"/>
        <v>1604.5299999999997</v>
      </c>
    </row>
    <row r="672" spans="1:21" x14ac:dyDescent="0.3">
      <c r="A672">
        <v>671</v>
      </c>
      <c r="B672">
        <v>37</v>
      </c>
      <c r="C672" t="s">
        <v>10</v>
      </c>
      <c r="D672">
        <v>30</v>
      </c>
      <c r="E672">
        <v>95</v>
      </c>
      <c r="F672" t="s">
        <v>12</v>
      </c>
      <c r="G672">
        <v>1</v>
      </c>
      <c r="H672" t="s">
        <v>12</v>
      </c>
      <c r="I672" t="s">
        <v>13</v>
      </c>
      <c r="J672">
        <v>9377.9</v>
      </c>
      <c r="K672" t="str">
        <f t="shared" si="100"/>
        <v>30-35</v>
      </c>
      <c r="L672">
        <f t="shared" si="101"/>
        <v>0</v>
      </c>
      <c r="M672">
        <f t="shared" si="102"/>
        <v>1</v>
      </c>
      <c r="N672">
        <f t="shared" si="103"/>
        <v>0</v>
      </c>
      <c r="O672">
        <f t="shared" si="104"/>
        <v>0</v>
      </c>
      <c r="P672">
        <v>0.85793486782177919</v>
      </c>
      <c r="Q672">
        <f t="shared" si="105"/>
        <v>0</v>
      </c>
      <c r="R672">
        <f t="shared" si="106"/>
        <v>0</v>
      </c>
      <c r="S672">
        <f t="shared" si="107"/>
        <v>0</v>
      </c>
      <c r="T672">
        <f t="shared" si="108"/>
        <v>7494.4900000000016</v>
      </c>
      <c r="U672">
        <f t="shared" si="109"/>
        <v>1883.409999999998</v>
      </c>
    </row>
    <row r="673" spans="1:21" x14ac:dyDescent="0.3">
      <c r="A673">
        <v>672</v>
      </c>
      <c r="B673">
        <v>34</v>
      </c>
      <c r="C673" t="s">
        <v>10</v>
      </c>
      <c r="D673">
        <v>36</v>
      </c>
      <c r="E673">
        <v>100</v>
      </c>
      <c r="F673" t="s">
        <v>11</v>
      </c>
      <c r="G673">
        <v>1</v>
      </c>
      <c r="H673" t="s">
        <v>12</v>
      </c>
      <c r="I673" t="s">
        <v>13</v>
      </c>
      <c r="J673">
        <v>9386.16</v>
      </c>
      <c r="K673" t="str">
        <f t="shared" si="100"/>
        <v>35+</v>
      </c>
      <c r="L673">
        <f t="shared" si="101"/>
        <v>0</v>
      </c>
      <c r="M673">
        <f t="shared" si="102"/>
        <v>1</v>
      </c>
      <c r="N673">
        <f t="shared" si="103"/>
        <v>0</v>
      </c>
      <c r="O673">
        <f t="shared" si="104"/>
        <v>0</v>
      </c>
      <c r="P673">
        <v>0.70284782727132888</v>
      </c>
      <c r="Q673">
        <f t="shared" si="105"/>
        <v>0</v>
      </c>
      <c r="R673">
        <f t="shared" si="106"/>
        <v>1</v>
      </c>
      <c r="S673">
        <f t="shared" si="107"/>
        <v>0</v>
      </c>
      <c r="T673">
        <f t="shared" si="108"/>
        <v>8740.2199999999993</v>
      </c>
      <c r="U673">
        <f t="shared" si="109"/>
        <v>645.94000000000051</v>
      </c>
    </row>
    <row r="674" spans="1:21" x14ac:dyDescent="0.3">
      <c r="A674">
        <v>673</v>
      </c>
      <c r="B674">
        <v>20</v>
      </c>
      <c r="C674" t="s">
        <v>10</v>
      </c>
      <c r="D674">
        <v>39.700000000000003</v>
      </c>
      <c r="E674">
        <v>90</v>
      </c>
      <c r="F674" t="s">
        <v>12</v>
      </c>
      <c r="G674">
        <v>1</v>
      </c>
      <c r="H674" t="s">
        <v>12</v>
      </c>
      <c r="I674" t="s">
        <v>15</v>
      </c>
      <c r="J674">
        <v>9391.35</v>
      </c>
      <c r="K674" t="str">
        <f t="shared" si="100"/>
        <v>35+</v>
      </c>
      <c r="L674">
        <f t="shared" si="101"/>
        <v>0</v>
      </c>
      <c r="M674">
        <f t="shared" si="102"/>
        <v>0</v>
      </c>
      <c r="N674">
        <f t="shared" si="103"/>
        <v>1</v>
      </c>
      <c r="O674">
        <f t="shared" si="104"/>
        <v>0</v>
      </c>
      <c r="P674">
        <v>0.11372389596201649</v>
      </c>
      <c r="Q674">
        <f t="shared" si="105"/>
        <v>0</v>
      </c>
      <c r="R674">
        <f t="shared" si="106"/>
        <v>0</v>
      </c>
      <c r="S674">
        <f t="shared" si="107"/>
        <v>0</v>
      </c>
      <c r="T674">
        <f t="shared" si="108"/>
        <v>8236.27</v>
      </c>
      <c r="U674">
        <f t="shared" si="109"/>
        <v>1155.08</v>
      </c>
    </row>
    <row r="675" spans="1:21" x14ac:dyDescent="0.3">
      <c r="A675">
        <v>674</v>
      </c>
      <c r="B675">
        <v>31</v>
      </c>
      <c r="C675" t="s">
        <v>16</v>
      </c>
      <c r="D675">
        <v>32.299999999999997</v>
      </c>
      <c r="E675">
        <v>82</v>
      </c>
      <c r="F675" t="s">
        <v>11</v>
      </c>
      <c r="G675">
        <v>2</v>
      </c>
      <c r="H675" t="s">
        <v>12</v>
      </c>
      <c r="I675" t="s">
        <v>17</v>
      </c>
      <c r="J675">
        <v>9411.01</v>
      </c>
      <c r="K675" t="str">
        <f t="shared" si="100"/>
        <v>30-35</v>
      </c>
      <c r="L675">
        <f t="shared" si="101"/>
        <v>0</v>
      </c>
      <c r="M675">
        <f t="shared" si="102"/>
        <v>0</v>
      </c>
      <c r="N675">
        <f t="shared" si="103"/>
        <v>0</v>
      </c>
      <c r="O675">
        <f t="shared" si="104"/>
        <v>0</v>
      </c>
      <c r="P675">
        <v>0.93894876240639602</v>
      </c>
      <c r="Q675">
        <f t="shared" si="105"/>
        <v>0</v>
      </c>
      <c r="R675">
        <f t="shared" si="106"/>
        <v>1</v>
      </c>
      <c r="S675">
        <f t="shared" si="107"/>
        <v>1</v>
      </c>
      <c r="T675">
        <f t="shared" si="108"/>
        <v>10383.010000000002</v>
      </c>
      <c r="U675">
        <f t="shared" si="109"/>
        <v>-972.00000000000182</v>
      </c>
    </row>
    <row r="676" spans="1:21" x14ac:dyDescent="0.3">
      <c r="A676">
        <v>675</v>
      </c>
      <c r="B676">
        <v>58</v>
      </c>
      <c r="C676" t="s">
        <v>16</v>
      </c>
      <c r="D676">
        <v>30.8</v>
      </c>
      <c r="E676">
        <v>93</v>
      </c>
      <c r="F676" t="s">
        <v>12</v>
      </c>
      <c r="G676">
        <v>3</v>
      </c>
      <c r="H676" t="s">
        <v>12</v>
      </c>
      <c r="I676" t="s">
        <v>15</v>
      </c>
      <c r="J676">
        <v>9414.92</v>
      </c>
      <c r="K676" t="str">
        <f t="shared" si="100"/>
        <v>30-35</v>
      </c>
      <c r="L676">
        <f t="shared" si="101"/>
        <v>0</v>
      </c>
      <c r="M676">
        <f t="shared" si="102"/>
        <v>0</v>
      </c>
      <c r="N676">
        <f t="shared" si="103"/>
        <v>1</v>
      </c>
      <c r="O676">
        <f t="shared" si="104"/>
        <v>0</v>
      </c>
      <c r="P676">
        <v>0.82965324948588337</v>
      </c>
      <c r="Q676">
        <f t="shared" si="105"/>
        <v>0</v>
      </c>
      <c r="R676">
        <f t="shared" si="106"/>
        <v>0</v>
      </c>
      <c r="S676">
        <f t="shared" si="107"/>
        <v>1</v>
      </c>
      <c r="T676">
        <f t="shared" si="108"/>
        <v>9826.880000000001</v>
      </c>
      <c r="U676">
        <f t="shared" si="109"/>
        <v>-411.96000000000095</v>
      </c>
    </row>
    <row r="677" spans="1:21" x14ac:dyDescent="0.3">
      <c r="A677">
        <v>676</v>
      </c>
      <c r="B677">
        <v>49</v>
      </c>
      <c r="C677" t="s">
        <v>16</v>
      </c>
      <c r="D677">
        <v>48.1</v>
      </c>
      <c r="E677">
        <v>81</v>
      </c>
      <c r="F677" t="s">
        <v>11</v>
      </c>
      <c r="G677">
        <v>2</v>
      </c>
      <c r="H677" t="s">
        <v>12</v>
      </c>
      <c r="I677" t="s">
        <v>17</v>
      </c>
      <c r="J677">
        <v>9432.93</v>
      </c>
      <c r="K677" t="str">
        <f t="shared" si="100"/>
        <v>35+</v>
      </c>
      <c r="L677">
        <f t="shared" si="101"/>
        <v>0</v>
      </c>
      <c r="M677">
        <f t="shared" si="102"/>
        <v>0</v>
      </c>
      <c r="N677">
        <f t="shared" si="103"/>
        <v>0</v>
      </c>
      <c r="O677">
        <f t="shared" si="104"/>
        <v>0</v>
      </c>
      <c r="P677">
        <v>0.48144491731397132</v>
      </c>
      <c r="Q677">
        <f t="shared" si="105"/>
        <v>0</v>
      </c>
      <c r="R677">
        <f t="shared" si="106"/>
        <v>1</v>
      </c>
      <c r="S677">
        <f t="shared" si="107"/>
        <v>1</v>
      </c>
      <c r="T677">
        <f t="shared" si="108"/>
        <v>11551.280000000002</v>
      </c>
      <c r="U677">
        <f t="shared" si="109"/>
        <v>-2118.3500000000022</v>
      </c>
    </row>
    <row r="678" spans="1:21" x14ac:dyDescent="0.3">
      <c r="A678">
        <v>677</v>
      </c>
      <c r="B678">
        <v>40</v>
      </c>
      <c r="C678" t="s">
        <v>16</v>
      </c>
      <c r="D678">
        <v>27.3</v>
      </c>
      <c r="E678">
        <v>100</v>
      </c>
      <c r="F678" t="s">
        <v>12</v>
      </c>
      <c r="G678">
        <v>1</v>
      </c>
      <c r="H678" t="s">
        <v>12</v>
      </c>
      <c r="I678" t="s">
        <v>17</v>
      </c>
      <c r="J678">
        <v>9447.25</v>
      </c>
      <c r="K678" t="str">
        <f t="shared" si="100"/>
        <v>25-30</v>
      </c>
      <c r="L678">
        <f t="shared" si="101"/>
        <v>0</v>
      </c>
      <c r="M678">
        <f t="shared" si="102"/>
        <v>0</v>
      </c>
      <c r="N678">
        <f t="shared" si="103"/>
        <v>0</v>
      </c>
      <c r="O678">
        <f t="shared" si="104"/>
        <v>0</v>
      </c>
      <c r="P678">
        <v>0.75160538843720748</v>
      </c>
      <c r="Q678">
        <f t="shared" si="105"/>
        <v>0</v>
      </c>
      <c r="R678">
        <f t="shared" si="106"/>
        <v>0</v>
      </c>
      <c r="S678">
        <f t="shared" si="107"/>
        <v>1</v>
      </c>
      <c r="T678">
        <f t="shared" si="108"/>
        <v>12147.43</v>
      </c>
      <c r="U678">
        <f t="shared" si="109"/>
        <v>-2700.1800000000003</v>
      </c>
    </row>
    <row r="679" spans="1:21" x14ac:dyDescent="0.3">
      <c r="A679">
        <v>678</v>
      </c>
      <c r="B679">
        <v>41</v>
      </c>
      <c r="C679" t="s">
        <v>16</v>
      </c>
      <c r="D679">
        <v>27.4</v>
      </c>
      <c r="E679">
        <v>86</v>
      </c>
      <c r="F679" t="s">
        <v>12</v>
      </c>
      <c r="G679">
        <v>1</v>
      </c>
      <c r="H679" t="s">
        <v>12</v>
      </c>
      <c r="I679" t="s">
        <v>17</v>
      </c>
      <c r="J679">
        <v>9447.3799999999992</v>
      </c>
      <c r="K679" t="str">
        <f t="shared" si="100"/>
        <v>25-30</v>
      </c>
      <c r="L679">
        <f t="shared" si="101"/>
        <v>0</v>
      </c>
      <c r="M679">
        <f t="shared" si="102"/>
        <v>0</v>
      </c>
      <c r="N679">
        <f t="shared" si="103"/>
        <v>0</v>
      </c>
      <c r="O679">
        <f t="shared" si="104"/>
        <v>0</v>
      </c>
      <c r="P679">
        <v>0.18109389278278598</v>
      </c>
      <c r="Q679">
        <f t="shared" si="105"/>
        <v>0</v>
      </c>
      <c r="R679">
        <f t="shared" si="106"/>
        <v>0</v>
      </c>
      <c r="S679">
        <f t="shared" si="107"/>
        <v>1</v>
      </c>
      <c r="T679">
        <f t="shared" si="108"/>
        <v>9920.44</v>
      </c>
      <c r="U679">
        <f t="shared" si="109"/>
        <v>-473.06000000000131</v>
      </c>
    </row>
    <row r="680" spans="1:21" x14ac:dyDescent="0.3">
      <c r="A680">
        <v>679</v>
      </c>
      <c r="B680">
        <v>39</v>
      </c>
      <c r="C680" t="s">
        <v>10</v>
      </c>
      <c r="D680">
        <v>29.5</v>
      </c>
      <c r="E680">
        <v>98</v>
      </c>
      <c r="F680" t="s">
        <v>12</v>
      </c>
      <c r="G680">
        <v>0</v>
      </c>
      <c r="H680" t="s">
        <v>12</v>
      </c>
      <c r="I680" t="s">
        <v>13</v>
      </c>
      <c r="J680">
        <v>9487.64</v>
      </c>
      <c r="K680" t="str">
        <f t="shared" si="100"/>
        <v>25-30</v>
      </c>
      <c r="L680">
        <f t="shared" si="101"/>
        <v>0</v>
      </c>
      <c r="M680">
        <f t="shared" si="102"/>
        <v>1</v>
      </c>
      <c r="N680">
        <f t="shared" si="103"/>
        <v>0</v>
      </c>
      <c r="O680">
        <f t="shared" si="104"/>
        <v>0</v>
      </c>
      <c r="P680">
        <v>0.67780371899797731</v>
      </c>
      <c r="Q680">
        <f t="shared" si="105"/>
        <v>0</v>
      </c>
      <c r="R680">
        <f t="shared" si="106"/>
        <v>0</v>
      </c>
      <c r="S680">
        <f t="shared" si="107"/>
        <v>0</v>
      </c>
      <c r="T680">
        <f t="shared" si="108"/>
        <v>7189.7099999999991</v>
      </c>
      <c r="U680">
        <f t="shared" si="109"/>
        <v>2297.9300000000003</v>
      </c>
    </row>
    <row r="681" spans="1:21" x14ac:dyDescent="0.3">
      <c r="A681">
        <v>680</v>
      </c>
      <c r="B681">
        <v>37</v>
      </c>
      <c r="C681" t="s">
        <v>10</v>
      </c>
      <c r="D681">
        <v>24.8</v>
      </c>
      <c r="E681">
        <v>85</v>
      </c>
      <c r="F681" t="s">
        <v>12</v>
      </c>
      <c r="G681">
        <v>3</v>
      </c>
      <c r="H681" t="s">
        <v>12</v>
      </c>
      <c r="I681" t="s">
        <v>17</v>
      </c>
      <c r="J681">
        <v>9500.57</v>
      </c>
      <c r="K681" t="str">
        <f t="shared" si="100"/>
        <v>20-25</v>
      </c>
      <c r="L681">
        <f t="shared" si="101"/>
        <v>0</v>
      </c>
      <c r="M681">
        <f t="shared" si="102"/>
        <v>0</v>
      </c>
      <c r="N681">
        <f t="shared" si="103"/>
        <v>0</v>
      </c>
      <c r="O681">
        <f t="shared" si="104"/>
        <v>0</v>
      </c>
      <c r="P681">
        <v>0.16400853084015465</v>
      </c>
      <c r="Q681">
        <f t="shared" si="105"/>
        <v>0</v>
      </c>
      <c r="R681">
        <f t="shared" si="106"/>
        <v>0</v>
      </c>
      <c r="S681">
        <f t="shared" si="107"/>
        <v>0</v>
      </c>
      <c r="T681">
        <f t="shared" si="108"/>
        <v>10575.2</v>
      </c>
      <c r="U681">
        <f t="shared" si="109"/>
        <v>-1074.630000000001</v>
      </c>
    </row>
    <row r="682" spans="1:21" x14ac:dyDescent="0.3">
      <c r="A682">
        <v>681</v>
      </c>
      <c r="B682">
        <v>43</v>
      </c>
      <c r="C682" t="s">
        <v>10</v>
      </c>
      <c r="D682">
        <v>41.5</v>
      </c>
      <c r="E682">
        <v>82</v>
      </c>
      <c r="F682" t="s">
        <v>12</v>
      </c>
      <c r="G682">
        <v>0</v>
      </c>
      <c r="H682" t="s">
        <v>12</v>
      </c>
      <c r="I682" t="s">
        <v>13</v>
      </c>
      <c r="J682">
        <v>9504.31</v>
      </c>
      <c r="K682" t="str">
        <f t="shared" si="100"/>
        <v>35+</v>
      </c>
      <c r="L682">
        <f t="shared" si="101"/>
        <v>0</v>
      </c>
      <c r="M682">
        <f t="shared" si="102"/>
        <v>1</v>
      </c>
      <c r="N682">
        <f t="shared" si="103"/>
        <v>0</v>
      </c>
      <c r="O682">
        <f t="shared" si="104"/>
        <v>0</v>
      </c>
      <c r="P682">
        <v>0.28796114049733157</v>
      </c>
      <c r="Q682">
        <f t="shared" si="105"/>
        <v>0</v>
      </c>
      <c r="R682">
        <f t="shared" si="106"/>
        <v>0</v>
      </c>
      <c r="S682">
        <f t="shared" si="107"/>
        <v>0</v>
      </c>
      <c r="T682">
        <f t="shared" si="108"/>
        <v>5657.1500000000015</v>
      </c>
      <c r="U682">
        <f t="shared" si="109"/>
        <v>3847.159999999998</v>
      </c>
    </row>
    <row r="683" spans="1:21" x14ac:dyDescent="0.3">
      <c r="A683">
        <v>682</v>
      </c>
      <c r="B683">
        <v>27</v>
      </c>
      <c r="C683" t="s">
        <v>16</v>
      </c>
      <c r="D683">
        <v>44.7</v>
      </c>
      <c r="E683">
        <v>98</v>
      </c>
      <c r="F683" t="s">
        <v>12</v>
      </c>
      <c r="G683">
        <v>0</v>
      </c>
      <c r="H683" t="s">
        <v>12</v>
      </c>
      <c r="I683" t="s">
        <v>17</v>
      </c>
      <c r="J683">
        <v>9541.7000000000007</v>
      </c>
      <c r="K683" t="str">
        <f t="shared" si="100"/>
        <v>35+</v>
      </c>
      <c r="L683">
        <f t="shared" si="101"/>
        <v>0</v>
      </c>
      <c r="M683">
        <f t="shared" si="102"/>
        <v>0</v>
      </c>
      <c r="N683">
        <f t="shared" si="103"/>
        <v>0</v>
      </c>
      <c r="O683">
        <f t="shared" si="104"/>
        <v>0</v>
      </c>
      <c r="P683">
        <v>0.49907748737217228</v>
      </c>
      <c r="Q683">
        <f t="shared" si="105"/>
        <v>0</v>
      </c>
      <c r="R683">
        <f t="shared" si="106"/>
        <v>0</v>
      </c>
      <c r="S683">
        <f t="shared" si="107"/>
        <v>1</v>
      </c>
      <c r="T683">
        <f t="shared" si="108"/>
        <v>12594.35</v>
      </c>
      <c r="U683">
        <f t="shared" si="109"/>
        <v>-3052.6499999999996</v>
      </c>
    </row>
    <row r="684" spans="1:21" x14ac:dyDescent="0.3">
      <c r="A684">
        <v>683</v>
      </c>
      <c r="B684">
        <v>27</v>
      </c>
      <c r="C684" t="s">
        <v>16</v>
      </c>
      <c r="D684">
        <v>46.1</v>
      </c>
      <c r="E684">
        <v>106</v>
      </c>
      <c r="F684" t="s">
        <v>12</v>
      </c>
      <c r="G684">
        <v>1</v>
      </c>
      <c r="H684" t="s">
        <v>12</v>
      </c>
      <c r="I684" t="s">
        <v>13</v>
      </c>
      <c r="J684">
        <v>9549.57</v>
      </c>
      <c r="K684" t="str">
        <f t="shared" si="100"/>
        <v>35+</v>
      </c>
      <c r="L684">
        <f t="shared" si="101"/>
        <v>0</v>
      </c>
      <c r="M684">
        <f t="shared" si="102"/>
        <v>1</v>
      </c>
      <c r="N684">
        <f t="shared" si="103"/>
        <v>0</v>
      </c>
      <c r="O684">
        <f t="shared" si="104"/>
        <v>0</v>
      </c>
      <c r="P684">
        <v>0.86046443184109178</v>
      </c>
      <c r="Q684">
        <f t="shared" si="105"/>
        <v>0</v>
      </c>
      <c r="R684">
        <f t="shared" si="106"/>
        <v>0</v>
      </c>
      <c r="S684">
        <f t="shared" si="107"/>
        <v>1</v>
      </c>
      <c r="T684">
        <f t="shared" si="108"/>
        <v>11084.280000000002</v>
      </c>
      <c r="U684">
        <f t="shared" si="109"/>
        <v>-1534.7100000000028</v>
      </c>
    </row>
    <row r="685" spans="1:21" x14ac:dyDescent="0.3">
      <c r="A685">
        <v>684</v>
      </c>
      <c r="B685">
        <v>34</v>
      </c>
      <c r="C685" t="s">
        <v>10</v>
      </c>
      <c r="D685">
        <v>34.299999999999997</v>
      </c>
      <c r="E685">
        <v>105</v>
      </c>
      <c r="F685" t="s">
        <v>12</v>
      </c>
      <c r="G685">
        <v>3</v>
      </c>
      <c r="H685" t="s">
        <v>12</v>
      </c>
      <c r="I685" t="s">
        <v>15</v>
      </c>
      <c r="J685">
        <v>9563.0300000000007</v>
      </c>
      <c r="K685" t="str">
        <f t="shared" si="100"/>
        <v>30-35</v>
      </c>
      <c r="L685">
        <f t="shared" si="101"/>
        <v>0</v>
      </c>
      <c r="M685">
        <f t="shared" si="102"/>
        <v>0</v>
      </c>
      <c r="N685">
        <f t="shared" si="103"/>
        <v>1</v>
      </c>
      <c r="O685">
        <f t="shared" si="104"/>
        <v>0</v>
      </c>
      <c r="P685">
        <v>0.44507287311179966</v>
      </c>
      <c r="Q685">
        <f t="shared" si="105"/>
        <v>0</v>
      </c>
      <c r="R685">
        <f t="shared" si="106"/>
        <v>0</v>
      </c>
      <c r="S685">
        <f t="shared" si="107"/>
        <v>0</v>
      </c>
      <c r="T685">
        <f t="shared" si="108"/>
        <v>11626.98</v>
      </c>
      <c r="U685">
        <f t="shared" si="109"/>
        <v>-2063.9499999999989</v>
      </c>
    </row>
    <row r="686" spans="1:21" x14ac:dyDescent="0.3">
      <c r="A686">
        <v>685</v>
      </c>
      <c r="B686">
        <v>56</v>
      </c>
      <c r="C686" t="s">
        <v>16</v>
      </c>
      <c r="D686">
        <v>22.6</v>
      </c>
      <c r="E686">
        <v>97</v>
      </c>
      <c r="F686" t="s">
        <v>12</v>
      </c>
      <c r="G686">
        <v>1</v>
      </c>
      <c r="H686" t="s">
        <v>12</v>
      </c>
      <c r="I686" t="s">
        <v>14</v>
      </c>
      <c r="J686">
        <v>9566.99</v>
      </c>
      <c r="K686" t="str">
        <f t="shared" si="100"/>
        <v>20-25</v>
      </c>
      <c r="L686">
        <f t="shared" si="101"/>
        <v>0</v>
      </c>
      <c r="M686">
        <f t="shared" si="102"/>
        <v>0</v>
      </c>
      <c r="N686">
        <f t="shared" si="103"/>
        <v>0</v>
      </c>
      <c r="O686">
        <f t="shared" si="104"/>
        <v>1</v>
      </c>
      <c r="P686">
        <v>0.35137717723944484</v>
      </c>
      <c r="Q686">
        <f t="shared" si="105"/>
        <v>0</v>
      </c>
      <c r="R686">
        <f t="shared" si="106"/>
        <v>0</v>
      </c>
      <c r="S686">
        <f t="shared" si="107"/>
        <v>1</v>
      </c>
      <c r="T686">
        <f t="shared" si="108"/>
        <v>8298.2899999999991</v>
      </c>
      <c r="U686">
        <f t="shared" si="109"/>
        <v>1268.7000000000007</v>
      </c>
    </row>
    <row r="687" spans="1:21" x14ac:dyDescent="0.3">
      <c r="A687">
        <v>686</v>
      </c>
      <c r="B687">
        <v>57</v>
      </c>
      <c r="C687" t="s">
        <v>16</v>
      </c>
      <c r="D687">
        <v>34.799999999999997</v>
      </c>
      <c r="E687">
        <v>87</v>
      </c>
      <c r="F687" t="s">
        <v>12</v>
      </c>
      <c r="G687">
        <v>1</v>
      </c>
      <c r="H687" t="s">
        <v>12</v>
      </c>
      <c r="I687" t="s">
        <v>14</v>
      </c>
      <c r="J687">
        <v>9583.89</v>
      </c>
      <c r="K687" t="str">
        <f t="shared" si="100"/>
        <v>30-35</v>
      </c>
      <c r="L687">
        <f t="shared" si="101"/>
        <v>0</v>
      </c>
      <c r="M687">
        <f t="shared" si="102"/>
        <v>0</v>
      </c>
      <c r="N687">
        <f t="shared" si="103"/>
        <v>0</v>
      </c>
      <c r="O687">
        <f t="shared" si="104"/>
        <v>1</v>
      </c>
      <c r="P687">
        <v>0.77824239042012322</v>
      </c>
      <c r="Q687">
        <f t="shared" si="105"/>
        <v>0</v>
      </c>
      <c r="R687">
        <f t="shared" si="106"/>
        <v>0</v>
      </c>
      <c r="S687">
        <f t="shared" si="107"/>
        <v>1</v>
      </c>
      <c r="T687">
        <f t="shared" si="108"/>
        <v>7744.2099999999991</v>
      </c>
      <c r="U687">
        <f t="shared" si="109"/>
        <v>1839.6800000000003</v>
      </c>
    </row>
    <row r="688" spans="1:21" x14ac:dyDescent="0.3">
      <c r="A688">
        <v>687</v>
      </c>
      <c r="B688">
        <v>40</v>
      </c>
      <c r="C688" t="s">
        <v>10</v>
      </c>
      <c r="D688">
        <v>27.5</v>
      </c>
      <c r="E688">
        <v>81</v>
      </c>
      <c r="F688" t="s">
        <v>11</v>
      </c>
      <c r="G688">
        <v>1</v>
      </c>
      <c r="H688" t="s">
        <v>12</v>
      </c>
      <c r="I688" t="s">
        <v>17</v>
      </c>
      <c r="J688">
        <v>9617.66</v>
      </c>
      <c r="K688" t="str">
        <f t="shared" si="100"/>
        <v>25-30</v>
      </c>
      <c r="L688">
        <f t="shared" si="101"/>
        <v>0</v>
      </c>
      <c r="M688">
        <f t="shared" si="102"/>
        <v>0</v>
      </c>
      <c r="N688">
        <f t="shared" si="103"/>
        <v>0</v>
      </c>
      <c r="O688">
        <f t="shared" si="104"/>
        <v>0</v>
      </c>
      <c r="P688">
        <v>0.33785954385444783</v>
      </c>
      <c r="Q688">
        <f t="shared" si="105"/>
        <v>0</v>
      </c>
      <c r="R688">
        <f t="shared" si="106"/>
        <v>1</v>
      </c>
      <c r="S688">
        <f t="shared" si="107"/>
        <v>0</v>
      </c>
      <c r="T688">
        <f t="shared" si="108"/>
        <v>8618.3100000000013</v>
      </c>
      <c r="U688">
        <f t="shared" si="109"/>
        <v>999.34999999999854</v>
      </c>
    </row>
    <row r="689" spans="1:21" x14ac:dyDescent="0.3">
      <c r="A689">
        <v>688</v>
      </c>
      <c r="B689">
        <v>50</v>
      </c>
      <c r="C689" t="s">
        <v>10</v>
      </c>
      <c r="D689">
        <v>29.8</v>
      </c>
      <c r="E689">
        <v>86</v>
      </c>
      <c r="F689" t="s">
        <v>11</v>
      </c>
      <c r="G689">
        <v>3</v>
      </c>
      <c r="H689" t="s">
        <v>12</v>
      </c>
      <c r="I689" t="s">
        <v>14</v>
      </c>
      <c r="J689">
        <v>9620.33</v>
      </c>
      <c r="K689" t="str">
        <f t="shared" si="100"/>
        <v>25-30</v>
      </c>
      <c r="L689">
        <f t="shared" si="101"/>
        <v>0</v>
      </c>
      <c r="M689">
        <f t="shared" si="102"/>
        <v>0</v>
      </c>
      <c r="N689">
        <f t="shared" si="103"/>
        <v>0</v>
      </c>
      <c r="O689">
        <f t="shared" si="104"/>
        <v>1</v>
      </c>
      <c r="P689">
        <v>0.74187613824325238</v>
      </c>
      <c r="Q689">
        <f t="shared" si="105"/>
        <v>0</v>
      </c>
      <c r="R689">
        <f t="shared" si="106"/>
        <v>1</v>
      </c>
      <c r="S689">
        <f t="shared" si="107"/>
        <v>0</v>
      </c>
      <c r="T689">
        <f t="shared" si="108"/>
        <v>8128.55</v>
      </c>
      <c r="U689">
        <f t="shared" si="109"/>
        <v>1491.7799999999997</v>
      </c>
    </row>
    <row r="690" spans="1:21" x14ac:dyDescent="0.3">
      <c r="A690">
        <v>689</v>
      </c>
      <c r="B690">
        <v>60</v>
      </c>
      <c r="C690" t="s">
        <v>16</v>
      </c>
      <c r="D690">
        <v>31.2</v>
      </c>
      <c r="E690">
        <v>88</v>
      </c>
      <c r="F690" t="s">
        <v>11</v>
      </c>
      <c r="G690">
        <v>0</v>
      </c>
      <c r="H690" t="s">
        <v>12</v>
      </c>
      <c r="I690" t="s">
        <v>15</v>
      </c>
      <c r="J690">
        <v>9625.92</v>
      </c>
      <c r="K690" t="str">
        <f t="shared" si="100"/>
        <v>30-35</v>
      </c>
      <c r="L690">
        <f t="shared" si="101"/>
        <v>0</v>
      </c>
      <c r="M690">
        <f t="shared" si="102"/>
        <v>0</v>
      </c>
      <c r="N690">
        <f t="shared" si="103"/>
        <v>1</v>
      </c>
      <c r="O690">
        <f t="shared" si="104"/>
        <v>0</v>
      </c>
      <c r="P690">
        <v>0.74962431743759272</v>
      </c>
      <c r="Q690">
        <f t="shared" si="105"/>
        <v>0</v>
      </c>
      <c r="R690">
        <f t="shared" si="106"/>
        <v>1</v>
      </c>
      <c r="S690">
        <f t="shared" si="107"/>
        <v>1</v>
      </c>
      <c r="T690">
        <f t="shared" si="108"/>
        <v>6776.7899999999991</v>
      </c>
      <c r="U690">
        <f t="shared" si="109"/>
        <v>2849.130000000001</v>
      </c>
    </row>
    <row r="691" spans="1:21" x14ac:dyDescent="0.3">
      <c r="A691">
        <v>690</v>
      </c>
      <c r="B691">
        <v>48</v>
      </c>
      <c r="C691" t="s">
        <v>10</v>
      </c>
      <c r="D691">
        <v>32.299999999999997</v>
      </c>
      <c r="E691">
        <v>88</v>
      </c>
      <c r="F691" t="s">
        <v>11</v>
      </c>
      <c r="G691">
        <v>2</v>
      </c>
      <c r="H691" t="s">
        <v>12</v>
      </c>
      <c r="I691" t="s">
        <v>15</v>
      </c>
      <c r="J691">
        <v>9630.4</v>
      </c>
      <c r="K691" t="str">
        <f t="shared" si="100"/>
        <v>30-35</v>
      </c>
      <c r="L691">
        <f t="shared" si="101"/>
        <v>0</v>
      </c>
      <c r="M691">
        <f t="shared" si="102"/>
        <v>0</v>
      </c>
      <c r="N691">
        <f t="shared" si="103"/>
        <v>1</v>
      </c>
      <c r="O691">
        <f t="shared" si="104"/>
        <v>0</v>
      </c>
      <c r="P691">
        <v>0.11947120339822981</v>
      </c>
      <c r="Q691">
        <f t="shared" si="105"/>
        <v>0</v>
      </c>
      <c r="R691">
        <f t="shared" si="106"/>
        <v>1</v>
      </c>
      <c r="S691">
        <f t="shared" si="107"/>
        <v>0</v>
      </c>
      <c r="T691">
        <f t="shared" si="108"/>
        <v>7917.7299999999987</v>
      </c>
      <c r="U691">
        <f t="shared" si="109"/>
        <v>1712.670000000001</v>
      </c>
    </row>
    <row r="692" spans="1:21" x14ac:dyDescent="0.3">
      <c r="A692">
        <v>691</v>
      </c>
      <c r="B692">
        <v>26</v>
      </c>
      <c r="C692" t="s">
        <v>16</v>
      </c>
      <c r="D692">
        <v>37.4</v>
      </c>
      <c r="E692">
        <v>103</v>
      </c>
      <c r="F692" t="s">
        <v>11</v>
      </c>
      <c r="G692">
        <v>0</v>
      </c>
      <c r="H692" t="s">
        <v>12</v>
      </c>
      <c r="I692" t="s">
        <v>15</v>
      </c>
      <c r="J692">
        <v>9634.5400000000009</v>
      </c>
      <c r="K692" t="str">
        <f t="shared" si="100"/>
        <v>35+</v>
      </c>
      <c r="L692">
        <f t="shared" si="101"/>
        <v>0</v>
      </c>
      <c r="M692">
        <f t="shared" si="102"/>
        <v>0</v>
      </c>
      <c r="N692">
        <f t="shared" si="103"/>
        <v>1</v>
      </c>
      <c r="O692">
        <f t="shared" si="104"/>
        <v>0</v>
      </c>
      <c r="P692">
        <v>0.69206442874217078</v>
      </c>
      <c r="Q692">
        <f t="shared" si="105"/>
        <v>0</v>
      </c>
      <c r="R692">
        <f t="shared" si="106"/>
        <v>1</v>
      </c>
      <c r="S692">
        <f t="shared" si="107"/>
        <v>1</v>
      </c>
      <c r="T692">
        <f t="shared" si="108"/>
        <v>9744.26</v>
      </c>
      <c r="U692">
        <f t="shared" si="109"/>
        <v>-109.71999999999935</v>
      </c>
    </row>
    <row r="693" spans="1:21" x14ac:dyDescent="0.3">
      <c r="A693">
        <v>692</v>
      </c>
      <c r="B693">
        <v>42</v>
      </c>
      <c r="C693" t="s">
        <v>16</v>
      </c>
      <c r="D693">
        <v>18.100000000000001</v>
      </c>
      <c r="E693">
        <v>84</v>
      </c>
      <c r="F693" t="s">
        <v>11</v>
      </c>
      <c r="G693">
        <v>0</v>
      </c>
      <c r="H693" t="s">
        <v>12</v>
      </c>
      <c r="I693" t="s">
        <v>14</v>
      </c>
      <c r="J693">
        <v>9644.25</v>
      </c>
      <c r="K693" t="str">
        <f t="shared" si="100"/>
        <v>&lt;20</v>
      </c>
      <c r="L693">
        <f t="shared" si="101"/>
        <v>0</v>
      </c>
      <c r="M693">
        <f t="shared" si="102"/>
        <v>0</v>
      </c>
      <c r="N693">
        <f t="shared" si="103"/>
        <v>0</v>
      </c>
      <c r="O693">
        <f t="shared" si="104"/>
        <v>1</v>
      </c>
      <c r="P693">
        <v>0.40824312508459548</v>
      </c>
      <c r="Q693">
        <f t="shared" si="105"/>
        <v>0</v>
      </c>
      <c r="R693">
        <f t="shared" si="106"/>
        <v>1</v>
      </c>
      <c r="S693">
        <f t="shared" si="107"/>
        <v>1</v>
      </c>
      <c r="T693">
        <f t="shared" si="108"/>
        <v>5049.4899999999989</v>
      </c>
      <c r="U693">
        <f t="shared" si="109"/>
        <v>4594.7600000000011</v>
      </c>
    </row>
    <row r="694" spans="1:21" x14ac:dyDescent="0.3">
      <c r="A694">
        <v>693</v>
      </c>
      <c r="B694">
        <v>44</v>
      </c>
      <c r="C694" t="s">
        <v>16</v>
      </c>
      <c r="D694">
        <v>40</v>
      </c>
      <c r="E694">
        <v>96</v>
      </c>
      <c r="F694" t="s">
        <v>12</v>
      </c>
      <c r="G694">
        <v>3</v>
      </c>
      <c r="H694" t="s">
        <v>12</v>
      </c>
      <c r="I694" t="s">
        <v>17</v>
      </c>
      <c r="J694">
        <v>9704.67</v>
      </c>
      <c r="K694" t="str">
        <f t="shared" si="100"/>
        <v>35+</v>
      </c>
      <c r="L694">
        <f t="shared" si="101"/>
        <v>0</v>
      </c>
      <c r="M694">
        <f t="shared" si="102"/>
        <v>0</v>
      </c>
      <c r="N694">
        <f t="shared" si="103"/>
        <v>0</v>
      </c>
      <c r="O694">
        <f t="shared" si="104"/>
        <v>0</v>
      </c>
      <c r="P694">
        <v>0.83772999656683622</v>
      </c>
      <c r="Q694">
        <f t="shared" si="105"/>
        <v>0</v>
      </c>
      <c r="R694">
        <f t="shared" si="106"/>
        <v>0</v>
      </c>
      <c r="S694">
        <f t="shared" si="107"/>
        <v>1</v>
      </c>
      <c r="T694">
        <f t="shared" si="108"/>
        <v>14066.28</v>
      </c>
      <c r="U694">
        <f t="shared" si="109"/>
        <v>-4361.6100000000006</v>
      </c>
    </row>
    <row r="695" spans="1:21" x14ac:dyDescent="0.3">
      <c r="A695">
        <v>694</v>
      </c>
      <c r="B695">
        <v>59</v>
      </c>
      <c r="C695" t="s">
        <v>16</v>
      </c>
      <c r="D695">
        <v>26.6</v>
      </c>
      <c r="E695">
        <v>83</v>
      </c>
      <c r="F695" t="s">
        <v>12</v>
      </c>
      <c r="G695">
        <v>2</v>
      </c>
      <c r="H695" t="s">
        <v>12</v>
      </c>
      <c r="I695" t="s">
        <v>17</v>
      </c>
      <c r="J695">
        <v>9715.84</v>
      </c>
      <c r="K695" t="str">
        <f t="shared" si="100"/>
        <v>25-30</v>
      </c>
      <c r="L695">
        <f t="shared" si="101"/>
        <v>0</v>
      </c>
      <c r="M695">
        <f t="shared" si="102"/>
        <v>0</v>
      </c>
      <c r="N695">
        <f t="shared" si="103"/>
        <v>0</v>
      </c>
      <c r="O695">
        <f t="shared" si="104"/>
        <v>0</v>
      </c>
      <c r="P695">
        <v>0.87100904648106336</v>
      </c>
      <c r="Q695">
        <f t="shared" si="105"/>
        <v>0</v>
      </c>
      <c r="R695">
        <f t="shared" si="106"/>
        <v>0</v>
      </c>
      <c r="S695">
        <f t="shared" si="107"/>
        <v>1</v>
      </c>
      <c r="T695">
        <f t="shared" si="108"/>
        <v>10088.470000000001</v>
      </c>
      <c r="U695">
        <f t="shared" si="109"/>
        <v>-372.63000000000102</v>
      </c>
    </row>
    <row r="696" spans="1:21" x14ac:dyDescent="0.3">
      <c r="A696">
        <v>695</v>
      </c>
      <c r="B696">
        <v>32</v>
      </c>
      <c r="C696" t="s">
        <v>10</v>
      </c>
      <c r="D696">
        <v>33.299999999999997</v>
      </c>
      <c r="E696">
        <v>102</v>
      </c>
      <c r="F696" t="s">
        <v>11</v>
      </c>
      <c r="G696">
        <v>0</v>
      </c>
      <c r="H696" t="s">
        <v>12</v>
      </c>
      <c r="I696" t="s">
        <v>17</v>
      </c>
      <c r="J696">
        <v>9722.77</v>
      </c>
      <c r="K696" t="str">
        <f t="shared" si="100"/>
        <v>30-35</v>
      </c>
      <c r="L696">
        <f t="shared" si="101"/>
        <v>0</v>
      </c>
      <c r="M696">
        <f t="shared" si="102"/>
        <v>0</v>
      </c>
      <c r="N696">
        <f t="shared" si="103"/>
        <v>0</v>
      </c>
      <c r="O696">
        <f t="shared" si="104"/>
        <v>0</v>
      </c>
      <c r="P696">
        <v>0.43660924039553428</v>
      </c>
      <c r="Q696">
        <f t="shared" si="105"/>
        <v>0</v>
      </c>
      <c r="R696">
        <f t="shared" si="106"/>
        <v>1</v>
      </c>
      <c r="S696">
        <f t="shared" si="107"/>
        <v>0</v>
      </c>
      <c r="T696">
        <f t="shared" si="108"/>
        <v>11737.6</v>
      </c>
      <c r="U696">
        <f t="shared" si="109"/>
        <v>-2014.83</v>
      </c>
    </row>
    <row r="697" spans="1:21" x14ac:dyDescent="0.3">
      <c r="A697">
        <v>696</v>
      </c>
      <c r="B697">
        <v>26</v>
      </c>
      <c r="C697" t="s">
        <v>10</v>
      </c>
      <c r="D697">
        <v>30.2</v>
      </c>
      <c r="E697">
        <v>99</v>
      </c>
      <c r="F697" t="s">
        <v>12</v>
      </c>
      <c r="G697">
        <v>1</v>
      </c>
      <c r="H697" t="s">
        <v>12</v>
      </c>
      <c r="I697" t="s">
        <v>15</v>
      </c>
      <c r="J697">
        <v>9724.5300000000007</v>
      </c>
      <c r="K697" t="str">
        <f t="shared" si="100"/>
        <v>30-35</v>
      </c>
      <c r="L697">
        <f t="shared" si="101"/>
        <v>0</v>
      </c>
      <c r="M697">
        <f t="shared" si="102"/>
        <v>0</v>
      </c>
      <c r="N697">
        <f t="shared" si="103"/>
        <v>1</v>
      </c>
      <c r="O697">
        <f t="shared" si="104"/>
        <v>0</v>
      </c>
      <c r="P697">
        <v>0.19975312756734398</v>
      </c>
      <c r="Q697">
        <f t="shared" si="105"/>
        <v>0</v>
      </c>
      <c r="R697">
        <f t="shared" si="106"/>
        <v>0</v>
      </c>
      <c r="S697">
        <f t="shared" si="107"/>
        <v>0</v>
      </c>
      <c r="T697">
        <f t="shared" si="108"/>
        <v>8852.65</v>
      </c>
      <c r="U697">
        <f t="shared" si="109"/>
        <v>871.88000000000102</v>
      </c>
    </row>
    <row r="698" spans="1:21" x14ac:dyDescent="0.3">
      <c r="A698">
        <v>697</v>
      </c>
      <c r="B698">
        <v>49</v>
      </c>
      <c r="C698" t="s">
        <v>10</v>
      </c>
      <c r="D698">
        <v>47.7</v>
      </c>
      <c r="E698">
        <v>88</v>
      </c>
      <c r="F698" t="s">
        <v>12</v>
      </c>
      <c r="G698">
        <v>1</v>
      </c>
      <c r="H698" t="s">
        <v>12</v>
      </c>
      <c r="I698" t="s">
        <v>13</v>
      </c>
      <c r="J698">
        <v>9748.91</v>
      </c>
      <c r="K698" t="str">
        <f t="shared" si="100"/>
        <v>35+</v>
      </c>
      <c r="L698">
        <f t="shared" si="101"/>
        <v>0</v>
      </c>
      <c r="M698">
        <f t="shared" si="102"/>
        <v>1</v>
      </c>
      <c r="N698">
        <f t="shared" si="103"/>
        <v>0</v>
      </c>
      <c r="O698">
        <f t="shared" si="104"/>
        <v>0</v>
      </c>
      <c r="P698">
        <v>0.48497200577371424</v>
      </c>
      <c r="Q698">
        <f t="shared" si="105"/>
        <v>0</v>
      </c>
      <c r="R698">
        <f t="shared" si="106"/>
        <v>0</v>
      </c>
      <c r="S698">
        <f t="shared" si="107"/>
        <v>0</v>
      </c>
      <c r="T698">
        <f t="shared" si="108"/>
        <v>7875.35</v>
      </c>
      <c r="U698">
        <f t="shared" si="109"/>
        <v>1873.5599999999995</v>
      </c>
    </row>
    <row r="699" spans="1:21" x14ac:dyDescent="0.3">
      <c r="A699">
        <v>698</v>
      </c>
      <c r="B699">
        <v>53</v>
      </c>
      <c r="C699" t="s">
        <v>16</v>
      </c>
      <c r="D699">
        <v>30.8</v>
      </c>
      <c r="E699">
        <v>105</v>
      </c>
      <c r="F699" t="s">
        <v>12</v>
      </c>
      <c r="G699">
        <v>1</v>
      </c>
      <c r="H699" t="s">
        <v>12</v>
      </c>
      <c r="I699" t="s">
        <v>17</v>
      </c>
      <c r="J699">
        <v>9778.35</v>
      </c>
      <c r="K699" t="str">
        <f t="shared" si="100"/>
        <v>30-35</v>
      </c>
      <c r="L699">
        <f t="shared" si="101"/>
        <v>0</v>
      </c>
      <c r="M699">
        <f t="shared" si="102"/>
        <v>0</v>
      </c>
      <c r="N699">
        <f t="shared" si="103"/>
        <v>0</v>
      </c>
      <c r="O699">
        <f t="shared" si="104"/>
        <v>0</v>
      </c>
      <c r="P699">
        <v>0.65025957542812629</v>
      </c>
      <c r="Q699">
        <f t="shared" si="105"/>
        <v>0</v>
      </c>
      <c r="R699">
        <f t="shared" si="106"/>
        <v>0</v>
      </c>
      <c r="S699">
        <f t="shared" si="107"/>
        <v>1</v>
      </c>
      <c r="T699">
        <f t="shared" si="108"/>
        <v>13227.990000000002</v>
      </c>
      <c r="U699">
        <f t="shared" si="109"/>
        <v>-3449.6400000000012</v>
      </c>
    </row>
    <row r="700" spans="1:21" x14ac:dyDescent="0.3">
      <c r="A700">
        <v>699</v>
      </c>
      <c r="B700">
        <v>25</v>
      </c>
      <c r="C700" t="s">
        <v>10</v>
      </c>
      <c r="D700">
        <v>24.3</v>
      </c>
      <c r="E700">
        <v>89</v>
      </c>
      <c r="F700" t="s">
        <v>12</v>
      </c>
      <c r="G700">
        <v>5</v>
      </c>
      <c r="H700" t="s">
        <v>12</v>
      </c>
      <c r="I700" t="s">
        <v>13</v>
      </c>
      <c r="J700">
        <v>9788.8700000000008</v>
      </c>
      <c r="K700" t="str">
        <f t="shared" si="100"/>
        <v>20-25</v>
      </c>
      <c r="L700">
        <f t="shared" si="101"/>
        <v>0</v>
      </c>
      <c r="M700">
        <f t="shared" si="102"/>
        <v>1</v>
      </c>
      <c r="N700">
        <f t="shared" si="103"/>
        <v>0</v>
      </c>
      <c r="O700">
        <f t="shared" si="104"/>
        <v>0</v>
      </c>
      <c r="P700">
        <v>1.3696809634826668E-2</v>
      </c>
      <c r="Q700">
        <f t="shared" si="105"/>
        <v>0</v>
      </c>
      <c r="R700">
        <f t="shared" si="106"/>
        <v>0</v>
      </c>
      <c r="S700">
        <f t="shared" si="107"/>
        <v>0</v>
      </c>
      <c r="T700">
        <f t="shared" si="108"/>
        <v>9017.9200000000019</v>
      </c>
      <c r="U700">
        <f t="shared" si="109"/>
        <v>770.94999999999891</v>
      </c>
    </row>
    <row r="701" spans="1:21" x14ac:dyDescent="0.3">
      <c r="A701">
        <v>700</v>
      </c>
      <c r="B701">
        <v>41</v>
      </c>
      <c r="C701" t="s">
        <v>16</v>
      </c>
      <c r="D701">
        <v>42.7</v>
      </c>
      <c r="E701">
        <v>105</v>
      </c>
      <c r="F701" t="s">
        <v>12</v>
      </c>
      <c r="G701">
        <v>2</v>
      </c>
      <c r="H701" t="s">
        <v>12</v>
      </c>
      <c r="I701" t="s">
        <v>13</v>
      </c>
      <c r="J701">
        <v>9800.89</v>
      </c>
      <c r="K701" t="str">
        <f t="shared" si="100"/>
        <v>35+</v>
      </c>
      <c r="L701">
        <f t="shared" si="101"/>
        <v>0</v>
      </c>
      <c r="M701">
        <f t="shared" si="102"/>
        <v>1</v>
      </c>
      <c r="N701">
        <f t="shared" si="103"/>
        <v>0</v>
      </c>
      <c r="O701">
        <f t="shared" si="104"/>
        <v>0</v>
      </c>
      <c r="P701">
        <v>0.86509092682598598</v>
      </c>
      <c r="Q701">
        <f t="shared" si="105"/>
        <v>0</v>
      </c>
      <c r="R701">
        <f t="shared" si="106"/>
        <v>0</v>
      </c>
      <c r="S701">
        <f t="shared" si="107"/>
        <v>1</v>
      </c>
      <c r="T701">
        <f t="shared" si="108"/>
        <v>11354.310000000003</v>
      </c>
      <c r="U701">
        <f t="shared" si="109"/>
        <v>-1553.4200000000037</v>
      </c>
    </row>
    <row r="702" spans="1:21" x14ac:dyDescent="0.3">
      <c r="A702">
        <v>701</v>
      </c>
      <c r="B702">
        <v>46</v>
      </c>
      <c r="C702" t="s">
        <v>10</v>
      </c>
      <c r="D702">
        <v>31.6</v>
      </c>
      <c r="E702">
        <v>106</v>
      </c>
      <c r="F702" t="s">
        <v>12</v>
      </c>
      <c r="G702">
        <v>0</v>
      </c>
      <c r="H702" t="s">
        <v>12</v>
      </c>
      <c r="I702" t="s">
        <v>15</v>
      </c>
      <c r="J702">
        <v>9850.43</v>
      </c>
      <c r="K702" t="str">
        <f t="shared" si="100"/>
        <v>30-35</v>
      </c>
      <c r="L702">
        <f t="shared" si="101"/>
        <v>0</v>
      </c>
      <c r="M702">
        <f t="shared" si="102"/>
        <v>0</v>
      </c>
      <c r="N702">
        <f t="shared" si="103"/>
        <v>1</v>
      </c>
      <c r="O702">
        <f t="shared" si="104"/>
        <v>0</v>
      </c>
      <c r="P702">
        <v>0.865841431675208</v>
      </c>
      <c r="Q702">
        <f t="shared" si="105"/>
        <v>0</v>
      </c>
      <c r="R702">
        <f t="shared" si="106"/>
        <v>0</v>
      </c>
      <c r="S702">
        <f t="shared" si="107"/>
        <v>0</v>
      </c>
      <c r="T702">
        <f t="shared" si="108"/>
        <v>9325.64</v>
      </c>
      <c r="U702">
        <f t="shared" si="109"/>
        <v>524.79000000000087</v>
      </c>
    </row>
    <row r="703" spans="1:21" x14ac:dyDescent="0.3">
      <c r="A703">
        <v>702</v>
      </c>
      <c r="B703">
        <v>36</v>
      </c>
      <c r="C703" t="s">
        <v>16</v>
      </c>
      <c r="D703">
        <v>21.6</v>
      </c>
      <c r="E703">
        <v>109</v>
      </c>
      <c r="F703" t="s">
        <v>11</v>
      </c>
      <c r="G703">
        <v>1</v>
      </c>
      <c r="H703" t="s">
        <v>12</v>
      </c>
      <c r="I703" t="s">
        <v>13</v>
      </c>
      <c r="J703">
        <v>9855.1299999999992</v>
      </c>
      <c r="K703" t="str">
        <f t="shared" si="100"/>
        <v>20-25</v>
      </c>
      <c r="L703">
        <f t="shared" si="101"/>
        <v>0</v>
      </c>
      <c r="M703">
        <f t="shared" si="102"/>
        <v>1</v>
      </c>
      <c r="N703">
        <f t="shared" si="103"/>
        <v>0</v>
      </c>
      <c r="O703">
        <f t="shared" si="104"/>
        <v>0</v>
      </c>
      <c r="P703">
        <v>0.96548604237628277</v>
      </c>
      <c r="Q703">
        <f t="shared" si="105"/>
        <v>0</v>
      </c>
      <c r="R703">
        <f t="shared" si="106"/>
        <v>1</v>
      </c>
      <c r="S703">
        <f t="shared" si="107"/>
        <v>1</v>
      </c>
      <c r="T703">
        <f t="shared" si="108"/>
        <v>9387.720000000003</v>
      </c>
      <c r="U703">
        <f t="shared" si="109"/>
        <v>467.40999999999622</v>
      </c>
    </row>
    <row r="704" spans="1:21" x14ac:dyDescent="0.3">
      <c r="A704">
        <v>703</v>
      </c>
      <c r="B704">
        <v>26</v>
      </c>
      <c r="C704" t="s">
        <v>16</v>
      </c>
      <c r="D704">
        <v>25.8</v>
      </c>
      <c r="E704">
        <v>110</v>
      </c>
      <c r="F704" t="s">
        <v>12</v>
      </c>
      <c r="G704">
        <v>1</v>
      </c>
      <c r="H704" t="s">
        <v>12</v>
      </c>
      <c r="I704" t="s">
        <v>15</v>
      </c>
      <c r="J704">
        <v>9861.0300000000007</v>
      </c>
      <c r="K704" t="str">
        <f t="shared" si="100"/>
        <v>25-30</v>
      </c>
      <c r="L704">
        <f t="shared" si="101"/>
        <v>0</v>
      </c>
      <c r="M704">
        <f t="shared" si="102"/>
        <v>0</v>
      </c>
      <c r="N704">
        <f t="shared" si="103"/>
        <v>1</v>
      </c>
      <c r="O704">
        <f t="shared" si="104"/>
        <v>0</v>
      </c>
      <c r="P704">
        <v>0.48241942673428639</v>
      </c>
      <c r="Q704">
        <f t="shared" si="105"/>
        <v>0</v>
      </c>
      <c r="R704">
        <f t="shared" si="106"/>
        <v>0</v>
      </c>
      <c r="S704">
        <f t="shared" si="107"/>
        <v>1</v>
      </c>
      <c r="T704">
        <f t="shared" si="108"/>
        <v>10676.890000000001</v>
      </c>
      <c r="U704">
        <f t="shared" si="109"/>
        <v>-815.86000000000058</v>
      </c>
    </row>
    <row r="705" spans="1:21" x14ac:dyDescent="0.3">
      <c r="A705">
        <v>704</v>
      </c>
      <c r="B705">
        <v>19</v>
      </c>
      <c r="C705" t="s">
        <v>10</v>
      </c>
      <c r="D705">
        <v>24.3</v>
      </c>
      <c r="E705">
        <v>89</v>
      </c>
      <c r="F705" t="s">
        <v>11</v>
      </c>
      <c r="G705">
        <v>0</v>
      </c>
      <c r="H705" t="s">
        <v>12</v>
      </c>
      <c r="I705" t="s">
        <v>14</v>
      </c>
      <c r="J705">
        <v>9863.4699999999993</v>
      </c>
      <c r="K705" t="str">
        <f t="shared" si="100"/>
        <v>20-25</v>
      </c>
      <c r="L705">
        <f t="shared" si="101"/>
        <v>0</v>
      </c>
      <c r="M705">
        <f t="shared" si="102"/>
        <v>0</v>
      </c>
      <c r="N705">
        <f t="shared" si="103"/>
        <v>0</v>
      </c>
      <c r="O705">
        <f t="shared" si="104"/>
        <v>1</v>
      </c>
      <c r="P705">
        <v>0.44234644127671041</v>
      </c>
      <c r="Q705">
        <f t="shared" si="105"/>
        <v>0</v>
      </c>
      <c r="R705">
        <f t="shared" si="106"/>
        <v>1</v>
      </c>
      <c r="S705">
        <f t="shared" si="107"/>
        <v>0</v>
      </c>
      <c r="T705">
        <f t="shared" si="108"/>
        <v>5962.0300000000007</v>
      </c>
      <c r="U705">
        <f t="shared" si="109"/>
        <v>3901.4399999999987</v>
      </c>
    </row>
    <row r="706" spans="1:21" x14ac:dyDescent="0.3">
      <c r="A706">
        <v>705</v>
      </c>
      <c r="B706">
        <v>34</v>
      </c>
      <c r="C706" t="s">
        <v>16</v>
      </c>
      <c r="D706">
        <v>33.9</v>
      </c>
      <c r="E706">
        <v>84</v>
      </c>
      <c r="F706" t="s">
        <v>12</v>
      </c>
      <c r="G706">
        <v>0</v>
      </c>
      <c r="H706" t="s">
        <v>12</v>
      </c>
      <c r="I706" t="s">
        <v>17</v>
      </c>
      <c r="J706">
        <v>9866.2999999999993</v>
      </c>
      <c r="K706" t="str">
        <f t="shared" si="100"/>
        <v>30-35</v>
      </c>
      <c r="L706">
        <f t="shared" si="101"/>
        <v>0</v>
      </c>
      <c r="M706">
        <f t="shared" si="102"/>
        <v>0</v>
      </c>
      <c r="N706">
        <f t="shared" si="103"/>
        <v>0</v>
      </c>
      <c r="O706">
        <f t="shared" si="104"/>
        <v>0</v>
      </c>
      <c r="P706">
        <v>0.58070359650294301</v>
      </c>
      <c r="Q706">
        <f t="shared" si="105"/>
        <v>0</v>
      </c>
      <c r="R706">
        <f t="shared" si="106"/>
        <v>0</v>
      </c>
      <c r="S706">
        <f t="shared" si="107"/>
        <v>1</v>
      </c>
      <c r="T706">
        <f t="shared" si="108"/>
        <v>9427.73</v>
      </c>
      <c r="U706">
        <f t="shared" si="109"/>
        <v>438.56999999999971</v>
      </c>
    </row>
    <row r="707" spans="1:21" x14ac:dyDescent="0.3">
      <c r="A707">
        <v>706</v>
      </c>
      <c r="B707">
        <v>39</v>
      </c>
      <c r="C707" t="s">
        <v>10</v>
      </c>
      <c r="D707">
        <v>28.9</v>
      </c>
      <c r="E707">
        <v>82</v>
      </c>
      <c r="F707" t="s">
        <v>11</v>
      </c>
      <c r="G707">
        <v>0</v>
      </c>
      <c r="H707" t="s">
        <v>12</v>
      </c>
      <c r="I707" t="s">
        <v>14</v>
      </c>
      <c r="J707">
        <v>9869.81</v>
      </c>
      <c r="K707" t="str">
        <f t="shared" ref="K707:K770" si="110">IF(D707&lt;20, "&lt;20", IF(D707&lt;25, "20-25", IF(D707&lt;30, "25-30", IF(D707&lt;35, "30-35", "35+"))))</f>
        <v>25-30</v>
      </c>
      <c r="L707">
        <f t="shared" ref="L707:L770" si="111">D707*Q707</f>
        <v>0</v>
      </c>
      <c r="M707">
        <f t="shared" ref="M707:M770" si="112">IF(I707="southeast", 1, 0)</f>
        <v>0</v>
      </c>
      <c r="N707">
        <f t="shared" ref="N707:N770" si="113">IF(I707="southwest", 1, 0)</f>
        <v>0</v>
      </c>
      <c r="O707">
        <f t="shared" ref="O707:O770" si="114">IF(I707="northwest", 1, 0)</f>
        <v>1</v>
      </c>
      <c r="P707">
        <v>0.45681323089141279</v>
      </c>
      <c r="Q707">
        <f t="shared" ref="Q707:Q770" si="115">IF(H707="Yes", 1, 0)</f>
        <v>0</v>
      </c>
      <c r="R707">
        <f t="shared" ref="R707:R770" si="116">IF(F707="yes", 1, 0)</f>
        <v>1</v>
      </c>
      <c r="S707">
        <f t="shared" ref="S707:S770" si="117">IF(C707="female", 1, 0)</f>
        <v>0</v>
      </c>
      <c r="T707">
        <f t="shared" ref="T707:T770" si="118">-7277.71 + (-1.28*B707) + (85.5*D707) + (738.24*G707) + (159.59*E707) + (1259.19*L707) + (-3644.73*M707) + (-2956.11*N707) + (-2948.04*O707) + (-17828.85*Q707) + (-69.06*R707) + (444.95*S707)</f>
        <v>5212.6000000000004</v>
      </c>
      <c r="U707">
        <f t="shared" ref="U707:U770" si="119">J707-T707</f>
        <v>4657.2099999999991</v>
      </c>
    </row>
    <row r="708" spans="1:21" x14ac:dyDescent="0.3">
      <c r="A708">
        <v>707</v>
      </c>
      <c r="B708">
        <v>28</v>
      </c>
      <c r="C708" t="s">
        <v>16</v>
      </c>
      <c r="D708">
        <v>34.200000000000003</v>
      </c>
      <c r="E708">
        <v>86</v>
      </c>
      <c r="F708" t="s">
        <v>12</v>
      </c>
      <c r="G708">
        <v>1</v>
      </c>
      <c r="H708" t="s">
        <v>12</v>
      </c>
      <c r="I708" t="s">
        <v>15</v>
      </c>
      <c r="J708">
        <v>9872.7000000000007</v>
      </c>
      <c r="K708" t="str">
        <f t="shared" si="110"/>
        <v>30-35</v>
      </c>
      <c r="L708">
        <f t="shared" si="111"/>
        <v>0</v>
      </c>
      <c r="M708">
        <f t="shared" si="112"/>
        <v>0</v>
      </c>
      <c r="N708">
        <f t="shared" si="113"/>
        <v>1</v>
      </c>
      <c r="O708">
        <f t="shared" si="114"/>
        <v>0</v>
      </c>
      <c r="P708">
        <v>0.71753132056989744</v>
      </c>
      <c r="Q708">
        <f t="shared" si="115"/>
        <v>0</v>
      </c>
      <c r="R708">
        <f t="shared" si="116"/>
        <v>0</v>
      </c>
      <c r="S708">
        <f t="shared" si="117"/>
        <v>1</v>
      </c>
      <c r="T708">
        <f t="shared" si="118"/>
        <v>7562.3699999999981</v>
      </c>
      <c r="U708">
        <f t="shared" si="119"/>
        <v>2310.3300000000027</v>
      </c>
    </row>
    <row r="709" spans="1:21" x14ac:dyDescent="0.3">
      <c r="A709">
        <v>708</v>
      </c>
      <c r="B709">
        <v>27</v>
      </c>
      <c r="C709" t="s">
        <v>16</v>
      </c>
      <c r="D709">
        <v>40.700000000000003</v>
      </c>
      <c r="E709">
        <v>100</v>
      </c>
      <c r="F709" t="s">
        <v>12</v>
      </c>
      <c r="G709">
        <v>0</v>
      </c>
      <c r="H709" t="s">
        <v>12</v>
      </c>
      <c r="I709" t="s">
        <v>17</v>
      </c>
      <c r="J709">
        <v>9875.68</v>
      </c>
      <c r="K709" t="str">
        <f t="shared" si="110"/>
        <v>35+</v>
      </c>
      <c r="L709">
        <f t="shared" si="111"/>
        <v>0</v>
      </c>
      <c r="M709">
        <f t="shared" si="112"/>
        <v>0</v>
      </c>
      <c r="N709">
        <f t="shared" si="113"/>
        <v>0</v>
      </c>
      <c r="O709">
        <f t="shared" si="114"/>
        <v>0</v>
      </c>
      <c r="P709">
        <v>0.3150077402409831</v>
      </c>
      <c r="Q709">
        <f t="shared" si="115"/>
        <v>0</v>
      </c>
      <c r="R709">
        <f t="shared" si="116"/>
        <v>0</v>
      </c>
      <c r="S709">
        <f t="shared" si="117"/>
        <v>1</v>
      </c>
      <c r="T709">
        <f t="shared" si="118"/>
        <v>12571.53</v>
      </c>
      <c r="U709">
        <f t="shared" si="119"/>
        <v>-2695.8500000000004</v>
      </c>
    </row>
    <row r="710" spans="1:21" x14ac:dyDescent="0.3">
      <c r="A710">
        <v>709</v>
      </c>
      <c r="B710">
        <v>30</v>
      </c>
      <c r="C710" t="s">
        <v>16</v>
      </c>
      <c r="D710">
        <v>37.700000000000003</v>
      </c>
      <c r="E710">
        <v>80</v>
      </c>
      <c r="F710" t="s">
        <v>12</v>
      </c>
      <c r="G710">
        <v>1</v>
      </c>
      <c r="H710" t="s">
        <v>12</v>
      </c>
      <c r="I710" t="s">
        <v>13</v>
      </c>
      <c r="J710">
        <v>9877.61</v>
      </c>
      <c r="K710" t="str">
        <f t="shared" si="110"/>
        <v>35+</v>
      </c>
      <c r="L710">
        <f t="shared" si="111"/>
        <v>0</v>
      </c>
      <c r="M710">
        <f t="shared" si="112"/>
        <v>1</v>
      </c>
      <c r="N710">
        <f t="shared" si="113"/>
        <v>0</v>
      </c>
      <c r="O710">
        <f t="shared" si="114"/>
        <v>0</v>
      </c>
      <c r="P710">
        <v>0.35903863405017178</v>
      </c>
      <c r="Q710">
        <f t="shared" si="115"/>
        <v>0</v>
      </c>
      <c r="R710">
        <f t="shared" si="116"/>
        <v>0</v>
      </c>
      <c r="S710">
        <f t="shared" si="117"/>
        <v>1</v>
      </c>
      <c r="T710">
        <f t="shared" si="118"/>
        <v>6212.9000000000005</v>
      </c>
      <c r="U710">
        <f t="shared" si="119"/>
        <v>3664.71</v>
      </c>
    </row>
    <row r="711" spans="1:21" x14ac:dyDescent="0.3">
      <c r="A711">
        <v>710</v>
      </c>
      <c r="B711">
        <v>27</v>
      </c>
      <c r="C711" t="s">
        <v>16</v>
      </c>
      <c r="D711">
        <v>39.5</v>
      </c>
      <c r="E711">
        <v>90</v>
      </c>
      <c r="F711" t="s">
        <v>12</v>
      </c>
      <c r="G711">
        <v>1</v>
      </c>
      <c r="H711" t="s">
        <v>12</v>
      </c>
      <c r="I711" t="s">
        <v>15</v>
      </c>
      <c r="J711">
        <v>9880.07</v>
      </c>
      <c r="K711" t="str">
        <f t="shared" si="110"/>
        <v>35+</v>
      </c>
      <c r="L711">
        <f t="shared" si="111"/>
        <v>0</v>
      </c>
      <c r="M711">
        <f t="shared" si="112"/>
        <v>0</v>
      </c>
      <c r="N711">
        <f t="shared" si="113"/>
        <v>1</v>
      </c>
      <c r="O711">
        <f t="shared" si="114"/>
        <v>0</v>
      </c>
      <c r="P711">
        <v>8.2997690482469522E-2</v>
      </c>
      <c r="Q711">
        <f t="shared" si="115"/>
        <v>0</v>
      </c>
      <c r="R711">
        <f t="shared" si="116"/>
        <v>0</v>
      </c>
      <c r="S711">
        <f t="shared" si="117"/>
        <v>1</v>
      </c>
      <c r="T711">
        <f t="shared" si="118"/>
        <v>8655.16</v>
      </c>
      <c r="U711">
        <f t="shared" si="119"/>
        <v>1224.9099999999999</v>
      </c>
    </row>
    <row r="712" spans="1:21" x14ac:dyDescent="0.3">
      <c r="A712">
        <v>711</v>
      </c>
      <c r="B712">
        <v>49</v>
      </c>
      <c r="C712" t="s">
        <v>16</v>
      </c>
      <c r="D712">
        <v>30.1</v>
      </c>
      <c r="E712">
        <v>100</v>
      </c>
      <c r="F712" t="s">
        <v>11</v>
      </c>
      <c r="G712">
        <v>1</v>
      </c>
      <c r="H712" t="s">
        <v>12</v>
      </c>
      <c r="I712" t="s">
        <v>14</v>
      </c>
      <c r="J712">
        <v>9910.36</v>
      </c>
      <c r="K712" t="str">
        <f t="shared" si="110"/>
        <v>30-35</v>
      </c>
      <c r="L712">
        <f t="shared" si="111"/>
        <v>0</v>
      </c>
      <c r="M712">
        <f t="shared" si="112"/>
        <v>0</v>
      </c>
      <c r="N712">
        <f t="shared" si="113"/>
        <v>0</v>
      </c>
      <c r="O712">
        <f t="shared" si="114"/>
        <v>1</v>
      </c>
      <c r="P712">
        <v>0.69091994227608722</v>
      </c>
      <c r="Q712">
        <f t="shared" si="115"/>
        <v>0</v>
      </c>
      <c r="R712">
        <f t="shared" si="116"/>
        <v>1</v>
      </c>
      <c r="S712">
        <f t="shared" si="117"/>
        <v>1</v>
      </c>
      <c r="T712">
        <f t="shared" si="118"/>
        <v>9358.2100000000009</v>
      </c>
      <c r="U712">
        <f t="shared" si="119"/>
        <v>552.14999999999964</v>
      </c>
    </row>
    <row r="713" spans="1:21" x14ac:dyDescent="0.3">
      <c r="A713">
        <v>712</v>
      </c>
      <c r="B713">
        <v>24</v>
      </c>
      <c r="C713" t="s">
        <v>10</v>
      </c>
      <c r="D713">
        <v>27.7</v>
      </c>
      <c r="E713">
        <v>109</v>
      </c>
      <c r="F713" t="s">
        <v>11</v>
      </c>
      <c r="G713">
        <v>1</v>
      </c>
      <c r="H713" t="s">
        <v>12</v>
      </c>
      <c r="I713" t="s">
        <v>17</v>
      </c>
      <c r="J713">
        <v>9957.7199999999993</v>
      </c>
      <c r="K713" t="str">
        <f t="shared" si="110"/>
        <v>25-30</v>
      </c>
      <c r="L713">
        <f t="shared" si="111"/>
        <v>0</v>
      </c>
      <c r="M713">
        <f t="shared" si="112"/>
        <v>0</v>
      </c>
      <c r="N713">
        <f t="shared" si="113"/>
        <v>0</v>
      </c>
      <c r="O713">
        <f t="shared" si="114"/>
        <v>0</v>
      </c>
      <c r="P713">
        <v>0.1928638803395758</v>
      </c>
      <c r="Q713">
        <f t="shared" si="115"/>
        <v>0</v>
      </c>
      <c r="R713">
        <f t="shared" si="116"/>
        <v>1</v>
      </c>
      <c r="S713">
        <f t="shared" si="117"/>
        <v>0</v>
      </c>
      <c r="T713">
        <f t="shared" si="118"/>
        <v>13124.410000000002</v>
      </c>
      <c r="U713">
        <f t="shared" si="119"/>
        <v>-3166.6900000000023</v>
      </c>
    </row>
    <row r="714" spans="1:21" x14ac:dyDescent="0.3">
      <c r="A714">
        <v>713</v>
      </c>
      <c r="B714">
        <v>24</v>
      </c>
      <c r="C714" t="s">
        <v>10</v>
      </c>
      <c r="D714">
        <v>32.299999999999997</v>
      </c>
      <c r="E714">
        <v>105</v>
      </c>
      <c r="F714" t="s">
        <v>12</v>
      </c>
      <c r="G714">
        <v>1</v>
      </c>
      <c r="H714" t="s">
        <v>12</v>
      </c>
      <c r="I714" t="s">
        <v>17</v>
      </c>
      <c r="J714">
        <v>9964.06</v>
      </c>
      <c r="K714" t="str">
        <f t="shared" si="110"/>
        <v>30-35</v>
      </c>
      <c r="L714">
        <f t="shared" si="111"/>
        <v>0</v>
      </c>
      <c r="M714">
        <f t="shared" si="112"/>
        <v>0</v>
      </c>
      <c r="N714">
        <f t="shared" si="113"/>
        <v>0</v>
      </c>
      <c r="O714">
        <f t="shared" si="114"/>
        <v>0</v>
      </c>
      <c r="P714">
        <v>0.68370544020820434</v>
      </c>
      <c r="Q714">
        <f t="shared" si="115"/>
        <v>0</v>
      </c>
      <c r="R714">
        <f t="shared" si="116"/>
        <v>0</v>
      </c>
      <c r="S714">
        <f t="shared" si="117"/>
        <v>0</v>
      </c>
      <c r="T714">
        <f t="shared" si="118"/>
        <v>12948.41</v>
      </c>
      <c r="U714">
        <f t="shared" si="119"/>
        <v>-2984.3500000000004</v>
      </c>
    </row>
    <row r="715" spans="1:21" x14ac:dyDescent="0.3">
      <c r="A715">
        <v>714</v>
      </c>
      <c r="B715">
        <v>45</v>
      </c>
      <c r="C715" t="s">
        <v>16</v>
      </c>
      <c r="D715">
        <v>18.3</v>
      </c>
      <c r="E715">
        <v>105</v>
      </c>
      <c r="F715" t="s">
        <v>12</v>
      </c>
      <c r="G715">
        <v>0</v>
      </c>
      <c r="H715" t="s">
        <v>12</v>
      </c>
      <c r="I715" t="s">
        <v>14</v>
      </c>
      <c r="J715">
        <v>9991.0400000000009</v>
      </c>
      <c r="K715" t="str">
        <f t="shared" si="110"/>
        <v>&lt;20</v>
      </c>
      <c r="L715">
        <f t="shared" si="111"/>
        <v>0</v>
      </c>
      <c r="M715">
        <f t="shared" si="112"/>
        <v>0</v>
      </c>
      <c r="N715">
        <f t="shared" si="113"/>
        <v>0</v>
      </c>
      <c r="O715">
        <f t="shared" si="114"/>
        <v>1</v>
      </c>
      <c r="P715">
        <v>0.54317724838549875</v>
      </c>
      <c r="Q715">
        <f t="shared" si="115"/>
        <v>0</v>
      </c>
      <c r="R715">
        <f t="shared" si="116"/>
        <v>0</v>
      </c>
      <c r="S715">
        <f t="shared" si="117"/>
        <v>1</v>
      </c>
      <c r="T715">
        <f t="shared" si="118"/>
        <v>8483.2000000000007</v>
      </c>
      <c r="U715">
        <f t="shared" si="119"/>
        <v>1507.8400000000001</v>
      </c>
    </row>
    <row r="716" spans="1:21" x14ac:dyDescent="0.3">
      <c r="A716">
        <v>715</v>
      </c>
      <c r="B716">
        <v>42</v>
      </c>
      <c r="C716" t="s">
        <v>16</v>
      </c>
      <c r="D716">
        <v>32.299999999999997</v>
      </c>
      <c r="E716">
        <v>101</v>
      </c>
      <c r="F716" t="s">
        <v>11</v>
      </c>
      <c r="G716">
        <v>2</v>
      </c>
      <c r="H716" t="s">
        <v>12</v>
      </c>
      <c r="I716" t="s">
        <v>17</v>
      </c>
      <c r="J716">
        <v>10043.25</v>
      </c>
      <c r="K716" t="str">
        <f t="shared" si="110"/>
        <v>30-35</v>
      </c>
      <c r="L716">
        <f t="shared" si="111"/>
        <v>0</v>
      </c>
      <c r="M716">
        <f t="shared" si="112"/>
        <v>0</v>
      </c>
      <c r="N716">
        <f t="shared" si="113"/>
        <v>0</v>
      </c>
      <c r="O716">
        <f t="shared" si="114"/>
        <v>0</v>
      </c>
      <c r="P716">
        <v>0.53647620604391011</v>
      </c>
      <c r="Q716">
        <f t="shared" si="115"/>
        <v>0</v>
      </c>
      <c r="R716">
        <f t="shared" si="116"/>
        <v>1</v>
      </c>
      <c r="S716">
        <f t="shared" si="117"/>
        <v>1</v>
      </c>
      <c r="T716">
        <f t="shared" si="118"/>
        <v>13401.140000000001</v>
      </c>
      <c r="U716">
        <f t="shared" si="119"/>
        <v>-3357.8900000000012</v>
      </c>
    </row>
    <row r="717" spans="1:21" x14ac:dyDescent="0.3">
      <c r="A717">
        <v>716</v>
      </c>
      <c r="B717">
        <v>42</v>
      </c>
      <c r="C717" t="s">
        <v>10</v>
      </c>
      <c r="D717">
        <v>21.4</v>
      </c>
      <c r="E717">
        <v>104</v>
      </c>
      <c r="F717" t="s">
        <v>12</v>
      </c>
      <c r="G717">
        <v>1</v>
      </c>
      <c r="H717" t="s">
        <v>12</v>
      </c>
      <c r="I717" t="s">
        <v>15</v>
      </c>
      <c r="J717">
        <v>10065.41</v>
      </c>
      <c r="K717" t="str">
        <f t="shared" si="110"/>
        <v>20-25</v>
      </c>
      <c r="L717">
        <f t="shared" si="111"/>
        <v>0</v>
      </c>
      <c r="M717">
        <f t="shared" si="112"/>
        <v>0</v>
      </c>
      <c r="N717">
        <f t="shared" si="113"/>
        <v>1</v>
      </c>
      <c r="O717">
        <f t="shared" si="114"/>
        <v>0</v>
      </c>
      <c r="P717">
        <v>0.64566874639045202</v>
      </c>
      <c r="Q717">
        <f t="shared" si="115"/>
        <v>0</v>
      </c>
      <c r="R717">
        <f t="shared" si="116"/>
        <v>0</v>
      </c>
      <c r="S717">
        <f t="shared" si="117"/>
        <v>0</v>
      </c>
      <c r="T717">
        <f t="shared" si="118"/>
        <v>8877.7199999999993</v>
      </c>
      <c r="U717">
        <f t="shared" si="119"/>
        <v>1187.6900000000005</v>
      </c>
    </row>
    <row r="718" spans="1:21" x14ac:dyDescent="0.3">
      <c r="A718">
        <v>717</v>
      </c>
      <c r="B718">
        <v>40</v>
      </c>
      <c r="C718" t="s">
        <v>10</v>
      </c>
      <c r="D718">
        <v>30.5</v>
      </c>
      <c r="E718">
        <v>91</v>
      </c>
      <c r="F718" t="s">
        <v>12</v>
      </c>
      <c r="G718">
        <v>0</v>
      </c>
      <c r="H718" t="s">
        <v>12</v>
      </c>
      <c r="I718" t="s">
        <v>17</v>
      </c>
      <c r="J718">
        <v>10072.06</v>
      </c>
      <c r="K718" t="str">
        <f t="shared" si="110"/>
        <v>30-35</v>
      </c>
      <c r="L718">
        <f t="shared" si="111"/>
        <v>0</v>
      </c>
      <c r="M718">
        <f t="shared" si="112"/>
        <v>0</v>
      </c>
      <c r="N718">
        <f t="shared" si="113"/>
        <v>0</v>
      </c>
      <c r="O718">
        <f t="shared" si="114"/>
        <v>0</v>
      </c>
      <c r="P718">
        <v>0.2887211434907434</v>
      </c>
      <c r="Q718">
        <f t="shared" si="115"/>
        <v>0</v>
      </c>
      <c r="R718">
        <f t="shared" si="116"/>
        <v>0</v>
      </c>
      <c r="S718">
        <f t="shared" si="117"/>
        <v>0</v>
      </c>
      <c r="T718">
        <f t="shared" si="118"/>
        <v>9801.5300000000007</v>
      </c>
      <c r="U718">
        <f t="shared" si="119"/>
        <v>270.52999999999884</v>
      </c>
    </row>
    <row r="719" spans="1:21" x14ac:dyDescent="0.3">
      <c r="A719">
        <v>718</v>
      </c>
      <c r="B719">
        <v>27</v>
      </c>
      <c r="C719" t="s">
        <v>10</v>
      </c>
      <c r="D719">
        <v>36.1</v>
      </c>
      <c r="E719">
        <v>104</v>
      </c>
      <c r="F719" t="s">
        <v>11</v>
      </c>
      <c r="G719">
        <v>1</v>
      </c>
      <c r="H719" t="s">
        <v>12</v>
      </c>
      <c r="I719" t="s">
        <v>15</v>
      </c>
      <c r="J719">
        <v>10085.85</v>
      </c>
      <c r="K719" t="str">
        <f t="shared" si="110"/>
        <v>35+</v>
      </c>
      <c r="L719">
        <f t="shared" si="111"/>
        <v>0</v>
      </c>
      <c r="M719">
        <f t="shared" si="112"/>
        <v>0</v>
      </c>
      <c r="N719">
        <f t="shared" si="113"/>
        <v>1</v>
      </c>
      <c r="O719">
        <f t="shared" si="114"/>
        <v>0</v>
      </c>
      <c r="P719">
        <v>0.62677323049168687</v>
      </c>
      <c r="Q719">
        <f t="shared" si="115"/>
        <v>0</v>
      </c>
      <c r="R719">
        <f t="shared" si="116"/>
        <v>1</v>
      </c>
      <c r="S719">
        <f t="shared" si="117"/>
        <v>0</v>
      </c>
      <c r="T719">
        <f t="shared" si="118"/>
        <v>10084.710000000001</v>
      </c>
      <c r="U719">
        <f t="shared" si="119"/>
        <v>1.1399999999994179</v>
      </c>
    </row>
    <row r="720" spans="1:21" x14ac:dyDescent="0.3">
      <c r="A720">
        <v>719</v>
      </c>
      <c r="B720">
        <v>34</v>
      </c>
      <c r="C720" t="s">
        <v>10</v>
      </c>
      <c r="D720">
        <v>25.8</v>
      </c>
      <c r="E720">
        <v>100</v>
      </c>
      <c r="F720" t="s">
        <v>11</v>
      </c>
      <c r="G720">
        <v>5</v>
      </c>
      <c r="H720" t="s">
        <v>12</v>
      </c>
      <c r="I720" t="s">
        <v>15</v>
      </c>
      <c r="J720">
        <v>10096.969999999999</v>
      </c>
      <c r="K720" t="str">
        <f t="shared" si="110"/>
        <v>25-30</v>
      </c>
      <c r="L720">
        <f t="shared" si="111"/>
        <v>0</v>
      </c>
      <c r="M720">
        <f t="shared" si="112"/>
        <v>0</v>
      </c>
      <c r="N720">
        <f t="shared" si="113"/>
        <v>1</v>
      </c>
      <c r="O720">
        <f t="shared" si="114"/>
        <v>0</v>
      </c>
      <c r="P720">
        <v>0.89186260411444129</v>
      </c>
      <c r="Q720">
        <f t="shared" si="115"/>
        <v>0</v>
      </c>
      <c r="R720">
        <f t="shared" si="116"/>
        <v>1</v>
      </c>
      <c r="S720">
        <f t="shared" si="117"/>
        <v>0</v>
      </c>
      <c r="T720">
        <f t="shared" si="118"/>
        <v>11509.699999999999</v>
      </c>
      <c r="U720">
        <f t="shared" si="119"/>
        <v>-1412.7299999999996</v>
      </c>
    </row>
    <row r="721" spans="1:21" x14ac:dyDescent="0.3">
      <c r="A721">
        <v>720</v>
      </c>
      <c r="B721">
        <v>27</v>
      </c>
      <c r="C721" t="s">
        <v>16</v>
      </c>
      <c r="D721">
        <v>27.1</v>
      </c>
      <c r="E721">
        <v>103</v>
      </c>
      <c r="F721" t="s">
        <v>12</v>
      </c>
      <c r="G721">
        <v>1</v>
      </c>
      <c r="H721" t="s">
        <v>12</v>
      </c>
      <c r="I721" t="s">
        <v>17</v>
      </c>
      <c r="J721">
        <v>10106.129999999999</v>
      </c>
      <c r="K721" t="str">
        <f t="shared" si="110"/>
        <v>25-30</v>
      </c>
      <c r="L721">
        <f t="shared" si="111"/>
        <v>0</v>
      </c>
      <c r="M721">
        <f t="shared" si="112"/>
        <v>0</v>
      </c>
      <c r="N721">
        <f t="shared" si="113"/>
        <v>0</v>
      </c>
      <c r="O721">
        <f t="shared" si="114"/>
        <v>0</v>
      </c>
      <c r="P721">
        <v>1.2306170761926749E-2</v>
      </c>
      <c r="Q721">
        <f t="shared" si="115"/>
        <v>0</v>
      </c>
      <c r="R721">
        <f t="shared" si="116"/>
        <v>0</v>
      </c>
      <c r="S721">
        <f t="shared" si="117"/>
        <v>1</v>
      </c>
      <c r="T721">
        <f t="shared" si="118"/>
        <v>12625.740000000002</v>
      </c>
      <c r="U721">
        <f t="shared" si="119"/>
        <v>-2519.6100000000024</v>
      </c>
    </row>
    <row r="722" spans="1:21" x14ac:dyDescent="0.3">
      <c r="A722">
        <v>721</v>
      </c>
      <c r="B722">
        <v>52</v>
      </c>
      <c r="C722" t="s">
        <v>16</v>
      </c>
      <c r="D722">
        <v>23.5</v>
      </c>
      <c r="E722">
        <v>93</v>
      </c>
      <c r="F722" t="s">
        <v>12</v>
      </c>
      <c r="G722">
        <v>2</v>
      </c>
      <c r="H722" t="s">
        <v>12</v>
      </c>
      <c r="I722" t="s">
        <v>13</v>
      </c>
      <c r="J722">
        <v>10107.219999999999</v>
      </c>
      <c r="K722" t="str">
        <f t="shared" si="110"/>
        <v>20-25</v>
      </c>
      <c r="L722">
        <f t="shared" si="111"/>
        <v>0</v>
      </c>
      <c r="M722">
        <f t="shared" si="112"/>
        <v>1</v>
      </c>
      <c r="N722">
        <f t="shared" si="113"/>
        <v>0</v>
      </c>
      <c r="O722">
        <f t="shared" si="114"/>
        <v>0</v>
      </c>
      <c r="P722">
        <v>0.7501341013440449</v>
      </c>
      <c r="Q722">
        <f t="shared" si="115"/>
        <v>0</v>
      </c>
      <c r="R722">
        <f t="shared" si="116"/>
        <v>0</v>
      </c>
      <c r="S722">
        <f t="shared" si="117"/>
        <v>1</v>
      </c>
      <c r="T722">
        <f t="shared" si="118"/>
        <v>7783.55</v>
      </c>
      <c r="U722">
        <f t="shared" si="119"/>
        <v>2323.6699999999992</v>
      </c>
    </row>
    <row r="723" spans="1:21" x14ac:dyDescent="0.3">
      <c r="A723">
        <v>722</v>
      </c>
      <c r="B723">
        <v>44</v>
      </c>
      <c r="C723" t="s">
        <v>16</v>
      </c>
      <c r="D723">
        <v>33.9</v>
      </c>
      <c r="E723">
        <v>100</v>
      </c>
      <c r="F723" t="s">
        <v>11</v>
      </c>
      <c r="G723">
        <v>3</v>
      </c>
      <c r="H723" t="s">
        <v>12</v>
      </c>
      <c r="I723" t="s">
        <v>14</v>
      </c>
      <c r="J723">
        <v>10115.01</v>
      </c>
      <c r="K723" t="str">
        <f t="shared" si="110"/>
        <v>30-35</v>
      </c>
      <c r="L723">
        <f t="shared" si="111"/>
        <v>0</v>
      </c>
      <c r="M723">
        <f t="shared" si="112"/>
        <v>0</v>
      </c>
      <c r="N723">
        <f t="shared" si="113"/>
        <v>0</v>
      </c>
      <c r="O723">
        <f t="shared" si="114"/>
        <v>1</v>
      </c>
      <c r="P723">
        <v>0.11011024020410565</v>
      </c>
      <c r="Q723">
        <f t="shared" si="115"/>
        <v>0</v>
      </c>
      <c r="R723">
        <f t="shared" si="116"/>
        <v>1</v>
      </c>
      <c r="S723">
        <f t="shared" si="117"/>
        <v>1</v>
      </c>
      <c r="T723">
        <f t="shared" si="118"/>
        <v>11165.99</v>
      </c>
      <c r="U723">
        <f t="shared" si="119"/>
        <v>-1050.9799999999996</v>
      </c>
    </row>
    <row r="724" spans="1:21" x14ac:dyDescent="0.3">
      <c r="A724">
        <v>723</v>
      </c>
      <c r="B724">
        <v>36</v>
      </c>
      <c r="C724" t="s">
        <v>16</v>
      </c>
      <c r="D724">
        <v>31.6</v>
      </c>
      <c r="E724">
        <v>99</v>
      </c>
      <c r="F724" t="s">
        <v>12</v>
      </c>
      <c r="G724">
        <v>2</v>
      </c>
      <c r="H724" t="s">
        <v>12</v>
      </c>
      <c r="I724" t="s">
        <v>15</v>
      </c>
      <c r="J724">
        <v>10118.42</v>
      </c>
      <c r="K724" t="str">
        <f t="shared" si="110"/>
        <v>30-35</v>
      </c>
      <c r="L724">
        <f t="shared" si="111"/>
        <v>0</v>
      </c>
      <c r="M724">
        <f t="shared" si="112"/>
        <v>0</v>
      </c>
      <c r="N724">
        <f t="shared" si="113"/>
        <v>1</v>
      </c>
      <c r="O724">
        <f t="shared" si="114"/>
        <v>0</v>
      </c>
      <c r="P724">
        <v>0.41777836976460681</v>
      </c>
      <c r="Q724">
        <f t="shared" si="115"/>
        <v>0</v>
      </c>
      <c r="R724">
        <f t="shared" si="116"/>
        <v>0</v>
      </c>
      <c r="S724">
        <f t="shared" si="117"/>
        <v>1</v>
      </c>
      <c r="T724">
        <f t="shared" si="118"/>
        <v>10142.74</v>
      </c>
      <c r="U724">
        <f t="shared" si="119"/>
        <v>-24.319999999999709</v>
      </c>
    </row>
    <row r="725" spans="1:21" x14ac:dyDescent="0.3">
      <c r="A725">
        <v>724</v>
      </c>
      <c r="B725">
        <v>18</v>
      </c>
      <c r="C725" t="s">
        <v>10</v>
      </c>
      <c r="D725">
        <v>30.8</v>
      </c>
      <c r="E725">
        <v>94</v>
      </c>
      <c r="F725" t="s">
        <v>12</v>
      </c>
      <c r="G725">
        <v>3</v>
      </c>
      <c r="H725" t="s">
        <v>12</v>
      </c>
      <c r="I725" t="s">
        <v>17</v>
      </c>
      <c r="J725">
        <v>10141.14</v>
      </c>
      <c r="K725" t="str">
        <f t="shared" si="110"/>
        <v>30-35</v>
      </c>
      <c r="L725">
        <f t="shared" si="111"/>
        <v>0</v>
      </c>
      <c r="M725">
        <f t="shared" si="112"/>
        <v>0</v>
      </c>
      <c r="N725">
        <f t="shared" si="113"/>
        <v>0</v>
      </c>
      <c r="O725">
        <f t="shared" si="114"/>
        <v>0</v>
      </c>
      <c r="P725">
        <v>0.72731566936265069</v>
      </c>
      <c r="Q725">
        <f t="shared" si="115"/>
        <v>0</v>
      </c>
      <c r="R725">
        <f t="shared" si="116"/>
        <v>0</v>
      </c>
      <c r="S725">
        <f t="shared" si="117"/>
        <v>0</v>
      </c>
      <c r="T725">
        <f t="shared" si="118"/>
        <v>12548.830000000002</v>
      </c>
      <c r="U725">
        <f t="shared" si="119"/>
        <v>-2407.6900000000023</v>
      </c>
    </row>
    <row r="726" spans="1:21" x14ac:dyDescent="0.3">
      <c r="A726">
        <v>725</v>
      </c>
      <c r="B726">
        <v>29</v>
      </c>
      <c r="C726" t="s">
        <v>16</v>
      </c>
      <c r="D726">
        <v>23.2</v>
      </c>
      <c r="E726">
        <v>109</v>
      </c>
      <c r="F726" t="s">
        <v>12</v>
      </c>
      <c r="G726">
        <v>2</v>
      </c>
      <c r="H726" t="s">
        <v>12</v>
      </c>
      <c r="I726" t="s">
        <v>14</v>
      </c>
      <c r="J726">
        <v>10156.780000000001</v>
      </c>
      <c r="K726" t="str">
        <f t="shared" si="110"/>
        <v>20-25</v>
      </c>
      <c r="L726">
        <f t="shared" si="111"/>
        <v>0</v>
      </c>
      <c r="M726">
        <f t="shared" si="112"/>
        <v>0</v>
      </c>
      <c r="N726">
        <f t="shared" si="113"/>
        <v>0</v>
      </c>
      <c r="O726">
        <f t="shared" si="114"/>
        <v>1</v>
      </c>
      <c r="P726">
        <v>0.49913194681437467</v>
      </c>
      <c r="Q726">
        <f t="shared" si="115"/>
        <v>0</v>
      </c>
      <c r="R726">
        <f t="shared" si="116"/>
        <v>0</v>
      </c>
      <c r="S726">
        <f t="shared" si="117"/>
        <v>1</v>
      </c>
      <c r="T726">
        <f t="shared" si="118"/>
        <v>11037.470000000001</v>
      </c>
      <c r="U726">
        <f t="shared" si="119"/>
        <v>-880.69000000000051</v>
      </c>
    </row>
    <row r="727" spans="1:21" x14ac:dyDescent="0.3">
      <c r="A727">
        <v>726</v>
      </c>
      <c r="B727">
        <v>36</v>
      </c>
      <c r="C727" t="s">
        <v>16</v>
      </c>
      <c r="D727">
        <v>23.2</v>
      </c>
      <c r="E727">
        <v>104</v>
      </c>
      <c r="F727" t="s">
        <v>11</v>
      </c>
      <c r="G727">
        <v>0</v>
      </c>
      <c r="H727" t="s">
        <v>12</v>
      </c>
      <c r="I727" t="s">
        <v>17</v>
      </c>
      <c r="J727">
        <v>10197.77</v>
      </c>
      <c r="K727" t="str">
        <f t="shared" si="110"/>
        <v>20-25</v>
      </c>
      <c r="L727">
        <f t="shared" si="111"/>
        <v>0</v>
      </c>
      <c r="M727">
        <f t="shared" si="112"/>
        <v>0</v>
      </c>
      <c r="N727">
        <f t="shared" si="113"/>
        <v>0</v>
      </c>
      <c r="O727">
        <f t="shared" si="114"/>
        <v>0</v>
      </c>
      <c r="P727">
        <v>0.94388798045703848</v>
      </c>
      <c r="Q727">
        <f t="shared" si="115"/>
        <v>0</v>
      </c>
      <c r="R727">
        <f t="shared" si="116"/>
        <v>1</v>
      </c>
      <c r="S727">
        <f t="shared" si="117"/>
        <v>1</v>
      </c>
      <c r="T727">
        <f t="shared" si="118"/>
        <v>11633.060000000001</v>
      </c>
      <c r="U727">
        <f t="shared" si="119"/>
        <v>-1435.2900000000009</v>
      </c>
    </row>
    <row r="728" spans="1:21" x14ac:dyDescent="0.3">
      <c r="A728">
        <v>727</v>
      </c>
      <c r="B728">
        <v>30</v>
      </c>
      <c r="C728" t="s">
        <v>10</v>
      </c>
      <c r="D728">
        <v>29.9</v>
      </c>
      <c r="E728">
        <v>90</v>
      </c>
      <c r="F728" t="s">
        <v>12</v>
      </c>
      <c r="G728">
        <v>0</v>
      </c>
      <c r="H728" t="s">
        <v>12</v>
      </c>
      <c r="I728" t="s">
        <v>15</v>
      </c>
      <c r="J728">
        <v>10214.64</v>
      </c>
      <c r="K728" t="str">
        <f t="shared" si="110"/>
        <v>25-30</v>
      </c>
      <c r="L728">
        <f t="shared" si="111"/>
        <v>0</v>
      </c>
      <c r="M728">
        <f t="shared" si="112"/>
        <v>0</v>
      </c>
      <c r="N728">
        <f t="shared" si="113"/>
        <v>1</v>
      </c>
      <c r="O728">
        <f t="shared" si="114"/>
        <v>0</v>
      </c>
      <c r="P728">
        <v>0.29323070166135745</v>
      </c>
      <c r="Q728">
        <f t="shared" si="115"/>
        <v>0</v>
      </c>
      <c r="R728">
        <f t="shared" si="116"/>
        <v>0</v>
      </c>
      <c r="S728">
        <f t="shared" si="117"/>
        <v>0</v>
      </c>
      <c r="T728">
        <f t="shared" si="118"/>
        <v>6647.33</v>
      </c>
      <c r="U728">
        <f t="shared" si="119"/>
        <v>3567.3099999999995</v>
      </c>
    </row>
    <row r="729" spans="1:21" x14ac:dyDescent="0.3">
      <c r="A729">
        <v>728</v>
      </c>
      <c r="B729">
        <v>32</v>
      </c>
      <c r="C729" t="s">
        <v>10</v>
      </c>
      <c r="D729">
        <v>38.299999999999997</v>
      </c>
      <c r="E729">
        <v>92</v>
      </c>
      <c r="F729" t="s">
        <v>11</v>
      </c>
      <c r="G729">
        <v>0</v>
      </c>
      <c r="H729" t="s">
        <v>12</v>
      </c>
      <c r="I729" t="s">
        <v>13</v>
      </c>
      <c r="J729">
        <v>10226.280000000001</v>
      </c>
      <c r="K729" t="str">
        <f t="shared" si="110"/>
        <v>35+</v>
      </c>
      <c r="L729">
        <f t="shared" si="111"/>
        <v>0</v>
      </c>
      <c r="M729">
        <f t="shared" si="112"/>
        <v>1</v>
      </c>
      <c r="N729">
        <f t="shared" si="113"/>
        <v>0</v>
      </c>
      <c r="O729">
        <f t="shared" si="114"/>
        <v>0</v>
      </c>
      <c r="P729">
        <v>0.71957204955242271</v>
      </c>
      <c r="Q729">
        <f t="shared" si="115"/>
        <v>0</v>
      </c>
      <c r="R729">
        <f t="shared" si="116"/>
        <v>1</v>
      </c>
      <c r="S729">
        <f t="shared" si="117"/>
        <v>0</v>
      </c>
      <c r="T729">
        <f t="shared" si="118"/>
        <v>6924.47</v>
      </c>
      <c r="U729">
        <f t="shared" si="119"/>
        <v>3301.8100000000004</v>
      </c>
    </row>
    <row r="730" spans="1:21" x14ac:dyDescent="0.3">
      <c r="A730">
        <v>729</v>
      </c>
      <c r="B730">
        <v>45</v>
      </c>
      <c r="C730" t="s">
        <v>10</v>
      </c>
      <c r="D730">
        <v>30.2</v>
      </c>
      <c r="E730">
        <v>89</v>
      </c>
      <c r="F730" t="s">
        <v>12</v>
      </c>
      <c r="G730">
        <v>0</v>
      </c>
      <c r="H730" t="s">
        <v>12</v>
      </c>
      <c r="I730" t="s">
        <v>14</v>
      </c>
      <c r="J730">
        <v>10231.5</v>
      </c>
      <c r="K730" t="str">
        <f t="shared" si="110"/>
        <v>30-35</v>
      </c>
      <c r="L730">
        <f t="shared" si="111"/>
        <v>0</v>
      </c>
      <c r="M730">
        <f t="shared" si="112"/>
        <v>0</v>
      </c>
      <c r="N730">
        <f t="shared" si="113"/>
        <v>0</v>
      </c>
      <c r="O730">
        <f t="shared" si="114"/>
        <v>1</v>
      </c>
      <c r="P730">
        <v>0.51866572755307339</v>
      </c>
      <c r="Q730">
        <f t="shared" si="115"/>
        <v>0</v>
      </c>
      <c r="R730">
        <f t="shared" si="116"/>
        <v>0</v>
      </c>
      <c r="S730">
        <f t="shared" si="117"/>
        <v>0</v>
      </c>
      <c r="T730">
        <f t="shared" si="118"/>
        <v>6502.2599999999993</v>
      </c>
      <c r="U730">
        <f t="shared" si="119"/>
        <v>3729.2400000000007</v>
      </c>
    </row>
    <row r="731" spans="1:21" x14ac:dyDescent="0.3">
      <c r="A731">
        <v>730</v>
      </c>
      <c r="B731">
        <v>31</v>
      </c>
      <c r="C731" t="s">
        <v>10</v>
      </c>
      <c r="D731">
        <v>28.7</v>
      </c>
      <c r="E731">
        <v>107</v>
      </c>
      <c r="F731" t="s">
        <v>11</v>
      </c>
      <c r="G731">
        <v>3</v>
      </c>
      <c r="H731" t="s">
        <v>12</v>
      </c>
      <c r="I731" t="s">
        <v>14</v>
      </c>
      <c r="J731">
        <v>10264.44</v>
      </c>
      <c r="K731" t="str">
        <f t="shared" si="110"/>
        <v>25-30</v>
      </c>
      <c r="L731">
        <f t="shared" si="111"/>
        <v>0</v>
      </c>
      <c r="M731">
        <f t="shared" si="112"/>
        <v>0</v>
      </c>
      <c r="N731">
        <f t="shared" si="113"/>
        <v>0</v>
      </c>
      <c r="O731">
        <f t="shared" si="114"/>
        <v>1</v>
      </c>
      <c r="P731">
        <v>0.78092869964257672</v>
      </c>
      <c r="Q731">
        <f t="shared" si="115"/>
        <v>0</v>
      </c>
      <c r="R731">
        <f t="shared" si="116"/>
        <v>1</v>
      </c>
      <c r="S731">
        <f t="shared" si="117"/>
        <v>0</v>
      </c>
      <c r="T731">
        <f t="shared" si="118"/>
        <v>11410.210000000001</v>
      </c>
      <c r="U731">
        <f t="shared" si="119"/>
        <v>-1145.7700000000004</v>
      </c>
    </row>
    <row r="732" spans="1:21" x14ac:dyDescent="0.3">
      <c r="A732">
        <v>731</v>
      </c>
      <c r="B732">
        <v>19</v>
      </c>
      <c r="C732" t="s">
        <v>10</v>
      </c>
      <c r="D732">
        <v>32.299999999999997</v>
      </c>
      <c r="E732">
        <v>93</v>
      </c>
      <c r="F732" t="s">
        <v>11</v>
      </c>
      <c r="G732">
        <v>3</v>
      </c>
      <c r="H732" t="s">
        <v>12</v>
      </c>
      <c r="I732" t="s">
        <v>14</v>
      </c>
      <c r="J732">
        <v>10269.459999999999</v>
      </c>
      <c r="K732" t="str">
        <f t="shared" si="110"/>
        <v>30-35</v>
      </c>
      <c r="L732">
        <f t="shared" si="111"/>
        <v>0</v>
      </c>
      <c r="M732">
        <f t="shared" si="112"/>
        <v>0</v>
      </c>
      <c r="N732">
        <f t="shared" si="113"/>
        <v>0</v>
      </c>
      <c r="O732">
        <f t="shared" si="114"/>
        <v>1</v>
      </c>
      <c r="P732">
        <v>0.19473976838906903</v>
      </c>
      <c r="Q732">
        <f t="shared" si="115"/>
        <v>0</v>
      </c>
      <c r="R732">
        <f t="shared" si="116"/>
        <v>1</v>
      </c>
      <c r="S732">
        <f t="shared" si="117"/>
        <v>0</v>
      </c>
      <c r="T732">
        <f t="shared" si="118"/>
        <v>9499.1100000000024</v>
      </c>
      <c r="U732">
        <f t="shared" si="119"/>
        <v>770.34999999999673</v>
      </c>
    </row>
    <row r="733" spans="1:21" x14ac:dyDescent="0.3">
      <c r="A733">
        <v>732</v>
      </c>
      <c r="B733">
        <v>29</v>
      </c>
      <c r="C733" t="s">
        <v>10</v>
      </c>
      <c r="D733">
        <v>38.6</v>
      </c>
      <c r="E733">
        <v>82</v>
      </c>
      <c r="F733" t="s">
        <v>11</v>
      </c>
      <c r="G733">
        <v>2</v>
      </c>
      <c r="H733" t="s">
        <v>12</v>
      </c>
      <c r="I733" t="s">
        <v>15</v>
      </c>
      <c r="J733">
        <v>10325.209999999999</v>
      </c>
      <c r="K733" t="str">
        <f t="shared" si="110"/>
        <v>35+</v>
      </c>
      <c r="L733">
        <f t="shared" si="111"/>
        <v>0</v>
      </c>
      <c r="M733">
        <f t="shared" si="112"/>
        <v>0</v>
      </c>
      <c r="N733">
        <f t="shared" si="113"/>
        <v>1</v>
      </c>
      <c r="O733">
        <f t="shared" si="114"/>
        <v>0</v>
      </c>
      <c r="P733">
        <v>0.4340310564076858</v>
      </c>
      <c r="Q733">
        <f t="shared" si="115"/>
        <v>0</v>
      </c>
      <c r="R733">
        <f t="shared" si="116"/>
        <v>1</v>
      </c>
      <c r="S733">
        <f t="shared" si="117"/>
        <v>0</v>
      </c>
      <c r="T733">
        <f t="shared" si="118"/>
        <v>7523.1600000000008</v>
      </c>
      <c r="U733">
        <f t="shared" si="119"/>
        <v>2802.0499999999984</v>
      </c>
    </row>
    <row r="734" spans="1:21" x14ac:dyDescent="0.3">
      <c r="A734">
        <v>733</v>
      </c>
      <c r="B734">
        <v>53</v>
      </c>
      <c r="C734" t="s">
        <v>16</v>
      </c>
      <c r="D734">
        <v>31.2</v>
      </c>
      <c r="E734">
        <v>86</v>
      </c>
      <c r="F734" t="s">
        <v>11</v>
      </c>
      <c r="G734">
        <v>0</v>
      </c>
      <c r="H734" t="s">
        <v>12</v>
      </c>
      <c r="I734" t="s">
        <v>13</v>
      </c>
      <c r="J734">
        <v>10338.93</v>
      </c>
      <c r="K734" t="str">
        <f t="shared" si="110"/>
        <v>30-35</v>
      </c>
      <c r="L734">
        <f t="shared" si="111"/>
        <v>0</v>
      </c>
      <c r="M734">
        <f t="shared" si="112"/>
        <v>1</v>
      </c>
      <c r="N734">
        <f t="shared" si="113"/>
        <v>0</v>
      </c>
      <c r="O734">
        <f t="shared" si="114"/>
        <v>0</v>
      </c>
      <c r="P734">
        <v>0.91486798990350171</v>
      </c>
      <c r="Q734">
        <f t="shared" si="115"/>
        <v>0</v>
      </c>
      <c r="R734">
        <f t="shared" si="116"/>
        <v>1</v>
      </c>
      <c r="S734">
        <f t="shared" si="117"/>
        <v>1</v>
      </c>
      <c r="T734">
        <f t="shared" si="118"/>
        <v>5777.9499999999989</v>
      </c>
      <c r="U734">
        <f t="shared" si="119"/>
        <v>4560.9800000000014</v>
      </c>
    </row>
    <row r="735" spans="1:21" x14ac:dyDescent="0.3">
      <c r="A735">
        <v>734</v>
      </c>
      <c r="B735">
        <v>29</v>
      </c>
      <c r="C735" t="s">
        <v>16</v>
      </c>
      <c r="D735">
        <v>26.6</v>
      </c>
      <c r="E735">
        <v>105</v>
      </c>
      <c r="F735" t="s">
        <v>11</v>
      </c>
      <c r="G735">
        <v>0</v>
      </c>
      <c r="H735" t="s">
        <v>12</v>
      </c>
      <c r="I735" t="s">
        <v>14</v>
      </c>
      <c r="J735">
        <v>10355.64</v>
      </c>
      <c r="K735" t="str">
        <f t="shared" si="110"/>
        <v>25-30</v>
      </c>
      <c r="L735">
        <f t="shared" si="111"/>
        <v>0</v>
      </c>
      <c r="M735">
        <f t="shared" si="112"/>
        <v>0</v>
      </c>
      <c r="N735">
        <f t="shared" si="113"/>
        <v>0</v>
      </c>
      <c r="O735">
        <f t="shared" si="114"/>
        <v>1</v>
      </c>
      <c r="P735">
        <v>0.8968308816702194</v>
      </c>
      <c r="Q735">
        <f t="shared" si="115"/>
        <v>0</v>
      </c>
      <c r="R735">
        <f t="shared" si="116"/>
        <v>1</v>
      </c>
      <c r="S735">
        <f t="shared" si="117"/>
        <v>1</v>
      </c>
      <c r="T735">
        <f t="shared" si="118"/>
        <v>9144.2700000000023</v>
      </c>
      <c r="U735">
        <f t="shared" si="119"/>
        <v>1211.3699999999972</v>
      </c>
    </row>
    <row r="736" spans="1:21" x14ac:dyDescent="0.3">
      <c r="A736">
        <v>735</v>
      </c>
      <c r="B736">
        <v>25</v>
      </c>
      <c r="C736" t="s">
        <v>16</v>
      </c>
      <c r="D736">
        <v>33.299999999999997</v>
      </c>
      <c r="E736">
        <v>80</v>
      </c>
      <c r="F736" t="s">
        <v>11</v>
      </c>
      <c r="G736">
        <v>2</v>
      </c>
      <c r="H736" t="s">
        <v>12</v>
      </c>
      <c r="I736" t="s">
        <v>17</v>
      </c>
      <c r="J736">
        <v>10370.91</v>
      </c>
      <c r="K736" t="str">
        <f t="shared" si="110"/>
        <v>30-35</v>
      </c>
      <c r="L736">
        <f t="shared" si="111"/>
        <v>0</v>
      </c>
      <c r="M736">
        <f t="shared" si="112"/>
        <v>0</v>
      </c>
      <c r="N736">
        <f t="shared" si="113"/>
        <v>0</v>
      </c>
      <c r="O736">
        <f t="shared" si="114"/>
        <v>0</v>
      </c>
      <c r="P736">
        <v>0.59875334057463847</v>
      </c>
      <c r="Q736">
        <f t="shared" si="115"/>
        <v>0</v>
      </c>
      <c r="R736">
        <f t="shared" si="116"/>
        <v>1</v>
      </c>
      <c r="S736">
        <f t="shared" si="117"/>
        <v>1</v>
      </c>
      <c r="T736">
        <f t="shared" si="118"/>
        <v>10157.010000000002</v>
      </c>
      <c r="U736">
        <f t="shared" si="119"/>
        <v>213.89999999999782</v>
      </c>
    </row>
    <row r="737" spans="1:21" x14ac:dyDescent="0.3">
      <c r="A737">
        <v>736</v>
      </c>
      <c r="B737">
        <v>51</v>
      </c>
      <c r="C737" t="s">
        <v>16</v>
      </c>
      <c r="D737">
        <v>36.6</v>
      </c>
      <c r="E737">
        <v>104</v>
      </c>
      <c r="F737" t="s">
        <v>12</v>
      </c>
      <c r="G737">
        <v>3</v>
      </c>
      <c r="H737" t="s">
        <v>12</v>
      </c>
      <c r="I737" t="s">
        <v>13</v>
      </c>
      <c r="J737">
        <v>10381.48</v>
      </c>
      <c r="K737" t="str">
        <f t="shared" si="110"/>
        <v>35+</v>
      </c>
      <c r="L737">
        <f t="shared" si="111"/>
        <v>0</v>
      </c>
      <c r="M737">
        <f t="shared" si="112"/>
        <v>1</v>
      </c>
      <c r="N737">
        <f t="shared" si="113"/>
        <v>0</v>
      </c>
      <c r="O737">
        <f t="shared" si="114"/>
        <v>0</v>
      </c>
      <c r="P737">
        <v>0.97338445483188019</v>
      </c>
      <c r="Q737">
        <f t="shared" si="115"/>
        <v>0</v>
      </c>
      <c r="R737">
        <f t="shared" si="116"/>
        <v>0</v>
      </c>
      <c r="S737">
        <f t="shared" si="117"/>
        <v>1</v>
      </c>
      <c r="T737">
        <f t="shared" si="118"/>
        <v>11398.610000000002</v>
      </c>
      <c r="U737">
        <f t="shared" si="119"/>
        <v>-1017.1300000000028</v>
      </c>
    </row>
    <row r="738" spans="1:21" x14ac:dyDescent="0.3">
      <c r="A738">
        <v>737</v>
      </c>
      <c r="B738">
        <v>23</v>
      </c>
      <c r="C738" t="s">
        <v>10</v>
      </c>
      <c r="D738">
        <v>28.2</v>
      </c>
      <c r="E738">
        <v>95</v>
      </c>
      <c r="F738" t="s">
        <v>12</v>
      </c>
      <c r="G738">
        <v>4</v>
      </c>
      <c r="H738" t="s">
        <v>12</v>
      </c>
      <c r="I738" t="s">
        <v>17</v>
      </c>
      <c r="J738">
        <v>10407.09</v>
      </c>
      <c r="K738" t="str">
        <f t="shared" si="110"/>
        <v>25-30</v>
      </c>
      <c r="L738">
        <f t="shared" si="111"/>
        <v>0</v>
      </c>
      <c r="M738">
        <f t="shared" si="112"/>
        <v>0</v>
      </c>
      <c r="N738">
        <f t="shared" si="113"/>
        <v>0</v>
      </c>
      <c r="O738">
        <f t="shared" si="114"/>
        <v>0</v>
      </c>
      <c r="P738">
        <v>0.52380882999252965</v>
      </c>
      <c r="Q738">
        <f t="shared" si="115"/>
        <v>0</v>
      </c>
      <c r="R738">
        <f t="shared" si="116"/>
        <v>0</v>
      </c>
      <c r="S738">
        <f t="shared" si="117"/>
        <v>0</v>
      </c>
      <c r="T738">
        <f t="shared" si="118"/>
        <v>13217.960000000003</v>
      </c>
      <c r="U738">
        <f t="shared" si="119"/>
        <v>-2810.8700000000026</v>
      </c>
    </row>
    <row r="739" spans="1:21" x14ac:dyDescent="0.3">
      <c r="A739">
        <v>738</v>
      </c>
      <c r="B739">
        <v>30</v>
      </c>
      <c r="C739" t="s">
        <v>10</v>
      </c>
      <c r="D739">
        <v>24</v>
      </c>
      <c r="E739">
        <v>86</v>
      </c>
      <c r="F739" t="s">
        <v>12</v>
      </c>
      <c r="G739">
        <v>0</v>
      </c>
      <c r="H739" t="s">
        <v>12</v>
      </c>
      <c r="I739" t="s">
        <v>17</v>
      </c>
      <c r="J739">
        <v>10422.92</v>
      </c>
      <c r="K739" t="str">
        <f t="shared" si="110"/>
        <v>20-25</v>
      </c>
      <c r="L739">
        <f t="shared" si="111"/>
        <v>0</v>
      </c>
      <c r="M739">
        <f t="shared" si="112"/>
        <v>0</v>
      </c>
      <c r="N739">
        <f t="shared" si="113"/>
        <v>0</v>
      </c>
      <c r="O739">
        <f t="shared" si="114"/>
        <v>0</v>
      </c>
      <c r="P739">
        <v>0.2375561451013154</v>
      </c>
      <c r="Q739">
        <f t="shared" si="115"/>
        <v>0</v>
      </c>
      <c r="R739">
        <f t="shared" si="116"/>
        <v>0</v>
      </c>
      <c r="S739">
        <f t="shared" si="117"/>
        <v>0</v>
      </c>
      <c r="T739">
        <f t="shared" si="118"/>
        <v>8460.630000000001</v>
      </c>
      <c r="U739">
        <f t="shared" si="119"/>
        <v>1962.2899999999991</v>
      </c>
    </row>
    <row r="740" spans="1:21" x14ac:dyDescent="0.3">
      <c r="A740">
        <v>739</v>
      </c>
      <c r="B740">
        <v>27</v>
      </c>
      <c r="C740" t="s">
        <v>10</v>
      </c>
      <c r="D740">
        <v>32.799999999999997</v>
      </c>
      <c r="E740">
        <v>86</v>
      </c>
      <c r="F740" t="s">
        <v>12</v>
      </c>
      <c r="G740">
        <v>0</v>
      </c>
      <c r="H740" t="s">
        <v>12</v>
      </c>
      <c r="I740" t="s">
        <v>17</v>
      </c>
      <c r="J740">
        <v>10435.07</v>
      </c>
      <c r="K740" t="str">
        <f t="shared" si="110"/>
        <v>30-35</v>
      </c>
      <c r="L740">
        <f t="shared" si="111"/>
        <v>0</v>
      </c>
      <c r="M740">
        <f t="shared" si="112"/>
        <v>0</v>
      </c>
      <c r="N740">
        <f t="shared" si="113"/>
        <v>0</v>
      </c>
      <c r="O740">
        <f t="shared" si="114"/>
        <v>0</v>
      </c>
      <c r="P740">
        <v>0.17339352910690053</v>
      </c>
      <c r="Q740">
        <f t="shared" si="115"/>
        <v>0</v>
      </c>
      <c r="R740">
        <f t="shared" si="116"/>
        <v>0</v>
      </c>
      <c r="S740">
        <f t="shared" si="117"/>
        <v>0</v>
      </c>
      <c r="T740">
        <f t="shared" si="118"/>
        <v>9216.869999999999</v>
      </c>
      <c r="U740">
        <f t="shared" si="119"/>
        <v>1218.2000000000007</v>
      </c>
    </row>
    <row r="741" spans="1:21" x14ac:dyDescent="0.3">
      <c r="A741">
        <v>740</v>
      </c>
      <c r="B741">
        <v>37</v>
      </c>
      <c r="C741" t="s">
        <v>10</v>
      </c>
      <c r="D741">
        <v>29.2</v>
      </c>
      <c r="E741">
        <v>109</v>
      </c>
      <c r="F741" t="s">
        <v>12</v>
      </c>
      <c r="G741">
        <v>1</v>
      </c>
      <c r="H741" t="s">
        <v>12</v>
      </c>
      <c r="I741" t="s">
        <v>15</v>
      </c>
      <c r="J741">
        <v>10436.1</v>
      </c>
      <c r="K741" t="str">
        <f t="shared" si="110"/>
        <v>25-30</v>
      </c>
      <c r="L741">
        <f t="shared" si="111"/>
        <v>0</v>
      </c>
      <c r="M741">
        <f t="shared" si="112"/>
        <v>0</v>
      </c>
      <c r="N741">
        <f t="shared" si="113"/>
        <v>1</v>
      </c>
      <c r="O741">
        <f t="shared" si="114"/>
        <v>0</v>
      </c>
      <c r="P741">
        <v>0.66833754167717752</v>
      </c>
      <c r="Q741">
        <f t="shared" si="115"/>
        <v>0</v>
      </c>
      <c r="R741">
        <f t="shared" si="116"/>
        <v>0</v>
      </c>
      <c r="S741">
        <f t="shared" si="117"/>
        <v>0</v>
      </c>
      <c r="T741">
        <f t="shared" si="118"/>
        <v>10348.970000000001</v>
      </c>
      <c r="U741">
        <f t="shared" si="119"/>
        <v>87.1299999999992</v>
      </c>
    </row>
    <row r="742" spans="1:21" x14ac:dyDescent="0.3">
      <c r="A742">
        <v>741</v>
      </c>
      <c r="B742">
        <v>27</v>
      </c>
      <c r="C742" t="s">
        <v>10</v>
      </c>
      <c r="D742">
        <v>39.6</v>
      </c>
      <c r="E742">
        <v>101</v>
      </c>
      <c r="F742" t="s">
        <v>11</v>
      </c>
      <c r="G742">
        <v>1</v>
      </c>
      <c r="H742" t="s">
        <v>12</v>
      </c>
      <c r="I742" t="s">
        <v>15</v>
      </c>
      <c r="J742">
        <v>10450.549999999999</v>
      </c>
      <c r="K742" t="str">
        <f t="shared" si="110"/>
        <v>35+</v>
      </c>
      <c r="L742">
        <f t="shared" si="111"/>
        <v>0</v>
      </c>
      <c r="M742">
        <f t="shared" si="112"/>
        <v>0</v>
      </c>
      <c r="N742">
        <f t="shared" si="113"/>
        <v>1</v>
      </c>
      <c r="O742">
        <f t="shared" si="114"/>
        <v>0</v>
      </c>
      <c r="P742">
        <v>0.35323868365273792</v>
      </c>
      <c r="Q742">
        <f t="shared" si="115"/>
        <v>0</v>
      </c>
      <c r="R742">
        <f t="shared" si="116"/>
        <v>1</v>
      </c>
      <c r="S742">
        <f t="shared" si="117"/>
        <v>0</v>
      </c>
      <c r="T742">
        <f t="shared" si="118"/>
        <v>9905.19</v>
      </c>
      <c r="U742">
        <f t="shared" si="119"/>
        <v>545.35999999999876</v>
      </c>
    </row>
    <row r="743" spans="1:21" x14ac:dyDescent="0.3">
      <c r="A743">
        <v>742</v>
      </c>
      <c r="B743">
        <v>19</v>
      </c>
      <c r="C743" t="s">
        <v>10</v>
      </c>
      <c r="D743">
        <v>31.2</v>
      </c>
      <c r="E743">
        <v>98</v>
      </c>
      <c r="F743" t="s">
        <v>12</v>
      </c>
      <c r="G743">
        <v>1</v>
      </c>
      <c r="H743" t="s">
        <v>12</v>
      </c>
      <c r="I743" t="s">
        <v>14</v>
      </c>
      <c r="J743">
        <v>10461.98</v>
      </c>
      <c r="K743" t="str">
        <f t="shared" si="110"/>
        <v>30-35</v>
      </c>
      <c r="L743">
        <f t="shared" si="111"/>
        <v>0</v>
      </c>
      <c r="M743">
        <f t="shared" si="112"/>
        <v>0</v>
      </c>
      <c r="N743">
        <f t="shared" si="113"/>
        <v>0</v>
      </c>
      <c r="O743">
        <f t="shared" si="114"/>
        <v>1</v>
      </c>
      <c r="P743">
        <v>0.44132524779019733</v>
      </c>
      <c r="Q743">
        <f t="shared" si="115"/>
        <v>0</v>
      </c>
      <c r="R743">
        <f t="shared" si="116"/>
        <v>0</v>
      </c>
      <c r="S743">
        <f t="shared" si="117"/>
        <v>0</v>
      </c>
      <c r="T743">
        <f t="shared" si="118"/>
        <v>8795.59</v>
      </c>
      <c r="U743">
        <f t="shared" si="119"/>
        <v>1666.3899999999994</v>
      </c>
    </row>
    <row r="744" spans="1:21" x14ac:dyDescent="0.3">
      <c r="A744">
        <v>743</v>
      </c>
      <c r="B744">
        <v>35</v>
      </c>
      <c r="C744" t="s">
        <v>16</v>
      </c>
      <c r="D744">
        <v>26.2</v>
      </c>
      <c r="E744">
        <v>109</v>
      </c>
      <c r="F744" t="s">
        <v>11</v>
      </c>
      <c r="G744">
        <v>2</v>
      </c>
      <c r="H744" t="s">
        <v>12</v>
      </c>
      <c r="I744" t="s">
        <v>14</v>
      </c>
      <c r="J744">
        <v>10493.95</v>
      </c>
      <c r="K744" t="str">
        <f t="shared" si="110"/>
        <v>25-30</v>
      </c>
      <c r="L744">
        <f t="shared" si="111"/>
        <v>0</v>
      </c>
      <c r="M744">
        <f t="shared" si="112"/>
        <v>0</v>
      </c>
      <c r="N744">
        <f t="shared" si="113"/>
        <v>0</v>
      </c>
      <c r="O744">
        <f t="shared" si="114"/>
        <v>1</v>
      </c>
      <c r="P744">
        <v>0.22505687572905664</v>
      </c>
      <c r="Q744">
        <f t="shared" si="115"/>
        <v>0</v>
      </c>
      <c r="R744">
        <f t="shared" si="116"/>
        <v>1</v>
      </c>
      <c r="S744">
        <f t="shared" si="117"/>
        <v>1</v>
      </c>
      <c r="T744">
        <f t="shared" si="118"/>
        <v>11217.230000000001</v>
      </c>
      <c r="U744">
        <f t="shared" si="119"/>
        <v>-723.28000000000065</v>
      </c>
    </row>
    <row r="745" spans="1:21" x14ac:dyDescent="0.3">
      <c r="A745">
        <v>744</v>
      </c>
      <c r="B745">
        <v>42</v>
      </c>
      <c r="C745" t="s">
        <v>10</v>
      </c>
      <c r="D745">
        <v>33.299999999999997</v>
      </c>
      <c r="E745">
        <v>101</v>
      </c>
      <c r="F745" t="s">
        <v>11</v>
      </c>
      <c r="G745">
        <v>3</v>
      </c>
      <c r="H745" t="s">
        <v>12</v>
      </c>
      <c r="I745" t="s">
        <v>13</v>
      </c>
      <c r="J745">
        <v>10560.49</v>
      </c>
      <c r="K745" t="str">
        <f t="shared" si="110"/>
        <v>30-35</v>
      </c>
      <c r="L745">
        <f t="shared" si="111"/>
        <v>0</v>
      </c>
      <c r="M745">
        <f t="shared" si="112"/>
        <v>1</v>
      </c>
      <c r="N745">
        <f t="shared" si="113"/>
        <v>0</v>
      </c>
      <c r="O745">
        <f t="shared" si="114"/>
        <v>0</v>
      </c>
      <c r="P745">
        <v>0.14206094334203656</v>
      </c>
      <c r="Q745">
        <f t="shared" si="115"/>
        <v>0</v>
      </c>
      <c r="R745">
        <f t="shared" si="116"/>
        <v>1</v>
      </c>
      <c r="S745">
        <f t="shared" si="117"/>
        <v>0</v>
      </c>
      <c r="T745">
        <f t="shared" si="118"/>
        <v>10135.200000000001</v>
      </c>
      <c r="U745">
        <f t="shared" si="119"/>
        <v>425.28999999999905</v>
      </c>
    </row>
    <row r="746" spans="1:21" x14ac:dyDescent="0.3">
      <c r="A746">
        <v>745</v>
      </c>
      <c r="B746">
        <v>56</v>
      </c>
      <c r="C746" t="s">
        <v>16</v>
      </c>
      <c r="D746">
        <v>33.299999999999997</v>
      </c>
      <c r="E746">
        <v>81</v>
      </c>
      <c r="F746" t="s">
        <v>11</v>
      </c>
      <c r="G746">
        <v>0</v>
      </c>
      <c r="H746" t="s">
        <v>12</v>
      </c>
      <c r="I746" t="s">
        <v>17</v>
      </c>
      <c r="J746">
        <v>10564.88</v>
      </c>
      <c r="K746" t="str">
        <f t="shared" si="110"/>
        <v>30-35</v>
      </c>
      <c r="L746">
        <f t="shared" si="111"/>
        <v>0</v>
      </c>
      <c r="M746">
        <f t="shared" si="112"/>
        <v>0</v>
      </c>
      <c r="N746">
        <f t="shared" si="113"/>
        <v>0</v>
      </c>
      <c r="O746">
        <f t="shared" si="114"/>
        <v>0</v>
      </c>
      <c r="P746">
        <v>0.51295089594626264</v>
      </c>
      <c r="Q746">
        <f t="shared" si="115"/>
        <v>0</v>
      </c>
      <c r="R746">
        <f t="shared" si="116"/>
        <v>1</v>
      </c>
      <c r="S746">
        <f t="shared" si="117"/>
        <v>1</v>
      </c>
      <c r="T746">
        <f t="shared" si="118"/>
        <v>8800.44</v>
      </c>
      <c r="U746">
        <f t="shared" si="119"/>
        <v>1764.4399999999987</v>
      </c>
    </row>
    <row r="747" spans="1:21" x14ac:dyDescent="0.3">
      <c r="A747">
        <v>746</v>
      </c>
      <c r="B747">
        <v>40</v>
      </c>
      <c r="C747" t="s">
        <v>10</v>
      </c>
      <c r="D747">
        <v>22.1</v>
      </c>
      <c r="E747">
        <v>83</v>
      </c>
      <c r="F747" t="s">
        <v>11</v>
      </c>
      <c r="G747">
        <v>0</v>
      </c>
      <c r="H747" t="s">
        <v>12</v>
      </c>
      <c r="I747" t="s">
        <v>15</v>
      </c>
      <c r="J747">
        <v>10577.09</v>
      </c>
      <c r="K747" t="str">
        <f t="shared" si="110"/>
        <v>20-25</v>
      </c>
      <c r="L747">
        <f t="shared" si="111"/>
        <v>0</v>
      </c>
      <c r="M747">
        <f t="shared" si="112"/>
        <v>0</v>
      </c>
      <c r="N747">
        <f t="shared" si="113"/>
        <v>1</v>
      </c>
      <c r="O747">
        <f t="shared" si="114"/>
        <v>0</v>
      </c>
      <c r="P747">
        <v>0.82730958714325809</v>
      </c>
      <c r="Q747">
        <f t="shared" si="115"/>
        <v>0</v>
      </c>
      <c r="R747">
        <f t="shared" si="116"/>
        <v>1</v>
      </c>
      <c r="S747">
        <f t="shared" si="117"/>
        <v>0</v>
      </c>
      <c r="T747">
        <f t="shared" si="118"/>
        <v>4781.4400000000014</v>
      </c>
      <c r="U747">
        <f t="shared" si="119"/>
        <v>5795.6499999999987</v>
      </c>
    </row>
    <row r="748" spans="1:21" x14ac:dyDescent="0.3">
      <c r="A748">
        <v>747</v>
      </c>
      <c r="B748">
        <v>55</v>
      </c>
      <c r="C748" t="s">
        <v>16</v>
      </c>
      <c r="D748">
        <v>39.6</v>
      </c>
      <c r="E748">
        <v>91</v>
      </c>
      <c r="F748" t="s">
        <v>12</v>
      </c>
      <c r="G748">
        <v>1</v>
      </c>
      <c r="H748" t="s">
        <v>12</v>
      </c>
      <c r="I748" t="s">
        <v>13</v>
      </c>
      <c r="J748">
        <v>10579.71</v>
      </c>
      <c r="K748" t="str">
        <f t="shared" si="110"/>
        <v>35+</v>
      </c>
      <c r="L748">
        <f t="shared" si="111"/>
        <v>0</v>
      </c>
      <c r="M748">
        <f t="shared" si="112"/>
        <v>1</v>
      </c>
      <c r="N748">
        <f t="shared" si="113"/>
        <v>0</v>
      </c>
      <c r="O748">
        <f t="shared" si="114"/>
        <v>0</v>
      </c>
      <c r="P748">
        <v>3.0128125380075033E-2</v>
      </c>
      <c r="Q748">
        <f t="shared" si="115"/>
        <v>0</v>
      </c>
      <c r="R748">
        <f t="shared" si="116"/>
        <v>0</v>
      </c>
      <c r="S748">
        <f t="shared" si="117"/>
        <v>1</v>
      </c>
      <c r="T748">
        <f t="shared" si="118"/>
        <v>8098.8400000000011</v>
      </c>
      <c r="U748">
        <f t="shared" si="119"/>
        <v>2480.8699999999981</v>
      </c>
    </row>
    <row r="749" spans="1:21" x14ac:dyDescent="0.3">
      <c r="A749">
        <v>748</v>
      </c>
      <c r="B749">
        <v>34</v>
      </c>
      <c r="C749" t="s">
        <v>10</v>
      </c>
      <c r="D749">
        <v>34.4</v>
      </c>
      <c r="E749">
        <v>106</v>
      </c>
      <c r="F749" t="s">
        <v>12</v>
      </c>
      <c r="G749">
        <v>0</v>
      </c>
      <c r="H749" t="s">
        <v>12</v>
      </c>
      <c r="I749" t="s">
        <v>13</v>
      </c>
      <c r="J749">
        <v>10594.23</v>
      </c>
      <c r="K749" t="str">
        <f t="shared" si="110"/>
        <v>30-35</v>
      </c>
      <c r="L749">
        <f t="shared" si="111"/>
        <v>0</v>
      </c>
      <c r="M749">
        <f t="shared" si="112"/>
        <v>1</v>
      </c>
      <c r="N749">
        <f t="shared" si="113"/>
        <v>0</v>
      </c>
      <c r="O749">
        <f t="shared" si="114"/>
        <v>0</v>
      </c>
      <c r="P749">
        <v>0.10586038796340635</v>
      </c>
      <c r="Q749">
        <f t="shared" si="115"/>
        <v>0</v>
      </c>
      <c r="R749">
        <f t="shared" si="116"/>
        <v>0</v>
      </c>
      <c r="S749">
        <f t="shared" si="117"/>
        <v>0</v>
      </c>
      <c r="T749">
        <f t="shared" si="118"/>
        <v>8891.7800000000007</v>
      </c>
      <c r="U749">
        <f t="shared" si="119"/>
        <v>1702.4499999999989</v>
      </c>
    </row>
    <row r="750" spans="1:21" x14ac:dyDescent="0.3">
      <c r="A750">
        <v>749</v>
      </c>
      <c r="B750">
        <v>25</v>
      </c>
      <c r="C750" t="s">
        <v>10</v>
      </c>
      <c r="D750">
        <v>27.6</v>
      </c>
      <c r="E750">
        <v>110</v>
      </c>
      <c r="F750" t="s">
        <v>11</v>
      </c>
      <c r="G750">
        <v>0</v>
      </c>
      <c r="H750" t="s">
        <v>12</v>
      </c>
      <c r="I750" t="s">
        <v>14</v>
      </c>
      <c r="J750">
        <v>10594.5</v>
      </c>
      <c r="K750" t="str">
        <f t="shared" si="110"/>
        <v>25-30</v>
      </c>
      <c r="L750">
        <f t="shared" si="111"/>
        <v>0</v>
      </c>
      <c r="M750">
        <f t="shared" si="112"/>
        <v>0</v>
      </c>
      <c r="N750">
        <f t="shared" si="113"/>
        <v>0</v>
      </c>
      <c r="O750">
        <f t="shared" si="114"/>
        <v>1</v>
      </c>
      <c r="P750">
        <v>5.6156448295787476E-2</v>
      </c>
      <c r="Q750">
        <f t="shared" si="115"/>
        <v>0</v>
      </c>
      <c r="R750">
        <f t="shared" si="116"/>
        <v>1</v>
      </c>
      <c r="S750">
        <f t="shared" si="117"/>
        <v>0</v>
      </c>
      <c r="T750">
        <f t="shared" si="118"/>
        <v>9587.8900000000012</v>
      </c>
      <c r="U750">
        <f t="shared" si="119"/>
        <v>1006.6099999999988</v>
      </c>
    </row>
    <row r="751" spans="1:21" x14ac:dyDescent="0.3">
      <c r="A751">
        <v>750</v>
      </c>
      <c r="B751">
        <v>40</v>
      </c>
      <c r="C751" t="s">
        <v>10</v>
      </c>
      <c r="D751">
        <v>31</v>
      </c>
      <c r="E751">
        <v>100</v>
      </c>
      <c r="F751" t="s">
        <v>12</v>
      </c>
      <c r="G751">
        <v>3</v>
      </c>
      <c r="H751" t="s">
        <v>12</v>
      </c>
      <c r="I751" t="s">
        <v>14</v>
      </c>
      <c r="J751">
        <v>10600.55</v>
      </c>
      <c r="K751" t="str">
        <f t="shared" si="110"/>
        <v>30-35</v>
      </c>
      <c r="L751">
        <f t="shared" si="111"/>
        <v>0</v>
      </c>
      <c r="M751">
        <f t="shared" si="112"/>
        <v>0</v>
      </c>
      <c r="N751">
        <f t="shared" si="113"/>
        <v>0</v>
      </c>
      <c r="O751">
        <f t="shared" si="114"/>
        <v>1</v>
      </c>
      <c r="P751">
        <v>0.78790637879287062</v>
      </c>
      <c r="Q751">
        <f t="shared" si="115"/>
        <v>0</v>
      </c>
      <c r="R751">
        <f t="shared" si="116"/>
        <v>0</v>
      </c>
      <c r="S751">
        <f t="shared" si="117"/>
        <v>0</v>
      </c>
      <c r="T751">
        <f t="shared" si="118"/>
        <v>10547.27</v>
      </c>
      <c r="U751">
        <f t="shared" si="119"/>
        <v>53.279999999998836</v>
      </c>
    </row>
    <row r="752" spans="1:21" x14ac:dyDescent="0.3">
      <c r="A752">
        <v>751</v>
      </c>
      <c r="B752">
        <v>29</v>
      </c>
      <c r="C752" t="s">
        <v>10</v>
      </c>
      <c r="D752">
        <v>39.6</v>
      </c>
      <c r="E752">
        <v>92</v>
      </c>
      <c r="F752" t="s">
        <v>12</v>
      </c>
      <c r="G752">
        <v>0</v>
      </c>
      <c r="H752" t="s">
        <v>12</v>
      </c>
      <c r="I752" t="s">
        <v>15</v>
      </c>
      <c r="J752">
        <v>10601.41</v>
      </c>
      <c r="K752" t="str">
        <f t="shared" si="110"/>
        <v>35+</v>
      </c>
      <c r="L752">
        <f t="shared" si="111"/>
        <v>0</v>
      </c>
      <c r="M752">
        <f t="shared" si="112"/>
        <v>0</v>
      </c>
      <c r="N752">
        <f t="shared" si="113"/>
        <v>1</v>
      </c>
      <c r="O752">
        <f t="shared" si="114"/>
        <v>0</v>
      </c>
      <c r="P752">
        <v>0.6025881454608486</v>
      </c>
      <c r="Q752">
        <f t="shared" si="115"/>
        <v>0</v>
      </c>
      <c r="R752">
        <f t="shared" si="116"/>
        <v>0</v>
      </c>
      <c r="S752">
        <f t="shared" si="117"/>
        <v>0</v>
      </c>
      <c r="T752">
        <f t="shared" si="118"/>
        <v>7797.1399999999994</v>
      </c>
      <c r="U752">
        <f t="shared" si="119"/>
        <v>2804.2700000000004</v>
      </c>
    </row>
    <row r="753" spans="1:21" x14ac:dyDescent="0.3">
      <c r="A753">
        <v>752</v>
      </c>
      <c r="B753">
        <v>49</v>
      </c>
      <c r="C753" t="s">
        <v>10</v>
      </c>
      <c r="D753">
        <v>32.799999999999997</v>
      </c>
      <c r="E753">
        <v>89</v>
      </c>
      <c r="F753" t="s">
        <v>12</v>
      </c>
      <c r="G753">
        <v>0</v>
      </c>
      <c r="H753" t="s">
        <v>12</v>
      </c>
      <c r="I753" t="s">
        <v>14</v>
      </c>
      <c r="J753">
        <v>10601.63</v>
      </c>
      <c r="K753" t="str">
        <f t="shared" si="110"/>
        <v>30-35</v>
      </c>
      <c r="L753">
        <f t="shared" si="111"/>
        <v>0</v>
      </c>
      <c r="M753">
        <f t="shared" si="112"/>
        <v>0</v>
      </c>
      <c r="N753">
        <f t="shared" si="113"/>
        <v>0</v>
      </c>
      <c r="O753">
        <f t="shared" si="114"/>
        <v>1</v>
      </c>
      <c r="P753">
        <v>0.4033827961195251</v>
      </c>
      <c r="Q753">
        <f t="shared" si="115"/>
        <v>0</v>
      </c>
      <c r="R753">
        <f t="shared" si="116"/>
        <v>0</v>
      </c>
      <c r="S753">
        <f t="shared" si="117"/>
        <v>0</v>
      </c>
      <c r="T753">
        <f t="shared" si="118"/>
        <v>6719.44</v>
      </c>
      <c r="U753">
        <f t="shared" si="119"/>
        <v>3882.1899999999996</v>
      </c>
    </row>
    <row r="754" spans="1:21" x14ac:dyDescent="0.3">
      <c r="A754">
        <v>753</v>
      </c>
      <c r="B754">
        <v>40</v>
      </c>
      <c r="C754" t="s">
        <v>10</v>
      </c>
      <c r="D754">
        <v>40.299999999999997</v>
      </c>
      <c r="E754">
        <v>96</v>
      </c>
      <c r="F754" t="s">
        <v>12</v>
      </c>
      <c r="G754">
        <v>0</v>
      </c>
      <c r="H754" t="s">
        <v>12</v>
      </c>
      <c r="I754" t="s">
        <v>15</v>
      </c>
      <c r="J754">
        <v>10602.39</v>
      </c>
      <c r="K754" t="str">
        <f t="shared" si="110"/>
        <v>35+</v>
      </c>
      <c r="L754">
        <f t="shared" si="111"/>
        <v>0</v>
      </c>
      <c r="M754">
        <f t="shared" si="112"/>
        <v>0</v>
      </c>
      <c r="N754">
        <f t="shared" si="113"/>
        <v>1</v>
      </c>
      <c r="O754">
        <f t="shared" si="114"/>
        <v>0</v>
      </c>
      <c r="P754">
        <v>0.77951808016284563</v>
      </c>
      <c r="Q754">
        <f t="shared" si="115"/>
        <v>0</v>
      </c>
      <c r="R754">
        <f t="shared" si="116"/>
        <v>0</v>
      </c>
      <c r="S754">
        <f t="shared" si="117"/>
        <v>0</v>
      </c>
      <c r="T754">
        <f t="shared" si="118"/>
        <v>8481.2699999999986</v>
      </c>
      <c r="U754">
        <f t="shared" si="119"/>
        <v>2121.1200000000008</v>
      </c>
    </row>
    <row r="755" spans="1:21" x14ac:dyDescent="0.3">
      <c r="A755">
        <v>754</v>
      </c>
      <c r="B755">
        <v>38</v>
      </c>
      <c r="C755" t="s">
        <v>16</v>
      </c>
      <c r="D755">
        <v>28.2</v>
      </c>
      <c r="E755">
        <v>86</v>
      </c>
      <c r="F755" t="s">
        <v>12</v>
      </c>
      <c r="G755">
        <v>3</v>
      </c>
      <c r="H755" t="s">
        <v>12</v>
      </c>
      <c r="I755" t="s">
        <v>13</v>
      </c>
      <c r="J755">
        <v>10702.64</v>
      </c>
      <c r="K755" t="str">
        <f t="shared" si="110"/>
        <v>25-30</v>
      </c>
      <c r="L755">
        <f t="shared" si="111"/>
        <v>0</v>
      </c>
      <c r="M755">
        <f t="shared" si="112"/>
        <v>1</v>
      </c>
      <c r="N755">
        <f t="shared" si="113"/>
        <v>0</v>
      </c>
      <c r="O755">
        <f t="shared" si="114"/>
        <v>0</v>
      </c>
      <c r="P755">
        <v>0.4680161282893639</v>
      </c>
      <c r="Q755">
        <f t="shared" si="115"/>
        <v>0</v>
      </c>
      <c r="R755">
        <f t="shared" si="116"/>
        <v>0</v>
      </c>
      <c r="S755">
        <f t="shared" si="117"/>
        <v>1</v>
      </c>
      <c r="T755">
        <f t="shared" si="118"/>
        <v>7824.4299999999994</v>
      </c>
      <c r="U755">
        <f t="shared" si="119"/>
        <v>2878.21</v>
      </c>
    </row>
    <row r="756" spans="1:21" x14ac:dyDescent="0.3">
      <c r="A756">
        <v>755</v>
      </c>
      <c r="B756">
        <v>59</v>
      </c>
      <c r="C756" t="s">
        <v>16</v>
      </c>
      <c r="D756">
        <v>30.5</v>
      </c>
      <c r="E756">
        <v>82</v>
      </c>
      <c r="F756" t="s">
        <v>12</v>
      </c>
      <c r="G756">
        <v>0</v>
      </c>
      <c r="H756" t="s">
        <v>12</v>
      </c>
      <c r="I756" t="s">
        <v>15</v>
      </c>
      <c r="J756">
        <v>10704.47</v>
      </c>
      <c r="K756" t="str">
        <f t="shared" si="110"/>
        <v>30-35</v>
      </c>
      <c r="L756">
        <f t="shared" si="111"/>
        <v>0</v>
      </c>
      <c r="M756">
        <f t="shared" si="112"/>
        <v>0</v>
      </c>
      <c r="N756">
        <f t="shared" si="113"/>
        <v>1</v>
      </c>
      <c r="O756">
        <f t="shared" si="114"/>
        <v>0</v>
      </c>
      <c r="P756">
        <v>0.6169077043314003</v>
      </c>
      <c r="Q756">
        <f t="shared" si="115"/>
        <v>0</v>
      </c>
      <c r="R756">
        <f t="shared" si="116"/>
        <v>0</v>
      </c>
      <c r="S756">
        <f t="shared" si="117"/>
        <v>1</v>
      </c>
      <c r="T756">
        <f t="shared" si="118"/>
        <v>5829.7400000000007</v>
      </c>
      <c r="U756">
        <f t="shared" si="119"/>
        <v>4874.7299999999987</v>
      </c>
    </row>
    <row r="757" spans="1:21" x14ac:dyDescent="0.3">
      <c r="A757">
        <v>756</v>
      </c>
      <c r="B757">
        <v>47</v>
      </c>
      <c r="C757" t="s">
        <v>16</v>
      </c>
      <c r="D757">
        <v>37.1</v>
      </c>
      <c r="E757">
        <v>101</v>
      </c>
      <c r="F757" t="s">
        <v>11</v>
      </c>
      <c r="G757">
        <v>0</v>
      </c>
      <c r="H757" t="s">
        <v>12</v>
      </c>
      <c r="I757" t="s">
        <v>15</v>
      </c>
      <c r="J757">
        <v>10713.64</v>
      </c>
      <c r="K757" t="str">
        <f t="shared" si="110"/>
        <v>35+</v>
      </c>
      <c r="L757">
        <f t="shared" si="111"/>
        <v>0</v>
      </c>
      <c r="M757">
        <f t="shared" si="112"/>
        <v>0</v>
      </c>
      <c r="N757">
        <f t="shared" si="113"/>
        <v>1</v>
      </c>
      <c r="O757">
        <f t="shared" si="114"/>
        <v>0</v>
      </c>
      <c r="P757">
        <v>0.8317530563108948</v>
      </c>
      <c r="Q757">
        <f t="shared" si="115"/>
        <v>0</v>
      </c>
      <c r="R757">
        <f t="shared" si="116"/>
        <v>1</v>
      </c>
      <c r="S757">
        <f t="shared" si="117"/>
        <v>1</v>
      </c>
      <c r="T757">
        <f t="shared" si="118"/>
        <v>9372.5500000000011</v>
      </c>
      <c r="U757">
        <f t="shared" si="119"/>
        <v>1341.0899999999983</v>
      </c>
    </row>
    <row r="758" spans="1:21" x14ac:dyDescent="0.3">
      <c r="A758">
        <v>757</v>
      </c>
      <c r="B758">
        <v>26</v>
      </c>
      <c r="C758" t="s">
        <v>10</v>
      </c>
      <c r="D758">
        <v>35.6</v>
      </c>
      <c r="E758">
        <v>106</v>
      </c>
      <c r="F758" t="s">
        <v>11</v>
      </c>
      <c r="G758">
        <v>4</v>
      </c>
      <c r="H758" t="s">
        <v>12</v>
      </c>
      <c r="I758" t="s">
        <v>17</v>
      </c>
      <c r="J758">
        <v>10736.87</v>
      </c>
      <c r="K758" t="str">
        <f t="shared" si="110"/>
        <v>35+</v>
      </c>
      <c r="L758">
        <f t="shared" si="111"/>
        <v>0</v>
      </c>
      <c r="M758">
        <f t="shared" si="112"/>
        <v>0</v>
      </c>
      <c r="N758">
        <f t="shared" si="113"/>
        <v>0</v>
      </c>
      <c r="O758">
        <f t="shared" si="114"/>
        <v>0</v>
      </c>
      <c r="P758">
        <v>0.47904487323914757</v>
      </c>
      <c r="Q758">
        <f t="shared" si="115"/>
        <v>0</v>
      </c>
      <c r="R758">
        <f t="shared" si="116"/>
        <v>1</v>
      </c>
      <c r="S758">
        <f t="shared" si="117"/>
        <v>0</v>
      </c>
      <c r="T758">
        <f t="shared" si="118"/>
        <v>15533.250000000002</v>
      </c>
      <c r="U758">
        <f t="shared" si="119"/>
        <v>-4796.380000000001</v>
      </c>
    </row>
    <row r="759" spans="1:21" x14ac:dyDescent="0.3">
      <c r="A759">
        <v>758</v>
      </c>
      <c r="B759">
        <v>30</v>
      </c>
      <c r="C759" t="s">
        <v>10</v>
      </c>
      <c r="D759">
        <v>21.5</v>
      </c>
      <c r="E759">
        <v>87</v>
      </c>
      <c r="F759" t="s">
        <v>12</v>
      </c>
      <c r="G759">
        <v>1</v>
      </c>
      <c r="H759" t="s">
        <v>12</v>
      </c>
      <c r="I759" t="s">
        <v>15</v>
      </c>
      <c r="J759">
        <v>10791.96</v>
      </c>
      <c r="K759" t="str">
        <f t="shared" si="110"/>
        <v>20-25</v>
      </c>
      <c r="L759">
        <f t="shared" si="111"/>
        <v>0</v>
      </c>
      <c r="M759">
        <f t="shared" si="112"/>
        <v>0</v>
      </c>
      <c r="N759">
        <f t="shared" si="113"/>
        <v>1</v>
      </c>
      <c r="O759">
        <f t="shared" si="114"/>
        <v>0</v>
      </c>
      <c r="P759">
        <v>9.218091115385052E-2</v>
      </c>
      <c r="Q759">
        <f t="shared" si="115"/>
        <v>0</v>
      </c>
      <c r="R759">
        <f t="shared" si="116"/>
        <v>0</v>
      </c>
      <c r="S759">
        <f t="shared" si="117"/>
        <v>0</v>
      </c>
      <c r="T759">
        <f t="shared" si="118"/>
        <v>6188.5999999999985</v>
      </c>
      <c r="U759">
        <f t="shared" si="119"/>
        <v>4603.3600000000006</v>
      </c>
    </row>
    <row r="760" spans="1:21" x14ac:dyDescent="0.3">
      <c r="A760">
        <v>759</v>
      </c>
      <c r="B760">
        <v>57</v>
      </c>
      <c r="C760" t="s">
        <v>16</v>
      </c>
      <c r="D760">
        <v>33.4</v>
      </c>
      <c r="E760">
        <v>84</v>
      </c>
      <c r="F760" t="s">
        <v>11</v>
      </c>
      <c r="G760">
        <v>0</v>
      </c>
      <c r="H760" t="s">
        <v>12</v>
      </c>
      <c r="I760" t="s">
        <v>15</v>
      </c>
      <c r="J760">
        <v>10795.94</v>
      </c>
      <c r="K760" t="str">
        <f t="shared" si="110"/>
        <v>30-35</v>
      </c>
      <c r="L760">
        <f t="shared" si="111"/>
        <v>0</v>
      </c>
      <c r="M760">
        <f t="shared" si="112"/>
        <v>0</v>
      </c>
      <c r="N760">
        <f t="shared" si="113"/>
        <v>1</v>
      </c>
      <c r="O760">
        <f t="shared" si="114"/>
        <v>0</v>
      </c>
      <c r="P760">
        <v>0.77686514121809558</v>
      </c>
      <c r="Q760">
        <f t="shared" si="115"/>
        <v>0</v>
      </c>
      <c r="R760">
        <f t="shared" si="116"/>
        <v>1</v>
      </c>
      <c r="S760">
        <f t="shared" si="117"/>
        <v>1</v>
      </c>
      <c r="T760">
        <f t="shared" si="118"/>
        <v>6330.369999999999</v>
      </c>
      <c r="U760">
        <f t="shared" si="119"/>
        <v>4465.5700000000015</v>
      </c>
    </row>
    <row r="761" spans="1:21" x14ac:dyDescent="0.3">
      <c r="A761">
        <v>760</v>
      </c>
      <c r="B761">
        <v>34</v>
      </c>
      <c r="C761" t="s">
        <v>10</v>
      </c>
      <c r="D761">
        <v>29</v>
      </c>
      <c r="E761">
        <v>110</v>
      </c>
      <c r="F761" t="s">
        <v>11</v>
      </c>
      <c r="G761">
        <v>0</v>
      </c>
      <c r="H761" t="s">
        <v>12</v>
      </c>
      <c r="I761" t="s">
        <v>17</v>
      </c>
      <c r="J761">
        <v>10796.35</v>
      </c>
      <c r="K761" t="str">
        <f t="shared" si="110"/>
        <v>25-30</v>
      </c>
      <c r="L761">
        <f t="shared" si="111"/>
        <v>0</v>
      </c>
      <c r="M761">
        <f t="shared" si="112"/>
        <v>0</v>
      </c>
      <c r="N761">
        <f t="shared" si="113"/>
        <v>0</v>
      </c>
      <c r="O761">
        <f t="shared" si="114"/>
        <v>0</v>
      </c>
      <c r="P761">
        <v>0.16256965064692208</v>
      </c>
      <c r="Q761">
        <f t="shared" si="115"/>
        <v>0</v>
      </c>
      <c r="R761">
        <f t="shared" si="116"/>
        <v>1</v>
      </c>
      <c r="S761">
        <f t="shared" si="117"/>
        <v>0</v>
      </c>
      <c r="T761">
        <f t="shared" si="118"/>
        <v>12644.110000000002</v>
      </c>
      <c r="U761">
        <f t="shared" si="119"/>
        <v>-1847.760000000002</v>
      </c>
    </row>
    <row r="762" spans="1:21" x14ac:dyDescent="0.3">
      <c r="A762">
        <v>761</v>
      </c>
      <c r="B762">
        <v>43</v>
      </c>
      <c r="C762" t="s">
        <v>16</v>
      </c>
      <c r="D762">
        <v>30.8</v>
      </c>
      <c r="E762">
        <v>106</v>
      </c>
      <c r="F762" t="s">
        <v>11</v>
      </c>
      <c r="G762">
        <v>1</v>
      </c>
      <c r="H762" t="s">
        <v>12</v>
      </c>
      <c r="I762" t="s">
        <v>17</v>
      </c>
      <c r="J762">
        <v>10797.34</v>
      </c>
      <c r="K762" t="str">
        <f t="shared" si="110"/>
        <v>30-35</v>
      </c>
      <c r="L762">
        <f t="shared" si="111"/>
        <v>0</v>
      </c>
      <c r="M762">
        <f t="shared" si="112"/>
        <v>0</v>
      </c>
      <c r="N762">
        <f t="shared" si="113"/>
        <v>0</v>
      </c>
      <c r="O762">
        <f t="shared" si="114"/>
        <v>0</v>
      </c>
      <c r="P762">
        <v>0.5736317037447457</v>
      </c>
      <c r="Q762">
        <f t="shared" si="115"/>
        <v>0</v>
      </c>
      <c r="R762">
        <f t="shared" si="116"/>
        <v>1</v>
      </c>
      <c r="S762">
        <f t="shared" si="117"/>
        <v>1</v>
      </c>
      <c r="T762">
        <f t="shared" si="118"/>
        <v>13331.320000000002</v>
      </c>
      <c r="U762">
        <f t="shared" si="119"/>
        <v>-2533.9800000000014</v>
      </c>
    </row>
    <row r="763" spans="1:21" x14ac:dyDescent="0.3">
      <c r="A763">
        <v>762</v>
      </c>
      <c r="B763">
        <v>42</v>
      </c>
      <c r="C763" t="s">
        <v>16</v>
      </c>
      <c r="D763">
        <v>33.299999999999997</v>
      </c>
      <c r="E763">
        <v>103</v>
      </c>
      <c r="F763" t="s">
        <v>11</v>
      </c>
      <c r="G763">
        <v>2</v>
      </c>
      <c r="H763" t="s">
        <v>12</v>
      </c>
      <c r="I763" t="s">
        <v>15</v>
      </c>
      <c r="J763">
        <v>10806.84</v>
      </c>
      <c r="K763" t="str">
        <f t="shared" si="110"/>
        <v>30-35</v>
      </c>
      <c r="L763">
        <f t="shared" si="111"/>
        <v>0</v>
      </c>
      <c r="M763">
        <f t="shared" si="112"/>
        <v>0</v>
      </c>
      <c r="N763">
        <f t="shared" si="113"/>
        <v>1</v>
      </c>
      <c r="O763">
        <f t="shared" si="114"/>
        <v>0</v>
      </c>
      <c r="P763">
        <v>0.5021095095501934</v>
      </c>
      <c r="Q763">
        <f t="shared" si="115"/>
        <v>0</v>
      </c>
      <c r="R763">
        <f t="shared" si="116"/>
        <v>1</v>
      </c>
      <c r="S763">
        <f t="shared" si="117"/>
        <v>1</v>
      </c>
      <c r="T763">
        <f t="shared" si="118"/>
        <v>10849.710000000001</v>
      </c>
      <c r="U763">
        <f t="shared" si="119"/>
        <v>-42.8700000000008</v>
      </c>
    </row>
    <row r="764" spans="1:21" x14ac:dyDescent="0.3">
      <c r="A764">
        <v>763</v>
      </c>
      <c r="B764">
        <v>28</v>
      </c>
      <c r="C764" t="s">
        <v>10</v>
      </c>
      <c r="D764">
        <v>32.700000000000003</v>
      </c>
      <c r="E764">
        <v>103</v>
      </c>
      <c r="F764" t="s">
        <v>12</v>
      </c>
      <c r="G764">
        <v>1</v>
      </c>
      <c r="H764" t="s">
        <v>12</v>
      </c>
      <c r="I764" t="s">
        <v>13</v>
      </c>
      <c r="J764">
        <v>10807.49</v>
      </c>
      <c r="K764" t="str">
        <f t="shared" si="110"/>
        <v>30-35</v>
      </c>
      <c r="L764">
        <f t="shared" si="111"/>
        <v>0</v>
      </c>
      <c r="M764">
        <f t="shared" si="112"/>
        <v>1</v>
      </c>
      <c r="N764">
        <f t="shared" si="113"/>
        <v>0</v>
      </c>
      <c r="O764">
        <f t="shared" si="114"/>
        <v>0</v>
      </c>
      <c r="P764">
        <v>3.8676449222802001E-2</v>
      </c>
      <c r="Q764">
        <f t="shared" si="115"/>
        <v>0</v>
      </c>
      <c r="R764">
        <f t="shared" si="116"/>
        <v>0</v>
      </c>
      <c r="S764">
        <f t="shared" si="117"/>
        <v>0</v>
      </c>
      <c r="T764">
        <f t="shared" si="118"/>
        <v>9013.5800000000017</v>
      </c>
      <c r="U764">
        <f t="shared" si="119"/>
        <v>1793.909999999998</v>
      </c>
    </row>
    <row r="765" spans="1:21" x14ac:dyDescent="0.3">
      <c r="A765">
        <v>764</v>
      </c>
      <c r="B765">
        <v>38</v>
      </c>
      <c r="C765" t="s">
        <v>10</v>
      </c>
      <c r="D765">
        <v>33.6</v>
      </c>
      <c r="E765">
        <v>80</v>
      </c>
      <c r="F765" t="s">
        <v>11</v>
      </c>
      <c r="G765">
        <v>1</v>
      </c>
      <c r="H765" t="s">
        <v>12</v>
      </c>
      <c r="I765" t="s">
        <v>14</v>
      </c>
      <c r="J765">
        <v>10825.25</v>
      </c>
      <c r="K765" t="str">
        <f t="shared" si="110"/>
        <v>30-35</v>
      </c>
      <c r="L765">
        <f t="shared" si="111"/>
        <v>0</v>
      </c>
      <c r="M765">
        <f t="shared" si="112"/>
        <v>0</v>
      </c>
      <c r="N765">
        <f t="shared" si="113"/>
        <v>0</v>
      </c>
      <c r="O765">
        <f t="shared" si="114"/>
        <v>1</v>
      </c>
      <c r="P765">
        <v>0.18451524016383125</v>
      </c>
      <c r="Q765">
        <f t="shared" si="115"/>
        <v>0</v>
      </c>
      <c r="R765">
        <f t="shared" si="116"/>
        <v>1</v>
      </c>
      <c r="S765">
        <f t="shared" si="117"/>
        <v>0</v>
      </c>
      <c r="T765">
        <f t="shared" si="118"/>
        <v>6034.7899999999991</v>
      </c>
      <c r="U765">
        <f t="shared" si="119"/>
        <v>4790.4600000000009</v>
      </c>
    </row>
    <row r="766" spans="1:21" x14ac:dyDescent="0.3">
      <c r="A766">
        <v>765</v>
      </c>
      <c r="B766">
        <v>31</v>
      </c>
      <c r="C766" t="s">
        <v>16</v>
      </c>
      <c r="D766">
        <v>36.700000000000003</v>
      </c>
      <c r="E766">
        <v>103</v>
      </c>
      <c r="F766" t="s">
        <v>12</v>
      </c>
      <c r="G766">
        <v>2</v>
      </c>
      <c r="H766" t="s">
        <v>12</v>
      </c>
      <c r="I766" t="s">
        <v>14</v>
      </c>
      <c r="J766">
        <v>10848.13</v>
      </c>
      <c r="K766" t="str">
        <f t="shared" si="110"/>
        <v>35+</v>
      </c>
      <c r="L766">
        <f t="shared" si="111"/>
        <v>0</v>
      </c>
      <c r="M766">
        <f t="shared" si="112"/>
        <v>0</v>
      </c>
      <c r="N766">
        <f t="shared" si="113"/>
        <v>0</v>
      </c>
      <c r="O766">
        <f t="shared" si="114"/>
        <v>1</v>
      </c>
      <c r="P766">
        <v>0.38892978454430505</v>
      </c>
      <c r="Q766">
        <f t="shared" si="115"/>
        <v>0</v>
      </c>
      <c r="R766">
        <f t="shared" si="116"/>
        <v>0</v>
      </c>
      <c r="S766">
        <f t="shared" si="117"/>
        <v>1</v>
      </c>
      <c r="T766">
        <f t="shared" si="118"/>
        <v>11231.620000000003</v>
      </c>
      <c r="U766">
        <f t="shared" si="119"/>
        <v>-383.49000000000342</v>
      </c>
    </row>
    <row r="767" spans="1:21" x14ac:dyDescent="0.3">
      <c r="A767">
        <v>766</v>
      </c>
      <c r="B767">
        <v>26</v>
      </c>
      <c r="C767" t="s">
        <v>16</v>
      </c>
      <c r="D767">
        <v>32.700000000000003</v>
      </c>
      <c r="E767">
        <v>90</v>
      </c>
      <c r="F767" t="s">
        <v>11</v>
      </c>
      <c r="G767">
        <v>0</v>
      </c>
      <c r="H767" t="s">
        <v>12</v>
      </c>
      <c r="I767" t="s">
        <v>17</v>
      </c>
      <c r="J767">
        <v>10923.93</v>
      </c>
      <c r="K767" t="str">
        <f t="shared" si="110"/>
        <v>30-35</v>
      </c>
      <c r="L767">
        <f t="shared" si="111"/>
        <v>0</v>
      </c>
      <c r="M767">
        <f t="shared" si="112"/>
        <v>0</v>
      </c>
      <c r="N767">
        <f t="shared" si="113"/>
        <v>0</v>
      </c>
      <c r="O767">
        <f t="shared" si="114"/>
        <v>0</v>
      </c>
      <c r="P767">
        <v>0.2235817581108791</v>
      </c>
      <c r="Q767">
        <f t="shared" si="115"/>
        <v>0</v>
      </c>
      <c r="R767">
        <f t="shared" si="116"/>
        <v>1</v>
      </c>
      <c r="S767">
        <f t="shared" si="117"/>
        <v>1</v>
      </c>
      <c r="T767">
        <f t="shared" si="118"/>
        <v>10223.850000000002</v>
      </c>
      <c r="U767">
        <f t="shared" si="119"/>
        <v>700.07999999999811</v>
      </c>
    </row>
    <row r="768" spans="1:21" x14ac:dyDescent="0.3">
      <c r="A768">
        <v>767</v>
      </c>
      <c r="B768">
        <v>51</v>
      </c>
      <c r="C768" t="s">
        <v>16</v>
      </c>
      <c r="D768">
        <v>31.9</v>
      </c>
      <c r="E768">
        <v>102</v>
      </c>
      <c r="F768" t="s">
        <v>11</v>
      </c>
      <c r="G768">
        <v>1</v>
      </c>
      <c r="H768" t="s">
        <v>12</v>
      </c>
      <c r="I768" t="s">
        <v>13</v>
      </c>
      <c r="J768">
        <v>10928.85</v>
      </c>
      <c r="K768" t="str">
        <f t="shared" si="110"/>
        <v>30-35</v>
      </c>
      <c r="L768">
        <f t="shared" si="111"/>
        <v>0</v>
      </c>
      <c r="M768">
        <f t="shared" si="112"/>
        <v>1</v>
      </c>
      <c r="N768">
        <f t="shared" si="113"/>
        <v>0</v>
      </c>
      <c r="O768">
        <f t="shared" si="114"/>
        <v>0</v>
      </c>
      <c r="P768">
        <v>0.15939871765362457</v>
      </c>
      <c r="Q768">
        <f t="shared" si="115"/>
        <v>0</v>
      </c>
      <c r="R768">
        <f t="shared" si="116"/>
        <v>1</v>
      </c>
      <c r="S768">
        <f t="shared" si="117"/>
        <v>1</v>
      </c>
      <c r="T768">
        <f t="shared" si="118"/>
        <v>9132.0400000000027</v>
      </c>
      <c r="U768">
        <f t="shared" si="119"/>
        <v>1796.8099999999977</v>
      </c>
    </row>
    <row r="769" spans="1:21" x14ac:dyDescent="0.3">
      <c r="A769">
        <v>768</v>
      </c>
      <c r="B769">
        <v>39</v>
      </c>
      <c r="C769" t="s">
        <v>16</v>
      </c>
      <c r="D769">
        <v>24.8</v>
      </c>
      <c r="E769">
        <v>89</v>
      </c>
      <c r="F769" t="s">
        <v>11</v>
      </c>
      <c r="G769">
        <v>1</v>
      </c>
      <c r="H769" t="s">
        <v>12</v>
      </c>
      <c r="I769" t="s">
        <v>14</v>
      </c>
      <c r="J769">
        <v>10942.13</v>
      </c>
      <c r="K769" t="str">
        <f t="shared" si="110"/>
        <v>20-25</v>
      </c>
      <c r="L769">
        <f t="shared" si="111"/>
        <v>0</v>
      </c>
      <c r="M769">
        <f t="shared" si="112"/>
        <v>0</v>
      </c>
      <c r="N769">
        <f t="shared" si="113"/>
        <v>0</v>
      </c>
      <c r="O769">
        <f t="shared" si="114"/>
        <v>1</v>
      </c>
      <c r="P769">
        <v>0.66532889195106071</v>
      </c>
      <c r="Q769">
        <f t="shared" si="115"/>
        <v>0</v>
      </c>
      <c r="R769">
        <f t="shared" si="116"/>
        <v>1</v>
      </c>
      <c r="S769">
        <f t="shared" si="117"/>
        <v>1</v>
      </c>
      <c r="T769">
        <f t="shared" si="118"/>
        <v>7162.37</v>
      </c>
      <c r="U769">
        <f t="shared" si="119"/>
        <v>3779.7599999999993</v>
      </c>
    </row>
    <row r="770" spans="1:21" x14ac:dyDescent="0.3">
      <c r="A770">
        <v>769</v>
      </c>
      <c r="B770">
        <v>37</v>
      </c>
      <c r="C770" t="s">
        <v>10</v>
      </c>
      <c r="D770">
        <v>23.7</v>
      </c>
      <c r="E770">
        <v>91</v>
      </c>
      <c r="F770" t="s">
        <v>11</v>
      </c>
      <c r="G770">
        <v>0</v>
      </c>
      <c r="H770" t="s">
        <v>12</v>
      </c>
      <c r="I770" t="s">
        <v>15</v>
      </c>
      <c r="J770">
        <v>10959.33</v>
      </c>
      <c r="K770" t="str">
        <f t="shared" si="110"/>
        <v>20-25</v>
      </c>
      <c r="L770">
        <f t="shared" si="111"/>
        <v>0</v>
      </c>
      <c r="M770">
        <f t="shared" si="112"/>
        <v>0</v>
      </c>
      <c r="N770">
        <f t="shared" si="113"/>
        <v>1</v>
      </c>
      <c r="O770">
        <f t="shared" si="114"/>
        <v>0</v>
      </c>
      <c r="P770">
        <v>0.77162778627902784</v>
      </c>
      <c r="Q770">
        <f t="shared" si="115"/>
        <v>0</v>
      </c>
      <c r="R770">
        <f t="shared" si="116"/>
        <v>1</v>
      </c>
      <c r="S770">
        <f t="shared" si="117"/>
        <v>0</v>
      </c>
      <c r="T770">
        <f t="shared" si="118"/>
        <v>6198.8</v>
      </c>
      <c r="U770">
        <f t="shared" si="119"/>
        <v>4760.53</v>
      </c>
    </row>
    <row r="771" spans="1:21" x14ac:dyDescent="0.3">
      <c r="A771">
        <v>770</v>
      </c>
      <c r="B771">
        <v>48</v>
      </c>
      <c r="C771" t="s">
        <v>16</v>
      </c>
      <c r="D771">
        <v>37.4</v>
      </c>
      <c r="E771">
        <v>80</v>
      </c>
      <c r="F771" t="s">
        <v>11</v>
      </c>
      <c r="G771">
        <v>1</v>
      </c>
      <c r="H771" t="s">
        <v>12</v>
      </c>
      <c r="I771" t="s">
        <v>14</v>
      </c>
      <c r="J771">
        <v>10959.69</v>
      </c>
      <c r="K771" t="str">
        <f t="shared" ref="K771:K834" si="120">IF(D771&lt;20, "&lt;20", IF(D771&lt;25, "20-25", IF(D771&lt;30, "25-30", IF(D771&lt;35, "30-35", "35+"))))</f>
        <v>35+</v>
      </c>
      <c r="L771">
        <f t="shared" ref="L771:L834" si="121">D771*Q771</f>
        <v>0</v>
      </c>
      <c r="M771">
        <f t="shared" ref="M771:M834" si="122">IF(I771="southeast", 1, 0)</f>
        <v>0</v>
      </c>
      <c r="N771">
        <f t="shared" ref="N771:N834" si="123">IF(I771="southwest", 1, 0)</f>
        <v>0</v>
      </c>
      <c r="O771">
        <f t="shared" ref="O771:O834" si="124">IF(I771="northwest", 1, 0)</f>
        <v>1</v>
      </c>
      <c r="P771">
        <v>0.16527705513865543</v>
      </c>
      <c r="Q771">
        <f t="shared" ref="Q771:Q834" si="125">IF(H771="Yes", 1, 0)</f>
        <v>0</v>
      </c>
      <c r="R771">
        <f t="shared" ref="R771:R834" si="126">IF(F771="yes", 1, 0)</f>
        <v>1</v>
      </c>
      <c r="S771">
        <f t="shared" ref="S771:S834" si="127">IF(C771="female", 1, 0)</f>
        <v>1</v>
      </c>
      <c r="T771">
        <f t="shared" ref="T771:T834" si="128">-7277.71 + (-1.28*B771) + (85.5*D771) + (738.24*G771) + (159.59*E771) + (1259.19*L771) + (-3644.73*M771) + (-2956.11*N771) + (-2948.04*O771) + (-17828.85*Q771) + (-69.06*R771) + (444.95*S771)</f>
        <v>6791.8400000000011</v>
      </c>
      <c r="U771">
        <f t="shared" ref="U771:U834" si="129">J771-T771</f>
        <v>4167.8499999999995</v>
      </c>
    </row>
    <row r="772" spans="1:21" x14ac:dyDescent="0.3">
      <c r="A772">
        <v>771</v>
      </c>
      <c r="B772">
        <v>39</v>
      </c>
      <c r="C772" t="s">
        <v>10</v>
      </c>
      <c r="D772">
        <v>28.1</v>
      </c>
      <c r="E772">
        <v>106</v>
      </c>
      <c r="F772" t="s">
        <v>11</v>
      </c>
      <c r="G772">
        <v>0</v>
      </c>
      <c r="H772" t="s">
        <v>12</v>
      </c>
      <c r="I772" t="s">
        <v>15</v>
      </c>
      <c r="J772">
        <v>10965.45</v>
      </c>
      <c r="K772" t="str">
        <f t="shared" si="120"/>
        <v>25-30</v>
      </c>
      <c r="L772">
        <f t="shared" si="121"/>
        <v>0</v>
      </c>
      <c r="M772">
        <f t="shared" si="122"/>
        <v>0</v>
      </c>
      <c r="N772">
        <f t="shared" si="123"/>
        <v>1</v>
      </c>
      <c r="O772">
        <f t="shared" si="124"/>
        <v>0</v>
      </c>
      <c r="P772">
        <v>0.71491832624643648</v>
      </c>
      <c r="Q772">
        <f t="shared" si="125"/>
        <v>0</v>
      </c>
      <c r="R772">
        <f t="shared" si="126"/>
        <v>1</v>
      </c>
      <c r="S772">
        <f t="shared" si="127"/>
        <v>0</v>
      </c>
      <c r="T772">
        <f t="shared" si="128"/>
        <v>8966.2900000000009</v>
      </c>
      <c r="U772">
        <f t="shared" si="129"/>
        <v>1999.1599999999999</v>
      </c>
    </row>
    <row r="773" spans="1:21" x14ac:dyDescent="0.3">
      <c r="A773">
        <v>772</v>
      </c>
      <c r="B773">
        <v>30</v>
      </c>
      <c r="C773" t="s">
        <v>10</v>
      </c>
      <c r="D773">
        <v>33.700000000000003</v>
      </c>
      <c r="E773">
        <v>103</v>
      </c>
      <c r="F773" t="s">
        <v>11</v>
      </c>
      <c r="G773">
        <v>0</v>
      </c>
      <c r="H773" t="s">
        <v>12</v>
      </c>
      <c r="I773" t="s">
        <v>14</v>
      </c>
      <c r="J773">
        <v>10976.25</v>
      </c>
      <c r="K773" t="str">
        <f t="shared" si="120"/>
        <v>30-35</v>
      </c>
      <c r="L773">
        <f t="shared" si="121"/>
        <v>0</v>
      </c>
      <c r="M773">
        <f t="shared" si="122"/>
        <v>0</v>
      </c>
      <c r="N773">
        <f t="shared" si="123"/>
        <v>0</v>
      </c>
      <c r="O773">
        <f t="shared" si="124"/>
        <v>1</v>
      </c>
      <c r="P773">
        <v>0.70910736086803383</v>
      </c>
      <c r="Q773">
        <f t="shared" si="125"/>
        <v>0</v>
      </c>
      <c r="R773">
        <f t="shared" si="126"/>
        <v>1</v>
      </c>
      <c r="S773">
        <f t="shared" si="127"/>
        <v>0</v>
      </c>
      <c r="T773">
        <f t="shared" si="128"/>
        <v>8985.9100000000017</v>
      </c>
      <c r="U773">
        <f t="shared" si="129"/>
        <v>1990.3399999999983</v>
      </c>
    </row>
    <row r="774" spans="1:21" x14ac:dyDescent="0.3">
      <c r="A774">
        <v>773</v>
      </c>
      <c r="B774">
        <v>60</v>
      </c>
      <c r="C774" t="s">
        <v>16</v>
      </c>
      <c r="D774">
        <v>41.5</v>
      </c>
      <c r="E774">
        <v>85</v>
      </c>
      <c r="F774" t="s">
        <v>12</v>
      </c>
      <c r="G774">
        <v>4</v>
      </c>
      <c r="H774" t="s">
        <v>12</v>
      </c>
      <c r="I774" t="s">
        <v>13</v>
      </c>
      <c r="J774">
        <v>10977.21</v>
      </c>
      <c r="K774" t="str">
        <f t="shared" si="120"/>
        <v>35+</v>
      </c>
      <c r="L774">
        <f t="shared" si="121"/>
        <v>0</v>
      </c>
      <c r="M774">
        <f t="shared" si="122"/>
        <v>1</v>
      </c>
      <c r="N774">
        <f t="shared" si="123"/>
        <v>0</v>
      </c>
      <c r="O774">
        <f t="shared" si="124"/>
        <v>0</v>
      </c>
      <c r="P774">
        <v>0.59070551040079677</v>
      </c>
      <c r="Q774">
        <f t="shared" si="125"/>
        <v>0</v>
      </c>
      <c r="R774">
        <f t="shared" si="126"/>
        <v>0</v>
      </c>
      <c r="S774">
        <f t="shared" si="127"/>
        <v>1</v>
      </c>
      <c r="T774">
        <f t="shared" si="128"/>
        <v>9512.07</v>
      </c>
      <c r="U774">
        <f t="shared" si="129"/>
        <v>1465.1399999999994</v>
      </c>
    </row>
    <row r="775" spans="1:21" x14ac:dyDescent="0.3">
      <c r="A775">
        <v>774</v>
      </c>
      <c r="B775">
        <v>24</v>
      </c>
      <c r="C775" t="s">
        <v>10</v>
      </c>
      <c r="D775">
        <v>40.4</v>
      </c>
      <c r="E775">
        <v>89</v>
      </c>
      <c r="F775" t="s">
        <v>11</v>
      </c>
      <c r="G775">
        <v>0</v>
      </c>
      <c r="H775" t="s">
        <v>12</v>
      </c>
      <c r="I775" t="s">
        <v>13</v>
      </c>
      <c r="J775">
        <v>10982.5</v>
      </c>
      <c r="K775" t="str">
        <f t="shared" si="120"/>
        <v>35+</v>
      </c>
      <c r="L775">
        <f t="shared" si="121"/>
        <v>0</v>
      </c>
      <c r="M775">
        <f t="shared" si="122"/>
        <v>1</v>
      </c>
      <c r="N775">
        <f t="shared" si="123"/>
        <v>0</v>
      </c>
      <c r="O775">
        <f t="shared" si="124"/>
        <v>0</v>
      </c>
      <c r="P775">
        <v>0.35567051256712401</v>
      </c>
      <c r="Q775">
        <f t="shared" si="125"/>
        <v>0</v>
      </c>
      <c r="R775">
        <f t="shared" si="126"/>
        <v>1</v>
      </c>
      <c r="S775">
        <f t="shared" si="127"/>
        <v>0</v>
      </c>
      <c r="T775">
        <f t="shared" si="128"/>
        <v>6635.4899999999989</v>
      </c>
      <c r="U775">
        <f t="shared" si="129"/>
        <v>4347.0100000000011</v>
      </c>
    </row>
    <row r="776" spans="1:21" x14ac:dyDescent="0.3">
      <c r="A776">
        <v>775</v>
      </c>
      <c r="B776">
        <v>45</v>
      </c>
      <c r="C776" t="s">
        <v>10</v>
      </c>
      <c r="D776">
        <v>21</v>
      </c>
      <c r="E776">
        <v>85</v>
      </c>
      <c r="F776" t="s">
        <v>11</v>
      </c>
      <c r="G776">
        <v>2</v>
      </c>
      <c r="H776" t="s">
        <v>12</v>
      </c>
      <c r="I776" t="s">
        <v>13</v>
      </c>
      <c r="J776">
        <v>11013.71</v>
      </c>
      <c r="K776" t="str">
        <f t="shared" si="120"/>
        <v>20-25</v>
      </c>
      <c r="L776">
        <f t="shared" si="121"/>
        <v>0</v>
      </c>
      <c r="M776">
        <f t="shared" si="122"/>
        <v>1</v>
      </c>
      <c r="N776">
        <f t="shared" si="123"/>
        <v>0</v>
      </c>
      <c r="O776">
        <f t="shared" si="124"/>
        <v>0</v>
      </c>
      <c r="P776">
        <v>8.4904579674454861E-2</v>
      </c>
      <c r="Q776">
        <f t="shared" si="125"/>
        <v>0</v>
      </c>
      <c r="R776">
        <f t="shared" si="126"/>
        <v>1</v>
      </c>
      <c r="S776">
        <f t="shared" si="127"/>
        <v>0</v>
      </c>
      <c r="T776">
        <f t="shared" si="128"/>
        <v>5788.03</v>
      </c>
      <c r="U776">
        <f t="shared" si="129"/>
        <v>5225.6799999999994</v>
      </c>
    </row>
    <row r="777" spans="1:21" x14ac:dyDescent="0.3">
      <c r="A777">
        <v>776</v>
      </c>
      <c r="B777">
        <v>50</v>
      </c>
      <c r="C777" t="s">
        <v>16</v>
      </c>
      <c r="D777">
        <v>27.9</v>
      </c>
      <c r="E777">
        <v>83</v>
      </c>
      <c r="F777" t="s">
        <v>11</v>
      </c>
      <c r="G777">
        <v>4</v>
      </c>
      <c r="H777" t="s">
        <v>12</v>
      </c>
      <c r="I777" t="s">
        <v>14</v>
      </c>
      <c r="J777">
        <v>11015.17</v>
      </c>
      <c r="K777" t="str">
        <f t="shared" si="120"/>
        <v>25-30</v>
      </c>
      <c r="L777">
        <f t="shared" si="121"/>
        <v>0</v>
      </c>
      <c r="M777">
        <f t="shared" si="122"/>
        <v>0</v>
      </c>
      <c r="N777">
        <f t="shared" si="123"/>
        <v>0</v>
      </c>
      <c r="O777">
        <f t="shared" si="124"/>
        <v>1</v>
      </c>
      <c r="P777">
        <v>0.75587862434747921</v>
      </c>
      <c r="Q777">
        <f t="shared" si="125"/>
        <v>0</v>
      </c>
      <c r="R777">
        <f t="shared" si="126"/>
        <v>1</v>
      </c>
      <c r="S777">
        <f t="shared" si="127"/>
        <v>1</v>
      </c>
      <c r="T777">
        <f t="shared" si="128"/>
        <v>8670.5200000000023</v>
      </c>
      <c r="U777">
        <f t="shared" si="129"/>
        <v>2344.6499999999978</v>
      </c>
    </row>
    <row r="778" spans="1:21" x14ac:dyDescent="0.3">
      <c r="A778">
        <v>777</v>
      </c>
      <c r="B778">
        <v>49</v>
      </c>
      <c r="C778" t="s">
        <v>16</v>
      </c>
      <c r="D778">
        <v>41.2</v>
      </c>
      <c r="E778">
        <v>92</v>
      </c>
      <c r="F778" t="s">
        <v>11</v>
      </c>
      <c r="G778">
        <v>4</v>
      </c>
      <c r="H778" t="s">
        <v>12</v>
      </c>
      <c r="I778" t="s">
        <v>14</v>
      </c>
      <c r="J778">
        <v>11033.66</v>
      </c>
      <c r="K778" t="str">
        <f t="shared" si="120"/>
        <v>35+</v>
      </c>
      <c r="L778">
        <f t="shared" si="121"/>
        <v>0</v>
      </c>
      <c r="M778">
        <f t="shared" si="122"/>
        <v>0</v>
      </c>
      <c r="N778">
        <f t="shared" si="123"/>
        <v>0</v>
      </c>
      <c r="O778">
        <f t="shared" si="124"/>
        <v>1</v>
      </c>
      <c r="P778">
        <v>0.83408127486997408</v>
      </c>
      <c r="Q778">
        <f t="shared" si="125"/>
        <v>0</v>
      </c>
      <c r="R778">
        <f t="shared" si="126"/>
        <v>1</v>
      </c>
      <c r="S778">
        <f t="shared" si="127"/>
        <v>1</v>
      </c>
      <c r="T778">
        <f t="shared" si="128"/>
        <v>11245.26</v>
      </c>
      <c r="U778">
        <f t="shared" si="129"/>
        <v>-211.60000000000036</v>
      </c>
    </row>
    <row r="779" spans="1:21" x14ac:dyDescent="0.3">
      <c r="A779">
        <v>778</v>
      </c>
      <c r="B779">
        <v>53</v>
      </c>
      <c r="C779" t="s">
        <v>16</v>
      </c>
      <c r="D779">
        <v>25.3</v>
      </c>
      <c r="E779">
        <v>104</v>
      </c>
      <c r="F779" t="s">
        <v>11</v>
      </c>
      <c r="G779">
        <v>0</v>
      </c>
      <c r="H779" t="s">
        <v>12</v>
      </c>
      <c r="I779" t="s">
        <v>15</v>
      </c>
      <c r="J779">
        <v>11070.54</v>
      </c>
      <c r="K779" t="str">
        <f t="shared" si="120"/>
        <v>25-30</v>
      </c>
      <c r="L779">
        <f t="shared" si="121"/>
        <v>0</v>
      </c>
      <c r="M779">
        <f t="shared" si="122"/>
        <v>0</v>
      </c>
      <c r="N779">
        <f t="shared" si="123"/>
        <v>1</v>
      </c>
      <c r="O779">
        <f t="shared" si="124"/>
        <v>0</v>
      </c>
      <c r="P779">
        <v>0.794734858179443</v>
      </c>
      <c r="Q779">
        <f t="shared" si="125"/>
        <v>0</v>
      </c>
      <c r="R779">
        <f t="shared" si="126"/>
        <v>1</v>
      </c>
      <c r="S779">
        <f t="shared" si="127"/>
        <v>1</v>
      </c>
      <c r="T779">
        <f t="shared" si="128"/>
        <v>8834.7400000000016</v>
      </c>
      <c r="U779">
        <f t="shared" si="129"/>
        <v>2235.7999999999993</v>
      </c>
    </row>
    <row r="780" spans="1:21" x14ac:dyDescent="0.3">
      <c r="A780">
        <v>779</v>
      </c>
      <c r="B780">
        <v>57</v>
      </c>
      <c r="C780" t="s">
        <v>16</v>
      </c>
      <c r="D780">
        <v>27.2</v>
      </c>
      <c r="E780">
        <v>90</v>
      </c>
      <c r="F780" t="s">
        <v>11</v>
      </c>
      <c r="G780">
        <v>0</v>
      </c>
      <c r="H780" t="s">
        <v>12</v>
      </c>
      <c r="I780" t="s">
        <v>15</v>
      </c>
      <c r="J780">
        <v>11073.18</v>
      </c>
      <c r="K780" t="str">
        <f t="shared" si="120"/>
        <v>25-30</v>
      </c>
      <c r="L780">
        <f t="shared" si="121"/>
        <v>0</v>
      </c>
      <c r="M780">
        <f t="shared" si="122"/>
        <v>0</v>
      </c>
      <c r="N780">
        <f t="shared" si="123"/>
        <v>1</v>
      </c>
      <c r="O780">
        <f t="shared" si="124"/>
        <v>0</v>
      </c>
      <c r="P780">
        <v>0.63422890349480432</v>
      </c>
      <c r="Q780">
        <f t="shared" si="125"/>
        <v>0</v>
      </c>
      <c r="R780">
        <f t="shared" si="126"/>
        <v>1</v>
      </c>
      <c r="S780">
        <f t="shared" si="127"/>
        <v>1</v>
      </c>
      <c r="T780">
        <f t="shared" si="128"/>
        <v>6757.8099999999995</v>
      </c>
      <c r="U780">
        <f t="shared" si="129"/>
        <v>4315.3700000000008</v>
      </c>
    </row>
    <row r="781" spans="1:21" x14ac:dyDescent="0.3">
      <c r="A781">
        <v>780</v>
      </c>
      <c r="B781">
        <v>38</v>
      </c>
      <c r="C781" t="s">
        <v>16</v>
      </c>
      <c r="D781">
        <v>27</v>
      </c>
      <c r="E781">
        <v>84</v>
      </c>
      <c r="F781" t="s">
        <v>12</v>
      </c>
      <c r="G781">
        <v>0</v>
      </c>
      <c r="H781" t="s">
        <v>12</v>
      </c>
      <c r="I781" t="s">
        <v>14</v>
      </c>
      <c r="J781">
        <v>11082.58</v>
      </c>
      <c r="K781" t="str">
        <f t="shared" si="120"/>
        <v>25-30</v>
      </c>
      <c r="L781">
        <f t="shared" si="121"/>
        <v>0</v>
      </c>
      <c r="M781">
        <f t="shared" si="122"/>
        <v>0</v>
      </c>
      <c r="N781">
        <f t="shared" si="123"/>
        <v>0</v>
      </c>
      <c r="O781">
        <f t="shared" si="124"/>
        <v>1</v>
      </c>
      <c r="P781">
        <v>0.90059604757932332</v>
      </c>
      <c r="Q781">
        <f t="shared" si="125"/>
        <v>0</v>
      </c>
      <c r="R781">
        <f t="shared" si="126"/>
        <v>0</v>
      </c>
      <c r="S781">
        <f t="shared" si="127"/>
        <v>1</v>
      </c>
      <c r="T781">
        <f t="shared" si="128"/>
        <v>5884.619999999999</v>
      </c>
      <c r="U781">
        <f t="shared" si="129"/>
        <v>5197.9600000000009</v>
      </c>
    </row>
    <row r="782" spans="1:21" x14ac:dyDescent="0.3">
      <c r="A782">
        <v>781</v>
      </c>
      <c r="B782">
        <v>36</v>
      </c>
      <c r="C782" t="s">
        <v>16</v>
      </c>
      <c r="D782">
        <v>28.1</v>
      </c>
      <c r="E782">
        <v>106</v>
      </c>
      <c r="F782" t="s">
        <v>11</v>
      </c>
      <c r="G782">
        <v>3</v>
      </c>
      <c r="H782" t="s">
        <v>12</v>
      </c>
      <c r="I782" t="s">
        <v>14</v>
      </c>
      <c r="J782">
        <v>11085.59</v>
      </c>
      <c r="K782" t="str">
        <f t="shared" si="120"/>
        <v>25-30</v>
      </c>
      <c r="L782">
        <f t="shared" si="121"/>
        <v>0</v>
      </c>
      <c r="M782">
        <f t="shared" si="122"/>
        <v>0</v>
      </c>
      <c r="N782">
        <f t="shared" si="123"/>
        <v>0</v>
      </c>
      <c r="O782">
        <f t="shared" si="124"/>
        <v>1</v>
      </c>
      <c r="P782">
        <v>0.36576950097696492</v>
      </c>
      <c r="Q782">
        <f t="shared" si="125"/>
        <v>0</v>
      </c>
      <c r="R782">
        <f t="shared" si="126"/>
        <v>1</v>
      </c>
      <c r="S782">
        <f t="shared" si="127"/>
        <v>1</v>
      </c>
      <c r="T782">
        <f t="shared" si="128"/>
        <v>11637.87</v>
      </c>
      <c r="U782">
        <f t="shared" si="129"/>
        <v>-552.28000000000065</v>
      </c>
    </row>
    <row r="783" spans="1:21" x14ac:dyDescent="0.3">
      <c r="A783">
        <v>782</v>
      </c>
      <c r="B783">
        <v>60</v>
      </c>
      <c r="C783" t="s">
        <v>16</v>
      </c>
      <c r="D783">
        <v>39.799999999999997</v>
      </c>
      <c r="E783">
        <v>93</v>
      </c>
      <c r="F783" t="s">
        <v>11</v>
      </c>
      <c r="G783">
        <v>0</v>
      </c>
      <c r="H783" t="s">
        <v>12</v>
      </c>
      <c r="I783" t="s">
        <v>13</v>
      </c>
      <c r="J783">
        <v>11090.72</v>
      </c>
      <c r="K783" t="str">
        <f t="shared" si="120"/>
        <v>35+</v>
      </c>
      <c r="L783">
        <f t="shared" si="121"/>
        <v>0</v>
      </c>
      <c r="M783">
        <f t="shared" si="122"/>
        <v>1</v>
      </c>
      <c r="N783">
        <f t="shared" si="123"/>
        <v>0</v>
      </c>
      <c r="O783">
        <f t="shared" si="124"/>
        <v>0</v>
      </c>
      <c r="P783">
        <v>0.66675200997274553</v>
      </c>
      <c r="Q783">
        <f t="shared" si="125"/>
        <v>0</v>
      </c>
      <c r="R783">
        <f t="shared" si="126"/>
        <v>1</v>
      </c>
      <c r="S783">
        <f t="shared" si="127"/>
        <v>1</v>
      </c>
      <c r="T783">
        <f t="shared" si="128"/>
        <v>7621.42</v>
      </c>
      <c r="U783">
        <f t="shared" si="129"/>
        <v>3469.2999999999993</v>
      </c>
    </row>
    <row r="784" spans="1:21" x14ac:dyDescent="0.3">
      <c r="A784">
        <v>783</v>
      </c>
      <c r="B784">
        <v>48</v>
      </c>
      <c r="C784" t="s">
        <v>16</v>
      </c>
      <c r="D784">
        <v>41.9</v>
      </c>
      <c r="E784">
        <v>99</v>
      </c>
      <c r="F784" t="s">
        <v>11</v>
      </c>
      <c r="G784">
        <v>0</v>
      </c>
      <c r="H784" t="s">
        <v>12</v>
      </c>
      <c r="I784" t="s">
        <v>13</v>
      </c>
      <c r="J784">
        <v>11093.62</v>
      </c>
      <c r="K784" t="str">
        <f t="shared" si="120"/>
        <v>35+</v>
      </c>
      <c r="L784">
        <f t="shared" si="121"/>
        <v>0</v>
      </c>
      <c r="M784">
        <f t="shared" si="122"/>
        <v>1</v>
      </c>
      <c r="N784">
        <f t="shared" si="123"/>
        <v>0</v>
      </c>
      <c r="O784">
        <f t="shared" si="124"/>
        <v>0</v>
      </c>
      <c r="P784">
        <v>5.7405693639549726E-2</v>
      </c>
      <c r="Q784">
        <f t="shared" si="125"/>
        <v>0</v>
      </c>
      <c r="R784">
        <f t="shared" si="126"/>
        <v>1</v>
      </c>
      <c r="S784">
        <f t="shared" si="127"/>
        <v>1</v>
      </c>
      <c r="T784">
        <f t="shared" si="128"/>
        <v>8773.8700000000008</v>
      </c>
      <c r="U784">
        <f t="shared" si="129"/>
        <v>2319.75</v>
      </c>
    </row>
    <row r="785" spans="1:21" x14ac:dyDescent="0.3">
      <c r="A785">
        <v>784</v>
      </c>
      <c r="B785">
        <v>46</v>
      </c>
      <c r="C785" t="s">
        <v>16</v>
      </c>
      <c r="D785">
        <v>26.7</v>
      </c>
      <c r="E785">
        <v>102</v>
      </c>
      <c r="F785" t="s">
        <v>11</v>
      </c>
      <c r="G785">
        <v>2</v>
      </c>
      <c r="H785" t="s">
        <v>12</v>
      </c>
      <c r="I785" t="s">
        <v>15</v>
      </c>
      <c r="J785">
        <v>11150.78</v>
      </c>
      <c r="K785" t="str">
        <f t="shared" si="120"/>
        <v>25-30</v>
      </c>
      <c r="L785">
        <f t="shared" si="121"/>
        <v>0</v>
      </c>
      <c r="M785">
        <f t="shared" si="122"/>
        <v>0</v>
      </c>
      <c r="N785">
        <f t="shared" si="123"/>
        <v>1</v>
      </c>
      <c r="O785">
        <f t="shared" si="124"/>
        <v>0</v>
      </c>
      <c r="P785">
        <v>0.71803403320471126</v>
      </c>
      <c r="Q785">
        <f t="shared" si="125"/>
        <v>0</v>
      </c>
      <c r="R785">
        <f t="shared" si="126"/>
        <v>1</v>
      </c>
      <c r="S785">
        <f t="shared" si="127"/>
        <v>1</v>
      </c>
      <c r="T785">
        <f t="shared" si="128"/>
        <v>10120.700000000001</v>
      </c>
      <c r="U785">
        <f t="shared" si="129"/>
        <v>1030.08</v>
      </c>
    </row>
    <row r="786" spans="1:21" x14ac:dyDescent="0.3">
      <c r="A786">
        <v>785</v>
      </c>
      <c r="B786">
        <v>47</v>
      </c>
      <c r="C786" t="s">
        <v>16</v>
      </c>
      <c r="D786">
        <v>35.9</v>
      </c>
      <c r="E786">
        <v>104</v>
      </c>
      <c r="F786" t="s">
        <v>12</v>
      </c>
      <c r="G786">
        <v>2</v>
      </c>
      <c r="H786" t="s">
        <v>12</v>
      </c>
      <c r="I786" t="s">
        <v>15</v>
      </c>
      <c r="J786">
        <v>11163.57</v>
      </c>
      <c r="K786" t="str">
        <f t="shared" si="120"/>
        <v>35+</v>
      </c>
      <c r="L786">
        <f t="shared" si="121"/>
        <v>0</v>
      </c>
      <c r="M786">
        <f t="shared" si="122"/>
        <v>0</v>
      </c>
      <c r="N786">
        <f t="shared" si="123"/>
        <v>1</v>
      </c>
      <c r="O786">
        <f t="shared" si="124"/>
        <v>0</v>
      </c>
      <c r="P786">
        <v>0.86391825003572709</v>
      </c>
      <c r="Q786">
        <f t="shared" si="125"/>
        <v>0</v>
      </c>
      <c r="R786">
        <f t="shared" si="126"/>
        <v>0</v>
      </c>
      <c r="S786">
        <f t="shared" si="127"/>
        <v>1</v>
      </c>
      <c r="T786">
        <f t="shared" si="128"/>
        <v>11294.26</v>
      </c>
      <c r="U786">
        <f t="shared" si="129"/>
        <v>-130.69000000000051</v>
      </c>
    </row>
    <row r="787" spans="1:21" x14ac:dyDescent="0.3">
      <c r="A787">
        <v>786</v>
      </c>
      <c r="B787">
        <v>25</v>
      </c>
      <c r="C787" t="s">
        <v>10</v>
      </c>
      <c r="D787">
        <v>25.9</v>
      </c>
      <c r="E787">
        <v>82</v>
      </c>
      <c r="F787" t="s">
        <v>12</v>
      </c>
      <c r="G787">
        <v>0</v>
      </c>
      <c r="H787" t="s">
        <v>12</v>
      </c>
      <c r="I787" t="s">
        <v>17</v>
      </c>
      <c r="J787">
        <v>11165.42</v>
      </c>
      <c r="K787" t="str">
        <f t="shared" si="120"/>
        <v>25-30</v>
      </c>
      <c r="L787">
        <f t="shared" si="121"/>
        <v>0</v>
      </c>
      <c r="M787">
        <f t="shared" si="122"/>
        <v>0</v>
      </c>
      <c r="N787">
        <f t="shared" si="123"/>
        <v>0</v>
      </c>
      <c r="O787">
        <f t="shared" si="124"/>
        <v>0</v>
      </c>
      <c r="P787">
        <v>0.96202719788506785</v>
      </c>
      <c r="Q787">
        <f t="shared" si="125"/>
        <v>0</v>
      </c>
      <c r="R787">
        <f t="shared" si="126"/>
        <v>0</v>
      </c>
      <c r="S787">
        <f t="shared" si="127"/>
        <v>0</v>
      </c>
      <c r="T787">
        <f t="shared" si="128"/>
        <v>7991.1200000000008</v>
      </c>
      <c r="U787">
        <f t="shared" si="129"/>
        <v>3174.2999999999993</v>
      </c>
    </row>
    <row r="788" spans="1:21" x14ac:dyDescent="0.3">
      <c r="A788">
        <v>787</v>
      </c>
      <c r="B788">
        <v>26</v>
      </c>
      <c r="C788" t="s">
        <v>16</v>
      </c>
      <c r="D788">
        <v>31.7</v>
      </c>
      <c r="E788">
        <v>106</v>
      </c>
      <c r="F788" t="s">
        <v>11</v>
      </c>
      <c r="G788">
        <v>2</v>
      </c>
      <c r="H788" t="s">
        <v>12</v>
      </c>
      <c r="I788" t="s">
        <v>14</v>
      </c>
      <c r="J788">
        <v>11187.66</v>
      </c>
      <c r="K788" t="str">
        <f t="shared" si="120"/>
        <v>30-35</v>
      </c>
      <c r="L788">
        <f t="shared" si="121"/>
        <v>0</v>
      </c>
      <c r="M788">
        <f t="shared" si="122"/>
        <v>0</v>
      </c>
      <c r="N788">
        <f t="shared" si="123"/>
        <v>0</v>
      </c>
      <c r="O788">
        <f t="shared" si="124"/>
        <v>1</v>
      </c>
      <c r="P788">
        <v>0.97989015967300075</v>
      </c>
      <c r="Q788">
        <f t="shared" si="125"/>
        <v>0</v>
      </c>
      <c r="R788">
        <f t="shared" si="126"/>
        <v>1</v>
      </c>
      <c r="S788">
        <f t="shared" si="127"/>
        <v>1</v>
      </c>
      <c r="T788">
        <f t="shared" si="128"/>
        <v>11220.230000000001</v>
      </c>
      <c r="U788">
        <f t="shared" si="129"/>
        <v>-32.570000000001528</v>
      </c>
    </row>
    <row r="789" spans="1:21" x14ac:dyDescent="0.3">
      <c r="A789">
        <v>788</v>
      </c>
      <c r="B789">
        <v>47</v>
      </c>
      <c r="C789" t="s">
        <v>10</v>
      </c>
      <c r="D789">
        <v>26.4</v>
      </c>
      <c r="E789">
        <v>84</v>
      </c>
      <c r="F789" t="s">
        <v>12</v>
      </c>
      <c r="G789">
        <v>2</v>
      </c>
      <c r="H789" t="s">
        <v>12</v>
      </c>
      <c r="I789" t="s">
        <v>17</v>
      </c>
      <c r="J789">
        <v>11244.38</v>
      </c>
      <c r="K789" t="str">
        <f t="shared" si="120"/>
        <v>25-30</v>
      </c>
      <c r="L789">
        <f t="shared" si="121"/>
        <v>0</v>
      </c>
      <c r="M789">
        <f t="shared" si="122"/>
        <v>0</v>
      </c>
      <c r="N789">
        <f t="shared" si="123"/>
        <v>0</v>
      </c>
      <c r="O789">
        <f t="shared" si="124"/>
        <v>0</v>
      </c>
      <c r="P789">
        <v>0.7702888398824308</v>
      </c>
      <c r="Q789">
        <f t="shared" si="125"/>
        <v>0</v>
      </c>
      <c r="R789">
        <f t="shared" si="126"/>
        <v>0</v>
      </c>
      <c r="S789">
        <f t="shared" si="127"/>
        <v>0</v>
      </c>
      <c r="T789">
        <f t="shared" si="128"/>
        <v>9801.369999999999</v>
      </c>
      <c r="U789">
        <f t="shared" si="129"/>
        <v>1443.0100000000002</v>
      </c>
    </row>
    <row r="790" spans="1:21" x14ac:dyDescent="0.3">
      <c r="A790">
        <v>789</v>
      </c>
      <c r="B790">
        <v>31</v>
      </c>
      <c r="C790" t="s">
        <v>10</v>
      </c>
      <c r="D790">
        <v>28.6</v>
      </c>
      <c r="E790">
        <v>86</v>
      </c>
      <c r="F790" t="s">
        <v>12</v>
      </c>
      <c r="G790">
        <v>3</v>
      </c>
      <c r="H790" t="s">
        <v>12</v>
      </c>
      <c r="I790" t="s">
        <v>15</v>
      </c>
      <c r="J790">
        <v>11253.42</v>
      </c>
      <c r="K790" t="str">
        <f t="shared" si="120"/>
        <v>25-30</v>
      </c>
      <c r="L790">
        <f t="shared" si="121"/>
        <v>0</v>
      </c>
      <c r="M790">
        <f t="shared" si="122"/>
        <v>0</v>
      </c>
      <c r="N790">
        <f t="shared" si="123"/>
        <v>1</v>
      </c>
      <c r="O790">
        <f t="shared" si="124"/>
        <v>0</v>
      </c>
      <c r="P790">
        <v>0.22494927796945663</v>
      </c>
      <c r="Q790">
        <f t="shared" si="125"/>
        <v>0</v>
      </c>
      <c r="R790">
        <f t="shared" si="126"/>
        <v>0</v>
      </c>
      <c r="S790">
        <f t="shared" si="127"/>
        <v>0</v>
      </c>
      <c r="T790">
        <f t="shared" si="128"/>
        <v>8111.2599999999984</v>
      </c>
      <c r="U790">
        <f t="shared" si="129"/>
        <v>3142.1600000000017</v>
      </c>
    </row>
    <row r="791" spans="1:21" x14ac:dyDescent="0.3">
      <c r="A791">
        <v>790</v>
      </c>
      <c r="B791">
        <v>49</v>
      </c>
      <c r="C791" t="s">
        <v>10</v>
      </c>
      <c r="D791">
        <v>36.6</v>
      </c>
      <c r="E791">
        <v>84</v>
      </c>
      <c r="F791" t="s">
        <v>12</v>
      </c>
      <c r="G791">
        <v>3</v>
      </c>
      <c r="H791" t="s">
        <v>12</v>
      </c>
      <c r="I791" t="s">
        <v>15</v>
      </c>
      <c r="J791">
        <v>11264.54</v>
      </c>
      <c r="K791" t="str">
        <f t="shared" si="120"/>
        <v>35+</v>
      </c>
      <c r="L791">
        <f t="shared" si="121"/>
        <v>0</v>
      </c>
      <c r="M791">
        <f t="shared" si="122"/>
        <v>0</v>
      </c>
      <c r="N791">
        <f t="shared" si="123"/>
        <v>1</v>
      </c>
      <c r="O791">
        <f t="shared" si="124"/>
        <v>0</v>
      </c>
      <c r="P791">
        <v>0.61971213471767506</v>
      </c>
      <c r="Q791">
        <f t="shared" si="125"/>
        <v>0</v>
      </c>
      <c r="R791">
        <f t="shared" si="126"/>
        <v>0</v>
      </c>
      <c r="S791">
        <f t="shared" si="127"/>
        <v>0</v>
      </c>
      <c r="T791">
        <f t="shared" si="128"/>
        <v>8453.0399999999991</v>
      </c>
      <c r="U791">
        <f t="shared" si="129"/>
        <v>2811.5000000000018</v>
      </c>
    </row>
    <row r="792" spans="1:21" x14ac:dyDescent="0.3">
      <c r="A792">
        <v>791</v>
      </c>
      <c r="B792">
        <v>43</v>
      </c>
      <c r="C792" t="s">
        <v>10</v>
      </c>
      <c r="D792">
        <v>28.3</v>
      </c>
      <c r="E792">
        <v>91</v>
      </c>
      <c r="F792" t="s">
        <v>12</v>
      </c>
      <c r="G792">
        <v>1</v>
      </c>
      <c r="H792" t="s">
        <v>12</v>
      </c>
      <c r="I792" t="s">
        <v>17</v>
      </c>
      <c r="J792">
        <v>11272.33</v>
      </c>
      <c r="K792" t="str">
        <f t="shared" si="120"/>
        <v>25-30</v>
      </c>
      <c r="L792">
        <f t="shared" si="121"/>
        <v>0</v>
      </c>
      <c r="M792">
        <f t="shared" si="122"/>
        <v>0</v>
      </c>
      <c r="N792">
        <f t="shared" si="123"/>
        <v>0</v>
      </c>
      <c r="O792">
        <f t="shared" si="124"/>
        <v>0</v>
      </c>
      <c r="P792">
        <v>0.13609166425939778</v>
      </c>
      <c r="Q792">
        <f t="shared" si="125"/>
        <v>0</v>
      </c>
      <c r="R792">
        <f t="shared" si="126"/>
        <v>0</v>
      </c>
      <c r="S792">
        <f t="shared" si="127"/>
        <v>0</v>
      </c>
      <c r="T792">
        <f t="shared" si="128"/>
        <v>10347.83</v>
      </c>
      <c r="U792">
        <f t="shared" si="129"/>
        <v>924.5</v>
      </c>
    </row>
    <row r="793" spans="1:21" x14ac:dyDescent="0.3">
      <c r="A793">
        <v>792</v>
      </c>
      <c r="B793">
        <v>51</v>
      </c>
      <c r="C793" t="s">
        <v>16</v>
      </c>
      <c r="D793">
        <v>29.8</v>
      </c>
      <c r="E793">
        <v>101</v>
      </c>
      <c r="F793" t="s">
        <v>11</v>
      </c>
      <c r="G793">
        <v>0</v>
      </c>
      <c r="H793" t="s">
        <v>12</v>
      </c>
      <c r="I793" t="s">
        <v>17</v>
      </c>
      <c r="J793">
        <v>11286.54</v>
      </c>
      <c r="K793" t="str">
        <f t="shared" si="120"/>
        <v>25-30</v>
      </c>
      <c r="L793">
        <f t="shared" si="121"/>
        <v>0</v>
      </c>
      <c r="M793">
        <f t="shared" si="122"/>
        <v>0</v>
      </c>
      <c r="N793">
        <f t="shared" si="123"/>
        <v>0</v>
      </c>
      <c r="O793">
        <f t="shared" si="124"/>
        <v>0</v>
      </c>
      <c r="P793">
        <v>7.703750237030893E-2</v>
      </c>
      <c r="Q793">
        <f t="shared" si="125"/>
        <v>0</v>
      </c>
      <c r="R793">
        <f t="shared" si="126"/>
        <v>1</v>
      </c>
      <c r="S793">
        <f t="shared" si="127"/>
        <v>1</v>
      </c>
      <c r="T793">
        <f t="shared" si="128"/>
        <v>11699.390000000001</v>
      </c>
      <c r="U793">
        <f t="shared" si="129"/>
        <v>-412.85000000000036</v>
      </c>
    </row>
    <row r="794" spans="1:21" x14ac:dyDescent="0.3">
      <c r="A794">
        <v>793</v>
      </c>
      <c r="B794">
        <v>47</v>
      </c>
      <c r="C794" t="s">
        <v>10</v>
      </c>
      <c r="D794">
        <v>32.799999999999997</v>
      </c>
      <c r="E794">
        <v>83</v>
      </c>
      <c r="F794" t="s">
        <v>12</v>
      </c>
      <c r="G794">
        <v>3</v>
      </c>
      <c r="H794" t="s">
        <v>12</v>
      </c>
      <c r="I794" t="s">
        <v>14</v>
      </c>
      <c r="J794">
        <v>11289.11</v>
      </c>
      <c r="K794" t="str">
        <f t="shared" si="120"/>
        <v>30-35</v>
      </c>
      <c r="L794">
        <f t="shared" si="121"/>
        <v>0</v>
      </c>
      <c r="M794">
        <f t="shared" si="122"/>
        <v>0</v>
      </c>
      <c r="N794">
        <f t="shared" si="123"/>
        <v>0</v>
      </c>
      <c r="O794">
        <f t="shared" si="124"/>
        <v>1</v>
      </c>
      <c r="P794">
        <v>0.51962255192057283</v>
      </c>
      <c r="Q794">
        <f t="shared" si="125"/>
        <v>0</v>
      </c>
      <c r="R794">
        <f t="shared" si="126"/>
        <v>0</v>
      </c>
      <c r="S794">
        <f t="shared" si="127"/>
        <v>0</v>
      </c>
      <c r="T794">
        <f t="shared" si="128"/>
        <v>7979.1800000000012</v>
      </c>
      <c r="U794">
        <f t="shared" si="129"/>
        <v>3309.9299999999994</v>
      </c>
    </row>
    <row r="795" spans="1:21" x14ac:dyDescent="0.3">
      <c r="A795">
        <v>794</v>
      </c>
      <c r="B795">
        <v>37</v>
      </c>
      <c r="C795" t="s">
        <v>16</v>
      </c>
      <c r="D795">
        <v>33.700000000000003</v>
      </c>
      <c r="E795">
        <v>91</v>
      </c>
      <c r="F795" t="s">
        <v>11</v>
      </c>
      <c r="G795">
        <v>4</v>
      </c>
      <c r="H795" t="s">
        <v>12</v>
      </c>
      <c r="I795" t="s">
        <v>15</v>
      </c>
      <c r="J795">
        <v>11299.34</v>
      </c>
      <c r="K795" t="str">
        <f t="shared" si="120"/>
        <v>30-35</v>
      </c>
      <c r="L795">
        <f t="shared" si="121"/>
        <v>0</v>
      </c>
      <c r="M795">
        <f t="shared" si="122"/>
        <v>0</v>
      </c>
      <c r="N795">
        <f t="shared" si="123"/>
        <v>1</v>
      </c>
      <c r="O795">
        <f t="shared" si="124"/>
        <v>0</v>
      </c>
      <c r="P795">
        <v>0.81988693077844488</v>
      </c>
      <c r="Q795">
        <f t="shared" si="125"/>
        <v>0</v>
      </c>
      <c r="R795">
        <f t="shared" si="126"/>
        <v>1</v>
      </c>
      <c r="S795">
        <f t="shared" si="127"/>
        <v>1</v>
      </c>
      <c r="T795">
        <f t="shared" si="128"/>
        <v>10451.710000000001</v>
      </c>
      <c r="U795">
        <f t="shared" si="129"/>
        <v>847.6299999999992</v>
      </c>
    </row>
    <row r="796" spans="1:21" x14ac:dyDescent="0.3">
      <c r="A796">
        <v>795</v>
      </c>
      <c r="B796">
        <v>48</v>
      </c>
      <c r="C796" t="s">
        <v>16</v>
      </c>
      <c r="D796">
        <v>27.6</v>
      </c>
      <c r="E796">
        <v>94</v>
      </c>
      <c r="F796" t="s">
        <v>12</v>
      </c>
      <c r="G796">
        <v>1</v>
      </c>
      <c r="H796" t="s">
        <v>12</v>
      </c>
      <c r="I796" t="s">
        <v>14</v>
      </c>
      <c r="J796">
        <v>11305.93</v>
      </c>
      <c r="K796" t="str">
        <f t="shared" si="120"/>
        <v>25-30</v>
      </c>
      <c r="L796">
        <f t="shared" si="121"/>
        <v>0</v>
      </c>
      <c r="M796">
        <f t="shared" si="122"/>
        <v>0</v>
      </c>
      <c r="N796">
        <f t="shared" si="123"/>
        <v>0</v>
      </c>
      <c r="O796">
        <f t="shared" si="124"/>
        <v>1</v>
      </c>
      <c r="P796">
        <v>0.22759044499690118</v>
      </c>
      <c r="Q796">
        <f t="shared" si="125"/>
        <v>0</v>
      </c>
      <c r="R796">
        <f t="shared" si="126"/>
        <v>0</v>
      </c>
      <c r="S796">
        <f t="shared" si="127"/>
        <v>1</v>
      </c>
      <c r="T796">
        <f t="shared" si="128"/>
        <v>8257.260000000002</v>
      </c>
      <c r="U796">
        <f t="shared" si="129"/>
        <v>3048.6699999999983</v>
      </c>
    </row>
    <row r="797" spans="1:21" x14ac:dyDescent="0.3">
      <c r="A797">
        <v>796</v>
      </c>
      <c r="B797">
        <v>47</v>
      </c>
      <c r="C797" t="s">
        <v>10</v>
      </c>
      <c r="D797">
        <v>42.5</v>
      </c>
      <c r="E797">
        <v>96</v>
      </c>
      <c r="F797" t="s">
        <v>12</v>
      </c>
      <c r="G797">
        <v>1</v>
      </c>
      <c r="H797" t="s">
        <v>12</v>
      </c>
      <c r="I797" t="s">
        <v>13</v>
      </c>
      <c r="J797">
        <v>11326.71</v>
      </c>
      <c r="K797" t="str">
        <f t="shared" si="120"/>
        <v>35+</v>
      </c>
      <c r="L797">
        <f t="shared" si="121"/>
        <v>0</v>
      </c>
      <c r="M797">
        <f t="shared" si="122"/>
        <v>1</v>
      </c>
      <c r="N797">
        <f t="shared" si="123"/>
        <v>0</v>
      </c>
      <c r="O797">
        <f t="shared" si="124"/>
        <v>0</v>
      </c>
      <c r="P797">
        <v>0.88272544009839093</v>
      </c>
      <c r="Q797">
        <f t="shared" si="125"/>
        <v>0</v>
      </c>
      <c r="R797">
        <f t="shared" si="126"/>
        <v>0</v>
      </c>
      <c r="S797">
        <f t="shared" si="127"/>
        <v>0</v>
      </c>
      <c r="T797">
        <f t="shared" si="128"/>
        <v>8710.0299999999988</v>
      </c>
      <c r="U797">
        <f t="shared" si="129"/>
        <v>2616.6800000000003</v>
      </c>
    </row>
    <row r="798" spans="1:21" x14ac:dyDescent="0.3">
      <c r="A798">
        <v>797</v>
      </c>
      <c r="B798">
        <v>38</v>
      </c>
      <c r="C798" t="s">
        <v>10</v>
      </c>
      <c r="D798">
        <v>23.3</v>
      </c>
      <c r="E798">
        <v>98</v>
      </c>
      <c r="F798" t="s">
        <v>12</v>
      </c>
      <c r="G798">
        <v>0</v>
      </c>
      <c r="H798" t="s">
        <v>12</v>
      </c>
      <c r="I798" t="s">
        <v>15</v>
      </c>
      <c r="J798">
        <v>11345.52</v>
      </c>
      <c r="K798" t="str">
        <f t="shared" si="120"/>
        <v>20-25</v>
      </c>
      <c r="L798">
        <f t="shared" si="121"/>
        <v>0</v>
      </c>
      <c r="M798">
        <f t="shared" si="122"/>
        <v>0</v>
      </c>
      <c r="N798">
        <f t="shared" si="123"/>
        <v>1</v>
      </c>
      <c r="O798">
        <f t="shared" si="124"/>
        <v>0</v>
      </c>
      <c r="P798">
        <v>0.91263165590332795</v>
      </c>
      <c r="Q798">
        <f t="shared" si="125"/>
        <v>0</v>
      </c>
      <c r="R798">
        <f t="shared" si="126"/>
        <v>0</v>
      </c>
      <c r="S798">
        <f t="shared" si="127"/>
        <v>0</v>
      </c>
      <c r="T798">
        <f t="shared" si="128"/>
        <v>7349.5099999999984</v>
      </c>
      <c r="U798">
        <f t="shared" si="129"/>
        <v>3996.010000000002</v>
      </c>
    </row>
    <row r="799" spans="1:21" x14ac:dyDescent="0.3">
      <c r="A799">
        <v>798</v>
      </c>
      <c r="B799">
        <v>33</v>
      </c>
      <c r="C799" t="s">
        <v>10</v>
      </c>
      <c r="D799">
        <v>31.5</v>
      </c>
      <c r="E799">
        <v>108</v>
      </c>
      <c r="F799" t="s">
        <v>12</v>
      </c>
      <c r="G799">
        <v>0</v>
      </c>
      <c r="H799" t="s">
        <v>12</v>
      </c>
      <c r="I799" t="s">
        <v>14</v>
      </c>
      <c r="J799">
        <v>11353.23</v>
      </c>
      <c r="K799" t="str">
        <f t="shared" si="120"/>
        <v>30-35</v>
      </c>
      <c r="L799">
        <f t="shared" si="121"/>
        <v>0</v>
      </c>
      <c r="M799">
        <f t="shared" si="122"/>
        <v>0</v>
      </c>
      <c r="N799">
        <f t="shared" si="123"/>
        <v>0</v>
      </c>
      <c r="O799">
        <f t="shared" si="124"/>
        <v>1</v>
      </c>
      <c r="P799">
        <v>0.32820899331689846</v>
      </c>
      <c r="Q799">
        <f t="shared" si="125"/>
        <v>0</v>
      </c>
      <c r="R799">
        <f t="shared" si="126"/>
        <v>0</v>
      </c>
      <c r="S799">
        <f t="shared" si="127"/>
        <v>0</v>
      </c>
      <c r="T799">
        <f t="shared" si="128"/>
        <v>9660.98</v>
      </c>
      <c r="U799">
        <f t="shared" si="129"/>
        <v>1692.25</v>
      </c>
    </row>
    <row r="800" spans="1:21" x14ac:dyDescent="0.3">
      <c r="A800">
        <v>799</v>
      </c>
      <c r="B800">
        <v>47</v>
      </c>
      <c r="C800" t="s">
        <v>10</v>
      </c>
      <c r="D800">
        <v>34</v>
      </c>
      <c r="E800">
        <v>105</v>
      </c>
      <c r="F800" t="s">
        <v>12</v>
      </c>
      <c r="G800">
        <v>0</v>
      </c>
      <c r="H800" t="s">
        <v>12</v>
      </c>
      <c r="I800" t="s">
        <v>14</v>
      </c>
      <c r="J800">
        <v>11356.66</v>
      </c>
      <c r="K800" t="str">
        <f t="shared" si="120"/>
        <v>30-35</v>
      </c>
      <c r="L800">
        <f t="shared" si="121"/>
        <v>0</v>
      </c>
      <c r="M800">
        <f t="shared" si="122"/>
        <v>0</v>
      </c>
      <c r="N800">
        <f t="shared" si="123"/>
        <v>0</v>
      </c>
      <c r="O800">
        <f t="shared" si="124"/>
        <v>1</v>
      </c>
      <c r="P800">
        <v>0.57303670082248193</v>
      </c>
      <c r="Q800">
        <f t="shared" si="125"/>
        <v>0</v>
      </c>
      <c r="R800">
        <f t="shared" si="126"/>
        <v>0</v>
      </c>
      <c r="S800">
        <f t="shared" si="127"/>
        <v>0</v>
      </c>
      <c r="T800">
        <f t="shared" si="128"/>
        <v>9378.0400000000009</v>
      </c>
      <c r="U800">
        <f t="shared" si="129"/>
        <v>1978.619999999999</v>
      </c>
    </row>
    <row r="801" spans="1:21" x14ac:dyDescent="0.3">
      <c r="A801">
        <v>800</v>
      </c>
      <c r="B801">
        <v>30</v>
      </c>
      <c r="C801" t="s">
        <v>10</v>
      </c>
      <c r="D801">
        <v>35.700000000000003</v>
      </c>
      <c r="E801">
        <v>91</v>
      </c>
      <c r="F801" t="s">
        <v>12</v>
      </c>
      <c r="G801">
        <v>0</v>
      </c>
      <c r="H801" t="s">
        <v>12</v>
      </c>
      <c r="I801" t="s">
        <v>15</v>
      </c>
      <c r="J801">
        <v>11362.76</v>
      </c>
      <c r="K801" t="str">
        <f t="shared" si="120"/>
        <v>35+</v>
      </c>
      <c r="L801">
        <f t="shared" si="121"/>
        <v>0</v>
      </c>
      <c r="M801">
        <f t="shared" si="122"/>
        <v>0</v>
      </c>
      <c r="N801">
        <f t="shared" si="123"/>
        <v>1</v>
      </c>
      <c r="O801">
        <f t="shared" si="124"/>
        <v>0</v>
      </c>
      <c r="P801">
        <v>0.97650034434700905</v>
      </c>
      <c r="Q801">
        <f t="shared" si="125"/>
        <v>0</v>
      </c>
      <c r="R801">
        <f t="shared" si="126"/>
        <v>0</v>
      </c>
      <c r="S801">
        <f t="shared" si="127"/>
        <v>0</v>
      </c>
      <c r="T801">
        <f t="shared" si="128"/>
        <v>7302.82</v>
      </c>
      <c r="U801">
        <f t="shared" si="129"/>
        <v>4059.9400000000005</v>
      </c>
    </row>
    <row r="802" spans="1:21" x14ac:dyDescent="0.3">
      <c r="A802">
        <v>801</v>
      </c>
      <c r="B802">
        <v>32</v>
      </c>
      <c r="C802" t="s">
        <v>10</v>
      </c>
      <c r="D802">
        <v>36.1</v>
      </c>
      <c r="E802">
        <v>80</v>
      </c>
      <c r="F802" t="s">
        <v>12</v>
      </c>
      <c r="G802">
        <v>0</v>
      </c>
      <c r="H802" t="s">
        <v>12</v>
      </c>
      <c r="I802" t="s">
        <v>13</v>
      </c>
      <c r="J802">
        <v>11363.28</v>
      </c>
      <c r="K802" t="str">
        <f t="shared" si="120"/>
        <v>35+</v>
      </c>
      <c r="L802">
        <f t="shared" si="121"/>
        <v>0</v>
      </c>
      <c r="M802">
        <f t="shared" si="122"/>
        <v>1</v>
      </c>
      <c r="N802">
        <f t="shared" si="123"/>
        <v>0</v>
      </c>
      <c r="O802">
        <f t="shared" si="124"/>
        <v>0</v>
      </c>
      <c r="P802">
        <v>0.2024860397245416</v>
      </c>
      <c r="Q802">
        <f t="shared" si="125"/>
        <v>0</v>
      </c>
      <c r="R802">
        <f t="shared" si="126"/>
        <v>0</v>
      </c>
      <c r="S802">
        <f t="shared" si="127"/>
        <v>0</v>
      </c>
      <c r="T802">
        <f t="shared" si="128"/>
        <v>4890.3500000000022</v>
      </c>
      <c r="U802">
        <f t="shared" si="129"/>
        <v>6472.9299999999985</v>
      </c>
    </row>
    <row r="803" spans="1:21" x14ac:dyDescent="0.3">
      <c r="A803">
        <v>802</v>
      </c>
      <c r="B803">
        <v>43</v>
      </c>
      <c r="C803" t="s">
        <v>10</v>
      </c>
      <c r="D803">
        <v>38</v>
      </c>
      <c r="E803">
        <v>109</v>
      </c>
      <c r="F803" t="s">
        <v>11</v>
      </c>
      <c r="G803">
        <v>0</v>
      </c>
      <c r="H803" t="s">
        <v>12</v>
      </c>
      <c r="I803" t="s">
        <v>15</v>
      </c>
      <c r="J803">
        <v>11365.95</v>
      </c>
      <c r="K803" t="str">
        <f t="shared" si="120"/>
        <v>35+</v>
      </c>
      <c r="L803">
        <f t="shared" si="121"/>
        <v>0</v>
      </c>
      <c r="M803">
        <f t="shared" si="122"/>
        <v>0</v>
      </c>
      <c r="N803">
        <f t="shared" si="123"/>
        <v>1</v>
      </c>
      <c r="O803">
        <f t="shared" si="124"/>
        <v>0</v>
      </c>
      <c r="P803">
        <v>0.95395810591399699</v>
      </c>
      <c r="Q803">
        <f t="shared" si="125"/>
        <v>0</v>
      </c>
      <c r="R803">
        <f t="shared" si="126"/>
        <v>1</v>
      </c>
      <c r="S803">
        <f t="shared" si="127"/>
        <v>0</v>
      </c>
      <c r="T803">
        <f t="shared" si="128"/>
        <v>10286.390000000001</v>
      </c>
      <c r="U803">
        <f t="shared" si="129"/>
        <v>1079.5599999999995</v>
      </c>
    </row>
    <row r="804" spans="1:21" x14ac:dyDescent="0.3">
      <c r="A804">
        <v>803</v>
      </c>
      <c r="B804">
        <v>42</v>
      </c>
      <c r="C804" t="s">
        <v>10</v>
      </c>
      <c r="D804">
        <v>49.1</v>
      </c>
      <c r="E804">
        <v>109</v>
      </c>
      <c r="F804" t="s">
        <v>11</v>
      </c>
      <c r="G804">
        <v>0</v>
      </c>
      <c r="H804" t="s">
        <v>12</v>
      </c>
      <c r="I804" t="s">
        <v>13</v>
      </c>
      <c r="J804">
        <v>11381.33</v>
      </c>
      <c r="K804" t="str">
        <f t="shared" si="120"/>
        <v>35+</v>
      </c>
      <c r="L804">
        <f t="shared" si="121"/>
        <v>0</v>
      </c>
      <c r="M804">
        <f t="shared" si="122"/>
        <v>1</v>
      </c>
      <c r="N804">
        <f t="shared" si="123"/>
        <v>0</v>
      </c>
      <c r="O804">
        <f t="shared" si="124"/>
        <v>0</v>
      </c>
      <c r="P804">
        <v>9.6578464906307504E-2</v>
      </c>
      <c r="Q804">
        <f t="shared" si="125"/>
        <v>0</v>
      </c>
      <c r="R804">
        <f t="shared" si="126"/>
        <v>1</v>
      </c>
      <c r="S804">
        <f t="shared" si="127"/>
        <v>0</v>
      </c>
      <c r="T804">
        <f t="shared" si="128"/>
        <v>10548.100000000002</v>
      </c>
      <c r="U804">
        <f t="shared" si="129"/>
        <v>833.22999999999774</v>
      </c>
    </row>
    <row r="805" spans="1:21" x14ac:dyDescent="0.3">
      <c r="A805">
        <v>804</v>
      </c>
      <c r="B805">
        <v>20</v>
      </c>
      <c r="C805" t="s">
        <v>10</v>
      </c>
      <c r="D805">
        <v>35.200000000000003</v>
      </c>
      <c r="E805">
        <v>92</v>
      </c>
      <c r="F805" t="s">
        <v>12</v>
      </c>
      <c r="G805">
        <v>1</v>
      </c>
      <c r="H805" t="s">
        <v>12</v>
      </c>
      <c r="I805" t="s">
        <v>17</v>
      </c>
      <c r="J805">
        <v>11394.07</v>
      </c>
      <c r="K805" t="str">
        <f t="shared" si="120"/>
        <v>35+</v>
      </c>
      <c r="L805">
        <f t="shared" si="121"/>
        <v>0</v>
      </c>
      <c r="M805">
        <f t="shared" si="122"/>
        <v>0</v>
      </c>
      <c r="N805">
        <f t="shared" si="123"/>
        <v>0</v>
      </c>
      <c r="O805">
        <f t="shared" si="124"/>
        <v>0</v>
      </c>
      <c r="P805">
        <v>0.21572255815341612</v>
      </c>
      <c r="Q805">
        <f t="shared" si="125"/>
        <v>0</v>
      </c>
      <c r="R805">
        <f t="shared" si="126"/>
        <v>0</v>
      </c>
      <c r="S805">
        <f t="shared" si="127"/>
        <v>0</v>
      </c>
      <c r="T805">
        <f t="shared" si="128"/>
        <v>11126.810000000001</v>
      </c>
      <c r="U805">
        <f t="shared" si="129"/>
        <v>267.2599999999984</v>
      </c>
    </row>
    <row r="806" spans="1:21" x14ac:dyDescent="0.3">
      <c r="A806">
        <v>805</v>
      </c>
      <c r="B806">
        <v>36</v>
      </c>
      <c r="C806" t="s">
        <v>16</v>
      </c>
      <c r="D806">
        <v>38.4</v>
      </c>
      <c r="E806">
        <v>98</v>
      </c>
      <c r="F806" t="s">
        <v>11</v>
      </c>
      <c r="G806">
        <v>2</v>
      </c>
      <c r="H806" t="s">
        <v>12</v>
      </c>
      <c r="I806" t="s">
        <v>17</v>
      </c>
      <c r="J806">
        <v>11396.9</v>
      </c>
      <c r="K806" t="str">
        <f t="shared" si="120"/>
        <v>35+</v>
      </c>
      <c r="L806">
        <f t="shared" si="121"/>
        <v>0</v>
      </c>
      <c r="M806">
        <f t="shared" si="122"/>
        <v>0</v>
      </c>
      <c r="N806">
        <f t="shared" si="123"/>
        <v>0</v>
      </c>
      <c r="O806">
        <f t="shared" si="124"/>
        <v>0</v>
      </c>
      <c r="P806">
        <v>0.49761163394417285</v>
      </c>
      <c r="Q806">
        <f t="shared" si="125"/>
        <v>0</v>
      </c>
      <c r="R806">
        <f t="shared" si="126"/>
        <v>1</v>
      </c>
      <c r="S806">
        <f t="shared" si="127"/>
        <v>1</v>
      </c>
      <c r="T806">
        <f t="shared" si="128"/>
        <v>13451.6</v>
      </c>
      <c r="U806">
        <f t="shared" si="129"/>
        <v>-2054.7000000000007</v>
      </c>
    </row>
    <row r="807" spans="1:21" x14ac:dyDescent="0.3">
      <c r="A807">
        <v>806</v>
      </c>
      <c r="B807">
        <v>37</v>
      </c>
      <c r="C807" t="s">
        <v>16</v>
      </c>
      <c r="D807">
        <v>44.7</v>
      </c>
      <c r="E807">
        <v>81</v>
      </c>
      <c r="F807" t="s">
        <v>12</v>
      </c>
      <c r="G807">
        <v>3</v>
      </c>
      <c r="H807" t="s">
        <v>12</v>
      </c>
      <c r="I807" t="s">
        <v>15</v>
      </c>
      <c r="J807">
        <v>11411.69</v>
      </c>
      <c r="K807" t="str">
        <f t="shared" si="120"/>
        <v>35+</v>
      </c>
      <c r="L807">
        <f t="shared" si="121"/>
        <v>0</v>
      </c>
      <c r="M807">
        <f t="shared" si="122"/>
        <v>0</v>
      </c>
      <c r="N807">
        <f t="shared" si="123"/>
        <v>1</v>
      </c>
      <c r="O807">
        <f t="shared" si="124"/>
        <v>0</v>
      </c>
      <c r="P807">
        <v>0.62871994153180433</v>
      </c>
      <c r="Q807">
        <f t="shared" si="125"/>
        <v>0</v>
      </c>
      <c r="R807">
        <f t="shared" si="126"/>
        <v>0</v>
      </c>
      <c r="S807">
        <f t="shared" si="127"/>
        <v>1</v>
      </c>
      <c r="T807">
        <f t="shared" si="128"/>
        <v>9127.130000000001</v>
      </c>
      <c r="U807">
        <f t="shared" si="129"/>
        <v>2284.5599999999995</v>
      </c>
    </row>
    <row r="808" spans="1:21" x14ac:dyDescent="0.3">
      <c r="A808">
        <v>807</v>
      </c>
      <c r="B808">
        <v>59</v>
      </c>
      <c r="C808" t="s">
        <v>16</v>
      </c>
      <c r="D808">
        <v>36.4</v>
      </c>
      <c r="E808">
        <v>91</v>
      </c>
      <c r="F808" t="s">
        <v>12</v>
      </c>
      <c r="G808">
        <v>3</v>
      </c>
      <c r="H808" t="s">
        <v>12</v>
      </c>
      <c r="I808" t="s">
        <v>14</v>
      </c>
      <c r="J808">
        <v>11436.74</v>
      </c>
      <c r="K808" t="str">
        <f t="shared" si="120"/>
        <v>35+</v>
      </c>
      <c r="L808">
        <f t="shared" si="121"/>
        <v>0</v>
      </c>
      <c r="M808">
        <f t="shared" si="122"/>
        <v>0</v>
      </c>
      <c r="N808">
        <f t="shared" si="123"/>
        <v>0</v>
      </c>
      <c r="O808">
        <f t="shared" si="124"/>
        <v>1</v>
      </c>
      <c r="P808">
        <v>0.3310421898115351</v>
      </c>
      <c r="Q808">
        <f t="shared" si="125"/>
        <v>0</v>
      </c>
      <c r="R808">
        <f t="shared" si="126"/>
        <v>0</v>
      </c>
      <c r="S808">
        <f t="shared" si="127"/>
        <v>1</v>
      </c>
      <c r="T808">
        <f t="shared" si="128"/>
        <v>9993.2900000000009</v>
      </c>
      <c r="U808">
        <f t="shared" si="129"/>
        <v>1443.4499999999989</v>
      </c>
    </row>
    <row r="809" spans="1:21" x14ac:dyDescent="0.3">
      <c r="A809">
        <v>808</v>
      </c>
      <c r="B809">
        <v>51</v>
      </c>
      <c r="C809" t="s">
        <v>16</v>
      </c>
      <c r="D809">
        <v>25.7</v>
      </c>
      <c r="E809">
        <v>83</v>
      </c>
      <c r="F809" t="s">
        <v>11</v>
      </c>
      <c r="G809">
        <v>0</v>
      </c>
      <c r="H809" t="s">
        <v>12</v>
      </c>
      <c r="I809" t="s">
        <v>14</v>
      </c>
      <c r="J809">
        <v>11454.02</v>
      </c>
      <c r="K809" t="str">
        <f t="shared" si="120"/>
        <v>25-30</v>
      </c>
      <c r="L809">
        <f t="shared" si="121"/>
        <v>0</v>
      </c>
      <c r="M809">
        <f t="shared" si="122"/>
        <v>0</v>
      </c>
      <c r="N809">
        <f t="shared" si="123"/>
        <v>0</v>
      </c>
      <c r="O809">
        <f t="shared" si="124"/>
        <v>1</v>
      </c>
      <c r="P809">
        <v>0.18058985283186679</v>
      </c>
      <c r="Q809">
        <f t="shared" si="125"/>
        <v>0</v>
      </c>
      <c r="R809">
        <f t="shared" si="126"/>
        <v>1</v>
      </c>
      <c r="S809">
        <f t="shared" si="127"/>
        <v>1</v>
      </c>
      <c r="T809">
        <f t="shared" si="128"/>
        <v>5528.1800000000012</v>
      </c>
      <c r="U809">
        <f t="shared" si="129"/>
        <v>5925.8399999999992</v>
      </c>
    </row>
    <row r="810" spans="1:21" x14ac:dyDescent="0.3">
      <c r="A810">
        <v>809</v>
      </c>
      <c r="B810">
        <v>44</v>
      </c>
      <c r="C810" t="s">
        <v>16</v>
      </c>
      <c r="D810">
        <v>28.7</v>
      </c>
      <c r="E810">
        <v>95</v>
      </c>
      <c r="F810" t="s">
        <v>12</v>
      </c>
      <c r="G810">
        <v>0</v>
      </c>
      <c r="H810" t="s">
        <v>12</v>
      </c>
      <c r="I810" t="s">
        <v>15</v>
      </c>
      <c r="J810">
        <v>11455.28</v>
      </c>
      <c r="K810" t="str">
        <f t="shared" si="120"/>
        <v>25-30</v>
      </c>
      <c r="L810">
        <f t="shared" si="121"/>
        <v>0</v>
      </c>
      <c r="M810">
        <f t="shared" si="122"/>
        <v>0</v>
      </c>
      <c r="N810">
        <f t="shared" si="123"/>
        <v>1</v>
      </c>
      <c r="O810">
        <f t="shared" si="124"/>
        <v>0</v>
      </c>
      <c r="P810">
        <v>0.53088270103969792</v>
      </c>
      <c r="Q810">
        <f t="shared" si="125"/>
        <v>0</v>
      </c>
      <c r="R810">
        <f t="shared" si="126"/>
        <v>0</v>
      </c>
      <c r="S810">
        <f t="shared" si="127"/>
        <v>1</v>
      </c>
      <c r="T810">
        <f t="shared" si="128"/>
        <v>7769.71</v>
      </c>
      <c r="U810">
        <f t="shared" si="129"/>
        <v>3685.5700000000006</v>
      </c>
    </row>
    <row r="811" spans="1:21" x14ac:dyDescent="0.3">
      <c r="A811">
        <v>810</v>
      </c>
      <c r="B811">
        <v>40</v>
      </c>
      <c r="C811" t="s">
        <v>16</v>
      </c>
      <c r="D811">
        <v>33.9</v>
      </c>
      <c r="E811">
        <v>93</v>
      </c>
      <c r="F811" t="s">
        <v>11</v>
      </c>
      <c r="G811">
        <v>0</v>
      </c>
      <c r="H811" t="s">
        <v>12</v>
      </c>
      <c r="I811" t="s">
        <v>13</v>
      </c>
      <c r="J811">
        <v>11482.63</v>
      </c>
      <c r="K811" t="str">
        <f t="shared" si="120"/>
        <v>30-35</v>
      </c>
      <c r="L811">
        <f t="shared" si="121"/>
        <v>0</v>
      </c>
      <c r="M811">
        <f t="shared" si="122"/>
        <v>1</v>
      </c>
      <c r="N811">
        <f t="shared" si="123"/>
        <v>0</v>
      </c>
      <c r="O811">
        <f t="shared" si="124"/>
        <v>0</v>
      </c>
      <c r="P811">
        <v>0.53774028880080649</v>
      </c>
      <c r="Q811">
        <f t="shared" si="125"/>
        <v>0</v>
      </c>
      <c r="R811">
        <f t="shared" si="126"/>
        <v>1</v>
      </c>
      <c r="S811">
        <f t="shared" si="127"/>
        <v>1</v>
      </c>
      <c r="T811">
        <f t="shared" si="128"/>
        <v>7142.57</v>
      </c>
      <c r="U811">
        <f t="shared" si="129"/>
        <v>4340.0599999999995</v>
      </c>
    </row>
    <row r="812" spans="1:21" x14ac:dyDescent="0.3">
      <c r="A812">
        <v>811</v>
      </c>
      <c r="B812">
        <v>33</v>
      </c>
      <c r="C812" t="s">
        <v>10</v>
      </c>
      <c r="D812">
        <v>32.200000000000003</v>
      </c>
      <c r="E812">
        <v>85</v>
      </c>
      <c r="F812" t="s">
        <v>12</v>
      </c>
      <c r="G812">
        <v>3</v>
      </c>
      <c r="H812" t="s">
        <v>12</v>
      </c>
      <c r="I812" t="s">
        <v>17</v>
      </c>
      <c r="J812">
        <v>11488.32</v>
      </c>
      <c r="K812" t="str">
        <f t="shared" si="120"/>
        <v>30-35</v>
      </c>
      <c r="L812">
        <f t="shared" si="121"/>
        <v>0</v>
      </c>
      <c r="M812">
        <f t="shared" si="122"/>
        <v>0</v>
      </c>
      <c r="N812">
        <f t="shared" si="123"/>
        <v>0</v>
      </c>
      <c r="O812">
        <f t="shared" si="124"/>
        <v>0</v>
      </c>
      <c r="P812">
        <v>0.54650377271916628</v>
      </c>
      <c r="Q812">
        <f t="shared" si="125"/>
        <v>0</v>
      </c>
      <c r="R812">
        <f t="shared" si="126"/>
        <v>0</v>
      </c>
      <c r="S812">
        <f t="shared" si="127"/>
        <v>0</v>
      </c>
      <c r="T812">
        <f t="shared" si="128"/>
        <v>11213.02</v>
      </c>
      <c r="U812">
        <f t="shared" si="129"/>
        <v>275.29999999999927</v>
      </c>
    </row>
    <row r="813" spans="1:21" x14ac:dyDescent="0.3">
      <c r="A813">
        <v>812</v>
      </c>
      <c r="B813">
        <v>59</v>
      </c>
      <c r="C813" t="s">
        <v>16</v>
      </c>
      <c r="D813">
        <v>32.299999999999997</v>
      </c>
      <c r="E813">
        <v>97</v>
      </c>
      <c r="F813" t="s">
        <v>11</v>
      </c>
      <c r="G813">
        <v>1</v>
      </c>
      <c r="H813" t="s">
        <v>12</v>
      </c>
      <c r="I813" t="s">
        <v>17</v>
      </c>
      <c r="J813">
        <v>11512.41</v>
      </c>
      <c r="K813" t="str">
        <f t="shared" si="120"/>
        <v>30-35</v>
      </c>
      <c r="L813">
        <f t="shared" si="121"/>
        <v>0</v>
      </c>
      <c r="M813">
        <f t="shared" si="122"/>
        <v>0</v>
      </c>
      <c r="N813">
        <f t="shared" si="123"/>
        <v>0</v>
      </c>
      <c r="O813">
        <f t="shared" si="124"/>
        <v>0</v>
      </c>
      <c r="P813">
        <v>0.2397500590002507</v>
      </c>
      <c r="Q813">
        <f t="shared" si="125"/>
        <v>0</v>
      </c>
      <c r="R813">
        <f t="shared" si="126"/>
        <v>1</v>
      </c>
      <c r="S813">
        <f t="shared" si="127"/>
        <v>1</v>
      </c>
      <c r="T813">
        <f t="shared" si="128"/>
        <v>12002.78</v>
      </c>
      <c r="U813">
        <f t="shared" si="129"/>
        <v>-490.3700000000008</v>
      </c>
    </row>
    <row r="814" spans="1:21" x14ac:dyDescent="0.3">
      <c r="A814">
        <v>813</v>
      </c>
      <c r="B814">
        <v>45</v>
      </c>
      <c r="C814" t="s">
        <v>10</v>
      </c>
      <c r="D814">
        <v>24.4</v>
      </c>
      <c r="E814">
        <v>103</v>
      </c>
      <c r="F814" t="s">
        <v>11</v>
      </c>
      <c r="G814">
        <v>4</v>
      </c>
      <c r="H814" t="s">
        <v>12</v>
      </c>
      <c r="I814" t="s">
        <v>14</v>
      </c>
      <c r="J814">
        <v>11520.1</v>
      </c>
      <c r="K814" t="str">
        <f t="shared" si="120"/>
        <v>20-25</v>
      </c>
      <c r="L814">
        <f t="shared" si="121"/>
        <v>0</v>
      </c>
      <c r="M814">
        <f t="shared" si="122"/>
        <v>0</v>
      </c>
      <c r="N814">
        <f t="shared" si="123"/>
        <v>0</v>
      </c>
      <c r="O814">
        <f t="shared" si="124"/>
        <v>1</v>
      </c>
      <c r="P814">
        <v>0.33341748070936883</v>
      </c>
      <c r="Q814">
        <f t="shared" si="125"/>
        <v>0</v>
      </c>
      <c r="R814">
        <f t="shared" si="126"/>
        <v>1</v>
      </c>
      <c r="S814">
        <f t="shared" si="127"/>
        <v>0</v>
      </c>
      <c r="T814">
        <f t="shared" si="128"/>
        <v>11124.519999999999</v>
      </c>
      <c r="U814">
        <f t="shared" si="129"/>
        <v>395.58000000000175</v>
      </c>
    </row>
    <row r="815" spans="1:21" x14ac:dyDescent="0.3">
      <c r="A815">
        <v>814</v>
      </c>
      <c r="B815">
        <v>35</v>
      </c>
      <c r="C815" t="s">
        <v>10</v>
      </c>
      <c r="D815">
        <v>18.3</v>
      </c>
      <c r="E815">
        <v>95</v>
      </c>
      <c r="F815" t="s">
        <v>12</v>
      </c>
      <c r="G815">
        <v>0</v>
      </c>
      <c r="H815" t="s">
        <v>12</v>
      </c>
      <c r="I815" t="s">
        <v>17</v>
      </c>
      <c r="J815">
        <v>11534.87</v>
      </c>
      <c r="K815" t="str">
        <f t="shared" si="120"/>
        <v>&lt;20</v>
      </c>
      <c r="L815">
        <f t="shared" si="121"/>
        <v>0</v>
      </c>
      <c r="M815">
        <f t="shared" si="122"/>
        <v>0</v>
      </c>
      <c r="N815">
        <f t="shared" si="123"/>
        <v>0</v>
      </c>
      <c r="O815">
        <f t="shared" si="124"/>
        <v>0</v>
      </c>
      <c r="P815">
        <v>0.7251150111807334</v>
      </c>
      <c r="Q815">
        <f t="shared" si="125"/>
        <v>0</v>
      </c>
      <c r="R815">
        <f t="shared" si="126"/>
        <v>0</v>
      </c>
      <c r="S815">
        <f t="shared" si="127"/>
        <v>0</v>
      </c>
      <c r="T815">
        <f t="shared" si="128"/>
        <v>9403.19</v>
      </c>
      <c r="U815">
        <f t="shared" si="129"/>
        <v>2131.6800000000003</v>
      </c>
    </row>
    <row r="816" spans="1:21" x14ac:dyDescent="0.3">
      <c r="A816">
        <v>815</v>
      </c>
      <c r="B816">
        <v>57</v>
      </c>
      <c r="C816" t="s">
        <v>16</v>
      </c>
      <c r="D816">
        <v>46.7</v>
      </c>
      <c r="E816">
        <v>101</v>
      </c>
      <c r="F816" t="s">
        <v>11</v>
      </c>
      <c r="G816">
        <v>2</v>
      </c>
      <c r="H816" t="s">
        <v>12</v>
      </c>
      <c r="I816" t="s">
        <v>15</v>
      </c>
      <c r="J816">
        <v>11538.42</v>
      </c>
      <c r="K816" t="str">
        <f t="shared" si="120"/>
        <v>35+</v>
      </c>
      <c r="L816">
        <f t="shared" si="121"/>
        <v>0</v>
      </c>
      <c r="M816">
        <f t="shared" si="122"/>
        <v>0</v>
      </c>
      <c r="N816">
        <f t="shared" si="123"/>
        <v>1</v>
      </c>
      <c r="O816">
        <f t="shared" si="124"/>
        <v>0</v>
      </c>
      <c r="P816">
        <v>0.26283983379003661</v>
      </c>
      <c r="Q816">
        <f t="shared" si="125"/>
        <v>0</v>
      </c>
      <c r="R816">
        <f t="shared" si="126"/>
        <v>1</v>
      </c>
      <c r="S816">
        <f t="shared" si="127"/>
        <v>1</v>
      </c>
      <c r="T816">
        <f t="shared" si="128"/>
        <v>11657.03</v>
      </c>
      <c r="U816">
        <f t="shared" si="129"/>
        <v>-118.61000000000058</v>
      </c>
    </row>
    <row r="817" spans="1:21" x14ac:dyDescent="0.3">
      <c r="A817">
        <v>816</v>
      </c>
      <c r="B817">
        <v>29</v>
      </c>
      <c r="C817" t="s">
        <v>16</v>
      </c>
      <c r="D817">
        <v>31.9</v>
      </c>
      <c r="E817">
        <v>90</v>
      </c>
      <c r="F817" t="s">
        <v>11</v>
      </c>
      <c r="G817">
        <v>5</v>
      </c>
      <c r="H817" t="s">
        <v>12</v>
      </c>
      <c r="I817" t="s">
        <v>15</v>
      </c>
      <c r="J817">
        <v>11552.9</v>
      </c>
      <c r="K817" t="str">
        <f t="shared" si="120"/>
        <v>30-35</v>
      </c>
      <c r="L817">
        <f t="shared" si="121"/>
        <v>0</v>
      </c>
      <c r="M817">
        <f t="shared" si="122"/>
        <v>0</v>
      </c>
      <c r="N817">
        <f t="shared" si="123"/>
        <v>1</v>
      </c>
      <c r="O817">
        <f t="shared" si="124"/>
        <v>0</v>
      </c>
      <c r="P817">
        <v>0.89212046651995469</v>
      </c>
      <c r="Q817">
        <f t="shared" si="125"/>
        <v>0</v>
      </c>
      <c r="R817">
        <f t="shared" si="126"/>
        <v>1</v>
      </c>
      <c r="S817">
        <f t="shared" si="127"/>
        <v>1</v>
      </c>
      <c r="T817">
        <f t="shared" si="128"/>
        <v>10886.7</v>
      </c>
      <c r="U817">
        <f t="shared" si="129"/>
        <v>666.19999999999891</v>
      </c>
    </row>
    <row r="818" spans="1:21" x14ac:dyDescent="0.3">
      <c r="A818">
        <v>817</v>
      </c>
      <c r="B818">
        <v>26</v>
      </c>
      <c r="C818" t="s">
        <v>10</v>
      </c>
      <c r="D818">
        <v>27.9</v>
      </c>
      <c r="E818">
        <v>97</v>
      </c>
      <c r="F818" t="s">
        <v>11</v>
      </c>
      <c r="G818">
        <v>1</v>
      </c>
      <c r="H818" t="s">
        <v>12</v>
      </c>
      <c r="I818" t="s">
        <v>13</v>
      </c>
      <c r="J818">
        <v>11554.22</v>
      </c>
      <c r="K818" t="str">
        <f t="shared" si="120"/>
        <v>25-30</v>
      </c>
      <c r="L818">
        <f t="shared" si="121"/>
        <v>0</v>
      </c>
      <c r="M818">
        <f t="shared" si="122"/>
        <v>1</v>
      </c>
      <c r="N818">
        <f t="shared" si="123"/>
        <v>0</v>
      </c>
      <c r="O818">
        <f t="shared" si="124"/>
        <v>0</v>
      </c>
      <c r="P818">
        <v>0.94914151336853136</v>
      </c>
      <c r="Q818">
        <f t="shared" si="125"/>
        <v>0</v>
      </c>
      <c r="R818">
        <f t="shared" si="126"/>
        <v>1</v>
      </c>
      <c r="S818">
        <f t="shared" si="127"/>
        <v>0</v>
      </c>
      <c r="T818">
        <f t="shared" si="128"/>
        <v>7579.14</v>
      </c>
      <c r="U818">
        <f t="shared" si="129"/>
        <v>3975.079999999999</v>
      </c>
    </row>
    <row r="819" spans="1:21" x14ac:dyDescent="0.3">
      <c r="A819">
        <v>818</v>
      </c>
      <c r="B819">
        <v>35</v>
      </c>
      <c r="C819" t="s">
        <v>10</v>
      </c>
      <c r="D819">
        <v>40.9</v>
      </c>
      <c r="E819">
        <v>80</v>
      </c>
      <c r="F819" t="s">
        <v>11</v>
      </c>
      <c r="G819">
        <v>0</v>
      </c>
      <c r="H819" t="s">
        <v>12</v>
      </c>
      <c r="I819" t="s">
        <v>17</v>
      </c>
      <c r="J819">
        <v>11566.3</v>
      </c>
      <c r="K819" t="str">
        <f t="shared" si="120"/>
        <v>35+</v>
      </c>
      <c r="L819">
        <f t="shared" si="121"/>
        <v>0</v>
      </c>
      <c r="M819">
        <f t="shared" si="122"/>
        <v>0</v>
      </c>
      <c r="N819">
        <f t="shared" si="123"/>
        <v>0</v>
      </c>
      <c r="O819">
        <f t="shared" si="124"/>
        <v>0</v>
      </c>
      <c r="P819">
        <v>0.9963228490295124</v>
      </c>
      <c r="Q819">
        <f t="shared" si="125"/>
        <v>0</v>
      </c>
      <c r="R819">
        <f t="shared" si="126"/>
        <v>1</v>
      </c>
      <c r="S819">
        <f t="shared" si="127"/>
        <v>0</v>
      </c>
      <c r="T819">
        <f t="shared" si="128"/>
        <v>8872.58</v>
      </c>
      <c r="U819">
        <f t="shared" si="129"/>
        <v>2693.7199999999993</v>
      </c>
    </row>
    <row r="820" spans="1:21" x14ac:dyDescent="0.3">
      <c r="A820">
        <v>819</v>
      </c>
      <c r="B820">
        <v>18</v>
      </c>
      <c r="C820" t="s">
        <v>10</v>
      </c>
      <c r="D820">
        <v>43.7</v>
      </c>
      <c r="E820">
        <v>101</v>
      </c>
      <c r="F820" t="s">
        <v>12</v>
      </c>
      <c r="G820">
        <v>1</v>
      </c>
      <c r="H820" t="s">
        <v>12</v>
      </c>
      <c r="I820" t="s">
        <v>15</v>
      </c>
      <c r="J820">
        <v>11576.13</v>
      </c>
      <c r="K820" t="str">
        <f t="shared" si="120"/>
        <v>35+</v>
      </c>
      <c r="L820">
        <f t="shared" si="121"/>
        <v>0</v>
      </c>
      <c r="M820">
        <f t="shared" si="122"/>
        <v>0</v>
      </c>
      <c r="N820">
        <f t="shared" si="123"/>
        <v>1</v>
      </c>
      <c r="O820">
        <f t="shared" si="124"/>
        <v>0</v>
      </c>
      <c r="P820">
        <v>0.18657789017243809</v>
      </c>
      <c r="Q820">
        <f t="shared" si="125"/>
        <v>0</v>
      </c>
      <c r="R820">
        <f t="shared" si="126"/>
        <v>0</v>
      </c>
      <c r="S820">
        <f t="shared" si="127"/>
        <v>0</v>
      </c>
      <c r="T820">
        <f t="shared" si="128"/>
        <v>10336.32</v>
      </c>
      <c r="U820">
        <f t="shared" si="129"/>
        <v>1239.8099999999995</v>
      </c>
    </row>
    <row r="821" spans="1:21" x14ac:dyDescent="0.3">
      <c r="A821">
        <v>820</v>
      </c>
      <c r="B821">
        <v>42</v>
      </c>
      <c r="C821" t="s">
        <v>16</v>
      </c>
      <c r="D821">
        <v>28.3</v>
      </c>
      <c r="E821">
        <v>85</v>
      </c>
      <c r="F821" t="s">
        <v>12</v>
      </c>
      <c r="G821">
        <v>0</v>
      </c>
      <c r="H821" t="s">
        <v>12</v>
      </c>
      <c r="I821" t="s">
        <v>17</v>
      </c>
      <c r="J821">
        <v>11657.72</v>
      </c>
      <c r="K821" t="str">
        <f t="shared" si="120"/>
        <v>25-30</v>
      </c>
      <c r="L821">
        <f t="shared" si="121"/>
        <v>0</v>
      </c>
      <c r="M821">
        <f t="shared" si="122"/>
        <v>0</v>
      </c>
      <c r="N821">
        <f t="shared" si="123"/>
        <v>0</v>
      </c>
      <c r="O821">
        <f t="shared" si="124"/>
        <v>0</v>
      </c>
      <c r="P821">
        <v>0.13210929458499399</v>
      </c>
      <c r="Q821">
        <f t="shared" si="125"/>
        <v>0</v>
      </c>
      <c r="R821">
        <f t="shared" si="126"/>
        <v>0</v>
      </c>
      <c r="S821">
        <f t="shared" si="127"/>
        <v>1</v>
      </c>
      <c r="T821">
        <f t="shared" si="128"/>
        <v>9098.2800000000007</v>
      </c>
      <c r="U821">
        <f t="shared" si="129"/>
        <v>2559.4399999999987</v>
      </c>
    </row>
    <row r="822" spans="1:21" x14ac:dyDescent="0.3">
      <c r="A822">
        <v>821</v>
      </c>
      <c r="B822">
        <v>43</v>
      </c>
      <c r="C822" t="s">
        <v>16</v>
      </c>
      <c r="D822">
        <v>28.6</v>
      </c>
      <c r="E822">
        <v>110</v>
      </c>
      <c r="F822" t="s">
        <v>12</v>
      </c>
      <c r="G822">
        <v>0</v>
      </c>
      <c r="H822" t="s">
        <v>12</v>
      </c>
      <c r="I822" t="s">
        <v>17</v>
      </c>
      <c r="J822">
        <v>11658.12</v>
      </c>
      <c r="K822" t="str">
        <f t="shared" si="120"/>
        <v>25-30</v>
      </c>
      <c r="L822">
        <f t="shared" si="121"/>
        <v>0</v>
      </c>
      <c r="M822">
        <f t="shared" si="122"/>
        <v>0</v>
      </c>
      <c r="N822">
        <f t="shared" si="123"/>
        <v>0</v>
      </c>
      <c r="O822">
        <f t="shared" si="124"/>
        <v>0</v>
      </c>
      <c r="P822">
        <v>0.14628717128333468</v>
      </c>
      <c r="Q822">
        <f t="shared" si="125"/>
        <v>0</v>
      </c>
      <c r="R822">
        <f t="shared" si="126"/>
        <v>0</v>
      </c>
      <c r="S822">
        <f t="shared" si="127"/>
        <v>1</v>
      </c>
      <c r="T822">
        <f t="shared" si="128"/>
        <v>13112.400000000001</v>
      </c>
      <c r="U822">
        <f t="shared" si="129"/>
        <v>-1454.2800000000007</v>
      </c>
    </row>
    <row r="823" spans="1:21" x14ac:dyDescent="0.3">
      <c r="A823">
        <v>822</v>
      </c>
      <c r="B823">
        <v>40</v>
      </c>
      <c r="C823" t="s">
        <v>16</v>
      </c>
      <c r="D823">
        <v>28.8</v>
      </c>
      <c r="E823">
        <v>83</v>
      </c>
      <c r="F823" t="s">
        <v>12</v>
      </c>
      <c r="G823">
        <v>0</v>
      </c>
      <c r="H823" t="s">
        <v>12</v>
      </c>
      <c r="I823" t="s">
        <v>17</v>
      </c>
      <c r="J823">
        <v>11658.38</v>
      </c>
      <c r="K823" t="str">
        <f t="shared" si="120"/>
        <v>25-30</v>
      </c>
      <c r="L823">
        <f t="shared" si="121"/>
        <v>0</v>
      </c>
      <c r="M823">
        <f t="shared" si="122"/>
        <v>0</v>
      </c>
      <c r="N823">
        <f t="shared" si="123"/>
        <v>0</v>
      </c>
      <c r="O823">
        <f t="shared" si="124"/>
        <v>0</v>
      </c>
      <c r="P823">
        <v>0.49551162209454103</v>
      </c>
      <c r="Q823">
        <f t="shared" si="125"/>
        <v>0</v>
      </c>
      <c r="R823">
        <f t="shared" si="126"/>
        <v>0</v>
      </c>
      <c r="S823">
        <f t="shared" si="127"/>
        <v>1</v>
      </c>
      <c r="T823">
        <f t="shared" si="128"/>
        <v>8824.4100000000017</v>
      </c>
      <c r="U823">
        <f t="shared" si="129"/>
        <v>2833.9699999999975</v>
      </c>
    </row>
    <row r="824" spans="1:21" x14ac:dyDescent="0.3">
      <c r="A824">
        <v>823</v>
      </c>
      <c r="B824">
        <v>31</v>
      </c>
      <c r="C824" t="s">
        <v>16</v>
      </c>
      <c r="D824">
        <v>35.799999999999997</v>
      </c>
      <c r="E824">
        <v>109</v>
      </c>
      <c r="F824" t="s">
        <v>12</v>
      </c>
      <c r="G824">
        <v>1</v>
      </c>
      <c r="H824" t="s">
        <v>12</v>
      </c>
      <c r="I824" t="s">
        <v>15</v>
      </c>
      <c r="J824">
        <v>11674.13</v>
      </c>
      <c r="K824" t="str">
        <f t="shared" si="120"/>
        <v>35+</v>
      </c>
      <c r="L824">
        <f t="shared" si="121"/>
        <v>0</v>
      </c>
      <c r="M824">
        <f t="shared" si="122"/>
        <v>0</v>
      </c>
      <c r="N824">
        <f t="shared" si="123"/>
        <v>1</v>
      </c>
      <c r="O824">
        <f t="shared" si="124"/>
        <v>0</v>
      </c>
      <c r="P824">
        <v>0.5628844491494881</v>
      </c>
      <c r="Q824">
        <f t="shared" si="125"/>
        <v>0</v>
      </c>
      <c r="R824">
        <f t="shared" si="126"/>
        <v>0</v>
      </c>
      <c r="S824">
        <f t="shared" si="127"/>
        <v>1</v>
      </c>
      <c r="T824">
        <f t="shared" si="128"/>
        <v>11365.900000000001</v>
      </c>
      <c r="U824">
        <f t="shared" si="129"/>
        <v>308.22999999999774</v>
      </c>
    </row>
    <row r="825" spans="1:21" x14ac:dyDescent="0.3">
      <c r="A825">
        <v>824</v>
      </c>
      <c r="B825">
        <v>50</v>
      </c>
      <c r="C825" t="s">
        <v>16</v>
      </c>
      <c r="D825">
        <v>23.8</v>
      </c>
      <c r="E825">
        <v>100</v>
      </c>
      <c r="F825" t="s">
        <v>12</v>
      </c>
      <c r="G825">
        <v>2</v>
      </c>
      <c r="H825" t="s">
        <v>12</v>
      </c>
      <c r="I825" t="s">
        <v>17</v>
      </c>
      <c r="J825">
        <v>11729.68</v>
      </c>
      <c r="K825" t="str">
        <f t="shared" si="120"/>
        <v>20-25</v>
      </c>
      <c r="L825">
        <f t="shared" si="121"/>
        <v>0</v>
      </c>
      <c r="M825">
        <f t="shared" si="122"/>
        <v>0</v>
      </c>
      <c r="N825">
        <f t="shared" si="123"/>
        <v>0</v>
      </c>
      <c r="O825">
        <f t="shared" si="124"/>
        <v>0</v>
      </c>
      <c r="P825">
        <v>0.83956335314093178</v>
      </c>
      <c r="Q825">
        <f t="shared" si="125"/>
        <v>0</v>
      </c>
      <c r="R825">
        <f t="shared" si="126"/>
        <v>0</v>
      </c>
      <c r="S825">
        <f t="shared" si="127"/>
        <v>1</v>
      </c>
      <c r="T825">
        <f t="shared" si="128"/>
        <v>12573.62</v>
      </c>
      <c r="U825">
        <f t="shared" si="129"/>
        <v>-843.94000000000051</v>
      </c>
    </row>
    <row r="826" spans="1:21" x14ac:dyDescent="0.3">
      <c r="A826">
        <v>825</v>
      </c>
      <c r="B826">
        <v>29</v>
      </c>
      <c r="C826" t="s">
        <v>10</v>
      </c>
      <c r="D826">
        <v>28.6</v>
      </c>
      <c r="E826">
        <v>85</v>
      </c>
      <c r="F826" t="s">
        <v>11</v>
      </c>
      <c r="G826">
        <v>0</v>
      </c>
      <c r="H826" t="s">
        <v>12</v>
      </c>
      <c r="I826" t="s">
        <v>14</v>
      </c>
      <c r="J826">
        <v>11735.88</v>
      </c>
      <c r="K826" t="str">
        <f t="shared" si="120"/>
        <v>25-30</v>
      </c>
      <c r="L826">
        <f t="shared" si="121"/>
        <v>0</v>
      </c>
      <c r="M826">
        <f t="shared" si="122"/>
        <v>0</v>
      </c>
      <c r="N826">
        <f t="shared" si="123"/>
        <v>0</v>
      </c>
      <c r="O826">
        <f t="shared" si="124"/>
        <v>1</v>
      </c>
      <c r="P826">
        <v>0.57444973324013915</v>
      </c>
      <c r="Q826">
        <f t="shared" si="125"/>
        <v>0</v>
      </c>
      <c r="R826">
        <f t="shared" si="126"/>
        <v>1</v>
      </c>
      <c r="S826">
        <f t="shared" si="127"/>
        <v>0</v>
      </c>
      <c r="T826">
        <f t="shared" si="128"/>
        <v>5678.5199999999986</v>
      </c>
      <c r="U826">
        <f t="shared" si="129"/>
        <v>6057.3600000000006</v>
      </c>
    </row>
    <row r="827" spans="1:21" x14ac:dyDescent="0.3">
      <c r="A827">
        <v>826</v>
      </c>
      <c r="B827">
        <v>37</v>
      </c>
      <c r="C827" t="s">
        <v>10</v>
      </c>
      <c r="D827">
        <v>27</v>
      </c>
      <c r="E827">
        <v>83</v>
      </c>
      <c r="F827" t="s">
        <v>11</v>
      </c>
      <c r="G827">
        <v>2</v>
      </c>
      <c r="H827" t="s">
        <v>12</v>
      </c>
      <c r="I827" t="s">
        <v>15</v>
      </c>
      <c r="J827">
        <v>11737.85</v>
      </c>
      <c r="K827" t="str">
        <f t="shared" si="120"/>
        <v>25-30</v>
      </c>
      <c r="L827">
        <f t="shared" si="121"/>
        <v>0</v>
      </c>
      <c r="M827">
        <f t="shared" si="122"/>
        <v>0</v>
      </c>
      <c r="N827">
        <f t="shared" si="123"/>
        <v>1</v>
      </c>
      <c r="O827">
        <f t="shared" si="124"/>
        <v>0</v>
      </c>
      <c r="P827">
        <v>0.91207600084373963</v>
      </c>
      <c r="Q827">
        <f t="shared" si="125"/>
        <v>0</v>
      </c>
      <c r="R827">
        <f t="shared" si="126"/>
        <v>1</v>
      </c>
      <c r="S827">
        <f t="shared" si="127"/>
        <v>0</v>
      </c>
      <c r="T827">
        <f t="shared" si="128"/>
        <v>6680.71</v>
      </c>
      <c r="U827">
        <f t="shared" si="129"/>
        <v>5057.1400000000003</v>
      </c>
    </row>
    <row r="828" spans="1:21" x14ac:dyDescent="0.3">
      <c r="A828">
        <v>827</v>
      </c>
      <c r="B828">
        <v>54</v>
      </c>
      <c r="C828" t="s">
        <v>16</v>
      </c>
      <c r="D828">
        <v>28.1</v>
      </c>
      <c r="E828">
        <v>83</v>
      </c>
      <c r="F828" t="s">
        <v>12</v>
      </c>
      <c r="G828">
        <v>3</v>
      </c>
      <c r="H828" t="s">
        <v>12</v>
      </c>
      <c r="I828" t="s">
        <v>15</v>
      </c>
      <c r="J828">
        <v>11741.73</v>
      </c>
      <c r="K828" t="str">
        <f t="shared" si="120"/>
        <v>25-30</v>
      </c>
      <c r="L828">
        <f t="shared" si="121"/>
        <v>0</v>
      </c>
      <c r="M828">
        <f t="shared" si="122"/>
        <v>0</v>
      </c>
      <c r="N828">
        <f t="shared" si="123"/>
        <v>1</v>
      </c>
      <c r="O828">
        <f t="shared" si="124"/>
        <v>0</v>
      </c>
      <c r="P828">
        <v>4.421839569185082E-2</v>
      </c>
      <c r="Q828">
        <f t="shared" si="125"/>
        <v>0</v>
      </c>
      <c r="R828">
        <f t="shared" si="126"/>
        <v>0</v>
      </c>
      <c r="S828">
        <f t="shared" si="127"/>
        <v>1</v>
      </c>
      <c r="T828">
        <f t="shared" si="128"/>
        <v>8005.2500000000009</v>
      </c>
      <c r="U828">
        <f t="shared" si="129"/>
        <v>3736.4799999999987</v>
      </c>
    </row>
    <row r="829" spans="1:21" x14ac:dyDescent="0.3">
      <c r="A829">
        <v>828</v>
      </c>
      <c r="B829">
        <v>34</v>
      </c>
      <c r="C829" t="s">
        <v>10</v>
      </c>
      <c r="D829">
        <v>26.4</v>
      </c>
      <c r="E829">
        <v>105</v>
      </c>
      <c r="F829" t="s">
        <v>11</v>
      </c>
      <c r="G829">
        <v>0</v>
      </c>
      <c r="H829" t="s">
        <v>12</v>
      </c>
      <c r="I829" t="s">
        <v>13</v>
      </c>
      <c r="J829">
        <v>11743.3</v>
      </c>
      <c r="K829" t="str">
        <f t="shared" si="120"/>
        <v>25-30</v>
      </c>
      <c r="L829">
        <f t="shared" si="121"/>
        <v>0</v>
      </c>
      <c r="M829">
        <f t="shared" si="122"/>
        <v>1</v>
      </c>
      <c r="N829">
        <f t="shared" si="123"/>
        <v>0</v>
      </c>
      <c r="O829">
        <f t="shared" si="124"/>
        <v>0</v>
      </c>
      <c r="P829">
        <v>0.92809352767902875</v>
      </c>
      <c r="Q829">
        <f t="shared" si="125"/>
        <v>0</v>
      </c>
      <c r="R829">
        <f t="shared" si="126"/>
        <v>1</v>
      </c>
      <c r="S829">
        <f t="shared" si="127"/>
        <v>0</v>
      </c>
      <c r="T829">
        <f t="shared" si="128"/>
        <v>7979.13</v>
      </c>
      <c r="U829">
        <f t="shared" si="129"/>
        <v>3764.1699999999992</v>
      </c>
    </row>
    <row r="830" spans="1:21" x14ac:dyDescent="0.3">
      <c r="A830">
        <v>829</v>
      </c>
      <c r="B830">
        <v>29</v>
      </c>
      <c r="C830" t="s">
        <v>10</v>
      </c>
      <c r="D830">
        <v>34.4</v>
      </c>
      <c r="E830">
        <v>108</v>
      </c>
      <c r="F830" t="s">
        <v>12</v>
      </c>
      <c r="G830">
        <v>0</v>
      </c>
      <c r="H830" t="s">
        <v>12</v>
      </c>
      <c r="I830" t="s">
        <v>14</v>
      </c>
      <c r="J830">
        <v>11743.93</v>
      </c>
      <c r="K830" t="str">
        <f t="shared" si="120"/>
        <v>30-35</v>
      </c>
      <c r="L830">
        <f t="shared" si="121"/>
        <v>0</v>
      </c>
      <c r="M830">
        <f t="shared" si="122"/>
        <v>0</v>
      </c>
      <c r="N830">
        <f t="shared" si="123"/>
        <v>0</v>
      </c>
      <c r="O830">
        <f t="shared" si="124"/>
        <v>1</v>
      </c>
      <c r="P830">
        <v>0.26638851871434288</v>
      </c>
      <c r="Q830">
        <f t="shared" si="125"/>
        <v>0</v>
      </c>
      <c r="R830">
        <f t="shared" si="126"/>
        <v>0</v>
      </c>
      <c r="S830">
        <f t="shared" si="127"/>
        <v>0</v>
      </c>
      <c r="T830">
        <f t="shared" si="128"/>
        <v>9914.0499999999993</v>
      </c>
      <c r="U830">
        <f t="shared" si="129"/>
        <v>1829.880000000001</v>
      </c>
    </row>
    <row r="831" spans="1:21" x14ac:dyDescent="0.3">
      <c r="A831">
        <v>830</v>
      </c>
      <c r="B831">
        <v>25</v>
      </c>
      <c r="C831" t="s">
        <v>10</v>
      </c>
      <c r="D831">
        <v>32.1</v>
      </c>
      <c r="E831">
        <v>97</v>
      </c>
      <c r="F831" t="s">
        <v>11</v>
      </c>
      <c r="G831">
        <v>1</v>
      </c>
      <c r="H831" t="s">
        <v>12</v>
      </c>
      <c r="I831" t="s">
        <v>17</v>
      </c>
      <c r="J831">
        <v>11763</v>
      </c>
      <c r="K831" t="str">
        <f t="shared" si="120"/>
        <v>30-35</v>
      </c>
      <c r="L831">
        <f t="shared" si="121"/>
        <v>0</v>
      </c>
      <c r="M831">
        <f t="shared" si="122"/>
        <v>0</v>
      </c>
      <c r="N831">
        <f t="shared" si="123"/>
        <v>0</v>
      </c>
      <c r="O831">
        <f t="shared" si="124"/>
        <v>0</v>
      </c>
      <c r="P831">
        <v>0.77529545144822154</v>
      </c>
      <c r="Q831">
        <f t="shared" si="125"/>
        <v>0</v>
      </c>
      <c r="R831">
        <f t="shared" si="126"/>
        <v>1</v>
      </c>
      <c r="S831">
        <f t="shared" si="127"/>
        <v>0</v>
      </c>
      <c r="T831">
        <f t="shared" si="128"/>
        <v>11584.25</v>
      </c>
      <c r="U831">
        <f t="shared" si="129"/>
        <v>178.75</v>
      </c>
    </row>
    <row r="832" spans="1:21" x14ac:dyDescent="0.3">
      <c r="A832">
        <v>831</v>
      </c>
      <c r="B832">
        <v>50</v>
      </c>
      <c r="C832" t="s">
        <v>16</v>
      </c>
      <c r="D832">
        <v>23.2</v>
      </c>
      <c r="E832">
        <v>89</v>
      </c>
      <c r="F832" t="s">
        <v>12</v>
      </c>
      <c r="G832">
        <v>0</v>
      </c>
      <c r="H832" t="s">
        <v>12</v>
      </c>
      <c r="I832" t="s">
        <v>14</v>
      </c>
      <c r="J832">
        <v>11830.61</v>
      </c>
      <c r="K832" t="str">
        <f t="shared" si="120"/>
        <v>20-25</v>
      </c>
      <c r="L832">
        <f t="shared" si="121"/>
        <v>0</v>
      </c>
      <c r="M832">
        <f t="shared" si="122"/>
        <v>0</v>
      </c>
      <c r="N832">
        <f t="shared" si="123"/>
        <v>0</v>
      </c>
      <c r="O832">
        <f t="shared" si="124"/>
        <v>1</v>
      </c>
      <c r="P832">
        <v>0.77303622085016255</v>
      </c>
      <c r="Q832">
        <f t="shared" si="125"/>
        <v>0</v>
      </c>
      <c r="R832">
        <f t="shared" si="126"/>
        <v>0</v>
      </c>
      <c r="S832">
        <f t="shared" si="127"/>
        <v>1</v>
      </c>
      <c r="T832">
        <f t="shared" si="128"/>
        <v>6342.3099999999995</v>
      </c>
      <c r="U832">
        <f t="shared" si="129"/>
        <v>5488.3000000000011</v>
      </c>
    </row>
    <row r="833" spans="1:21" x14ac:dyDescent="0.3">
      <c r="A833">
        <v>832</v>
      </c>
      <c r="B833">
        <v>37</v>
      </c>
      <c r="C833" t="s">
        <v>16</v>
      </c>
      <c r="D833">
        <v>22.8</v>
      </c>
      <c r="E833">
        <v>97</v>
      </c>
      <c r="F833" t="s">
        <v>11</v>
      </c>
      <c r="G833">
        <v>0</v>
      </c>
      <c r="H833" t="s">
        <v>12</v>
      </c>
      <c r="I833" t="s">
        <v>13</v>
      </c>
      <c r="J833">
        <v>11833.78</v>
      </c>
      <c r="K833" t="str">
        <f t="shared" si="120"/>
        <v>20-25</v>
      </c>
      <c r="L833">
        <f t="shared" si="121"/>
        <v>0</v>
      </c>
      <c r="M833">
        <f t="shared" si="122"/>
        <v>1</v>
      </c>
      <c r="N833">
        <f t="shared" si="123"/>
        <v>0</v>
      </c>
      <c r="O833">
        <f t="shared" si="124"/>
        <v>0</v>
      </c>
      <c r="P833">
        <v>0.94885096139156611</v>
      </c>
      <c r="Q833">
        <f t="shared" si="125"/>
        <v>0</v>
      </c>
      <c r="R833">
        <f t="shared" si="126"/>
        <v>1</v>
      </c>
      <c r="S833">
        <f t="shared" si="127"/>
        <v>1</v>
      </c>
      <c r="T833">
        <f t="shared" si="128"/>
        <v>6835.7199999999993</v>
      </c>
      <c r="U833">
        <f t="shared" si="129"/>
        <v>4998.0600000000013</v>
      </c>
    </row>
    <row r="834" spans="1:21" x14ac:dyDescent="0.3">
      <c r="A834">
        <v>833</v>
      </c>
      <c r="B834">
        <v>43</v>
      </c>
      <c r="C834" t="s">
        <v>16</v>
      </c>
      <c r="D834">
        <v>25.2</v>
      </c>
      <c r="E834">
        <v>91</v>
      </c>
      <c r="F834" t="s">
        <v>11</v>
      </c>
      <c r="G834">
        <v>0</v>
      </c>
      <c r="H834" t="s">
        <v>12</v>
      </c>
      <c r="I834" t="s">
        <v>15</v>
      </c>
      <c r="J834">
        <v>11837.16</v>
      </c>
      <c r="K834" t="str">
        <f t="shared" si="120"/>
        <v>25-30</v>
      </c>
      <c r="L834">
        <f t="shared" si="121"/>
        <v>0</v>
      </c>
      <c r="M834">
        <f t="shared" si="122"/>
        <v>0</v>
      </c>
      <c r="N834">
        <f t="shared" si="123"/>
        <v>1</v>
      </c>
      <c r="O834">
        <f t="shared" si="124"/>
        <v>0</v>
      </c>
      <c r="P834">
        <v>0.20807210882960347</v>
      </c>
      <c r="Q834">
        <f t="shared" si="125"/>
        <v>0</v>
      </c>
      <c r="R834">
        <f t="shared" si="126"/>
        <v>1</v>
      </c>
      <c r="S834">
        <f t="shared" si="127"/>
        <v>1</v>
      </c>
      <c r="T834">
        <f t="shared" si="128"/>
        <v>6764.32</v>
      </c>
      <c r="U834">
        <f t="shared" si="129"/>
        <v>5072.84</v>
      </c>
    </row>
    <row r="835" spans="1:21" x14ac:dyDescent="0.3">
      <c r="A835">
        <v>834</v>
      </c>
      <c r="B835">
        <v>25</v>
      </c>
      <c r="C835" t="s">
        <v>16</v>
      </c>
      <c r="D835">
        <v>30.5</v>
      </c>
      <c r="E835">
        <v>110</v>
      </c>
      <c r="F835" t="s">
        <v>12</v>
      </c>
      <c r="G835">
        <v>0</v>
      </c>
      <c r="H835" t="s">
        <v>12</v>
      </c>
      <c r="I835" t="s">
        <v>14</v>
      </c>
      <c r="J835">
        <v>11840.78</v>
      </c>
      <c r="K835" t="str">
        <f t="shared" ref="K835:K898" si="130">IF(D835&lt;20, "&lt;20", IF(D835&lt;25, "20-25", IF(D835&lt;30, "25-30", IF(D835&lt;35, "30-35", "35+"))))</f>
        <v>30-35</v>
      </c>
      <c r="L835">
        <f t="shared" ref="L835:L898" si="131">D835*Q835</f>
        <v>0</v>
      </c>
      <c r="M835">
        <f t="shared" ref="M835:M898" si="132">IF(I835="southeast", 1, 0)</f>
        <v>0</v>
      </c>
      <c r="N835">
        <f t="shared" ref="N835:N898" si="133">IF(I835="southwest", 1, 0)</f>
        <v>0</v>
      </c>
      <c r="O835">
        <f t="shared" ref="O835:O898" si="134">IF(I835="northwest", 1, 0)</f>
        <v>1</v>
      </c>
      <c r="P835">
        <v>0.21079696279415605</v>
      </c>
      <c r="Q835">
        <f t="shared" ref="Q835:Q898" si="135">IF(H835="Yes", 1, 0)</f>
        <v>0</v>
      </c>
      <c r="R835">
        <f t="shared" ref="R835:R898" si="136">IF(F835="yes", 1, 0)</f>
        <v>0</v>
      </c>
      <c r="S835">
        <f t="shared" ref="S835:S898" si="137">IF(C835="female", 1, 0)</f>
        <v>1</v>
      </c>
      <c r="T835">
        <f t="shared" ref="T835:T898" si="138">-7277.71 + (-1.28*B835) + (85.5*D835) + (738.24*G835) + (159.59*E835) + (1259.19*L835) + (-3644.73*M835) + (-2956.11*N835) + (-2948.04*O835) + (-17828.85*Q835) + (-69.06*R835) + (444.95*S835)</f>
        <v>10349.850000000002</v>
      </c>
      <c r="U835">
        <f t="shared" ref="U835:U898" si="139">J835-T835</f>
        <v>1490.9299999999985</v>
      </c>
    </row>
    <row r="836" spans="1:21" x14ac:dyDescent="0.3">
      <c r="A836">
        <v>835</v>
      </c>
      <c r="B836">
        <v>45</v>
      </c>
      <c r="C836" t="s">
        <v>16</v>
      </c>
      <c r="D836">
        <v>29</v>
      </c>
      <c r="E836">
        <v>87</v>
      </c>
      <c r="F836" t="s">
        <v>12</v>
      </c>
      <c r="G836">
        <v>0</v>
      </c>
      <c r="H836" t="s">
        <v>12</v>
      </c>
      <c r="I836" t="s">
        <v>15</v>
      </c>
      <c r="J836">
        <v>11842.44</v>
      </c>
      <c r="K836" t="str">
        <f t="shared" si="130"/>
        <v>25-30</v>
      </c>
      <c r="L836">
        <f t="shared" si="131"/>
        <v>0</v>
      </c>
      <c r="M836">
        <f t="shared" si="132"/>
        <v>0</v>
      </c>
      <c r="N836">
        <f t="shared" si="133"/>
        <v>1</v>
      </c>
      <c r="O836">
        <f t="shared" si="134"/>
        <v>0</v>
      </c>
      <c r="P836">
        <v>0.7727896237712234</v>
      </c>
      <c r="Q836">
        <f t="shared" si="135"/>
        <v>0</v>
      </c>
      <c r="R836">
        <f t="shared" si="136"/>
        <v>0</v>
      </c>
      <c r="S836">
        <f t="shared" si="137"/>
        <v>1</v>
      </c>
      <c r="T836">
        <f t="shared" si="138"/>
        <v>6517.36</v>
      </c>
      <c r="U836">
        <f t="shared" si="139"/>
        <v>5325.0800000000008</v>
      </c>
    </row>
    <row r="837" spans="1:21" x14ac:dyDescent="0.3">
      <c r="A837">
        <v>836</v>
      </c>
      <c r="B837">
        <v>33</v>
      </c>
      <c r="C837" t="s">
        <v>16</v>
      </c>
      <c r="D837">
        <v>31.8</v>
      </c>
      <c r="E837">
        <v>95</v>
      </c>
      <c r="F837" t="s">
        <v>12</v>
      </c>
      <c r="G837">
        <v>0</v>
      </c>
      <c r="H837" t="s">
        <v>12</v>
      </c>
      <c r="I837" t="s">
        <v>14</v>
      </c>
      <c r="J837">
        <v>11842.62</v>
      </c>
      <c r="K837" t="str">
        <f t="shared" si="130"/>
        <v>30-35</v>
      </c>
      <c r="L837">
        <f t="shared" si="131"/>
        <v>0</v>
      </c>
      <c r="M837">
        <f t="shared" si="132"/>
        <v>0</v>
      </c>
      <c r="N837">
        <f t="shared" si="133"/>
        <v>0</v>
      </c>
      <c r="O837">
        <f t="shared" si="134"/>
        <v>1</v>
      </c>
      <c r="P837">
        <v>0.26231032396717391</v>
      </c>
      <c r="Q837">
        <f t="shared" si="135"/>
        <v>0</v>
      </c>
      <c r="R837">
        <f t="shared" si="136"/>
        <v>0</v>
      </c>
      <c r="S837">
        <f t="shared" si="137"/>
        <v>1</v>
      </c>
      <c r="T837">
        <f t="shared" si="138"/>
        <v>8056.9100000000017</v>
      </c>
      <c r="U837">
        <f t="shared" si="139"/>
        <v>3785.7099999999991</v>
      </c>
    </row>
    <row r="838" spans="1:21" x14ac:dyDescent="0.3">
      <c r="A838">
        <v>837</v>
      </c>
      <c r="B838">
        <v>26</v>
      </c>
      <c r="C838" t="s">
        <v>16</v>
      </c>
      <c r="D838">
        <v>33.1</v>
      </c>
      <c r="E838">
        <v>110</v>
      </c>
      <c r="F838" t="s">
        <v>12</v>
      </c>
      <c r="G838">
        <v>0</v>
      </c>
      <c r="H838" t="s">
        <v>12</v>
      </c>
      <c r="I838" t="s">
        <v>15</v>
      </c>
      <c r="J838">
        <v>11848.14</v>
      </c>
      <c r="K838" t="str">
        <f t="shared" si="130"/>
        <v>30-35</v>
      </c>
      <c r="L838">
        <f t="shared" si="131"/>
        <v>0</v>
      </c>
      <c r="M838">
        <f t="shared" si="132"/>
        <v>0</v>
      </c>
      <c r="N838">
        <f t="shared" si="133"/>
        <v>1</v>
      </c>
      <c r="O838">
        <f t="shared" si="134"/>
        <v>0</v>
      </c>
      <c r="P838">
        <v>0.44491105691042165</v>
      </c>
      <c r="Q838">
        <f t="shared" si="135"/>
        <v>0</v>
      </c>
      <c r="R838">
        <f t="shared" si="136"/>
        <v>0</v>
      </c>
      <c r="S838">
        <f t="shared" si="137"/>
        <v>1</v>
      </c>
      <c r="T838">
        <f t="shared" si="138"/>
        <v>10562.800000000003</v>
      </c>
      <c r="U838">
        <f t="shared" si="139"/>
        <v>1285.3399999999965</v>
      </c>
    </row>
    <row r="839" spans="1:21" x14ac:dyDescent="0.3">
      <c r="A839">
        <v>838</v>
      </c>
      <c r="B839">
        <v>50</v>
      </c>
      <c r="C839" t="s">
        <v>16</v>
      </c>
      <c r="D839">
        <v>39.1</v>
      </c>
      <c r="E839">
        <v>100</v>
      </c>
      <c r="F839" t="s">
        <v>12</v>
      </c>
      <c r="G839">
        <v>0</v>
      </c>
      <c r="H839" t="s">
        <v>12</v>
      </c>
      <c r="I839" t="s">
        <v>13</v>
      </c>
      <c r="J839">
        <v>11856.41</v>
      </c>
      <c r="K839" t="str">
        <f t="shared" si="130"/>
        <v>35+</v>
      </c>
      <c r="L839">
        <f t="shared" si="131"/>
        <v>0</v>
      </c>
      <c r="M839">
        <f t="shared" si="132"/>
        <v>1</v>
      </c>
      <c r="N839">
        <f t="shared" si="133"/>
        <v>0</v>
      </c>
      <c r="O839">
        <f t="shared" si="134"/>
        <v>0</v>
      </c>
      <c r="P839">
        <v>0.2700266392382088</v>
      </c>
      <c r="Q839">
        <f t="shared" si="135"/>
        <v>0</v>
      </c>
      <c r="R839">
        <f t="shared" si="136"/>
        <v>0</v>
      </c>
      <c r="S839">
        <f t="shared" si="137"/>
        <v>1</v>
      </c>
      <c r="T839">
        <f t="shared" si="138"/>
        <v>8760.5600000000013</v>
      </c>
      <c r="U839">
        <f t="shared" si="139"/>
        <v>3095.8499999999985</v>
      </c>
    </row>
    <row r="840" spans="1:21" x14ac:dyDescent="0.3">
      <c r="A840">
        <v>839</v>
      </c>
      <c r="B840">
        <v>52</v>
      </c>
      <c r="C840" t="s">
        <v>16</v>
      </c>
      <c r="D840">
        <v>32.4</v>
      </c>
      <c r="E840">
        <v>83</v>
      </c>
      <c r="F840" t="s">
        <v>12</v>
      </c>
      <c r="G840">
        <v>1</v>
      </c>
      <c r="H840" t="s">
        <v>12</v>
      </c>
      <c r="I840" t="s">
        <v>17</v>
      </c>
      <c r="J840">
        <v>11879.1</v>
      </c>
      <c r="K840" t="str">
        <f t="shared" si="130"/>
        <v>30-35</v>
      </c>
      <c r="L840">
        <f t="shared" si="131"/>
        <v>0</v>
      </c>
      <c r="M840">
        <f t="shared" si="132"/>
        <v>0</v>
      </c>
      <c r="N840">
        <f t="shared" si="133"/>
        <v>0</v>
      </c>
      <c r="O840">
        <f t="shared" si="134"/>
        <v>0</v>
      </c>
      <c r="P840">
        <v>0.88439249136102382</v>
      </c>
      <c r="Q840">
        <f t="shared" si="135"/>
        <v>0</v>
      </c>
      <c r="R840">
        <f t="shared" si="136"/>
        <v>0</v>
      </c>
      <c r="S840">
        <f t="shared" si="137"/>
        <v>1</v>
      </c>
      <c r="T840">
        <f t="shared" si="138"/>
        <v>9855.09</v>
      </c>
      <c r="U840">
        <f t="shared" si="139"/>
        <v>2024.0100000000002</v>
      </c>
    </row>
    <row r="841" spans="1:21" x14ac:dyDescent="0.3">
      <c r="A841">
        <v>840</v>
      </c>
      <c r="B841">
        <v>39</v>
      </c>
      <c r="C841" t="s">
        <v>16</v>
      </c>
      <c r="D841">
        <v>29.7</v>
      </c>
      <c r="E841">
        <v>103</v>
      </c>
      <c r="F841" t="s">
        <v>12</v>
      </c>
      <c r="G841">
        <v>2</v>
      </c>
      <c r="H841" t="s">
        <v>12</v>
      </c>
      <c r="I841" t="s">
        <v>15</v>
      </c>
      <c r="J841">
        <v>11881.36</v>
      </c>
      <c r="K841" t="str">
        <f t="shared" si="130"/>
        <v>25-30</v>
      </c>
      <c r="L841">
        <f t="shared" si="131"/>
        <v>0</v>
      </c>
      <c r="M841">
        <f t="shared" si="132"/>
        <v>0</v>
      </c>
      <c r="N841">
        <f t="shared" si="133"/>
        <v>1</v>
      </c>
      <c r="O841">
        <f t="shared" si="134"/>
        <v>0</v>
      </c>
      <c r="P841">
        <v>0.27557332865669548</v>
      </c>
      <c r="Q841">
        <f t="shared" si="135"/>
        <v>0</v>
      </c>
      <c r="R841">
        <f t="shared" si="136"/>
        <v>0</v>
      </c>
      <c r="S841">
        <f t="shared" si="137"/>
        <v>1</v>
      </c>
      <c r="T841">
        <f t="shared" si="138"/>
        <v>10614.81</v>
      </c>
      <c r="U841">
        <f t="shared" si="139"/>
        <v>1266.5500000000011</v>
      </c>
    </row>
    <row r="842" spans="1:21" x14ac:dyDescent="0.3">
      <c r="A842">
        <v>841</v>
      </c>
      <c r="B842">
        <v>38</v>
      </c>
      <c r="C842" t="s">
        <v>16</v>
      </c>
      <c r="D842">
        <v>30.1</v>
      </c>
      <c r="E842">
        <v>92</v>
      </c>
      <c r="F842" t="s">
        <v>11</v>
      </c>
      <c r="G842">
        <v>2</v>
      </c>
      <c r="H842" t="s">
        <v>12</v>
      </c>
      <c r="I842" t="s">
        <v>13</v>
      </c>
      <c r="J842">
        <v>11881.97</v>
      </c>
      <c r="K842" t="str">
        <f t="shared" si="130"/>
        <v>30-35</v>
      </c>
      <c r="L842">
        <f t="shared" si="131"/>
        <v>0</v>
      </c>
      <c r="M842">
        <f t="shared" si="132"/>
        <v>1</v>
      </c>
      <c r="N842">
        <f t="shared" si="133"/>
        <v>0</v>
      </c>
      <c r="O842">
        <f t="shared" si="134"/>
        <v>0</v>
      </c>
      <c r="P842">
        <v>0.3881577502987722</v>
      </c>
      <c r="Q842">
        <f t="shared" si="135"/>
        <v>0</v>
      </c>
      <c r="R842">
        <f t="shared" si="136"/>
        <v>1</v>
      </c>
      <c r="S842">
        <f t="shared" si="137"/>
        <v>1</v>
      </c>
      <c r="T842">
        <f t="shared" si="138"/>
        <v>8137.1200000000008</v>
      </c>
      <c r="U842">
        <f t="shared" si="139"/>
        <v>3744.8499999999985</v>
      </c>
    </row>
    <row r="843" spans="1:21" x14ac:dyDescent="0.3">
      <c r="A843">
        <v>842</v>
      </c>
      <c r="B843">
        <v>23</v>
      </c>
      <c r="C843" t="s">
        <v>10</v>
      </c>
      <c r="D843">
        <v>21.8</v>
      </c>
      <c r="E843">
        <v>92</v>
      </c>
      <c r="F843" t="s">
        <v>12</v>
      </c>
      <c r="G843">
        <v>2</v>
      </c>
      <c r="H843" t="s">
        <v>12</v>
      </c>
      <c r="I843" t="s">
        <v>13</v>
      </c>
      <c r="J843">
        <v>11884.05</v>
      </c>
      <c r="K843" t="str">
        <f t="shared" si="130"/>
        <v>20-25</v>
      </c>
      <c r="L843">
        <f t="shared" si="131"/>
        <v>0</v>
      </c>
      <c r="M843">
        <f t="shared" si="132"/>
        <v>1</v>
      </c>
      <c r="N843">
        <f t="shared" si="133"/>
        <v>0</v>
      </c>
      <c r="O843">
        <f t="shared" si="134"/>
        <v>0</v>
      </c>
      <c r="P843">
        <v>0.67149050501760665</v>
      </c>
      <c r="Q843">
        <f t="shared" si="135"/>
        <v>0</v>
      </c>
      <c r="R843">
        <f t="shared" si="136"/>
        <v>0</v>
      </c>
      <c r="S843">
        <f t="shared" si="137"/>
        <v>0</v>
      </c>
      <c r="T843">
        <f t="shared" si="138"/>
        <v>7070.7800000000007</v>
      </c>
      <c r="U843">
        <f t="shared" si="139"/>
        <v>4813.2699999999986</v>
      </c>
    </row>
    <row r="844" spans="1:21" x14ac:dyDescent="0.3">
      <c r="A844">
        <v>843</v>
      </c>
      <c r="B844">
        <v>41</v>
      </c>
      <c r="C844" t="s">
        <v>10</v>
      </c>
      <c r="D844">
        <v>25.2</v>
      </c>
      <c r="E844">
        <v>101</v>
      </c>
      <c r="F844" t="s">
        <v>12</v>
      </c>
      <c r="G844">
        <v>0</v>
      </c>
      <c r="H844" t="s">
        <v>12</v>
      </c>
      <c r="I844" t="s">
        <v>17</v>
      </c>
      <c r="J844">
        <v>11931.13</v>
      </c>
      <c r="K844" t="str">
        <f t="shared" si="130"/>
        <v>25-30</v>
      </c>
      <c r="L844">
        <f t="shared" si="131"/>
        <v>0</v>
      </c>
      <c r="M844">
        <f t="shared" si="132"/>
        <v>0</v>
      </c>
      <c r="N844">
        <f t="shared" si="133"/>
        <v>0</v>
      </c>
      <c r="O844">
        <f t="shared" si="134"/>
        <v>0</v>
      </c>
      <c r="P844">
        <v>0.36712993877098166</v>
      </c>
      <c r="Q844">
        <f t="shared" si="135"/>
        <v>0</v>
      </c>
      <c r="R844">
        <f t="shared" si="136"/>
        <v>0</v>
      </c>
      <c r="S844">
        <f t="shared" si="137"/>
        <v>0</v>
      </c>
      <c r="T844">
        <f t="shared" si="138"/>
        <v>10943</v>
      </c>
      <c r="U844">
        <f t="shared" si="139"/>
        <v>988.1299999999992</v>
      </c>
    </row>
    <row r="845" spans="1:21" x14ac:dyDescent="0.3">
      <c r="A845">
        <v>844</v>
      </c>
      <c r="B845">
        <v>44</v>
      </c>
      <c r="C845" t="s">
        <v>10</v>
      </c>
      <c r="D845">
        <v>30.3</v>
      </c>
      <c r="E845">
        <v>102</v>
      </c>
      <c r="F845" t="s">
        <v>11</v>
      </c>
      <c r="G845">
        <v>0</v>
      </c>
      <c r="H845" t="s">
        <v>12</v>
      </c>
      <c r="I845" t="s">
        <v>17</v>
      </c>
      <c r="J845">
        <v>11938.26</v>
      </c>
      <c r="K845" t="str">
        <f t="shared" si="130"/>
        <v>30-35</v>
      </c>
      <c r="L845">
        <f t="shared" si="131"/>
        <v>0</v>
      </c>
      <c r="M845">
        <f t="shared" si="132"/>
        <v>0</v>
      </c>
      <c r="N845">
        <f t="shared" si="133"/>
        <v>0</v>
      </c>
      <c r="O845">
        <f t="shared" si="134"/>
        <v>0</v>
      </c>
      <c r="P845">
        <v>2.9130316921158861E-2</v>
      </c>
      <c r="Q845">
        <f t="shared" si="135"/>
        <v>0</v>
      </c>
      <c r="R845">
        <f t="shared" si="136"/>
        <v>1</v>
      </c>
      <c r="S845">
        <f t="shared" si="137"/>
        <v>0</v>
      </c>
      <c r="T845">
        <f t="shared" si="138"/>
        <v>11465.740000000002</v>
      </c>
      <c r="U845">
        <f t="shared" si="139"/>
        <v>472.51999999999862</v>
      </c>
    </row>
    <row r="846" spans="1:21" x14ac:dyDescent="0.3">
      <c r="A846">
        <v>845</v>
      </c>
      <c r="B846">
        <v>36</v>
      </c>
      <c r="C846" t="s">
        <v>10</v>
      </c>
      <c r="D846">
        <v>34.9</v>
      </c>
      <c r="E846">
        <v>88</v>
      </c>
      <c r="F846" t="s">
        <v>11</v>
      </c>
      <c r="G846">
        <v>0</v>
      </c>
      <c r="H846" t="s">
        <v>12</v>
      </c>
      <c r="I846" t="s">
        <v>17</v>
      </c>
      <c r="J846">
        <v>11944.59</v>
      </c>
      <c r="K846" t="str">
        <f t="shared" si="130"/>
        <v>30-35</v>
      </c>
      <c r="L846">
        <f t="shared" si="131"/>
        <v>0</v>
      </c>
      <c r="M846">
        <f t="shared" si="132"/>
        <v>0</v>
      </c>
      <c r="N846">
        <f t="shared" si="133"/>
        <v>0</v>
      </c>
      <c r="O846">
        <f t="shared" si="134"/>
        <v>0</v>
      </c>
      <c r="P846">
        <v>0.3730136636609277</v>
      </c>
      <c r="Q846">
        <f t="shared" si="135"/>
        <v>0</v>
      </c>
      <c r="R846">
        <f t="shared" si="136"/>
        <v>1</v>
      </c>
      <c r="S846">
        <f t="shared" si="137"/>
        <v>0</v>
      </c>
      <c r="T846">
        <f t="shared" si="138"/>
        <v>9635.02</v>
      </c>
      <c r="U846">
        <f t="shared" si="139"/>
        <v>2309.5699999999997</v>
      </c>
    </row>
    <row r="847" spans="1:21" x14ac:dyDescent="0.3">
      <c r="A847">
        <v>846</v>
      </c>
      <c r="B847">
        <v>48</v>
      </c>
      <c r="C847" t="s">
        <v>10</v>
      </c>
      <c r="D847">
        <v>33.6</v>
      </c>
      <c r="E847">
        <v>97</v>
      </c>
      <c r="F847" t="s">
        <v>12</v>
      </c>
      <c r="G847">
        <v>1</v>
      </c>
      <c r="H847" t="s">
        <v>12</v>
      </c>
      <c r="I847" t="s">
        <v>14</v>
      </c>
      <c r="J847">
        <v>11945.13</v>
      </c>
      <c r="K847" t="str">
        <f t="shared" si="130"/>
        <v>30-35</v>
      </c>
      <c r="L847">
        <f t="shared" si="131"/>
        <v>0</v>
      </c>
      <c r="M847">
        <f t="shared" si="132"/>
        <v>0</v>
      </c>
      <c r="N847">
        <f t="shared" si="133"/>
        <v>0</v>
      </c>
      <c r="O847">
        <f t="shared" si="134"/>
        <v>1</v>
      </c>
      <c r="P847">
        <v>3.5615093317259983E-2</v>
      </c>
      <c r="Q847">
        <f t="shared" si="135"/>
        <v>0</v>
      </c>
      <c r="R847">
        <f t="shared" si="136"/>
        <v>0</v>
      </c>
      <c r="S847">
        <f t="shared" si="137"/>
        <v>0</v>
      </c>
      <c r="T847">
        <f t="shared" si="138"/>
        <v>8804.0799999999981</v>
      </c>
      <c r="U847">
        <f t="shared" si="139"/>
        <v>3141.0500000000011</v>
      </c>
    </row>
    <row r="848" spans="1:21" x14ac:dyDescent="0.3">
      <c r="A848">
        <v>847</v>
      </c>
      <c r="B848">
        <v>45</v>
      </c>
      <c r="C848" t="s">
        <v>10</v>
      </c>
      <c r="D848">
        <v>32</v>
      </c>
      <c r="E848">
        <v>83</v>
      </c>
      <c r="F848" t="s">
        <v>12</v>
      </c>
      <c r="G848">
        <v>1</v>
      </c>
      <c r="H848" t="s">
        <v>12</v>
      </c>
      <c r="I848" t="s">
        <v>13</v>
      </c>
      <c r="J848">
        <v>11946.63</v>
      </c>
      <c r="K848" t="str">
        <f t="shared" si="130"/>
        <v>30-35</v>
      </c>
      <c r="L848">
        <f t="shared" si="131"/>
        <v>0</v>
      </c>
      <c r="M848">
        <f t="shared" si="132"/>
        <v>1</v>
      </c>
      <c r="N848">
        <f t="shared" si="133"/>
        <v>0</v>
      </c>
      <c r="O848">
        <f t="shared" si="134"/>
        <v>0</v>
      </c>
      <c r="P848">
        <v>0.51623565520566395</v>
      </c>
      <c r="Q848">
        <f t="shared" si="135"/>
        <v>0</v>
      </c>
      <c r="R848">
        <f t="shared" si="136"/>
        <v>0</v>
      </c>
      <c r="S848">
        <f t="shared" si="137"/>
        <v>0</v>
      </c>
      <c r="T848">
        <f t="shared" si="138"/>
        <v>5740.1700000000019</v>
      </c>
      <c r="U848">
        <f t="shared" si="139"/>
        <v>6206.4599999999973</v>
      </c>
    </row>
    <row r="849" spans="1:21" x14ac:dyDescent="0.3">
      <c r="A849">
        <v>848</v>
      </c>
      <c r="B849">
        <v>24</v>
      </c>
      <c r="C849" t="s">
        <v>10</v>
      </c>
      <c r="D849">
        <v>33.9</v>
      </c>
      <c r="E849">
        <v>81</v>
      </c>
      <c r="F849" t="s">
        <v>11</v>
      </c>
      <c r="G849">
        <v>3</v>
      </c>
      <c r="H849" t="s">
        <v>12</v>
      </c>
      <c r="I849" t="s">
        <v>13</v>
      </c>
      <c r="J849">
        <v>11987.17</v>
      </c>
      <c r="K849" t="str">
        <f t="shared" si="130"/>
        <v>30-35</v>
      </c>
      <c r="L849">
        <f t="shared" si="131"/>
        <v>0</v>
      </c>
      <c r="M849">
        <f t="shared" si="132"/>
        <v>1</v>
      </c>
      <c r="N849">
        <f t="shared" si="133"/>
        <v>0</v>
      </c>
      <c r="O849">
        <f t="shared" si="134"/>
        <v>0</v>
      </c>
      <c r="P849">
        <v>0.23467734328852707</v>
      </c>
      <c r="Q849">
        <f t="shared" si="135"/>
        <v>0</v>
      </c>
      <c r="R849">
        <f t="shared" si="136"/>
        <v>1</v>
      </c>
      <c r="S849">
        <f t="shared" si="137"/>
        <v>0</v>
      </c>
      <c r="T849">
        <f t="shared" si="138"/>
        <v>7017.7400000000007</v>
      </c>
      <c r="U849">
        <f t="shared" si="139"/>
        <v>4969.4299999999994</v>
      </c>
    </row>
    <row r="850" spans="1:21" x14ac:dyDescent="0.3">
      <c r="A850">
        <v>849</v>
      </c>
      <c r="B850">
        <v>42</v>
      </c>
      <c r="C850" t="s">
        <v>16</v>
      </c>
      <c r="D850">
        <v>22.2</v>
      </c>
      <c r="E850">
        <v>99</v>
      </c>
      <c r="F850" t="s">
        <v>11</v>
      </c>
      <c r="G850">
        <v>0</v>
      </c>
      <c r="H850" t="s">
        <v>12</v>
      </c>
      <c r="I850" t="s">
        <v>17</v>
      </c>
      <c r="J850">
        <v>12029.29</v>
      </c>
      <c r="K850" t="str">
        <f t="shared" si="130"/>
        <v>20-25</v>
      </c>
      <c r="L850">
        <f t="shared" si="131"/>
        <v>0</v>
      </c>
      <c r="M850">
        <f t="shared" si="132"/>
        <v>0</v>
      </c>
      <c r="N850">
        <f t="shared" si="133"/>
        <v>0</v>
      </c>
      <c r="O850">
        <f t="shared" si="134"/>
        <v>0</v>
      </c>
      <c r="P850">
        <v>0.15631290630435757</v>
      </c>
      <c r="Q850">
        <f t="shared" si="135"/>
        <v>0</v>
      </c>
      <c r="R850">
        <f t="shared" si="136"/>
        <v>1</v>
      </c>
      <c r="S850">
        <f t="shared" si="137"/>
        <v>1</v>
      </c>
      <c r="T850">
        <f t="shared" si="138"/>
        <v>10741.93</v>
      </c>
      <c r="U850">
        <f t="shared" si="139"/>
        <v>1287.3600000000006</v>
      </c>
    </row>
    <row r="851" spans="1:21" x14ac:dyDescent="0.3">
      <c r="A851">
        <v>850</v>
      </c>
      <c r="B851">
        <v>47</v>
      </c>
      <c r="C851" t="s">
        <v>16</v>
      </c>
      <c r="D851">
        <v>20.100000000000001</v>
      </c>
      <c r="E851">
        <v>99</v>
      </c>
      <c r="F851" t="s">
        <v>12</v>
      </c>
      <c r="G851">
        <v>1</v>
      </c>
      <c r="H851" t="s">
        <v>12</v>
      </c>
      <c r="I851" t="s">
        <v>15</v>
      </c>
      <c r="J851">
        <v>12032.33</v>
      </c>
      <c r="K851" t="str">
        <f t="shared" si="130"/>
        <v>20-25</v>
      </c>
      <c r="L851">
        <f t="shared" si="131"/>
        <v>0</v>
      </c>
      <c r="M851">
        <f t="shared" si="132"/>
        <v>0</v>
      </c>
      <c r="N851">
        <f t="shared" si="133"/>
        <v>1</v>
      </c>
      <c r="O851">
        <f t="shared" si="134"/>
        <v>0</v>
      </c>
      <c r="P851">
        <v>0.56981931243964423</v>
      </c>
      <c r="Q851">
        <f t="shared" si="135"/>
        <v>0</v>
      </c>
      <c r="R851">
        <f t="shared" si="136"/>
        <v>0</v>
      </c>
      <c r="S851">
        <f t="shared" si="137"/>
        <v>1</v>
      </c>
      <c r="T851">
        <f t="shared" si="138"/>
        <v>8407.17</v>
      </c>
      <c r="U851">
        <f t="shared" si="139"/>
        <v>3625.16</v>
      </c>
    </row>
    <row r="852" spans="1:21" x14ac:dyDescent="0.3">
      <c r="A852">
        <v>851</v>
      </c>
      <c r="B852">
        <v>31</v>
      </c>
      <c r="C852" t="s">
        <v>16</v>
      </c>
      <c r="D852">
        <v>26.6</v>
      </c>
      <c r="E852">
        <v>90</v>
      </c>
      <c r="F852" t="s">
        <v>11</v>
      </c>
      <c r="G852">
        <v>1</v>
      </c>
      <c r="H852" t="s">
        <v>12</v>
      </c>
      <c r="I852" t="s">
        <v>14</v>
      </c>
      <c r="J852">
        <v>12044.34</v>
      </c>
      <c r="K852" t="str">
        <f t="shared" si="130"/>
        <v>25-30</v>
      </c>
      <c r="L852">
        <f t="shared" si="131"/>
        <v>0</v>
      </c>
      <c r="M852">
        <f t="shared" si="132"/>
        <v>0</v>
      </c>
      <c r="N852">
        <f t="shared" si="133"/>
        <v>0</v>
      </c>
      <c r="O852">
        <f t="shared" si="134"/>
        <v>1</v>
      </c>
      <c r="P852">
        <v>0.66655743491704089</v>
      </c>
      <c r="Q852">
        <f t="shared" si="135"/>
        <v>0</v>
      </c>
      <c r="R852">
        <f t="shared" si="136"/>
        <v>1</v>
      </c>
      <c r="S852">
        <f t="shared" si="137"/>
        <v>1</v>
      </c>
      <c r="T852">
        <f t="shared" si="138"/>
        <v>7486.0999999999995</v>
      </c>
      <c r="U852">
        <f t="shared" si="139"/>
        <v>4558.2400000000007</v>
      </c>
    </row>
    <row r="853" spans="1:21" x14ac:dyDescent="0.3">
      <c r="A853">
        <v>852</v>
      </c>
      <c r="B853">
        <v>42</v>
      </c>
      <c r="C853" t="s">
        <v>16</v>
      </c>
      <c r="D853">
        <v>23</v>
      </c>
      <c r="E853">
        <v>80</v>
      </c>
      <c r="F853" t="s">
        <v>11</v>
      </c>
      <c r="G853">
        <v>3</v>
      </c>
      <c r="H853" t="s">
        <v>12</v>
      </c>
      <c r="I853" t="s">
        <v>15</v>
      </c>
      <c r="J853">
        <v>12094.48</v>
      </c>
      <c r="K853" t="str">
        <f t="shared" si="130"/>
        <v>20-25</v>
      </c>
      <c r="L853">
        <f t="shared" si="131"/>
        <v>0</v>
      </c>
      <c r="M853">
        <f t="shared" si="132"/>
        <v>0</v>
      </c>
      <c r="N853">
        <f t="shared" si="133"/>
        <v>1</v>
      </c>
      <c r="O853">
        <f t="shared" si="134"/>
        <v>0</v>
      </c>
      <c r="P853">
        <v>0.1758370926414411</v>
      </c>
      <c r="Q853">
        <f t="shared" si="135"/>
        <v>0</v>
      </c>
      <c r="R853">
        <f t="shared" si="136"/>
        <v>1</v>
      </c>
      <c r="S853">
        <f t="shared" si="137"/>
        <v>1</v>
      </c>
      <c r="T853">
        <f t="shared" si="138"/>
        <v>7036.73</v>
      </c>
      <c r="U853">
        <f t="shared" si="139"/>
        <v>5057.75</v>
      </c>
    </row>
    <row r="854" spans="1:21" x14ac:dyDescent="0.3">
      <c r="A854">
        <v>853</v>
      </c>
      <c r="B854">
        <v>30</v>
      </c>
      <c r="C854" t="s">
        <v>16</v>
      </c>
      <c r="D854">
        <v>28.9</v>
      </c>
      <c r="E854">
        <v>94</v>
      </c>
      <c r="F854" t="s">
        <v>12</v>
      </c>
      <c r="G854">
        <v>2</v>
      </c>
      <c r="H854" t="s">
        <v>12</v>
      </c>
      <c r="I854" t="s">
        <v>17</v>
      </c>
      <c r="J854">
        <v>12096.65</v>
      </c>
      <c r="K854" t="str">
        <f t="shared" si="130"/>
        <v>25-30</v>
      </c>
      <c r="L854">
        <f t="shared" si="131"/>
        <v>0</v>
      </c>
      <c r="M854">
        <f t="shared" si="132"/>
        <v>0</v>
      </c>
      <c r="N854">
        <f t="shared" si="133"/>
        <v>0</v>
      </c>
      <c r="O854">
        <f t="shared" si="134"/>
        <v>0</v>
      </c>
      <c r="P854">
        <v>0.6208808958386387</v>
      </c>
      <c r="Q854">
        <f t="shared" si="135"/>
        <v>0</v>
      </c>
      <c r="R854">
        <f t="shared" si="136"/>
        <v>0</v>
      </c>
      <c r="S854">
        <f t="shared" si="137"/>
        <v>1</v>
      </c>
      <c r="T854">
        <f t="shared" si="138"/>
        <v>12077.730000000001</v>
      </c>
      <c r="U854">
        <f t="shared" si="139"/>
        <v>18.919999999998254</v>
      </c>
    </row>
    <row r="855" spans="1:21" x14ac:dyDescent="0.3">
      <c r="A855">
        <v>854</v>
      </c>
      <c r="B855">
        <v>27</v>
      </c>
      <c r="C855" t="s">
        <v>16</v>
      </c>
      <c r="D855">
        <v>30.8</v>
      </c>
      <c r="E855">
        <v>97</v>
      </c>
      <c r="F855" t="s">
        <v>11</v>
      </c>
      <c r="G855">
        <v>3</v>
      </c>
      <c r="H855" t="s">
        <v>12</v>
      </c>
      <c r="I855" t="s">
        <v>15</v>
      </c>
      <c r="J855">
        <v>12105.32</v>
      </c>
      <c r="K855" t="str">
        <f t="shared" si="130"/>
        <v>30-35</v>
      </c>
      <c r="L855">
        <f t="shared" si="131"/>
        <v>0</v>
      </c>
      <c r="M855">
        <f t="shared" si="132"/>
        <v>0</v>
      </c>
      <c r="N855">
        <f t="shared" si="133"/>
        <v>1</v>
      </c>
      <c r="O855">
        <f t="shared" si="134"/>
        <v>0</v>
      </c>
      <c r="P855">
        <v>0.76064745322936422</v>
      </c>
      <c r="Q855">
        <f t="shared" si="135"/>
        <v>0</v>
      </c>
      <c r="R855">
        <f t="shared" si="136"/>
        <v>1</v>
      </c>
      <c r="S855">
        <f t="shared" si="137"/>
        <v>1</v>
      </c>
      <c r="T855">
        <f t="shared" si="138"/>
        <v>10435.859999999999</v>
      </c>
      <c r="U855">
        <f t="shared" si="139"/>
        <v>1669.4600000000009</v>
      </c>
    </row>
    <row r="856" spans="1:21" x14ac:dyDescent="0.3">
      <c r="A856">
        <v>855</v>
      </c>
      <c r="B856">
        <v>50</v>
      </c>
      <c r="C856" t="s">
        <v>10</v>
      </c>
      <c r="D856">
        <v>25.5</v>
      </c>
      <c r="E856">
        <v>87</v>
      </c>
      <c r="F856" t="s">
        <v>12</v>
      </c>
      <c r="G856">
        <v>0</v>
      </c>
      <c r="H856" t="s">
        <v>12</v>
      </c>
      <c r="I856" t="s">
        <v>14</v>
      </c>
      <c r="J856">
        <v>12124.99</v>
      </c>
      <c r="K856" t="str">
        <f t="shared" si="130"/>
        <v>25-30</v>
      </c>
      <c r="L856">
        <f t="shared" si="131"/>
        <v>0</v>
      </c>
      <c r="M856">
        <f t="shared" si="132"/>
        <v>0</v>
      </c>
      <c r="N856">
        <f t="shared" si="133"/>
        <v>0</v>
      </c>
      <c r="O856">
        <f t="shared" si="134"/>
        <v>1</v>
      </c>
      <c r="P856">
        <v>0.85484743707684219</v>
      </c>
      <c r="Q856">
        <f t="shared" si="135"/>
        <v>0</v>
      </c>
      <c r="R856">
        <f t="shared" si="136"/>
        <v>0</v>
      </c>
      <c r="S856">
        <f t="shared" si="137"/>
        <v>0</v>
      </c>
      <c r="T856">
        <f t="shared" si="138"/>
        <v>5774.829999999999</v>
      </c>
      <c r="U856">
        <f t="shared" si="139"/>
        <v>6350.1600000000008</v>
      </c>
    </row>
    <row r="857" spans="1:21" x14ac:dyDescent="0.3">
      <c r="A857">
        <v>856</v>
      </c>
      <c r="B857">
        <v>23</v>
      </c>
      <c r="C857" t="s">
        <v>10</v>
      </c>
      <c r="D857">
        <v>28.8</v>
      </c>
      <c r="E857">
        <v>86</v>
      </c>
      <c r="F857" t="s">
        <v>12</v>
      </c>
      <c r="G857">
        <v>0</v>
      </c>
      <c r="H857" t="s">
        <v>12</v>
      </c>
      <c r="I857" t="s">
        <v>14</v>
      </c>
      <c r="J857">
        <v>12129.61</v>
      </c>
      <c r="K857" t="str">
        <f t="shared" si="130"/>
        <v>25-30</v>
      </c>
      <c r="L857">
        <f t="shared" si="131"/>
        <v>0</v>
      </c>
      <c r="M857">
        <f t="shared" si="132"/>
        <v>0</v>
      </c>
      <c r="N857">
        <f t="shared" si="133"/>
        <v>0</v>
      </c>
      <c r="O857">
        <f t="shared" si="134"/>
        <v>1</v>
      </c>
      <c r="P857">
        <v>0.11407035821626643</v>
      </c>
      <c r="Q857">
        <f t="shared" si="135"/>
        <v>0</v>
      </c>
      <c r="R857">
        <f t="shared" si="136"/>
        <v>0</v>
      </c>
      <c r="S857">
        <f t="shared" si="137"/>
        <v>0</v>
      </c>
      <c r="T857">
        <f t="shared" si="138"/>
        <v>5931.95</v>
      </c>
      <c r="U857">
        <f t="shared" si="139"/>
        <v>6197.6600000000008</v>
      </c>
    </row>
    <row r="858" spans="1:21" x14ac:dyDescent="0.3">
      <c r="A858">
        <v>857</v>
      </c>
      <c r="B858">
        <v>35</v>
      </c>
      <c r="C858" t="s">
        <v>10</v>
      </c>
      <c r="D858">
        <v>25.7</v>
      </c>
      <c r="E858">
        <v>90</v>
      </c>
      <c r="F858" t="s">
        <v>11</v>
      </c>
      <c r="G858">
        <v>0</v>
      </c>
      <c r="H858" t="s">
        <v>12</v>
      </c>
      <c r="I858" t="s">
        <v>13</v>
      </c>
      <c r="J858">
        <v>12142.58</v>
      </c>
      <c r="K858" t="str">
        <f t="shared" si="130"/>
        <v>25-30</v>
      </c>
      <c r="L858">
        <f t="shared" si="131"/>
        <v>0</v>
      </c>
      <c r="M858">
        <f t="shared" si="132"/>
        <v>1</v>
      </c>
      <c r="N858">
        <f t="shared" si="133"/>
        <v>0</v>
      </c>
      <c r="O858">
        <f t="shared" si="134"/>
        <v>0</v>
      </c>
      <c r="P858">
        <v>0.81184949935381856</v>
      </c>
      <c r="Q858">
        <f t="shared" si="135"/>
        <v>0</v>
      </c>
      <c r="R858">
        <f t="shared" si="136"/>
        <v>1</v>
      </c>
      <c r="S858">
        <f t="shared" si="137"/>
        <v>0</v>
      </c>
      <c r="T858">
        <f t="shared" si="138"/>
        <v>5524.1500000000005</v>
      </c>
      <c r="U858">
        <f t="shared" si="139"/>
        <v>6618.4299999999994</v>
      </c>
    </row>
    <row r="859" spans="1:21" x14ac:dyDescent="0.3">
      <c r="A859">
        <v>858</v>
      </c>
      <c r="B859">
        <v>23</v>
      </c>
      <c r="C859" t="s">
        <v>10</v>
      </c>
      <c r="D859">
        <v>28.9</v>
      </c>
      <c r="E859">
        <v>83</v>
      </c>
      <c r="F859" t="s">
        <v>11</v>
      </c>
      <c r="G859">
        <v>0</v>
      </c>
      <c r="H859" t="s">
        <v>12</v>
      </c>
      <c r="I859" t="s">
        <v>15</v>
      </c>
      <c r="J859">
        <v>12146.97</v>
      </c>
      <c r="K859" t="str">
        <f t="shared" si="130"/>
        <v>25-30</v>
      </c>
      <c r="L859">
        <f t="shared" si="131"/>
        <v>0</v>
      </c>
      <c r="M859">
        <f t="shared" si="132"/>
        <v>0</v>
      </c>
      <c r="N859">
        <f t="shared" si="133"/>
        <v>1</v>
      </c>
      <c r="O859">
        <f t="shared" si="134"/>
        <v>0</v>
      </c>
      <c r="P859">
        <v>0.38622751220598472</v>
      </c>
      <c r="Q859">
        <f t="shared" si="135"/>
        <v>0</v>
      </c>
      <c r="R859">
        <f t="shared" si="136"/>
        <v>1</v>
      </c>
      <c r="S859">
        <f t="shared" si="137"/>
        <v>0</v>
      </c>
      <c r="T859">
        <f t="shared" si="138"/>
        <v>5384.5999999999995</v>
      </c>
      <c r="U859">
        <f t="shared" si="139"/>
        <v>6762.37</v>
      </c>
    </row>
    <row r="860" spans="1:21" x14ac:dyDescent="0.3">
      <c r="A860">
        <v>859</v>
      </c>
      <c r="B860">
        <v>34</v>
      </c>
      <c r="C860" t="s">
        <v>16</v>
      </c>
      <c r="D860">
        <v>27.2</v>
      </c>
      <c r="E860">
        <v>96</v>
      </c>
      <c r="F860" t="s">
        <v>12</v>
      </c>
      <c r="G860">
        <v>0</v>
      </c>
      <c r="H860" t="s">
        <v>12</v>
      </c>
      <c r="I860" t="s">
        <v>14</v>
      </c>
      <c r="J860">
        <v>12222.9</v>
      </c>
      <c r="K860" t="str">
        <f t="shared" si="130"/>
        <v>25-30</v>
      </c>
      <c r="L860">
        <f t="shared" si="131"/>
        <v>0</v>
      </c>
      <c r="M860">
        <f t="shared" si="132"/>
        <v>0</v>
      </c>
      <c r="N860">
        <f t="shared" si="133"/>
        <v>0</v>
      </c>
      <c r="O860">
        <f t="shared" si="134"/>
        <v>1</v>
      </c>
      <c r="P860">
        <v>0.21457985102107824</v>
      </c>
      <c r="Q860">
        <f t="shared" si="135"/>
        <v>0</v>
      </c>
      <c r="R860">
        <f t="shared" si="136"/>
        <v>0</v>
      </c>
      <c r="S860">
        <f t="shared" si="137"/>
        <v>1</v>
      </c>
      <c r="T860">
        <f t="shared" si="138"/>
        <v>7821.9199999999983</v>
      </c>
      <c r="U860">
        <f t="shared" si="139"/>
        <v>4400.9800000000014</v>
      </c>
    </row>
    <row r="861" spans="1:21" x14ac:dyDescent="0.3">
      <c r="A861">
        <v>860</v>
      </c>
      <c r="B861">
        <v>33</v>
      </c>
      <c r="C861" t="s">
        <v>16</v>
      </c>
      <c r="D861">
        <v>28.2</v>
      </c>
      <c r="E861">
        <v>96</v>
      </c>
      <c r="F861" t="s">
        <v>11</v>
      </c>
      <c r="G861">
        <v>0</v>
      </c>
      <c r="H861" t="s">
        <v>12</v>
      </c>
      <c r="I861" t="s">
        <v>14</v>
      </c>
      <c r="J861">
        <v>12224.35</v>
      </c>
      <c r="K861" t="str">
        <f t="shared" si="130"/>
        <v>25-30</v>
      </c>
      <c r="L861">
        <f t="shared" si="131"/>
        <v>0</v>
      </c>
      <c r="M861">
        <f t="shared" si="132"/>
        <v>0</v>
      </c>
      <c r="N861">
        <f t="shared" si="133"/>
        <v>0</v>
      </c>
      <c r="O861">
        <f t="shared" si="134"/>
        <v>1</v>
      </c>
      <c r="P861">
        <v>0.63242664423716777</v>
      </c>
      <c r="Q861">
        <f t="shared" si="135"/>
        <v>0</v>
      </c>
      <c r="R861">
        <f t="shared" si="136"/>
        <v>1</v>
      </c>
      <c r="S861">
        <f t="shared" si="137"/>
        <v>1</v>
      </c>
      <c r="T861">
        <f t="shared" si="138"/>
        <v>7839.6399999999985</v>
      </c>
      <c r="U861">
        <f t="shared" si="139"/>
        <v>4384.7100000000019</v>
      </c>
    </row>
    <row r="862" spans="1:21" x14ac:dyDescent="0.3">
      <c r="A862">
        <v>861</v>
      </c>
      <c r="B862">
        <v>37</v>
      </c>
      <c r="C862" t="s">
        <v>16</v>
      </c>
      <c r="D862">
        <v>33.4</v>
      </c>
      <c r="E862">
        <v>84</v>
      </c>
      <c r="F862" t="s">
        <v>11</v>
      </c>
      <c r="G862">
        <v>0</v>
      </c>
      <c r="H862" t="s">
        <v>12</v>
      </c>
      <c r="I862" t="s">
        <v>14</v>
      </c>
      <c r="J862">
        <v>12231.61</v>
      </c>
      <c r="K862" t="str">
        <f t="shared" si="130"/>
        <v>30-35</v>
      </c>
      <c r="L862">
        <f t="shared" si="131"/>
        <v>0</v>
      </c>
      <c r="M862">
        <f t="shared" si="132"/>
        <v>0</v>
      </c>
      <c r="N862">
        <f t="shared" si="133"/>
        <v>0</v>
      </c>
      <c r="O862">
        <f t="shared" si="134"/>
        <v>1</v>
      </c>
      <c r="P862">
        <v>0.23851134087283621</v>
      </c>
      <c r="Q862">
        <f t="shared" si="135"/>
        <v>0</v>
      </c>
      <c r="R862">
        <f t="shared" si="136"/>
        <v>1</v>
      </c>
      <c r="S862">
        <f t="shared" si="137"/>
        <v>1</v>
      </c>
      <c r="T862">
        <f t="shared" si="138"/>
        <v>6364.0399999999981</v>
      </c>
      <c r="U862">
        <f t="shared" si="139"/>
        <v>5867.5700000000024</v>
      </c>
    </row>
    <row r="863" spans="1:21" x14ac:dyDescent="0.3">
      <c r="A863">
        <v>862</v>
      </c>
      <c r="B863">
        <v>44</v>
      </c>
      <c r="C863" t="s">
        <v>16</v>
      </c>
      <c r="D863">
        <v>27.5</v>
      </c>
      <c r="E863">
        <v>86</v>
      </c>
      <c r="F863" t="s">
        <v>11</v>
      </c>
      <c r="G863">
        <v>0</v>
      </c>
      <c r="H863" t="s">
        <v>12</v>
      </c>
      <c r="I863" t="s">
        <v>15</v>
      </c>
      <c r="J863">
        <v>12233.83</v>
      </c>
      <c r="K863" t="str">
        <f t="shared" si="130"/>
        <v>25-30</v>
      </c>
      <c r="L863">
        <f t="shared" si="131"/>
        <v>0</v>
      </c>
      <c r="M863">
        <f t="shared" si="132"/>
        <v>0</v>
      </c>
      <c r="N863">
        <f t="shared" si="133"/>
        <v>1</v>
      </c>
      <c r="O863">
        <f t="shared" si="134"/>
        <v>0</v>
      </c>
      <c r="P863">
        <v>0.68592280372071901</v>
      </c>
      <c r="Q863">
        <f t="shared" si="135"/>
        <v>0</v>
      </c>
      <c r="R863">
        <f t="shared" si="136"/>
        <v>1</v>
      </c>
      <c r="S863">
        <f t="shared" si="137"/>
        <v>1</v>
      </c>
      <c r="T863">
        <f t="shared" si="138"/>
        <v>6161.739999999998</v>
      </c>
      <c r="U863">
        <f t="shared" si="139"/>
        <v>6072.090000000002</v>
      </c>
    </row>
    <row r="864" spans="1:21" x14ac:dyDescent="0.3">
      <c r="A864">
        <v>863</v>
      </c>
      <c r="B864">
        <v>26</v>
      </c>
      <c r="C864" t="s">
        <v>16</v>
      </c>
      <c r="D864">
        <v>36.5</v>
      </c>
      <c r="E864">
        <v>80</v>
      </c>
      <c r="F864" t="s">
        <v>11</v>
      </c>
      <c r="G864">
        <v>0</v>
      </c>
      <c r="H864" t="s">
        <v>12</v>
      </c>
      <c r="I864" t="s">
        <v>14</v>
      </c>
      <c r="J864">
        <v>12235.84</v>
      </c>
      <c r="K864" t="str">
        <f t="shared" si="130"/>
        <v>35+</v>
      </c>
      <c r="L864">
        <f t="shared" si="131"/>
        <v>0</v>
      </c>
      <c r="M864">
        <f t="shared" si="132"/>
        <v>0</v>
      </c>
      <c r="N864">
        <f t="shared" si="133"/>
        <v>0</v>
      </c>
      <c r="O864">
        <f t="shared" si="134"/>
        <v>1</v>
      </c>
      <c r="P864">
        <v>0.65672582269177926</v>
      </c>
      <c r="Q864">
        <f t="shared" si="135"/>
        <v>0</v>
      </c>
      <c r="R864">
        <f t="shared" si="136"/>
        <v>1</v>
      </c>
      <c r="S864">
        <f t="shared" si="137"/>
        <v>1</v>
      </c>
      <c r="T864">
        <f t="shared" si="138"/>
        <v>6004.81</v>
      </c>
      <c r="U864">
        <f t="shared" si="139"/>
        <v>6231.03</v>
      </c>
    </row>
    <row r="865" spans="1:21" x14ac:dyDescent="0.3">
      <c r="A865">
        <v>864</v>
      </c>
      <c r="B865">
        <v>27</v>
      </c>
      <c r="C865" t="s">
        <v>16</v>
      </c>
      <c r="D865">
        <v>35.200000000000003</v>
      </c>
      <c r="E865">
        <v>83</v>
      </c>
      <c r="F865" t="s">
        <v>11</v>
      </c>
      <c r="G865">
        <v>0</v>
      </c>
      <c r="H865" t="s">
        <v>12</v>
      </c>
      <c r="I865" t="s">
        <v>13</v>
      </c>
      <c r="J865">
        <v>12244.53</v>
      </c>
      <c r="K865" t="str">
        <f t="shared" si="130"/>
        <v>35+</v>
      </c>
      <c r="L865">
        <f t="shared" si="131"/>
        <v>0</v>
      </c>
      <c r="M865">
        <f t="shared" si="132"/>
        <v>1</v>
      </c>
      <c r="N865">
        <f t="shared" si="133"/>
        <v>0</v>
      </c>
      <c r="O865">
        <f t="shared" si="134"/>
        <v>0</v>
      </c>
      <c r="P865">
        <v>0.56601709960830304</v>
      </c>
      <c r="Q865">
        <f t="shared" si="135"/>
        <v>0</v>
      </c>
      <c r="R865">
        <f t="shared" si="136"/>
        <v>1</v>
      </c>
      <c r="S865">
        <f t="shared" si="137"/>
        <v>1</v>
      </c>
      <c r="T865">
        <f t="shared" si="138"/>
        <v>5674.4600000000009</v>
      </c>
      <c r="U865">
        <f t="shared" si="139"/>
        <v>6570.07</v>
      </c>
    </row>
    <row r="866" spans="1:21" x14ac:dyDescent="0.3">
      <c r="A866">
        <v>865</v>
      </c>
      <c r="B866">
        <v>60</v>
      </c>
      <c r="C866" t="s">
        <v>16</v>
      </c>
      <c r="D866">
        <v>37.5</v>
      </c>
      <c r="E866">
        <v>97</v>
      </c>
      <c r="F866" t="s">
        <v>11</v>
      </c>
      <c r="G866">
        <v>2</v>
      </c>
      <c r="H866" t="s">
        <v>12</v>
      </c>
      <c r="I866" t="s">
        <v>13</v>
      </c>
      <c r="J866">
        <v>12265.51</v>
      </c>
      <c r="K866" t="str">
        <f t="shared" si="130"/>
        <v>35+</v>
      </c>
      <c r="L866">
        <f t="shared" si="131"/>
        <v>0</v>
      </c>
      <c r="M866">
        <f t="shared" si="132"/>
        <v>1</v>
      </c>
      <c r="N866">
        <f t="shared" si="133"/>
        <v>0</v>
      </c>
      <c r="O866">
        <f t="shared" si="134"/>
        <v>0</v>
      </c>
      <c r="P866">
        <v>0.48267147559319312</v>
      </c>
      <c r="Q866">
        <f t="shared" si="135"/>
        <v>0</v>
      </c>
      <c r="R866">
        <f t="shared" si="136"/>
        <v>1</v>
      </c>
      <c r="S866">
        <f t="shared" si="137"/>
        <v>1</v>
      </c>
      <c r="T866">
        <f t="shared" si="138"/>
        <v>9539.61</v>
      </c>
      <c r="U866">
        <f t="shared" si="139"/>
        <v>2725.8999999999996</v>
      </c>
    </row>
    <row r="867" spans="1:21" x14ac:dyDescent="0.3">
      <c r="A867">
        <v>866</v>
      </c>
      <c r="B867">
        <v>50</v>
      </c>
      <c r="C867" t="s">
        <v>16</v>
      </c>
      <c r="D867">
        <v>32.799999999999997</v>
      </c>
      <c r="E867">
        <v>86</v>
      </c>
      <c r="F867" t="s">
        <v>12</v>
      </c>
      <c r="G867">
        <v>2</v>
      </c>
      <c r="H867" t="s">
        <v>12</v>
      </c>
      <c r="I867" t="s">
        <v>14</v>
      </c>
      <c r="J867">
        <v>12268.63</v>
      </c>
      <c r="K867" t="str">
        <f t="shared" si="130"/>
        <v>30-35</v>
      </c>
      <c r="L867">
        <f t="shared" si="131"/>
        <v>0</v>
      </c>
      <c r="M867">
        <f t="shared" si="132"/>
        <v>0</v>
      </c>
      <c r="N867">
        <f t="shared" si="133"/>
        <v>0</v>
      </c>
      <c r="O867">
        <f t="shared" si="134"/>
        <v>1</v>
      </c>
      <c r="P867">
        <v>0.78786584708017149</v>
      </c>
      <c r="Q867">
        <f t="shared" si="135"/>
        <v>0</v>
      </c>
      <c r="R867">
        <f t="shared" si="136"/>
        <v>0</v>
      </c>
      <c r="S867">
        <f t="shared" si="137"/>
        <v>1</v>
      </c>
      <c r="T867">
        <f t="shared" si="138"/>
        <v>8160.82</v>
      </c>
      <c r="U867">
        <f t="shared" si="139"/>
        <v>4107.8099999999995</v>
      </c>
    </row>
    <row r="868" spans="1:21" x14ac:dyDescent="0.3">
      <c r="A868">
        <v>867</v>
      </c>
      <c r="B868">
        <v>59</v>
      </c>
      <c r="C868" t="s">
        <v>16</v>
      </c>
      <c r="D868">
        <v>33.5</v>
      </c>
      <c r="E868">
        <v>97</v>
      </c>
      <c r="F868" t="s">
        <v>12</v>
      </c>
      <c r="G868">
        <v>2</v>
      </c>
      <c r="H868" t="s">
        <v>12</v>
      </c>
      <c r="I868" t="s">
        <v>14</v>
      </c>
      <c r="J868">
        <v>12269.69</v>
      </c>
      <c r="K868" t="str">
        <f t="shared" si="130"/>
        <v>30-35</v>
      </c>
      <c r="L868">
        <f t="shared" si="131"/>
        <v>0</v>
      </c>
      <c r="M868">
        <f t="shared" si="132"/>
        <v>0</v>
      </c>
      <c r="N868">
        <f t="shared" si="133"/>
        <v>0</v>
      </c>
      <c r="O868">
        <f t="shared" si="134"/>
        <v>1</v>
      </c>
      <c r="P868">
        <v>0.62647776818268586</v>
      </c>
      <c r="Q868">
        <f t="shared" si="135"/>
        <v>0</v>
      </c>
      <c r="R868">
        <f t="shared" si="136"/>
        <v>0</v>
      </c>
      <c r="S868">
        <f t="shared" si="137"/>
        <v>1</v>
      </c>
      <c r="T868">
        <f t="shared" si="138"/>
        <v>9964.64</v>
      </c>
      <c r="U868">
        <f t="shared" si="139"/>
        <v>2305.0500000000011</v>
      </c>
    </row>
    <row r="869" spans="1:21" x14ac:dyDescent="0.3">
      <c r="A869">
        <v>868</v>
      </c>
      <c r="B869">
        <v>46</v>
      </c>
      <c r="C869" t="s">
        <v>10</v>
      </c>
      <c r="D869">
        <v>24.7</v>
      </c>
      <c r="E869">
        <v>84</v>
      </c>
      <c r="F869" t="s">
        <v>12</v>
      </c>
      <c r="G869">
        <v>0</v>
      </c>
      <c r="H869" t="s">
        <v>12</v>
      </c>
      <c r="I869" t="s">
        <v>17</v>
      </c>
      <c r="J869">
        <v>12323.94</v>
      </c>
      <c r="K869" t="str">
        <f t="shared" si="130"/>
        <v>20-25</v>
      </c>
      <c r="L869">
        <f t="shared" si="131"/>
        <v>0</v>
      </c>
      <c r="M869">
        <f t="shared" si="132"/>
        <v>0</v>
      </c>
      <c r="N869">
        <f t="shared" si="133"/>
        <v>0</v>
      </c>
      <c r="O869">
        <f t="shared" si="134"/>
        <v>0</v>
      </c>
      <c r="P869">
        <v>3.265508440635756E-2</v>
      </c>
      <c r="Q869">
        <f t="shared" si="135"/>
        <v>0</v>
      </c>
      <c r="R869">
        <f t="shared" si="136"/>
        <v>0</v>
      </c>
      <c r="S869">
        <f t="shared" si="137"/>
        <v>0</v>
      </c>
      <c r="T869">
        <f t="shared" si="138"/>
        <v>8180.82</v>
      </c>
      <c r="U869">
        <f t="shared" si="139"/>
        <v>4143.1200000000008</v>
      </c>
    </row>
    <row r="870" spans="1:21" x14ac:dyDescent="0.3">
      <c r="A870">
        <v>869</v>
      </c>
      <c r="B870">
        <v>44</v>
      </c>
      <c r="C870" t="s">
        <v>10</v>
      </c>
      <c r="D870">
        <v>27.5</v>
      </c>
      <c r="E870">
        <v>104</v>
      </c>
      <c r="F870" t="s">
        <v>11</v>
      </c>
      <c r="G870">
        <v>1</v>
      </c>
      <c r="H870" t="s">
        <v>12</v>
      </c>
      <c r="I870" t="s">
        <v>15</v>
      </c>
      <c r="J870">
        <v>12333.83</v>
      </c>
      <c r="K870" t="str">
        <f t="shared" si="130"/>
        <v>25-30</v>
      </c>
      <c r="L870">
        <f t="shared" si="131"/>
        <v>0</v>
      </c>
      <c r="M870">
        <f t="shared" si="132"/>
        <v>0</v>
      </c>
      <c r="N870">
        <f t="shared" si="133"/>
        <v>1</v>
      </c>
      <c r="O870">
        <f t="shared" si="134"/>
        <v>0</v>
      </c>
      <c r="P870">
        <v>0.60774070942799052</v>
      </c>
      <c r="Q870">
        <f t="shared" si="135"/>
        <v>0</v>
      </c>
      <c r="R870">
        <f t="shared" si="136"/>
        <v>1</v>
      </c>
      <c r="S870">
        <f t="shared" si="137"/>
        <v>0</v>
      </c>
      <c r="T870">
        <f t="shared" si="138"/>
        <v>9327.65</v>
      </c>
      <c r="U870">
        <f t="shared" si="139"/>
        <v>3006.1800000000003</v>
      </c>
    </row>
    <row r="871" spans="1:21" x14ac:dyDescent="0.3">
      <c r="A871">
        <v>870</v>
      </c>
      <c r="B871">
        <v>40</v>
      </c>
      <c r="C871" t="s">
        <v>10</v>
      </c>
      <c r="D871">
        <v>37.1</v>
      </c>
      <c r="E871">
        <v>84</v>
      </c>
      <c r="F871" t="s">
        <v>11</v>
      </c>
      <c r="G871">
        <v>1</v>
      </c>
      <c r="H871" t="s">
        <v>12</v>
      </c>
      <c r="I871" t="s">
        <v>15</v>
      </c>
      <c r="J871">
        <v>12347.17</v>
      </c>
      <c r="K871" t="str">
        <f t="shared" si="130"/>
        <v>35+</v>
      </c>
      <c r="L871">
        <f t="shared" si="131"/>
        <v>0</v>
      </c>
      <c r="M871">
        <f t="shared" si="132"/>
        <v>0</v>
      </c>
      <c r="N871">
        <f t="shared" si="133"/>
        <v>1</v>
      </c>
      <c r="O871">
        <f t="shared" si="134"/>
        <v>0</v>
      </c>
      <c r="P871">
        <v>0.76945603752192837</v>
      </c>
      <c r="Q871">
        <f t="shared" si="135"/>
        <v>0</v>
      </c>
      <c r="R871">
        <f t="shared" si="136"/>
        <v>1</v>
      </c>
      <c r="S871">
        <f t="shared" si="137"/>
        <v>0</v>
      </c>
      <c r="T871">
        <f t="shared" si="138"/>
        <v>6961.7699999999977</v>
      </c>
      <c r="U871">
        <f t="shared" si="139"/>
        <v>5385.4000000000024</v>
      </c>
    </row>
    <row r="872" spans="1:21" x14ac:dyDescent="0.3">
      <c r="A872">
        <v>871</v>
      </c>
      <c r="B872">
        <v>33</v>
      </c>
      <c r="C872" t="s">
        <v>10</v>
      </c>
      <c r="D872">
        <v>36.1</v>
      </c>
      <c r="E872">
        <v>80</v>
      </c>
      <c r="F872" t="s">
        <v>11</v>
      </c>
      <c r="G872">
        <v>3</v>
      </c>
      <c r="H872" t="s">
        <v>12</v>
      </c>
      <c r="I872" t="s">
        <v>15</v>
      </c>
      <c r="J872">
        <v>12363.55</v>
      </c>
      <c r="K872" t="str">
        <f t="shared" si="130"/>
        <v>35+</v>
      </c>
      <c r="L872">
        <f t="shared" si="131"/>
        <v>0</v>
      </c>
      <c r="M872">
        <f t="shared" si="132"/>
        <v>0</v>
      </c>
      <c r="N872">
        <f t="shared" si="133"/>
        <v>1</v>
      </c>
      <c r="O872">
        <f t="shared" si="134"/>
        <v>0</v>
      </c>
      <c r="P872">
        <v>0.94902349723455848</v>
      </c>
      <c r="Q872">
        <f t="shared" si="135"/>
        <v>0</v>
      </c>
      <c r="R872">
        <f t="shared" si="136"/>
        <v>1</v>
      </c>
      <c r="S872">
        <f t="shared" si="137"/>
        <v>0</v>
      </c>
      <c r="T872">
        <f t="shared" si="138"/>
        <v>7723.3499999999995</v>
      </c>
      <c r="U872">
        <f t="shared" si="139"/>
        <v>4640.2</v>
      </c>
    </row>
    <row r="873" spans="1:21" x14ac:dyDescent="0.3">
      <c r="A873">
        <v>872</v>
      </c>
      <c r="B873">
        <v>43</v>
      </c>
      <c r="C873" t="s">
        <v>10</v>
      </c>
      <c r="D873">
        <v>35.200000000000003</v>
      </c>
      <c r="E873">
        <v>107</v>
      </c>
      <c r="F873" t="s">
        <v>11</v>
      </c>
      <c r="G873">
        <v>0</v>
      </c>
      <c r="H873" t="s">
        <v>12</v>
      </c>
      <c r="I873" t="s">
        <v>17</v>
      </c>
      <c r="J873">
        <v>12404.88</v>
      </c>
      <c r="K873" t="str">
        <f t="shared" si="130"/>
        <v>35+</v>
      </c>
      <c r="L873">
        <f t="shared" si="131"/>
        <v>0</v>
      </c>
      <c r="M873">
        <f t="shared" si="132"/>
        <v>0</v>
      </c>
      <c r="N873">
        <f t="shared" si="133"/>
        <v>0</v>
      </c>
      <c r="O873">
        <f t="shared" si="134"/>
        <v>0</v>
      </c>
      <c r="P873">
        <v>1.0232969757868471E-2</v>
      </c>
      <c r="Q873">
        <f t="shared" si="135"/>
        <v>0</v>
      </c>
      <c r="R873">
        <f t="shared" si="136"/>
        <v>1</v>
      </c>
      <c r="S873">
        <f t="shared" si="137"/>
        <v>0</v>
      </c>
      <c r="T873">
        <f t="shared" si="138"/>
        <v>12683.920000000002</v>
      </c>
      <c r="U873">
        <f t="shared" si="139"/>
        <v>-279.04000000000269</v>
      </c>
    </row>
    <row r="874" spans="1:21" x14ac:dyDescent="0.3">
      <c r="A874">
        <v>873</v>
      </c>
      <c r="B874">
        <v>36</v>
      </c>
      <c r="C874" t="s">
        <v>16</v>
      </c>
      <c r="D874">
        <v>33</v>
      </c>
      <c r="E874">
        <v>82</v>
      </c>
      <c r="F874" t="s">
        <v>11</v>
      </c>
      <c r="G874">
        <v>0</v>
      </c>
      <c r="H874" t="s">
        <v>12</v>
      </c>
      <c r="I874" t="s">
        <v>17</v>
      </c>
      <c r="J874">
        <v>12430.95</v>
      </c>
      <c r="K874" t="str">
        <f t="shared" si="130"/>
        <v>30-35</v>
      </c>
      <c r="L874">
        <f t="shared" si="131"/>
        <v>0</v>
      </c>
      <c r="M874">
        <f t="shared" si="132"/>
        <v>0</v>
      </c>
      <c r="N874">
        <f t="shared" si="133"/>
        <v>0</v>
      </c>
      <c r="O874">
        <f t="shared" si="134"/>
        <v>0</v>
      </c>
      <c r="P874">
        <v>4.8256743821399328E-2</v>
      </c>
      <c r="Q874">
        <f t="shared" si="135"/>
        <v>0</v>
      </c>
      <c r="R874">
        <f t="shared" si="136"/>
        <v>1</v>
      </c>
      <c r="S874">
        <f t="shared" si="137"/>
        <v>1</v>
      </c>
      <c r="T874">
        <f t="shared" si="138"/>
        <v>8959.9800000000014</v>
      </c>
      <c r="U874">
        <f t="shared" si="139"/>
        <v>3470.9699999999993</v>
      </c>
    </row>
    <row r="875" spans="1:21" x14ac:dyDescent="0.3">
      <c r="A875">
        <v>874</v>
      </c>
      <c r="B875">
        <v>39</v>
      </c>
      <c r="C875" t="s">
        <v>16</v>
      </c>
      <c r="D875">
        <v>21.5</v>
      </c>
      <c r="E875">
        <v>86</v>
      </c>
      <c r="F875" t="s">
        <v>12</v>
      </c>
      <c r="G875">
        <v>3</v>
      </c>
      <c r="H875" t="s">
        <v>12</v>
      </c>
      <c r="I875" t="s">
        <v>14</v>
      </c>
      <c r="J875">
        <v>12475.35</v>
      </c>
      <c r="K875" t="str">
        <f t="shared" si="130"/>
        <v>20-25</v>
      </c>
      <c r="L875">
        <f t="shared" si="131"/>
        <v>0</v>
      </c>
      <c r="M875">
        <f t="shared" si="132"/>
        <v>0</v>
      </c>
      <c r="N875">
        <f t="shared" si="133"/>
        <v>0</v>
      </c>
      <c r="O875">
        <f t="shared" si="134"/>
        <v>1</v>
      </c>
      <c r="P875">
        <v>0.29132089246621695</v>
      </c>
      <c r="Q875">
        <f t="shared" si="135"/>
        <v>0</v>
      </c>
      <c r="R875">
        <f t="shared" si="136"/>
        <v>0</v>
      </c>
      <c r="S875">
        <f t="shared" si="137"/>
        <v>1</v>
      </c>
      <c r="T875">
        <f t="shared" si="138"/>
        <v>7946.99</v>
      </c>
      <c r="U875">
        <f t="shared" si="139"/>
        <v>4528.3600000000006</v>
      </c>
    </row>
    <row r="876" spans="1:21" x14ac:dyDescent="0.3">
      <c r="A876">
        <v>875</v>
      </c>
      <c r="B876">
        <v>25</v>
      </c>
      <c r="C876" t="s">
        <v>16</v>
      </c>
      <c r="D876">
        <v>24.6</v>
      </c>
      <c r="E876">
        <v>80</v>
      </c>
      <c r="F876" t="s">
        <v>11</v>
      </c>
      <c r="G876">
        <v>3</v>
      </c>
      <c r="H876" t="s">
        <v>12</v>
      </c>
      <c r="I876" t="s">
        <v>14</v>
      </c>
      <c r="J876">
        <v>12479.71</v>
      </c>
      <c r="K876" t="str">
        <f t="shared" si="130"/>
        <v>20-25</v>
      </c>
      <c r="L876">
        <f t="shared" si="131"/>
        <v>0</v>
      </c>
      <c r="M876">
        <f t="shared" si="132"/>
        <v>0</v>
      </c>
      <c r="N876">
        <f t="shared" si="133"/>
        <v>0</v>
      </c>
      <c r="O876">
        <f t="shared" si="134"/>
        <v>1</v>
      </c>
      <c r="P876">
        <v>0.6097265872908969</v>
      </c>
      <c r="Q876">
        <f t="shared" si="135"/>
        <v>0</v>
      </c>
      <c r="R876">
        <f t="shared" si="136"/>
        <v>1</v>
      </c>
      <c r="S876">
        <f t="shared" si="137"/>
        <v>1</v>
      </c>
      <c r="T876">
        <f t="shared" si="138"/>
        <v>7203.3600000000015</v>
      </c>
      <c r="U876">
        <f t="shared" si="139"/>
        <v>5276.3499999999976</v>
      </c>
    </row>
    <row r="877" spans="1:21" x14ac:dyDescent="0.3">
      <c r="A877">
        <v>876</v>
      </c>
      <c r="B877">
        <v>28</v>
      </c>
      <c r="C877" t="s">
        <v>16</v>
      </c>
      <c r="D877">
        <v>40.799999999999997</v>
      </c>
      <c r="E877">
        <v>87</v>
      </c>
      <c r="F877" t="s">
        <v>11</v>
      </c>
      <c r="G877">
        <v>3</v>
      </c>
      <c r="H877" t="s">
        <v>12</v>
      </c>
      <c r="I877" t="s">
        <v>13</v>
      </c>
      <c r="J877">
        <v>12485.8</v>
      </c>
      <c r="K877" t="str">
        <f t="shared" si="130"/>
        <v>35+</v>
      </c>
      <c r="L877">
        <f t="shared" si="131"/>
        <v>0</v>
      </c>
      <c r="M877">
        <f t="shared" si="132"/>
        <v>1</v>
      </c>
      <c r="N877">
        <f t="shared" si="133"/>
        <v>0</v>
      </c>
      <c r="O877">
        <f t="shared" si="134"/>
        <v>0</v>
      </c>
      <c r="P877">
        <v>0.33684331514223842</v>
      </c>
      <c r="Q877">
        <f t="shared" si="135"/>
        <v>0</v>
      </c>
      <c r="R877">
        <f t="shared" si="136"/>
        <v>1</v>
      </c>
      <c r="S877">
        <f t="shared" si="137"/>
        <v>1</v>
      </c>
      <c r="T877">
        <f t="shared" si="138"/>
        <v>9005.0600000000013</v>
      </c>
      <c r="U877">
        <f t="shared" si="139"/>
        <v>3480.739999999998</v>
      </c>
    </row>
    <row r="878" spans="1:21" x14ac:dyDescent="0.3">
      <c r="A878">
        <v>877</v>
      </c>
      <c r="B878">
        <v>33</v>
      </c>
      <c r="C878" t="s">
        <v>16</v>
      </c>
      <c r="D878">
        <v>35.799999999999997</v>
      </c>
      <c r="E878">
        <v>109</v>
      </c>
      <c r="F878" t="s">
        <v>12</v>
      </c>
      <c r="G878">
        <v>3</v>
      </c>
      <c r="H878" t="s">
        <v>12</v>
      </c>
      <c r="I878" t="s">
        <v>14</v>
      </c>
      <c r="J878">
        <v>12495.29</v>
      </c>
      <c r="K878" t="str">
        <f t="shared" si="130"/>
        <v>35+</v>
      </c>
      <c r="L878">
        <f t="shared" si="131"/>
        <v>0</v>
      </c>
      <c r="M878">
        <f t="shared" si="132"/>
        <v>0</v>
      </c>
      <c r="N878">
        <f t="shared" si="133"/>
        <v>0</v>
      </c>
      <c r="O878">
        <f t="shared" si="134"/>
        <v>1</v>
      </c>
      <c r="P878">
        <v>0.65014616581629514</v>
      </c>
      <c r="Q878">
        <f t="shared" si="135"/>
        <v>0</v>
      </c>
      <c r="R878">
        <f t="shared" si="136"/>
        <v>0</v>
      </c>
      <c r="S878">
        <f t="shared" si="137"/>
        <v>1</v>
      </c>
      <c r="T878">
        <f t="shared" si="138"/>
        <v>12847.890000000003</v>
      </c>
      <c r="U878">
        <f t="shared" si="139"/>
        <v>-352.60000000000218</v>
      </c>
    </row>
    <row r="879" spans="1:21" x14ac:dyDescent="0.3">
      <c r="A879">
        <v>878</v>
      </c>
      <c r="B879">
        <v>27</v>
      </c>
      <c r="C879" t="s">
        <v>10</v>
      </c>
      <c r="D879">
        <v>24.3</v>
      </c>
      <c r="E879">
        <v>102</v>
      </c>
      <c r="F879" t="s">
        <v>11</v>
      </c>
      <c r="G879">
        <v>0</v>
      </c>
      <c r="H879" t="s">
        <v>12</v>
      </c>
      <c r="I879" t="s">
        <v>14</v>
      </c>
      <c r="J879">
        <v>12523.6</v>
      </c>
      <c r="K879" t="str">
        <f t="shared" si="130"/>
        <v>20-25</v>
      </c>
      <c r="L879">
        <f t="shared" si="131"/>
        <v>0</v>
      </c>
      <c r="M879">
        <f t="shared" si="132"/>
        <v>0</v>
      </c>
      <c r="N879">
        <f t="shared" si="133"/>
        <v>0</v>
      </c>
      <c r="O879">
        <f t="shared" si="134"/>
        <v>1</v>
      </c>
      <c r="P879">
        <v>0.66684184324557194</v>
      </c>
      <c r="Q879">
        <f t="shared" si="135"/>
        <v>0</v>
      </c>
      <c r="R879">
        <f t="shared" si="136"/>
        <v>1</v>
      </c>
      <c r="S879">
        <f t="shared" si="137"/>
        <v>0</v>
      </c>
      <c r="T879">
        <f t="shared" si="138"/>
        <v>8026.4599999999991</v>
      </c>
      <c r="U879">
        <f t="shared" si="139"/>
        <v>4497.1400000000012</v>
      </c>
    </row>
    <row r="880" spans="1:21" x14ac:dyDescent="0.3">
      <c r="A880">
        <v>879</v>
      </c>
      <c r="B880">
        <v>35</v>
      </c>
      <c r="C880" t="s">
        <v>10</v>
      </c>
      <c r="D880">
        <v>31.6</v>
      </c>
      <c r="E880">
        <v>89</v>
      </c>
      <c r="F880" t="s">
        <v>11</v>
      </c>
      <c r="G880">
        <v>0</v>
      </c>
      <c r="H880" t="s">
        <v>12</v>
      </c>
      <c r="I880" t="s">
        <v>13</v>
      </c>
      <c r="J880">
        <v>12557.61</v>
      </c>
      <c r="K880" t="str">
        <f t="shared" si="130"/>
        <v>30-35</v>
      </c>
      <c r="L880">
        <f t="shared" si="131"/>
        <v>0</v>
      </c>
      <c r="M880">
        <f t="shared" si="132"/>
        <v>1</v>
      </c>
      <c r="N880">
        <f t="shared" si="133"/>
        <v>0</v>
      </c>
      <c r="O880">
        <f t="shared" si="134"/>
        <v>0</v>
      </c>
      <c r="P880">
        <v>0.54609929177655858</v>
      </c>
      <c r="Q880">
        <f t="shared" si="135"/>
        <v>0</v>
      </c>
      <c r="R880">
        <f t="shared" si="136"/>
        <v>1</v>
      </c>
      <c r="S880">
        <f t="shared" si="137"/>
        <v>0</v>
      </c>
      <c r="T880">
        <f t="shared" si="138"/>
        <v>5869.0099999999993</v>
      </c>
      <c r="U880">
        <f t="shared" si="139"/>
        <v>6688.6000000000013</v>
      </c>
    </row>
    <row r="881" spans="1:21" x14ac:dyDescent="0.3">
      <c r="A881">
        <v>880</v>
      </c>
      <c r="B881">
        <v>36</v>
      </c>
      <c r="C881" t="s">
        <v>10</v>
      </c>
      <c r="D881">
        <v>43.4</v>
      </c>
      <c r="E881">
        <v>96</v>
      </c>
      <c r="F881" t="s">
        <v>12</v>
      </c>
      <c r="G881">
        <v>0</v>
      </c>
      <c r="H881" t="s">
        <v>12</v>
      </c>
      <c r="I881" t="s">
        <v>15</v>
      </c>
      <c r="J881">
        <v>12574.05</v>
      </c>
      <c r="K881" t="str">
        <f t="shared" si="130"/>
        <v>35+</v>
      </c>
      <c r="L881">
        <f t="shared" si="131"/>
        <v>0</v>
      </c>
      <c r="M881">
        <f t="shared" si="132"/>
        <v>0</v>
      </c>
      <c r="N881">
        <f t="shared" si="133"/>
        <v>1</v>
      </c>
      <c r="O881">
        <f t="shared" si="134"/>
        <v>0</v>
      </c>
      <c r="P881">
        <v>0.28734938088017681</v>
      </c>
      <c r="Q881">
        <f t="shared" si="135"/>
        <v>0</v>
      </c>
      <c r="R881">
        <f t="shared" si="136"/>
        <v>0</v>
      </c>
      <c r="S881">
        <f t="shared" si="137"/>
        <v>0</v>
      </c>
      <c r="T881">
        <f t="shared" si="138"/>
        <v>8751.4399999999987</v>
      </c>
      <c r="U881">
        <f t="shared" si="139"/>
        <v>3822.6100000000006</v>
      </c>
    </row>
    <row r="882" spans="1:21" x14ac:dyDescent="0.3">
      <c r="A882">
        <v>881</v>
      </c>
      <c r="B882">
        <v>28</v>
      </c>
      <c r="C882" t="s">
        <v>16</v>
      </c>
      <c r="D882">
        <v>46.8</v>
      </c>
      <c r="E882">
        <v>106</v>
      </c>
      <c r="F882" t="s">
        <v>12</v>
      </c>
      <c r="G882">
        <v>5</v>
      </c>
      <c r="H882" t="s">
        <v>12</v>
      </c>
      <c r="I882" t="s">
        <v>13</v>
      </c>
      <c r="J882">
        <v>12592.53</v>
      </c>
      <c r="K882" t="str">
        <f t="shared" si="130"/>
        <v>35+</v>
      </c>
      <c r="L882">
        <f t="shared" si="131"/>
        <v>0</v>
      </c>
      <c r="M882">
        <f t="shared" si="132"/>
        <v>1</v>
      </c>
      <c r="N882">
        <f t="shared" si="133"/>
        <v>0</v>
      </c>
      <c r="O882">
        <f t="shared" si="134"/>
        <v>0</v>
      </c>
      <c r="P882">
        <v>0.15651143077941521</v>
      </c>
      <c r="Q882">
        <f t="shared" si="135"/>
        <v>0</v>
      </c>
      <c r="R882">
        <f t="shared" si="136"/>
        <v>0</v>
      </c>
      <c r="S882">
        <f t="shared" si="137"/>
        <v>1</v>
      </c>
      <c r="T882">
        <f t="shared" si="138"/>
        <v>14095.810000000001</v>
      </c>
      <c r="U882">
        <f t="shared" si="139"/>
        <v>-1503.2800000000007</v>
      </c>
    </row>
    <row r="883" spans="1:21" x14ac:dyDescent="0.3">
      <c r="A883">
        <v>882</v>
      </c>
      <c r="B883">
        <v>36</v>
      </c>
      <c r="C883" t="s">
        <v>10</v>
      </c>
      <c r="D883">
        <v>26.8</v>
      </c>
      <c r="E883">
        <v>88</v>
      </c>
      <c r="F883" t="s">
        <v>11</v>
      </c>
      <c r="G883">
        <v>1</v>
      </c>
      <c r="H883" t="s">
        <v>12</v>
      </c>
      <c r="I883" t="s">
        <v>14</v>
      </c>
      <c r="J883">
        <v>12609.89</v>
      </c>
      <c r="K883" t="str">
        <f t="shared" si="130"/>
        <v>25-30</v>
      </c>
      <c r="L883">
        <f t="shared" si="131"/>
        <v>0</v>
      </c>
      <c r="M883">
        <f t="shared" si="132"/>
        <v>0</v>
      </c>
      <c r="N883">
        <f t="shared" si="133"/>
        <v>0</v>
      </c>
      <c r="O883">
        <f t="shared" si="134"/>
        <v>1</v>
      </c>
      <c r="P883">
        <v>0.87185986149627259</v>
      </c>
      <c r="Q883">
        <f t="shared" si="135"/>
        <v>0</v>
      </c>
      <c r="R883">
        <f t="shared" si="136"/>
        <v>1</v>
      </c>
      <c r="S883">
        <f t="shared" si="137"/>
        <v>0</v>
      </c>
      <c r="T883">
        <f t="shared" si="138"/>
        <v>6732.67</v>
      </c>
      <c r="U883">
        <f t="shared" si="139"/>
        <v>5877.2199999999993</v>
      </c>
    </row>
    <row r="884" spans="1:21" x14ac:dyDescent="0.3">
      <c r="A884">
        <v>883</v>
      </c>
      <c r="B884">
        <v>55</v>
      </c>
      <c r="C884" t="s">
        <v>16</v>
      </c>
      <c r="D884">
        <v>31.4</v>
      </c>
      <c r="E884">
        <v>85</v>
      </c>
      <c r="F884" t="s">
        <v>12</v>
      </c>
      <c r="G884">
        <v>0</v>
      </c>
      <c r="H884" t="s">
        <v>12</v>
      </c>
      <c r="I884" t="s">
        <v>14</v>
      </c>
      <c r="J884">
        <v>12622.18</v>
      </c>
      <c r="K884" t="str">
        <f t="shared" si="130"/>
        <v>30-35</v>
      </c>
      <c r="L884">
        <f t="shared" si="131"/>
        <v>0</v>
      </c>
      <c r="M884">
        <f t="shared" si="132"/>
        <v>0</v>
      </c>
      <c r="N884">
        <f t="shared" si="133"/>
        <v>0</v>
      </c>
      <c r="O884">
        <f t="shared" si="134"/>
        <v>1</v>
      </c>
      <c r="P884">
        <v>0.83628384746608198</v>
      </c>
      <c r="Q884">
        <f t="shared" si="135"/>
        <v>0</v>
      </c>
      <c r="R884">
        <f t="shared" si="136"/>
        <v>0</v>
      </c>
      <c r="S884">
        <f t="shared" si="137"/>
        <v>1</v>
      </c>
      <c r="T884">
        <f t="shared" si="138"/>
        <v>6398.65</v>
      </c>
      <c r="U884">
        <f t="shared" si="139"/>
        <v>6223.5300000000007</v>
      </c>
    </row>
    <row r="885" spans="1:21" x14ac:dyDescent="0.3">
      <c r="A885">
        <v>884</v>
      </c>
      <c r="B885">
        <v>57</v>
      </c>
      <c r="C885" t="s">
        <v>16</v>
      </c>
      <c r="D885">
        <v>25.7</v>
      </c>
      <c r="E885">
        <v>94</v>
      </c>
      <c r="F885" t="s">
        <v>12</v>
      </c>
      <c r="G885">
        <v>2</v>
      </c>
      <c r="H885" t="s">
        <v>12</v>
      </c>
      <c r="I885" t="s">
        <v>13</v>
      </c>
      <c r="J885">
        <v>12629.17</v>
      </c>
      <c r="K885" t="str">
        <f t="shared" si="130"/>
        <v>25-30</v>
      </c>
      <c r="L885">
        <f t="shared" si="131"/>
        <v>0</v>
      </c>
      <c r="M885">
        <f t="shared" si="132"/>
        <v>1</v>
      </c>
      <c r="N885">
        <f t="shared" si="133"/>
        <v>0</v>
      </c>
      <c r="O885">
        <f t="shared" si="134"/>
        <v>0</v>
      </c>
      <c r="P885">
        <v>0.63032729257335052</v>
      </c>
      <c r="Q885">
        <f t="shared" si="135"/>
        <v>0</v>
      </c>
      <c r="R885">
        <f t="shared" si="136"/>
        <v>0</v>
      </c>
      <c r="S885">
        <f t="shared" si="137"/>
        <v>1</v>
      </c>
      <c r="T885">
        <f t="shared" si="138"/>
        <v>8124.8400000000011</v>
      </c>
      <c r="U885">
        <f t="shared" si="139"/>
        <v>4504.329999999999</v>
      </c>
    </row>
    <row r="886" spans="1:21" x14ac:dyDescent="0.3">
      <c r="A886">
        <v>885</v>
      </c>
      <c r="B886">
        <v>57</v>
      </c>
      <c r="C886" t="s">
        <v>16</v>
      </c>
      <c r="D886">
        <v>24.5</v>
      </c>
      <c r="E886">
        <v>88</v>
      </c>
      <c r="F886" t="s">
        <v>11</v>
      </c>
      <c r="G886">
        <v>0</v>
      </c>
      <c r="H886" t="s">
        <v>12</v>
      </c>
      <c r="I886" t="s">
        <v>13</v>
      </c>
      <c r="J886">
        <v>12629.9</v>
      </c>
      <c r="K886" t="str">
        <f t="shared" si="130"/>
        <v>20-25</v>
      </c>
      <c r="L886">
        <f t="shared" si="131"/>
        <v>0</v>
      </c>
      <c r="M886">
        <f t="shared" si="132"/>
        <v>1</v>
      </c>
      <c r="N886">
        <f t="shared" si="133"/>
        <v>0</v>
      </c>
      <c r="O886">
        <f t="shared" si="134"/>
        <v>0</v>
      </c>
      <c r="P886">
        <v>0.69829783954106583</v>
      </c>
      <c r="Q886">
        <f t="shared" si="135"/>
        <v>0</v>
      </c>
      <c r="R886">
        <f t="shared" si="136"/>
        <v>1</v>
      </c>
      <c r="S886">
        <f t="shared" si="137"/>
        <v>1</v>
      </c>
      <c r="T886">
        <f t="shared" si="138"/>
        <v>5519.16</v>
      </c>
      <c r="U886">
        <f t="shared" si="139"/>
        <v>7110.74</v>
      </c>
    </row>
    <row r="887" spans="1:21" x14ac:dyDescent="0.3">
      <c r="A887">
        <v>886</v>
      </c>
      <c r="B887">
        <v>28</v>
      </c>
      <c r="C887" t="s">
        <v>16</v>
      </c>
      <c r="D887">
        <v>30.5</v>
      </c>
      <c r="E887">
        <v>96</v>
      </c>
      <c r="F887" t="s">
        <v>12</v>
      </c>
      <c r="G887">
        <v>0</v>
      </c>
      <c r="H887" t="s">
        <v>12</v>
      </c>
      <c r="I887" t="s">
        <v>15</v>
      </c>
      <c r="J887">
        <v>12638.2</v>
      </c>
      <c r="K887" t="str">
        <f t="shared" si="130"/>
        <v>30-35</v>
      </c>
      <c r="L887">
        <f t="shared" si="131"/>
        <v>0</v>
      </c>
      <c r="M887">
        <f t="shared" si="132"/>
        <v>0</v>
      </c>
      <c r="N887">
        <f t="shared" si="133"/>
        <v>1</v>
      </c>
      <c r="O887">
        <f t="shared" si="134"/>
        <v>0</v>
      </c>
      <c r="P887">
        <v>0.87423523748437371</v>
      </c>
      <c r="Q887">
        <f t="shared" si="135"/>
        <v>0</v>
      </c>
      <c r="R887">
        <f t="shared" si="136"/>
        <v>0</v>
      </c>
      <c r="S887">
        <f t="shared" si="137"/>
        <v>1</v>
      </c>
      <c r="T887">
        <f t="shared" si="138"/>
        <v>8103.6799999999994</v>
      </c>
      <c r="U887">
        <f t="shared" si="139"/>
        <v>4534.5200000000013</v>
      </c>
    </row>
    <row r="888" spans="1:21" x14ac:dyDescent="0.3">
      <c r="A888">
        <v>887</v>
      </c>
      <c r="B888">
        <v>31</v>
      </c>
      <c r="C888" t="s">
        <v>16</v>
      </c>
      <c r="D888">
        <v>33.799999999999997</v>
      </c>
      <c r="E888">
        <v>86</v>
      </c>
      <c r="F888" t="s">
        <v>11</v>
      </c>
      <c r="G888">
        <v>2</v>
      </c>
      <c r="H888" t="s">
        <v>12</v>
      </c>
      <c r="I888" t="s">
        <v>14</v>
      </c>
      <c r="J888">
        <v>12643.38</v>
      </c>
      <c r="K888" t="str">
        <f t="shared" si="130"/>
        <v>30-35</v>
      </c>
      <c r="L888">
        <f t="shared" si="131"/>
        <v>0</v>
      </c>
      <c r="M888">
        <f t="shared" si="132"/>
        <v>0</v>
      </c>
      <c r="N888">
        <f t="shared" si="133"/>
        <v>0</v>
      </c>
      <c r="O888">
        <f t="shared" si="134"/>
        <v>1</v>
      </c>
      <c r="P888">
        <v>0.93124348590146011</v>
      </c>
      <c r="Q888">
        <f t="shared" si="135"/>
        <v>0</v>
      </c>
      <c r="R888">
        <f t="shared" si="136"/>
        <v>1</v>
      </c>
      <c r="S888">
        <f t="shared" si="137"/>
        <v>1</v>
      </c>
      <c r="T888">
        <f t="shared" si="138"/>
        <v>8201.58</v>
      </c>
      <c r="U888">
        <f t="shared" si="139"/>
        <v>4441.7999999999993</v>
      </c>
    </row>
    <row r="889" spans="1:21" x14ac:dyDescent="0.3">
      <c r="A889">
        <v>888</v>
      </c>
      <c r="B889">
        <v>59</v>
      </c>
      <c r="C889" t="s">
        <v>16</v>
      </c>
      <c r="D889">
        <v>35.1</v>
      </c>
      <c r="E889">
        <v>84</v>
      </c>
      <c r="F889" t="s">
        <v>11</v>
      </c>
      <c r="G889">
        <v>0</v>
      </c>
      <c r="H889" t="s">
        <v>12</v>
      </c>
      <c r="I889" t="s">
        <v>15</v>
      </c>
      <c r="J889">
        <v>12644.59</v>
      </c>
      <c r="K889" t="str">
        <f t="shared" si="130"/>
        <v>35+</v>
      </c>
      <c r="L889">
        <f t="shared" si="131"/>
        <v>0</v>
      </c>
      <c r="M889">
        <f t="shared" si="132"/>
        <v>0</v>
      </c>
      <c r="N889">
        <f t="shared" si="133"/>
        <v>1</v>
      </c>
      <c r="O889">
        <f t="shared" si="134"/>
        <v>0</v>
      </c>
      <c r="P889">
        <v>0.27101614075765446</v>
      </c>
      <c r="Q889">
        <f t="shared" si="135"/>
        <v>0</v>
      </c>
      <c r="R889">
        <f t="shared" si="136"/>
        <v>1</v>
      </c>
      <c r="S889">
        <f t="shared" si="137"/>
        <v>1</v>
      </c>
      <c r="T889">
        <f t="shared" si="138"/>
        <v>6473.159999999998</v>
      </c>
      <c r="U889">
        <f t="shared" si="139"/>
        <v>6171.4300000000021</v>
      </c>
    </row>
    <row r="890" spans="1:21" x14ac:dyDescent="0.3">
      <c r="A890">
        <v>889</v>
      </c>
      <c r="B890">
        <v>28</v>
      </c>
      <c r="C890" t="s">
        <v>16</v>
      </c>
      <c r="D890">
        <v>38</v>
      </c>
      <c r="E890">
        <v>110</v>
      </c>
      <c r="F890" t="s">
        <v>11</v>
      </c>
      <c r="G890">
        <v>2</v>
      </c>
      <c r="H890" t="s">
        <v>12</v>
      </c>
      <c r="I890" t="s">
        <v>15</v>
      </c>
      <c r="J890">
        <v>12646.21</v>
      </c>
      <c r="K890" t="str">
        <f t="shared" si="130"/>
        <v>35+</v>
      </c>
      <c r="L890">
        <f t="shared" si="131"/>
        <v>0</v>
      </c>
      <c r="M890">
        <f t="shared" si="132"/>
        <v>0</v>
      </c>
      <c r="N890">
        <f t="shared" si="133"/>
        <v>1</v>
      </c>
      <c r="O890">
        <f t="shared" si="134"/>
        <v>0</v>
      </c>
      <c r="P890">
        <v>0.63190453947062175</v>
      </c>
      <c r="Q890">
        <f t="shared" si="135"/>
        <v>0</v>
      </c>
      <c r="R890">
        <f t="shared" si="136"/>
        <v>1</v>
      </c>
      <c r="S890">
        <f t="shared" si="137"/>
        <v>1</v>
      </c>
      <c r="T890">
        <f t="shared" si="138"/>
        <v>12386.610000000002</v>
      </c>
      <c r="U890">
        <f t="shared" si="139"/>
        <v>259.59999999999673</v>
      </c>
    </row>
    <row r="891" spans="1:21" x14ac:dyDescent="0.3">
      <c r="A891">
        <v>890</v>
      </c>
      <c r="B891">
        <v>54</v>
      </c>
      <c r="C891" t="s">
        <v>16</v>
      </c>
      <c r="D891">
        <v>38.1</v>
      </c>
      <c r="E891">
        <v>82</v>
      </c>
      <c r="F891" t="s">
        <v>12</v>
      </c>
      <c r="G891">
        <v>0</v>
      </c>
      <c r="H891" t="s">
        <v>12</v>
      </c>
      <c r="I891" t="s">
        <v>13</v>
      </c>
      <c r="J891">
        <v>12648.7</v>
      </c>
      <c r="K891" t="str">
        <f t="shared" si="130"/>
        <v>35+</v>
      </c>
      <c r="L891">
        <f t="shared" si="131"/>
        <v>0</v>
      </c>
      <c r="M891">
        <f t="shared" si="132"/>
        <v>1</v>
      </c>
      <c r="N891">
        <f t="shared" si="133"/>
        <v>0</v>
      </c>
      <c r="O891">
        <f t="shared" si="134"/>
        <v>0</v>
      </c>
      <c r="P891">
        <v>0.43325474317634294</v>
      </c>
      <c r="Q891">
        <f t="shared" si="135"/>
        <v>0</v>
      </c>
      <c r="R891">
        <f t="shared" si="136"/>
        <v>0</v>
      </c>
      <c r="S891">
        <f t="shared" si="137"/>
        <v>1</v>
      </c>
      <c r="T891">
        <f t="shared" si="138"/>
        <v>5797.3200000000024</v>
      </c>
      <c r="U891">
        <f t="shared" si="139"/>
        <v>6851.3799999999983</v>
      </c>
    </row>
    <row r="892" spans="1:21" x14ac:dyDescent="0.3">
      <c r="A892">
        <v>891</v>
      </c>
      <c r="B892">
        <v>18</v>
      </c>
      <c r="C892" t="s">
        <v>10</v>
      </c>
      <c r="D892">
        <v>29.6</v>
      </c>
      <c r="E892">
        <v>81</v>
      </c>
      <c r="F892" t="s">
        <v>11</v>
      </c>
      <c r="G892">
        <v>0</v>
      </c>
      <c r="H892" t="s">
        <v>12</v>
      </c>
      <c r="I892" t="s">
        <v>17</v>
      </c>
      <c r="J892">
        <v>12731</v>
      </c>
      <c r="K892" t="str">
        <f t="shared" si="130"/>
        <v>25-30</v>
      </c>
      <c r="L892">
        <f t="shared" si="131"/>
        <v>0</v>
      </c>
      <c r="M892">
        <f t="shared" si="132"/>
        <v>0</v>
      </c>
      <c r="N892">
        <f t="shared" si="133"/>
        <v>0</v>
      </c>
      <c r="O892">
        <f t="shared" si="134"/>
        <v>0</v>
      </c>
      <c r="P892">
        <v>7.4156013018717548E-2</v>
      </c>
      <c r="Q892">
        <f t="shared" si="135"/>
        <v>0</v>
      </c>
      <c r="R892">
        <f t="shared" si="136"/>
        <v>1</v>
      </c>
      <c r="S892">
        <f t="shared" si="137"/>
        <v>0</v>
      </c>
      <c r="T892">
        <f t="shared" si="138"/>
        <v>8087.7800000000007</v>
      </c>
      <c r="U892">
        <f t="shared" si="139"/>
        <v>4643.2199999999993</v>
      </c>
    </row>
    <row r="893" spans="1:21" x14ac:dyDescent="0.3">
      <c r="A893">
        <v>892</v>
      </c>
      <c r="B893">
        <v>34</v>
      </c>
      <c r="C893" t="s">
        <v>10</v>
      </c>
      <c r="D893">
        <v>37</v>
      </c>
      <c r="E893">
        <v>92</v>
      </c>
      <c r="F893" t="s">
        <v>11</v>
      </c>
      <c r="G893">
        <v>0</v>
      </c>
      <c r="H893" t="s">
        <v>12</v>
      </c>
      <c r="I893" t="s">
        <v>17</v>
      </c>
      <c r="J893">
        <v>12741.17</v>
      </c>
      <c r="K893" t="str">
        <f t="shared" si="130"/>
        <v>35+</v>
      </c>
      <c r="L893">
        <f t="shared" si="131"/>
        <v>0</v>
      </c>
      <c r="M893">
        <f t="shared" si="132"/>
        <v>0</v>
      </c>
      <c r="N893">
        <f t="shared" si="133"/>
        <v>0</v>
      </c>
      <c r="O893">
        <f t="shared" si="134"/>
        <v>0</v>
      </c>
      <c r="P893">
        <v>0.4584223857987898</v>
      </c>
      <c r="Q893">
        <f t="shared" si="135"/>
        <v>0</v>
      </c>
      <c r="R893">
        <f t="shared" si="136"/>
        <v>1</v>
      </c>
      <c r="S893">
        <f t="shared" si="137"/>
        <v>0</v>
      </c>
      <c r="T893">
        <f t="shared" si="138"/>
        <v>10455.49</v>
      </c>
      <c r="U893">
        <f t="shared" si="139"/>
        <v>2285.6800000000003</v>
      </c>
    </row>
    <row r="894" spans="1:21" x14ac:dyDescent="0.3">
      <c r="A894">
        <v>893</v>
      </c>
      <c r="B894">
        <v>31</v>
      </c>
      <c r="C894" t="s">
        <v>16</v>
      </c>
      <c r="D894">
        <v>36.5</v>
      </c>
      <c r="E894">
        <v>99</v>
      </c>
      <c r="F894" t="s">
        <v>12</v>
      </c>
      <c r="G894">
        <v>0</v>
      </c>
      <c r="H894" t="s">
        <v>12</v>
      </c>
      <c r="I894" t="s">
        <v>17</v>
      </c>
      <c r="J894">
        <v>12797.21</v>
      </c>
      <c r="K894" t="str">
        <f t="shared" si="130"/>
        <v>35+</v>
      </c>
      <c r="L894">
        <f t="shared" si="131"/>
        <v>0</v>
      </c>
      <c r="M894">
        <f t="shared" si="132"/>
        <v>0</v>
      </c>
      <c r="N894">
        <f t="shared" si="133"/>
        <v>0</v>
      </c>
      <c r="O894">
        <f t="shared" si="134"/>
        <v>0</v>
      </c>
      <c r="P894">
        <v>0.11025067952414702</v>
      </c>
      <c r="Q894">
        <f t="shared" si="135"/>
        <v>0</v>
      </c>
      <c r="R894">
        <f t="shared" si="136"/>
        <v>0</v>
      </c>
      <c r="S894">
        <f t="shared" si="137"/>
        <v>1</v>
      </c>
      <c r="T894">
        <f t="shared" si="138"/>
        <v>12047.720000000001</v>
      </c>
      <c r="U894">
        <f t="shared" si="139"/>
        <v>749.48999999999796</v>
      </c>
    </row>
    <row r="895" spans="1:21" x14ac:dyDescent="0.3">
      <c r="A895">
        <v>894</v>
      </c>
      <c r="B895">
        <v>39</v>
      </c>
      <c r="C895" t="s">
        <v>16</v>
      </c>
      <c r="D895">
        <v>26.5</v>
      </c>
      <c r="E895">
        <v>94</v>
      </c>
      <c r="F895" t="s">
        <v>12</v>
      </c>
      <c r="G895">
        <v>0</v>
      </c>
      <c r="H895" t="s">
        <v>12</v>
      </c>
      <c r="I895" t="s">
        <v>17</v>
      </c>
      <c r="J895">
        <v>12815.44</v>
      </c>
      <c r="K895" t="str">
        <f t="shared" si="130"/>
        <v>25-30</v>
      </c>
      <c r="L895">
        <f t="shared" si="131"/>
        <v>0</v>
      </c>
      <c r="M895">
        <f t="shared" si="132"/>
        <v>0</v>
      </c>
      <c r="N895">
        <f t="shared" si="133"/>
        <v>0</v>
      </c>
      <c r="O895">
        <f t="shared" si="134"/>
        <v>0</v>
      </c>
      <c r="P895">
        <v>0.23496111797336894</v>
      </c>
      <c r="Q895">
        <f t="shared" si="135"/>
        <v>0</v>
      </c>
      <c r="R895">
        <f t="shared" si="136"/>
        <v>0</v>
      </c>
      <c r="S895">
        <f t="shared" si="137"/>
        <v>1</v>
      </c>
      <c r="T895">
        <f t="shared" si="138"/>
        <v>10384.530000000002</v>
      </c>
      <c r="U895">
        <f t="shared" si="139"/>
        <v>2430.909999999998</v>
      </c>
    </row>
    <row r="896" spans="1:21" x14ac:dyDescent="0.3">
      <c r="A896">
        <v>895</v>
      </c>
      <c r="B896">
        <v>38</v>
      </c>
      <c r="C896" t="s">
        <v>10</v>
      </c>
      <c r="D896">
        <v>17.3</v>
      </c>
      <c r="E896">
        <v>82</v>
      </c>
      <c r="F896" t="s">
        <v>11</v>
      </c>
      <c r="G896">
        <v>2</v>
      </c>
      <c r="H896" t="s">
        <v>11</v>
      </c>
      <c r="I896" t="s">
        <v>17</v>
      </c>
      <c r="J896">
        <v>12829.46</v>
      </c>
      <c r="K896" t="str">
        <f t="shared" si="130"/>
        <v>&lt;20</v>
      </c>
      <c r="L896">
        <f t="shared" si="131"/>
        <v>17.3</v>
      </c>
      <c r="M896">
        <f t="shared" si="132"/>
        <v>0</v>
      </c>
      <c r="N896">
        <f t="shared" si="133"/>
        <v>0</v>
      </c>
      <c r="O896">
        <f t="shared" si="134"/>
        <v>0</v>
      </c>
      <c r="P896">
        <v>0.26194316172946575</v>
      </c>
      <c r="Q896">
        <f t="shared" si="135"/>
        <v>1</v>
      </c>
      <c r="R896">
        <f t="shared" si="136"/>
        <v>1</v>
      </c>
      <c r="S896">
        <f t="shared" si="137"/>
        <v>0</v>
      </c>
      <c r="T896">
        <f t="shared" si="138"/>
        <v>12601.737000000003</v>
      </c>
      <c r="U896">
        <f t="shared" si="139"/>
        <v>227.72299999999632</v>
      </c>
    </row>
    <row r="897" spans="1:21" x14ac:dyDescent="0.3">
      <c r="A897">
        <v>896</v>
      </c>
      <c r="B897">
        <v>49</v>
      </c>
      <c r="C897" t="s">
        <v>10</v>
      </c>
      <c r="D897">
        <v>39.1</v>
      </c>
      <c r="E897">
        <v>102</v>
      </c>
      <c r="F897" t="s">
        <v>11</v>
      </c>
      <c r="G897">
        <v>0</v>
      </c>
      <c r="H897" t="s">
        <v>12</v>
      </c>
      <c r="I897" t="s">
        <v>17</v>
      </c>
      <c r="J897">
        <v>12890.06</v>
      </c>
      <c r="K897" t="str">
        <f t="shared" si="130"/>
        <v>35+</v>
      </c>
      <c r="L897">
        <f t="shared" si="131"/>
        <v>0</v>
      </c>
      <c r="M897">
        <f t="shared" si="132"/>
        <v>0</v>
      </c>
      <c r="N897">
        <f t="shared" si="133"/>
        <v>0</v>
      </c>
      <c r="O897">
        <f t="shared" si="134"/>
        <v>0</v>
      </c>
      <c r="P897">
        <v>0.9652060384941652</v>
      </c>
      <c r="Q897">
        <f t="shared" si="135"/>
        <v>0</v>
      </c>
      <c r="R897">
        <f t="shared" si="136"/>
        <v>1</v>
      </c>
      <c r="S897">
        <f t="shared" si="137"/>
        <v>0</v>
      </c>
      <c r="T897">
        <f t="shared" si="138"/>
        <v>12211.74</v>
      </c>
      <c r="U897">
        <f t="shared" si="139"/>
        <v>678.31999999999971</v>
      </c>
    </row>
    <row r="898" spans="1:21" x14ac:dyDescent="0.3">
      <c r="A898">
        <v>897</v>
      </c>
      <c r="B898">
        <v>36</v>
      </c>
      <c r="C898" t="s">
        <v>10</v>
      </c>
      <c r="D898">
        <v>25.5</v>
      </c>
      <c r="E898">
        <v>85</v>
      </c>
      <c r="F898" t="s">
        <v>12</v>
      </c>
      <c r="G898">
        <v>1</v>
      </c>
      <c r="H898" t="s">
        <v>12</v>
      </c>
      <c r="I898" t="s">
        <v>17</v>
      </c>
      <c r="J898">
        <v>12913.99</v>
      </c>
      <c r="K898" t="str">
        <f t="shared" si="130"/>
        <v>25-30</v>
      </c>
      <c r="L898">
        <f t="shared" si="131"/>
        <v>0</v>
      </c>
      <c r="M898">
        <f t="shared" si="132"/>
        <v>0</v>
      </c>
      <c r="N898">
        <f t="shared" si="133"/>
        <v>0</v>
      </c>
      <c r="O898">
        <f t="shared" si="134"/>
        <v>0</v>
      </c>
      <c r="P898">
        <v>0.12033280185023032</v>
      </c>
      <c r="Q898">
        <f t="shared" si="135"/>
        <v>0</v>
      </c>
      <c r="R898">
        <f t="shared" si="136"/>
        <v>0</v>
      </c>
      <c r="S898">
        <f t="shared" si="137"/>
        <v>0</v>
      </c>
      <c r="T898">
        <f t="shared" si="138"/>
        <v>9159.8499999999985</v>
      </c>
      <c r="U898">
        <f t="shared" si="139"/>
        <v>3754.1400000000012</v>
      </c>
    </row>
    <row r="899" spans="1:21" x14ac:dyDescent="0.3">
      <c r="A899">
        <v>898</v>
      </c>
      <c r="B899">
        <v>40</v>
      </c>
      <c r="C899" t="s">
        <v>10</v>
      </c>
      <c r="D899">
        <v>29.7</v>
      </c>
      <c r="E899">
        <v>87</v>
      </c>
      <c r="F899" t="s">
        <v>11</v>
      </c>
      <c r="G899">
        <v>2</v>
      </c>
      <c r="H899" t="s">
        <v>12</v>
      </c>
      <c r="I899" t="s">
        <v>13</v>
      </c>
      <c r="J899">
        <v>12925.89</v>
      </c>
      <c r="K899" t="str">
        <f t="shared" ref="K899:K962" si="140">IF(D899&lt;20, "&lt;20", IF(D899&lt;25, "20-25", IF(D899&lt;30, "25-30", IF(D899&lt;35, "30-35", "35+"))))</f>
        <v>25-30</v>
      </c>
      <c r="L899">
        <f t="shared" ref="L899:L962" si="141">D899*Q899</f>
        <v>0</v>
      </c>
      <c r="M899">
        <f t="shared" ref="M899:M962" si="142">IF(I899="southeast", 1, 0)</f>
        <v>1</v>
      </c>
      <c r="N899">
        <f t="shared" ref="N899:N962" si="143">IF(I899="southwest", 1, 0)</f>
        <v>0</v>
      </c>
      <c r="O899">
        <f t="shared" ref="O899:O962" si="144">IF(I899="northwest", 1, 0)</f>
        <v>0</v>
      </c>
      <c r="P899">
        <v>0.30560670509688426</v>
      </c>
      <c r="Q899">
        <f t="shared" ref="Q899:Q962" si="145">IF(H899="Yes", 1, 0)</f>
        <v>0</v>
      </c>
      <c r="R899">
        <f t="shared" ref="R899:R962" si="146">IF(F899="yes", 1, 0)</f>
        <v>1</v>
      </c>
      <c r="S899">
        <f t="shared" ref="S899:S962" si="147">IF(C899="female", 1, 0)</f>
        <v>0</v>
      </c>
      <c r="T899">
        <f t="shared" ref="T899:T962" si="148">-7277.71 + (-1.28*B899) + (85.5*D899) + (738.24*G899) + (159.59*E899) + (1259.19*L899) + (-3644.73*M899) + (-2956.11*N899) + (-2948.04*O899) + (-17828.85*Q899) + (-69.06*R899) + (444.95*S899)</f>
        <v>6857.46</v>
      </c>
      <c r="U899">
        <f t="shared" ref="U899:U962" si="149">J899-T899</f>
        <v>6068.4299999999994</v>
      </c>
    </row>
    <row r="900" spans="1:21" x14ac:dyDescent="0.3">
      <c r="A900">
        <v>899</v>
      </c>
      <c r="B900">
        <v>45</v>
      </c>
      <c r="C900" t="s">
        <v>10</v>
      </c>
      <c r="D900">
        <v>31.8</v>
      </c>
      <c r="E900">
        <v>95</v>
      </c>
      <c r="F900" t="s">
        <v>11</v>
      </c>
      <c r="G900">
        <v>2</v>
      </c>
      <c r="H900" t="s">
        <v>12</v>
      </c>
      <c r="I900" t="s">
        <v>13</v>
      </c>
      <c r="J900">
        <v>12928.79</v>
      </c>
      <c r="K900" t="str">
        <f t="shared" si="140"/>
        <v>30-35</v>
      </c>
      <c r="L900">
        <f t="shared" si="141"/>
        <v>0</v>
      </c>
      <c r="M900">
        <f t="shared" si="142"/>
        <v>1</v>
      </c>
      <c r="N900">
        <f t="shared" si="143"/>
        <v>0</v>
      </c>
      <c r="O900">
        <f t="shared" si="144"/>
        <v>0</v>
      </c>
      <c r="P900">
        <v>9.3695484114280858E-2</v>
      </c>
      <c r="Q900">
        <f t="shared" si="145"/>
        <v>0</v>
      </c>
      <c r="R900">
        <f t="shared" si="146"/>
        <v>1</v>
      </c>
      <c r="S900">
        <f t="shared" si="147"/>
        <v>0</v>
      </c>
      <c r="T900">
        <f t="shared" si="148"/>
        <v>8307.3300000000017</v>
      </c>
      <c r="U900">
        <f t="shared" si="149"/>
        <v>4621.4599999999991</v>
      </c>
    </row>
    <row r="901" spans="1:21" x14ac:dyDescent="0.3">
      <c r="A901">
        <v>900</v>
      </c>
      <c r="B901">
        <v>33</v>
      </c>
      <c r="C901" t="s">
        <v>10</v>
      </c>
      <c r="D901">
        <v>33.700000000000003</v>
      </c>
      <c r="E901">
        <v>98</v>
      </c>
      <c r="F901" t="s">
        <v>12</v>
      </c>
      <c r="G901">
        <v>4</v>
      </c>
      <c r="H901" t="s">
        <v>12</v>
      </c>
      <c r="I901" t="s">
        <v>13</v>
      </c>
      <c r="J901">
        <v>12949.16</v>
      </c>
      <c r="K901" t="str">
        <f t="shared" si="140"/>
        <v>30-35</v>
      </c>
      <c r="L901">
        <f t="shared" si="141"/>
        <v>0</v>
      </c>
      <c r="M901">
        <f t="shared" si="142"/>
        <v>1</v>
      </c>
      <c r="N901">
        <f t="shared" si="143"/>
        <v>0</v>
      </c>
      <c r="O901">
        <f t="shared" si="144"/>
        <v>0</v>
      </c>
      <c r="P901">
        <v>0.96532309120645965</v>
      </c>
      <c r="Q901">
        <f t="shared" si="145"/>
        <v>0</v>
      </c>
      <c r="R901">
        <f t="shared" si="146"/>
        <v>0</v>
      </c>
      <c r="S901">
        <f t="shared" si="147"/>
        <v>0</v>
      </c>
      <c r="T901">
        <f t="shared" si="148"/>
        <v>10509.45</v>
      </c>
      <c r="U901">
        <f t="shared" si="149"/>
        <v>2439.7099999999991</v>
      </c>
    </row>
    <row r="902" spans="1:21" x14ac:dyDescent="0.3">
      <c r="A902">
        <v>901</v>
      </c>
      <c r="B902">
        <v>40</v>
      </c>
      <c r="C902" t="s">
        <v>10</v>
      </c>
      <c r="D902">
        <v>38.4</v>
      </c>
      <c r="E902">
        <v>82</v>
      </c>
      <c r="F902" t="s">
        <v>12</v>
      </c>
      <c r="G902">
        <v>0</v>
      </c>
      <c r="H902" t="s">
        <v>12</v>
      </c>
      <c r="I902" t="s">
        <v>14</v>
      </c>
      <c r="J902">
        <v>12950.07</v>
      </c>
      <c r="K902" t="str">
        <f t="shared" si="140"/>
        <v>35+</v>
      </c>
      <c r="L902">
        <f t="shared" si="141"/>
        <v>0</v>
      </c>
      <c r="M902">
        <f t="shared" si="142"/>
        <v>0</v>
      </c>
      <c r="N902">
        <f t="shared" si="143"/>
        <v>0</v>
      </c>
      <c r="O902">
        <f t="shared" si="144"/>
        <v>1</v>
      </c>
      <c r="P902">
        <v>0.18407794930701193</v>
      </c>
      <c r="Q902">
        <f t="shared" si="145"/>
        <v>0</v>
      </c>
      <c r="R902">
        <f t="shared" si="146"/>
        <v>0</v>
      </c>
      <c r="S902">
        <f t="shared" si="147"/>
        <v>0</v>
      </c>
      <c r="T902">
        <f t="shared" si="148"/>
        <v>6092.6300000000019</v>
      </c>
      <c r="U902">
        <f t="shared" si="149"/>
        <v>6857.4399999999978</v>
      </c>
    </row>
    <row r="903" spans="1:21" x14ac:dyDescent="0.3">
      <c r="A903">
        <v>902</v>
      </c>
      <c r="B903">
        <v>19</v>
      </c>
      <c r="C903" t="s">
        <v>10</v>
      </c>
      <c r="D903">
        <v>21.4</v>
      </c>
      <c r="E903">
        <v>85</v>
      </c>
      <c r="F903" t="s">
        <v>11</v>
      </c>
      <c r="G903">
        <v>0</v>
      </c>
      <c r="H903" t="s">
        <v>12</v>
      </c>
      <c r="I903" t="s">
        <v>15</v>
      </c>
      <c r="J903">
        <v>12957.12</v>
      </c>
      <c r="K903" t="str">
        <f t="shared" si="140"/>
        <v>20-25</v>
      </c>
      <c r="L903">
        <f t="shared" si="141"/>
        <v>0</v>
      </c>
      <c r="M903">
        <f t="shared" si="142"/>
        <v>0</v>
      </c>
      <c r="N903">
        <f t="shared" si="143"/>
        <v>1</v>
      </c>
      <c r="O903">
        <f t="shared" si="144"/>
        <v>0</v>
      </c>
      <c r="P903">
        <v>0.49534090030937328</v>
      </c>
      <c r="Q903">
        <f t="shared" si="145"/>
        <v>0</v>
      </c>
      <c r="R903">
        <f t="shared" si="146"/>
        <v>1</v>
      </c>
      <c r="S903">
        <f t="shared" si="147"/>
        <v>0</v>
      </c>
      <c r="T903">
        <f t="shared" si="148"/>
        <v>5067.6499999999987</v>
      </c>
      <c r="U903">
        <f t="shared" si="149"/>
        <v>7889.4700000000021</v>
      </c>
    </row>
    <row r="904" spans="1:21" x14ac:dyDescent="0.3">
      <c r="A904">
        <v>903</v>
      </c>
      <c r="B904">
        <v>43</v>
      </c>
      <c r="C904" t="s">
        <v>10</v>
      </c>
      <c r="D904">
        <v>37.4</v>
      </c>
      <c r="E904">
        <v>81</v>
      </c>
      <c r="F904" t="s">
        <v>12</v>
      </c>
      <c r="G904">
        <v>0</v>
      </c>
      <c r="H904" t="s">
        <v>12</v>
      </c>
      <c r="I904" t="s">
        <v>15</v>
      </c>
      <c r="J904">
        <v>12979.36</v>
      </c>
      <c r="K904" t="str">
        <f t="shared" si="140"/>
        <v>35+</v>
      </c>
      <c r="L904">
        <f t="shared" si="141"/>
        <v>0</v>
      </c>
      <c r="M904">
        <f t="shared" si="142"/>
        <v>0</v>
      </c>
      <c r="N904">
        <f t="shared" si="143"/>
        <v>1</v>
      </c>
      <c r="O904">
        <f t="shared" si="144"/>
        <v>0</v>
      </c>
      <c r="P904">
        <v>0.46847108415550343</v>
      </c>
      <c r="Q904">
        <f t="shared" si="145"/>
        <v>0</v>
      </c>
      <c r="R904">
        <f t="shared" si="146"/>
        <v>0</v>
      </c>
      <c r="S904">
        <f t="shared" si="147"/>
        <v>0</v>
      </c>
      <c r="T904">
        <f t="shared" si="148"/>
        <v>5835.630000000001</v>
      </c>
      <c r="U904">
        <f t="shared" si="149"/>
        <v>7143.73</v>
      </c>
    </row>
    <row r="905" spans="1:21" x14ac:dyDescent="0.3">
      <c r="A905">
        <v>904</v>
      </c>
      <c r="B905">
        <v>35</v>
      </c>
      <c r="C905" t="s">
        <v>10</v>
      </c>
      <c r="D905">
        <v>38.799999999999997</v>
      </c>
      <c r="E905">
        <v>95</v>
      </c>
      <c r="F905" t="s">
        <v>11</v>
      </c>
      <c r="G905">
        <v>0</v>
      </c>
      <c r="H905" t="s">
        <v>12</v>
      </c>
      <c r="I905" t="s">
        <v>13</v>
      </c>
      <c r="J905">
        <v>12981.35</v>
      </c>
      <c r="K905" t="str">
        <f t="shared" si="140"/>
        <v>35+</v>
      </c>
      <c r="L905">
        <f t="shared" si="141"/>
        <v>0</v>
      </c>
      <c r="M905">
        <f t="shared" si="142"/>
        <v>1</v>
      </c>
      <c r="N905">
        <f t="shared" si="143"/>
        <v>0</v>
      </c>
      <c r="O905">
        <f t="shared" si="144"/>
        <v>0</v>
      </c>
      <c r="P905">
        <v>0.23165090449093106</v>
      </c>
      <c r="Q905">
        <f t="shared" si="145"/>
        <v>0</v>
      </c>
      <c r="R905">
        <f t="shared" si="146"/>
        <v>1</v>
      </c>
      <c r="S905">
        <f t="shared" si="147"/>
        <v>0</v>
      </c>
      <c r="T905">
        <f t="shared" si="148"/>
        <v>7442.1500000000005</v>
      </c>
      <c r="U905">
        <f t="shared" si="149"/>
        <v>5539.2</v>
      </c>
    </row>
    <row r="906" spans="1:21" x14ac:dyDescent="0.3">
      <c r="A906">
        <v>905</v>
      </c>
      <c r="B906">
        <v>25</v>
      </c>
      <c r="C906" t="s">
        <v>10</v>
      </c>
      <c r="D906">
        <v>39.9</v>
      </c>
      <c r="E906">
        <v>88</v>
      </c>
      <c r="F906" t="s">
        <v>12</v>
      </c>
      <c r="G906">
        <v>0</v>
      </c>
      <c r="H906" t="s">
        <v>12</v>
      </c>
      <c r="I906" t="s">
        <v>13</v>
      </c>
      <c r="J906">
        <v>12982.87</v>
      </c>
      <c r="K906" t="str">
        <f t="shared" si="140"/>
        <v>35+</v>
      </c>
      <c r="L906">
        <f t="shared" si="141"/>
        <v>0</v>
      </c>
      <c r="M906">
        <f t="shared" si="142"/>
        <v>1</v>
      </c>
      <c r="N906">
        <f t="shared" si="143"/>
        <v>0</v>
      </c>
      <c r="O906">
        <f t="shared" si="144"/>
        <v>0</v>
      </c>
      <c r="P906">
        <v>0.21426170283265245</v>
      </c>
      <c r="Q906">
        <f t="shared" si="145"/>
        <v>0</v>
      </c>
      <c r="R906">
        <f t="shared" si="146"/>
        <v>0</v>
      </c>
      <c r="S906">
        <f t="shared" si="147"/>
        <v>0</v>
      </c>
      <c r="T906">
        <f t="shared" si="148"/>
        <v>6500.93</v>
      </c>
      <c r="U906">
        <f t="shared" si="149"/>
        <v>6481.9400000000005</v>
      </c>
    </row>
    <row r="907" spans="1:21" x14ac:dyDescent="0.3">
      <c r="A907">
        <v>906</v>
      </c>
      <c r="B907">
        <v>58</v>
      </c>
      <c r="C907" t="s">
        <v>16</v>
      </c>
      <c r="D907">
        <v>24</v>
      </c>
      <c r="E907">
        <v>109</v>
      </c>
      <c r="F907" t="s">
        <v>12</v>
      </c>
      <c r="G907">
        <v>0</v>
      </c>
      <c r="H907" t="s">
        <v>12</v>
      </c>
      <c r="I907" t="s">
        <v>14</v>
      </c>
      <c r="J907">
        <v>13012.21</v>
      </c>
      <c r="K907" t="str">
        <f t="shared" si="140"/>
        <v>20-25</v>
      </c>
      <c r="L907">
        <f t="shared" si="141"/>
        <v>0</v>
      </c>
      <c r="M907">
        <f t="shared" si="142"/>
        <v>0</v>
      </c>
      <c r="N907">
        <f t="shared" si="143"/>
        <v>0</v>
      </c>
      <c r="O907">
        <f t="shared" si="144"/>
        <v>1</v>
      </c>
      <c r="P907">
        <v>0.71812666600129194</v>
      </c>
      <c r="Q907">
        <f t="shared" si="145"/>
        <v>0</v>
      </c>
      <c r="R907">
        <f t="shared" si="146"/>
        <v>0</v>
      </c>
      <c r="S907">
        <f t="shared" si="147"/>
        <v>1</v>
      </c>
      <c r="T907">
        <f t="shared" si="148"/>
        <v>9592.27</v>
      </c>
      <c r="U907">
        <f t="shared" si="149"/>
        <v>3419.9399999999987</v>
      </c>
    </row>
    <row r="908" spans="1:21" x14ac:dyDescent="0.3">
      <c r="A908">
        <v>907</v>
      </c>
      <c r="B908">
        <v>46</v>
      </c>
      <c r="C908" t="s">
        <v>16</v>
      </c>
      <c r="D908">
        <v>32.4</v>
      </c>
      <c r="E908">
        <v>108</v>
      </c>
      <c r="F908" t="s">
        <v>12</v>
      </c>
      <c r="G908">
        <v>1</v>
      </c>
      <c r="H908" t="s">
        <v>12</v>
      </c>
      <c r="I908" t="s">
        <v>17</v>
      </c>
      <c r="J908">
        <v>13019.16</v>
      </c>
      <c r="K908" t="str">
        <f t="shared" si="140"/>
        <v>30-35</v>
      </c>
      <c r="L908">
        <f t="shared" si="141"/>
        <v>0</v>
      </c>
      <c r="M908">
        <f t="shared" si="142"/>
        <v>0</v>
      </c>
      <c r="N908">
        <f t="shared" si="143"/>
        <v>0</v>
      </c>
      <c r="O908">
        <f t="shared" si="144"/>
        <v>0</v>
      </c>
      <c r="P908">
        <v>0.25431175642969572</v>
      </c>
      <c r="Q908">
        <f t="shared" si="145"/>
        <v>0</v>
      </c>
      <c r="R908">
        <f t="shared" si="146"/>
        <v>0</v>
      </c>
      <c r="S908">
        <f t="shared" si="147"/>
        <v>1</v>
      </c>
      <c r="T908">
        <f t="shared" si="148"/>
        <v>13852.52</v>
      </c>
      <c r="U908">
        <f t="shared" si="149"/>
        <v>-833.36000000000058</v>
      </c>
    </row>
    <row r="909" spans="1:21" x14ac:dyDescent="0.3">
      <c r="A909">
        <v>908</v>
      </c>
      <c r="B909">
        <v>35</v>
      </c>
      <c r="C909" t="s">
        <v>16</v>
      </c>
      <c r="D909">
        <v>28.2</v>
      </c>
      <c r="E909">
        <v>105</v>
      </c>
      <c r="F909" t="s">
        <v>11</v>
      </c>
      <c r="G909">
        <v>0</v>
      </c>
      <c r="H909" t="s">
        <v>12</v>
      </c>
      <c r="I909" t="s">
        <v>15</v>
      </c>
      <c r="J909">
        <v>13041.92</v>
      </c>
      <c r="K909" t="str">
        <f t="shared" si="140"/>
        <v>25-30</v>
      </c>
      <c r="L909">
        <f t="shared" si="141"/>
        <v>0</v>
      </c>
      <c r="M909">
        <f t="shared" si="142"/>
        <v>0</v>
      </c>
      <c r="N909">
        <f t="shared" si="143"/>
        <v>1</v>
      </c>
      <c r="O909">
        <f t="shared" si="144"/>
        <v>0</v>
      </c>
      <c r="P909">
        <v>0.15002031553500716</v>
      </c>
      <c r="Q909">
        <f t="shared" si="145"/>
        <v>0</v>
      </c>
      <c r="R909">
        <f t="shared" si="146"/>
        <v>1</v>
      </c>
      <c r="S909">
        <f t="shared" si="147"/>
        <v>1</v>
      </c>
      <c r="T909">
        <f t="shared" si="148"/>
        <v>9265.3200000000015</v>
      </c>
      <c r="U909">
        <f t="shared" si="149"/>
        <v>3776.5999999999985</v>
      </c>
    </row>
    <row r="910" spans="1:21" x14ac:dyDescent="0.3">
      <c r="A910">
        <v>909</v>
      </c>
      <c r="B910">
        <v>31</v>
      </c>
      <c r="C910" t="s">
        <v>16</v>
      </c>
      <c r="D910">
        <v>25.4</v>
      </c>
      <c r="E910">
        <v>100</v>
      </c>
      <c r="F910" t="s">
        <v>11</v>
      </c>
      <c r="G910">
        <v>3</v>
      </c>
      <c r="H910" t="s">
        <v>12</v>
      </c>
      <c r="I910" t="s">
        <v>17</v>
      </c>
      <c r="J910">
        <v>13047.33</v>
      </c>
      <c r="K910" t="str">
        <f t="shared" si="140"/>
        <v>25-30</v>
      </c>
      <c r="L910">
        <f t="shared" si="141"/>
        <v>0</v>
      </c>
      <c r="M910">
        <f t="shared" si="142"/>
        <v>0</v>
      </c>
      <c r="N910">
        <f t="shared" si="143"/>
        <v>0</v>
      </c>
      <c r="O910">
        <f t="shared" si="144"/>
        <v>0</v>
      </c>
      <c r="P910">
        <v>0.19307596616066991</v>
      </c>
      <c r="Q910">
        <f t="shared" si="145"/>
        <v>0</v>
      </c>
      <c r="R910">
        <f t="shared" si="146"/>
        <v>1</v>
      </c>
      <c r="S910">
        <f t="shared" si="147"/>
        <v>1</v>
      </c>
      <c r="T910">
        <f t="shared" si="148"/>
        <v>13403.92</v>
      </c>
      <c r="U910">
        <f t="shared" si="149"/>
        <v>-356.59000000000015</v>
      </c>
    </row>
    <row r="911" spans="1:21" x14ac:dyDescent="0.3">
      <c r="A911">
        <v>910</v>
      </c>
      <c r="B911">
        <v>25</v>
      </c>
      <c r="C911" t="s">
        <v>16</v>
      </c>
      <c r="D911">
        <v>44</v>
      </c>
      <c r="E911">
        <v>88</v>
      </c>
      <c r="F911" t="s">
        <v>11</v>
      </c>
      <c r="G911">
        <v>0</v>
      </c>
      <c r="H911" t="s">
        <v>12</v>
      </c>
      <c r="I911" t="s">
        <v>15</v>
      </c>
      <c r="J911">
        <v>13063.88</v>
      </c>
      <c r="K911" t="str">
        <f t="shared" si="140"/>
        <v>35+</v>
      </c>
      <c r="L911">
        <f t="shared" si="141"/>
        <v>0</v>
      </c>
      <c r="M911">
        <f t="shared" si="142"/>
        <v>0</v>
      </c>
      <c r="N911">
        <f t="shared" si="143"/>
        <v>1</v>
      </c>
      <c r="O911">
        <f t="shared" si="144"/>
        <v>0</v>
      </c>
      <c r="P911">
        <v>0.77644822047779316</v>
      </c>
      <c r="Q911">
        <f t="shared" si="145"/>
        <v>0</v>
      </c>
      <c r="R911">
        <f t="shared" si="146"/>
        <v>1</v>
      </c>
      <c r="S911">
        <f t="shared" si="147"/>
        <v>1</v>
      </c>
      <c r="T911">
        <f t="shared" si="148"/>
        <v>7915.989999999998</v>
      </c>
      <c r="U911">
        <f t="shared" si="149"/>
        <v>5147.8900000000012</v>
      </c>
    </row>
    <row r="912" spans="1:21" x14ac:dyDescent="0.3">
      <c r="A912">
        <v>911</v>
      </c>
      <c r="B912">
        <v>23</v>
      </c>
      <c r="C912" t="s">
        <v>10</v>
      </c>
      <c r="D912">
        <v>24.3</v>
      </c>
      <c r="E912">
        <v>90</v>
      </c>
      <c r="F912" t="s">
        <v>12</v>
      </c>
      <c r="G912">
        <v>1</v>
      </c>
      <c r="H912" t="s">
        <v>12</v>
      </c>
      <c r="I912" t="s">
        <v>14</v>
      </c>
      <c r="J912">
        <v>13112.6</v>
      </c>
      <c r="K912" t="str">
        <f t="shared" si="140"/>
        <v>20-25</v>
      </c>
      <c r="L912">
        <f t="shared" si="141"/>
        <v>0</v>
      </c>
      <c r="M912">
        <f t="shared" si="142"/>
        <v>0</v>
      </c>
      <c r="N912">
        <f t="shared" si="143"/>
        <v>0</v>
      </c>
      <c r="O912">
        <f t="shared" si="144"/>
        <v>1</v>
      </c>
      <c r="P912">
        <v>0.86519399677415587</v>
      </c>
      <c r="Q912">
        <f t="shared" si="145"/>
        <v>0</v>
      </c>
      <c r="R912">
        <f t="shared" si="146"/>
        <v>0</v>
      </c>
      <c r="S912">
        <f t="shared" si="147"/>
        <v>0</v>
      </c>
      <c r="T912">
        <f t="shared" si="148"/>
        <v>6923.8</v>
      </c>
      <c r="U912">
        <f t="shared" si="149"/>
        <v>6188.8</v>
      </c>
    </row>
    <row r="913" spans="1:21" x14ac:dyDescent="0.3">
      <c r="A913">
        <v>912</v>
      </c>
      <c r="B913">
        <v>55</v>
      </c>
      <c r="C913" t="s">
        <v>16</v>
      </c>
      <c r="D913">
        <v>28</v>
      </c>
      <c r="E913">
        <v>105</v>
      </c>
      <c r="F913" t="s">
        <v>11</v>
      </c>
      <c r="G913">
        <v>0</v>
      </c>
      <c r="H913" t="s">
        <v>12</v>
      </c>
      <c r="I913" t="s">
        <v>15</v>
      </c>
      <c r="J913">
        <v>13126.68</v>
      </c>
      <c r="K913" t="str">
        <f t="shared" si="140"/>
        <v>25-30</v>
      </c>
      <c r="L913">
        <f t="shared" si="141"/>
        <v>0</v>
      </c>
      <c r="M913">
        <f t="shared" si="142"/>
        <v>0</v>
      </c>
      <c r="N913">
        <f t="shared" si="143"/>
        <v>1</v>
      </c>
      <c r="O913">
        <f t="shared" si="144"/>
        <v>0</v>
      </c>
      <c r="P913">
        <v>0.51517100846209429</v>
      </c>
      <c r="Q913">
        <f t="shared" si="145"/>
        <v>0</v>
      </c>
      <c r="R913">
        <f t="shared" si="146"/>
        <v>1</v>
      </c>
      <c r="S913">
        <f t="shared" si="147"/>
        <v>1</v>
      </c>
      <c r="T913">
        <f t="shared" si="148"/>
        <v>9222.6200000000008</v>
      </c>
      <c r="U913">
        <f t="shared" si="149"/>
        <v>3904.0599999999995</v>
      </c>
    </row>
    <row r="914" spans="1:21" x14ac:dyDescent="0.3">
      <c r="A914">
        <v>913</v>
      </c>
      <c r="B914">
        <v>20</v>
      </c>
      <c r="C914" t="s">
        <v>10</v>
      </c>
      <c r="D914">
        <v>23.7</v>
      </c>
      <c r="E914">
        <v>89</v>
      </c>
      <c r="F914" t="s">
        <v>11</v>
      </c>
      <c r="G914">
        <v>0</v>
      </c>
      <c r="H914" t="s">
        <v>12</v>
      </c>
      <c r="I914" t="s">
        <v>17</v>
      </c>
      <c r="J914">
        <v>13129.6</v>
      </c>
      <c r="K914" t="str">
        <f t="shared" si="140"/>
        <v>20-25</v>
      </c>
      <c r="L914">
        <f t="shared" si="141"/>
        <v>0</v>
      </c>
      <c r="M914">
        <f t="shared" si="142"/>
        <v>0</v>
      </c>
      <c r="N914">
        <f t="shared" si="143"/>
        <v>0</v>
      </c>
      <c r="O914">
        <f t="shared" si="144"/>
        <v>0</v>
      </c>
      <c r="P914">
        <v>0.63677933638497053</v>
      </c>
      <c r="Q914">
        <f t="shared" si="145"/>
        <v>0</v>
      </c>
      <c r="R914">
        <f t="shared" si="146"/>
        <v>1</v>
      </c>
      <c r="S914">
        <f t="shared" si="147"/>
        <v>0</v>
      </c>
      <c r="T914">
        <f t="shared" si="148"/>
        <v>8857.49</v>
      </c>
      <c r="U914">
        <f t="shared" si="149"/>
        <v>4272.1100000000006</v>
      </c>
    </row>
    <row r="915" spans="1:21" x14ac:dyDescent="0.3">
      <c r="A915">
        <v>914</v>
      </c>
      <c r="B915">
        <v>22</v>
      </c>
      <c r="C915" t="s">
        <v>10</v>
      </c>
      <c r="D915">
        <v>33.5</v>
      </c>
      <c r="E915">
        <v>101</v>
      </c>
      <c r="F915" t="s">
        <v>11</v>
      </c>
      <c r="G915">
        <v>0</v>
      </c>
      <c r="H915" t="s">
        <v>12</v>
      </c>
      <c r="I915" t="s">
        <v>17</v>
      </c>
      <c r="J915">
        <v>13143.34</v>
      </c>
      <c r="K915" t="str">
        <f t="shared" si="140"/>
        <v>30-35</v>
      </c>
      <c r="L915">
        <f t="shared" si="141"/>
        <v>0</v>
      </c>
      <c r="M915">
        <f t="shared" si="142"/>
        <v>0</v>
      </c>
      <c r="N915">
        <f t="shared" si="143"/>
        <v>0</v>
      </c>
      <c r="O915">
        <f t="shared" si="144"/>
        <v>0</v>
      </c>
      <c r="P915">
        <v>6.5971617632115342E-2</v>
      </c>
      <c r="Q915">
        <f t="shared" si="145"/>
        <v>0</v>
      </c>
      <c r="R915">
        <f t="shared" si="146"/>
        <v>1</v>
      </c>
      <c r="S915">
        <f t="shared" si="147"/>
        <v>0</v>
      </c>
      <c r="T915">
        <f t="shared" si="148"/>
        <v>11607.910000000002</v>
      </c>
      <c r="U915">
        <f t="shared" si="149"/>
        <v>1535.4299999999985</v>
      </c>
    </row>
    <row r="916" spans="1:21" x14ac:dyDescent="0.3">
      <c r="A916">
        <v>915</v>
      </c>
      <c r="B916">
        <v>19</v>
      </c>
      <c r="C916" t="s">
        <v>10</v>
      </c>
      <c r="D916">
        <v>33.9</v>
      </c>
      <c r="E916">
        <v>80</v>
      </c>
      <c r="F916" t="s">
        <v>11</v>
      </c>
      <c r="G916">
        <v>0</v>
      </c>
      <c r="H916" t="s">
        <v>12</v>
      </c>
      <c r="I916" t="s">
        <v>17</v>
      </c>
      <c r="J916">
        <v>13143.86</v>
      </c>
      <c r="K916" t="str">
        <f t="shared" si="140"/>
        <v>30-35</v>
      </c>
      <c r="L916">
        <f t="shared" si="141"/>
        <v>0</v>
      </c>
      <c r="M916">
        <f t="shared" si="142"/>
        <v>0</v>
      </c>
      <c r="N916">
        <f t="shared" si="143"/>
        <v>0</v>
      </c>
      <c r="O916">
        <f t="shared" si="144"/>
        <v>0</v>
      </c>
      <c r="P916">
        <v>0.23843113837358887</v>
      </c>
      <c r="Q916">
        <f t="shared" si="145"/>
        <v>0</v>
      </c>
      <c r="R916">
        <f t="shared" si="146"/>
        <v>1</v>
      </c>
      <c r="S916">
        <f t="shared" si="147"/>
        <v>0</v>
      </c>
      <c r="T916">
        <f t="shared" si="148"/>
        <v>8294.5600000000013</v>
      </c>
      <c r="U916">
        <f t="shared" si="149"/>
        <v>4849.2999999999993</v>
      </c>
    </row>
    <row r="917" spans="1:21" x14ac:dyDescent="0.3">
      <c r="A917">
        <v>916</v>
      </c>
      <c r="B917">
        <v>49</v>
      </c>
      <c r="C917" t="s">
        <v>16</v>
      </c>
      <c r="D917">
        <v>18.3</v>
      </c>
      <c r="E917">
        <v>82</v>
      </c>
      <c r="F917" t="s">
        <v>11</v>
      </c>
      <c r="G917">
        <v>0</v>
      </c>
      <c r="H917" t="s">
        <v>12</v>
      </c>
      <c r="I917" t="s">
        <v>17</v>
      </c>
      <c r="J917">
        <v>13204.29</v>
      </c>
      <c r="K917" t="str">
        <f t="shared" si="140"/>
        <v>&lt;20</v>
      </c>
      <c r="L917">
        <f t="shared" si="141"/>
        <v>0</v>
      </c>
      <c r="M917">
        <f t="shared" si="142"/>
        <v>0</v>
      </c>
      <c r="N917">
        <f t="shared" si="143"/>
        <v>0</v>
      </c>
      <c r="O917">
        <f t="shared" si="144"/>
        <v>0</v>
      </c>
      <c r="P917">
        <v>0.21924321541172587</v>
      </c>
      <c r="Q917">
        <f t="shared" si="145"/>
        <v>0</v>
      </c>
      <c r="R917">
        <f t="shared" si="146"/>
        <v>1</v>
      </c>
      <c r="S917">
        <f t="shared" si="147"/>
        <v>1</v>
      </c>
      <c r="T917">
        <f t="shared" si="148"/>
        <v>7686.49</v>
      </c>
      <c r="U917">
        <f t="shared" si="149"/>
        <v>5517.8000000000011</v>
      </c>
    </row>
    <row r="918" spans="1:21" x14ac:dyDescent="0.3">
      <c r="A918">
        <v>917</v>
      </c>
      <c r="B918">
        <v>43</v>
      </c>
      <c r="C918" t="s">
        <v>16</v>
      </c>
      <c r="D918">
        <v>27.6</v>
      </c>
      <c r="E918">
        <v>105</v>
      </c>
      <c r="F918" t="s">
        <v>11</v>
      </c>
      <c r="G918">
        <v>0</v>
      </c>
      <c r="H918" t="s">
        <v>12</v>
      </c>
      <c r="I918" t="s">
        <v>17</v>
      </c>
      <c r="J918">
        <v>13217.09</v>
      </c>
      <c r="K918" t="str">
        <f t="shared" si="140"/>
        <v>25-30</v>
      </c>
      <c r="L918">
        <f t="shared" si="141"/>
        <v>0</v>
      </c>
      <c r="M918">
        <f t="shared" si="142"/>
        <v>0</v>
      </c>
      <c r="N918">
        <f t="shared" si="143"/>
        <v>0</v>
      </c>
      <c r="O918">
        <f t="shared" si="144"/>
        <v>0</v>
      </c>
      <c r="P918">
        <v>0.23510850089754531</v>
      </c>
      <c r="Q918">
        <f t="shared" si="145"/>
        <v>0</v>
      </c>
      <c r="R918">
        <f t="shared" si="146"/>
        <v>1</v>
      </c>
      <c r="S918">
        <f t="shared" si="147"/>
        <v>1</v>
      </c>
      <c r="T918">
        <f t="shared" si="148"/>
        <v>12159.890000000001</v>
      </c>
      <c r="U918">
        <f t="shared" si="149"/>
        <v>1057.1999999999989</v>
      </c>
    </row>
    <row r="919" spans="1:21" x14ac:dyDescent="0.3">
      <c r="A919">
        <v>918</v>
      </c>
      <c r="B919">
        <v>43</v>
      </c>
      <c r="C919" t="s">
        <v>16</v>
      </c>
      <c r="D919">
        <v>34.299999999999997</v>
      </c>
      <c r="E919">
        <v>91</v>
      </c>
      <c r="F919" t="s">
        <v>11</v>
      </c>
      <c r="G919">
        <v>2</v>
      </c>
      <c r="H919" t="s">
        <v>12</v>
      </c>
      <c r="I919" t="s">
        <v>17</v>
      </c>
      <c r="J919">
        <v>13224.06</v>
      </c>
      <c r="K919" t="str">
        <f t="shared" si="140"/>
        <v>30-35</v>
      </c>
      <c r="L919">
        <f t="shared" si="141"/>
        <v>0</v>
      </c>
      <c r="M919">
        <f t="shared" si="142"/>
        <v>0</v>
      </c>
      <c r="N919">
        <f t="shared" si="143"/>
        <v>0</v>
      </c>
      <c r="O919">
        <f t="shared" si="144"/>
        <v>0</v>
      </c>
      <c r="P919">
        <v>0.53690233532140907</v>
      </c>
      <c r="Q919">
        <f t="shared" si="145"/>
        <v>0</v>
      </c>
      <c r="R919">
        <f t="shared" si="146"/>
        <v>1</v>
      </c>
      <c r="S919">
        <f t="shared" si="147"/>
        <v>1</v>
      </c>
      <c r="T919">
        <f t="shared" si="148"/>
        <v>11974.960000000001</v>
      </c>
      <c r="U919">
        <f t="shared" si="149"/>
        <v>1249.0999999999985</v>
      </c>
    </row>
    <row r="920" spans="1:21" x14ac:dyDescent="0.3">
      <c r="A920">
        <v>919</v>
      </c>
      <c r="B920">
        <v>56</v>
      </c>
      <c r="C920" t="s">
        <v>16</v>
      </c>
      <c r="D920">
        <v>28.7</v>
      </c>
      <c r="E920">
        <v>95</v>
      </c>
      <c r="F920" t="s">
        <v>12</v>
      </c>
      <c r="G920">
        <v>1</v>
      </c>
      <c r="H920" t="s">
        <v>12</v>
      </c>
      <c r="I920" t="s">
        <v>15</v>
      </c>
      <c r="J920">
        <v>13224.69</v>
      </c>
      <c r="K920" t="str">
        <f t="shared" si="140"/>
        <v>25-30</v>
      </c>
      <c r="L920">
        <f t="shared" si="141"/>
        <v>0</v>
      </c>
      <c r="M920">
        <f t="shared" si="142"/>
        <v>0</v>
      </c>
      <c r="N920">
        <f t="shared" si="143"/>
        <v>1</v>
      </c>
      <c r="O920">
        <f t="shared" si="144"/>
        <v>0</v>
      </c>
      <c r="P920">
        <v>0.79010891190149601</v>
      </c>
      <c r="Q920">
        <f t="shared" si="145"/>
        <v>0</v>
      </c>
      <c r="R920">
        <f t="shared" si="146"/>
        <v>0</v>
      </c>
      <c r="S920">
        <f t="shared" si="147"/>
        <v>1</v>
      </c>
      <c r="T920">
        <f t="shared" si="148"/>
        <v>8492.59</v>
      </c>
      <c r="U920">
        <f t="shared" si="149"/>
        <v>4732.1000000000004</v>
      </c>
    </row>
    <row r="921" spans="1:21" x14ac:dyDescent="0.3">
      <c r="A921">
        <v>920</v>
      </c>
      <c r="B921">
        <v>48</v>
      </c>
      <c r="C921" t="s">
        <v>16</v>
      </c>
      <c r="D921">
        <v>36</v>
      </c>
      <c r="E921">
        <v>83</v>
      </c>
      <c r="F921" t="s">
        <v>12</v>
      </c>
      <c r="G921">
        <v>0</v>
      </c>
      <c r="H921" t="s">
        <v>12</v>
      </c>
      <c r="I921" t="s">
        <v>17</v>
      </c>
      <c r="J921">
        <v>13228.85</v>
      </c>
      <c r="K921" t="str">
        <f t="shared" si="140"/>
        <v>35+</v>
      </c>
      <c r="L921">
        <f t="shared" si="141"/>
        <v>0</v>
      </c>
      <c r="M921">
        <f t="shared" si="142"/>
        <v>0</v>
      </c>
      <c r="N921">
        <f t="shared" si="143"/>
        <v>0</v>
      </c>
      <c r="O921">
        <f t="shared" si="144"/>
        <v>0</v>
      </c>
      <c r="P921">
        <v>0.20169692900239011</v>
      </c>
      <c r="Q921">
        <f t="shared" si="145"/>
        <v>0</v>
      </c>
      <c r="R921">
        <f t="shared" si="146"/>
        <v>0</v>
      </c>
      <c r="S921">
        <f t="shared" si="147"/>
        <v>1</v>
      </c>
      <c r="T921">
        <f t="shared" si="148"/>
        <v>9429.7700000000023</v>
      </c>
      <c r="U921">
        <f t="shared" si="149"/>
        <v>3799.0799999999981</v>
      </c>
    </row>
    <row r="922" spans="1:21" x14ac:dyDescent="0.3">
      <c r="A922">
        <v>921</v>
      </c>
      <c r="B922">
        <v>38</v>
      </c>
      <c r="C922" t="s">
        <v>10</v>
      </c>
      <c r="D922">
        <v>30</v>
      </c>
      <c r="E922">
        <v>110</v>
      </c>
      <c r="F922" t="s">
        <v>11</v>
      </c>
      <c r="G922">
        <v>0</v>
      </c>
      <c r="H922" t="s">
        <v>12</v>
      </c>
      <c r="I922" t="s">
        <v>14</v>
      </c>
      <c r="J922">
        <v>13352.1</v>
      </c>
      <c r="K922" t="str">
        <f t="shared" si="140"/>
        <v>30-35</v>
      </c>
      <c r="L922">
        <f t="shared" si="141"/>
        <v>0</v>
      </c>
      <c r="M922">
        <f t="shared" si="142"/>
        <v>0</v>
      </c>
      <c r="N922">
        <f t="shared" si="143"/>
        <v>0</v>
      </c>
      <c r="O922">
        <f t="shared" si="144"/>
        <v>1</v>
      </c>
      <c r="P922">
        <v>0.88106296974787812</v>
      </c>
      <c r="Q922">
        <f t="shared" si="145"/>
        <v>0</v>
      </c>
      <c r="R922">
        <f t="shared" si="146"/>
        <v>1</v>
      </c>
      <c r="S922">
        <f t="shared" si="147"/>
        <v>0</v>
      </c>
      <c r="T922">
        <f t="shared" si="148"/>
        <v>9776.4500000000025</v>
      </c>
      <c r="U922">
        <f t="shared" si="149"/>
        <v>3575.6499999999978</v>
      </c>
    </row>
    <row r="923" spans="1:21" x14ac:dyDescent="0.3">
      <c r="A923">
        <v>922</v>
      </c>
      <c r="B923">
        <v>27</v>
      </c>
      <c r="C923" t="s">
        <v>10</v>
      </c>
      <c r="D923">
        <v>30.8</v>
      </c>
      <c r="E923">
        <v>98</v>
      </c>
      <c r="F923" t="s">
        <v>12</v>
      </c>
      <c r="G923">
        <v>0</v>
      </c>
      <c r="H923" t="s">
        <v>12</v>
      </c>
      <c r="I923" t="s">
        <v>15</v>
      </c>
      <c r="J923">
        <v>13390.56</v>
      </c>
      <c r="K923" t="str">
        <f t="shared" si="140"/>
        <v>30-35</v>
      </c>
      <c r="L923">
        <f t="shared" si="141"/>
        <v>0</v>
      </c>
      <c r="M923">
        <f t="shared" si="142"/>
        <v>0</v>
      </c>
      <c r="N923">
        <f t="shared" si="143"/>
        <v>1</v>
      </c>
      <c r="O923">
        <f t="shared" si="144"/>
        <v>0</v>
      </c>
      <c r="P923">
        <v>0.33757382996327667</v>
      </c>
      <c r="Q923">
        <f t="shared" si="145"/>
        <v>0</v>
      </c>
      <c r="R923">
        <f t="shared" si="146"/>
        <v>0</v>
      </c>
      <c r="S923">
        <f t="shared" si="147"/>
        <v>0</v>
      </c>
      <c r="T923">
        <f t="shared" si="148"/>
        <v>8004.8399999999983</v>
      </c>
      <c r="U923">
        <f t="shared" si="149"/>
        <v>5385.7200000000012</v>
      </c>
    </row>
    <row r="924" spans="1:21" x14ac:dyDescent="0.3">
      <c r="A924">
        <v>923</v>
      </c>
      <c r="B924">
        <v>28</v>
      </c>
      <c r="C924" t="s">
        <v>10</v>
      </c>
      <c r="D924">
        <v>33.1</v>
      </c>
      <c r="E924">
        <v>84</v>
      </c>
      <c r="F924" t="s">
        <v>12</v>
      </c>
      <c r="G924">
        <v>0</v>
      </c>
      <c r="H924" t="s">
        <v>12</v>
      </c>
      <c r="I924" t="s">
        <v>15</v>
      </c>
      <c r="J924">
        <v>13393.76</v>
      </c>
      <c r="K924" t="str">
        <f t="shared" si="140"/>
        <v>30-35</v>
      </c>
      <c r="L924">
        <f t="shared" si="141"/>
        <v>0</v>
      </c>
      <c r="M924">
        <f t="shared" si="142"/>
        <v>0</v>
      </c>
      <c r="N924">
        <f t="shared" si="143"/>
        <v>1</v>
      </c>
      <c r="O924">
        <f t="shared" si="144"/>
        <v>0</v>
      </c>
      <c r="P924">
        <v>0.27281154941150765</v>
      </c>
      <c r="Q924">
        <f t="shared" si="145"/>
        <v>0</v>
      </c>
      <c r="R924">
        <f t="shared" si="146"/>
        <v>0</v>
      </c>
      <c r="S924">
        <f t="shared" si="147"/>
        <v>0</v>
      </c>
      <c r="T924">
        <f t="shared" si="148"/>
        <v>5965.9499999999989</v>
      </c>
      <c r="U924">
        <f t="shared" si="149"/>
        <v>7427.8100000000013</v>
      </c>
    </row>
    <row r="925" spans="1:21" x14ac:dyDescent="0.3">
      <c r="A925">
        <v>924</v>
      </c>
      <c r="B925">
        <v>45</v>
      </c>
      <c r="C925" t="s">
        <v>10</v>
      </c>
      <c r="D925">
        <v>41.5</v>
      </c>
      <c r="E925">
        <v>103</v>
      </c>
      <c r="F925" t="s">
        <v>11</v>
      </c>
      <c r="G925">
        <v>0</v>
      </c>
      <c r="H925" t="s">
        <v>12</v>
      </c>
      <c r="I925" t="s">
        <v>13</v>
      </c>
      <c r="J925">
        <v>13405.39</v>
      </c>
      <c r="K925" t="str">
        <f t="shared" si="140"/>
        <v>35+</v>
      </c>
      <c r="L925">
        <f t="shared" si="141"/>
        <v>0</v>
      </c>
      <c r="M925">
        <f t="shared" si="142"/>
        <v>1</v>
      </c>
      <c r="N925">
        <f t="shared" si="143"/>
        <v>0</v>
      </c>
      <c r="O925">
        <f t="shared" si="144"/>
        <v>0</v>
      </c>
      <c r="P925">
        <v>0.74609605079900654</v>
      </c>
      <c r="Q925">
        <f t="shared" si="145"/>
        <v>0</v>
      </c>
      <c r="R925">
        <f t="shared" si="146"/>
        <v>1</v>
      </c>
      <c r="S925">
        <f t="shared" si="147"/>
        <v>0</v>
      </c>
      <c r="T925">
        <f t="shared" si="148"/>
        <v>8936.92</v>
      </c>
      <c r="U925">
        <f t="shared" si="149"/>
        <v>4468.4699999999993</v>
      </c>
    </row>
    <row r="926" spans="1:21" x14ac:dyDescent="0.3">
      <c r="A926">
        <v>925</v>
      </c>
      <c r="B926">
        <v>45</v>
      </c>
      <c r="C926" t="s">
        <v>16</v>
      </c>
      <c r="D926">
        <v>21.1</v>
      </c>
      <c r="E926">
        <v>94</v>
      </c>
      <c r="F926" t="s">
        <v>12</v>
      </c>
      <c r="G926">
        <v>0</v>
      </c>
      <c r="H926" t="s">
        <v>12</v>
      </c>
      <c r="I926" t="s">
        <v>14</v>
      </c>
      <c r="J926">
        <v>13415.04</v>
      </c>
      <c r="K926" t="str">
        <f t="shared" si="140"/>
        <v>20-25</v>
      </c>
      <c r="L926">
        <f t="shared" si="141"/>
        <v>0</v>
      </c>
      <c r="M926">
        <f t="shared" si="142"/>
        <v>0</v>
      </c>
      <c r="N926">
        <f t="shared" si="143"/>
        <v>0</v>
      </c>
      <c r="O926">
        <f t="shared" si="144"/>
        <v>1</v>
      </c>
      <c r="P926">
        <v>0.21434523709053288</v>
      </c>
      <c r="Q926">
        <f t="shared" si="145"/>
        <v>0</v>
      </c>
      <c r="R926">
        <f t="shared" si="146"/>
        <v>0</v>
      </c>
      <c r="S926">
        <f t="shared" si="147"/>
        <v>1</v>
      </c>
      <c r="T926">
        <f t="shared" si="148"/>
        <v>6967.1100000000006</v>
      </c>
      <c r="U926">
        <f t="shared" si="149"/>
        <v>6447.93</v>
      </c>
    </row>
    <row r="927" spans="1:21" x14ac:dyDescent="0.3">
      <c r="A927">
        <v>926</v>
      </c>
      <c r="B927">
        <v>42</v>
      </c>
      <c r="C927" t="s">
        <v>16</v>
      </c>
      <c r="D927">
        <v>31.2</v>
      </c>
      <c r="E927">
        <v>92</v>
      </c>
      <c r="F927" t="s">
        <v>11</v>
      </c>
      <c r="G927">
        <v>0</v>
      </c>
      <c r="H927" t="s">
        <v>12</v>
      </c>
      <c r="I927" t="s">
        <v>14</v>
      </c>
      <c r="J927">
        <v>13429.04</v>
      </c>
      <c r="K927" t="str">
        <f t="shared" si="140"/>
        <v>30-35</v>
      </c>
      <c r="L927">
        <f t="shared" si="141"/>
        <v>0</v>
      </c>
      <c r="M927">
        <f t="shared" si="142"/>
        <v>0</v>
      </c>
      <c r="N927">
        <f t="shared" si="143"/>
        <v>0</v>
      </c>
      <c r="O927">
        <f t="shared" si="144"/>
        <v>1</v>
      </c>
      <c r="P927">
        <v>0.46722964356807606</v>
      </c>
      <c r="Q927">
        <f t="shared" si="145"/>
        <v>0</v>
      </c>
      <c r="R927">
        <f t="shared" si="146"/>
        <v>1</v>
      </c>
      <c r="S927">
        <f t="shared" si="147"/>
        <v>1</v>
      </c>
      <c r="T927">
        <f t="shared" si="148"/>
        <v>7446.2599999999993</v>
      </c>
      <c r="U927">
        <f t="shared" si="149"/>
        <v>5982.7800000000016</v>
      </c>
    </row>
    <row r="928" spans="1:21" x14ac:dyDescent="0.3">
      <c r="A928">
        <v>927</v>
      </c>
      <c r="B928">
        <v>51</v>
      </c>
      <c r="C928" t="s">
        <v>16</v>
      </c>
      <c r="D928">
        <v>32.299999999999997</v>
      </c>
      <c r="E928">
        <v>83</v>
      </c>
      <c r="F928" t="s">
        <v>11</v>
      </c>
      <c r="G928">
        <v>3</v>
      </c>
      <c r="H928" t="s">
        <v>12</v>
      </c>
      <c r="I928" t="s">
        <v>17</v>
      </c>
      <c r="J928">
        <v>13430.27</v>
      </c>
      <c r="K928" t="str">
        <f t="shared" si="140"/>
        <v>30-35</v>
      </c>
      <c r="L928">
        <f t="shared" si="141"/>
        <v>0</v>
      </c>
      <c r="M928">
        <f t="shared" si="142"/>
        <v>0</v>
      </c>
      <c r="N928">
        <f t="shared" si="143"/>
        <v>0</v>
      </c>
      <c r="O928">
        <f t="shared" si="144"/>
        <v>0</v>
      </c>
      <c r="P928">
        <v>4.267069599429052E-2</v>
      </c>
      <c r="Q928">
        <f t="shared" si="145"/>
        <v>0</v>
      </c>
      <c r="R928">
        <f t="shared" si="146"/>
        <v>1</v>
      </c>
      <c r="S928">
        <f t="shared" si="147"/>
        <v>1</v>
      </c>
      <c r="T928">
        <f t="shared" si="148"/>
        <v>11255.240000000003</v>
      </c>
      <c r="U928">
        <f t="shared" si="149"/>
        <v>2175.029999999997</v>
      </c>
    </row>
    <row r="929" spans="1:21" x14ac:dyDescent="0.3">
      <c r="A929">
        <v>928</v>
      </c>
      <c r="B929">
        <v>31</v>
      </c>
      <c r="C929" t="s">
        <v>16</v>
      </c>
      <c r="D929">
        <v>25</v>
      </c>
      <c r="E929">
        <v>93</v>
      </c>
      <c r="F929" t="s">
        <v>11</v>
      </c>
      <c r="G929">
        <v>0</v>
      </c>
      <c r="H929" t="s">
        <v>12</v>
      </c>
      <c r="I929" t="s">
        <v>15</v>
      </c>
      <c r="J929">
        <v>13451.12</v>
      </c>
      <c r="K929" t="str">
        <f t="shared" si="140"/>
        <v>25-30</v>
      </c>
      <c r="L929">
        <f t="shared" si="141"/>
        <v>0</v>
      </c>
      <c r="M929">
        <f t="shared" si="142"/>
        <v>0</v>
      </c>
      <c r="N929">
        <f t="shared" si="143"/>
        <v>1</v>
      </c>
      <c r="O929">
        <f t="shared" si="144"/>
        <v>0</v>
      </c>
      <c r="P929">
        <v>0.55735996650546471</v>
      </c>
      <c r="Q929">
        <f t="shared" si="145"/>
        <v>0</v>
      </c>
      <c r="R929">
        <f t="shared" si="146"/>
        <v>1</v>
      </c>
      <c r="S929">
        <f t="shared" si="147"/>
        <v>1</v>
      </c>
      <c r="T929">
        <f t="shared" si="148"/>
        <v>7081.7599999999984</v>
      </c>
      <c r="U929">
        <f t="shared" si="149"/>
        <v>6369.3600000000024</v>
      </c>
    </row>
    <row r="930" spans="1:21" x14ac:dyDescent="0.3">
      <c r="A930">
        <v>929</v>
      </c>
      <c r="B930">
        <v>53</v>
      </c>
      <c r="C930" t="s">
        <v>16</v>
      </c>
      <c r="D930">
        <v>29.9</v>
      </c>
      <c r="E930">
        <v>87</v>
      </c>
      <c r="F930" t="s">
        <v>12</v>
      </c>
      <c r="G930">
        <v>0</v>
      </c>
      <c r="H930" t="s">
        <v>12</v>
      </c>
      <c r="I930" t="s">
        <v>13</v>
      </c>
      <c r="J930">
        <v>13457.96</v>
      </c>
      <c r="K930" t="str">
        <f t="shared" si="140"/>
        <v>25-30</v>
      </c>
      <c r="L930">
        <f t="shared" si="141"/>
        <v>0</v>
      </c>
      <c r="M930">
        <f t="shared" si="142"/>
        <v>1</v>
      </c>
      <c r="N930">
        <f t="shared" si="143"/>
        <v>0</v>
      </c>
      <c r="O930">
        <f t="shared" si="144"/>
        <v>0</v>
      </c>
      <c r="P930">
        <v>0.37506707162587316</v>
      </c>
      <c r="Q930">
        <f t="shared" si="145"/>
        <v>0</v>
      </c>
      <c r="R930">
        <f t="shared" si="146"/>
        <v>0</v>
      </c>
      <c r="S930">
        <f t="shared" si="147"/>
        <v>1</v>
      </c>
      <c r="T930">
        <f t="shared" si="148"/>
        <v>5895.45</v>
      </c>
      <c r="U930">
        <f t="shared" si="149"/>
        <v>7562.5099999999993</v>
      </c>
    </row>
    <row r="931" spans="1:21" x14ac:dyDescent="0.3">
      <c r="A931">
        <v>930</v>
      </c>
      <c r="B931">
        <v>26</v>
      </c>
      <c r="C931" t="s">
        <v>16</v>
      </c>
      <c r="D931">
        <v>33.200000000000003</v>
      </c>
      <c r="E931">
        <v>106</v>
      </c>
      <c r="F931" t="s">
        <v>12</v>
      </c>
      <c r="G931">
        <v>0</v>
      </c>
      <c r="H931" t="s">
        <v>12</v>
      </c>
      <c r="I931" t="s">
        <v>15</v>
      </c>
      <c r="J931">
        <v>13462.52</v>
      </c>
      <c r="K931" t="str">
        <f t="shared" si="140"/>
        <v>30-35</v>
      </c>
      <c r="L931">
        <f t="shared" si="141"/>
        <v>0</v>
      </c>
      <c r="M931">
        <f t="shared" si="142"/>
        <v>0</v>
      </c>
      <c r="N931">
        <f t="shared" si="143"/>
        <v>1</v>
      </c>
      <c r="O931">
        <f t="shared" si="144"/>
        <v>0</v>
      </c>
      <c r="P931">
        <v>0.81237987847671445</v>
      </c>
      <c r="Q931">
        <f t="shared" si="145"/>
        <v>0</v>
      </c>
      <c r="R931">
        <f t="shared" si="146"/>
        <v>0</v>
      </c>
      <c r="S931">
        <f t="shared" si="147"/>
        <v>1</v>
      </c>
      <c r="T931">
        <f t="shared" si="148"/>
        <v>9932.9900000000016</v>
      </c>
      <c r="U931">
        <f t="shared" si="149"/>
        <v>3529.5299999999988</v>
      </c>
    </row>
    <row r="932" spans="1:21" x14ac:dyDescent="0.3">
      <c r="A932">
        <v>931</v>
      </c>
      <c r="B932">
        <v>32</v>
      </c>
      <c r="C932" t="s">
        <v>16</v>
      </c>
      <c r="D932">
        <v>39.200000000000003</v>
      </c>
      <c r="E932">
        <v>96</v>
      </c>
      <c r="F932" t="s">
        <v>11</v>
      </c>
      <c r="G932">
        <v>0</v>
      </c>
      <c r="H932" t="s">
        <v>12</v>
      </c>
      <c r="I932" t="s">
        <v>13</v>
      </c>
      <c r="J932">
        <v>13470.8</v>
      </c>
      <c r="K932" t="str">
        <f t="shared" si="140"/>
        <v>35+</v>
      </c>
      <c r="L932">
        <f t="shared" si="141"/>
        <v>0</v>
      </c>
      <c r="M932">
        <f t="shared" si="142"/>
        <v>1</v>
      </c>
      <c r="N932">
        <f t="shared" si="143"/>
        <v>0</v>
      </c>
      <c r="O932">
        <f t="shared" si="144"/>
        <v>0</v>
      </c>
      <c r="P932">
        <v>0.97131968098410204</v>
      </c>
      <c r="Q932">
        <f t="shared" si="145"/>
        <v>0</v>
      </c>
      <c r="R932">
        <f t="shared" si="146"/>
        <v>1</v>
      </c>
      <c r="S932">
        <f t="shared" si="147"/>
        <v>1</v>
      </c>
      <c r="T932">
        <f t="shared" si="148"/>
        <v>8084.73</v>
      </c>
      <c r="U932">
        <f t="shared" si="149"/>
        <v>5386.07</v>
      </c>
    </row>
    <row r="933" spans="1:21" x14ac:dyDescent="0.3">
      <c r="A933">
        <v>932</v>
      </c>
      <c r="B933">
        <v>40</v>
      </c>
      <c r="C933" t="s">
        <v>16</v>
      </c>
      <c r="D933">
        <v>39.200000000000003</v>
      </c>
      <c r="E933">
        <v>84</v>
      </c>
      <c r="F933" t="s">
        <v>12</v>
      </c>
      <c r="G933">
        <v>0</v>
      </c>
      <c r="H933" t="s">
        <v>12</v>
      </c>
      <c r="I933" t="s">
        <v>15</v>
      </c>
      <c r="J933">
        <v>13470.86</v>
      </c>
      <c r="K933" t="str">
        <f t="shared" si="140"/>
        <v>35+</v>
      </c>
      <c r="L933">
        <f t="shared" si="141"/>
        <v>0</v>
      </c>
      <c r="M933">
        <f t="shared" si="142"/>
        <v>0</v>
      </c>
      <c r="N933">
        <f t="shared" si="143"/>
        <v>1</v>
      </c>
      <c r="O933">
        <f t="shared" si="144"/>
        <v>0</v>
      </c>
      <c r="P933">
        <v>0.31516937046112858</v>
      </c>
      <c r="Q933">
        <f t="shared" si="145"/>
        <v>0</v>
      </c>
      <c r="R933">
        <f t="shared" si="146"/>
        <v>0</v>
      </c>
      <c r="S933">
        <f t="shared" si="147"/>
        <v>1</v>
      </c>
      <c r="T933">
        <f t="shared" si="148"/>
        <v>6917.0899999999992</v>
      </c>
      <c r="U933">
        <f t="shared" si="149"/>
        <v>6553.7700000000013</v>
      </c>
    </row>
    <row r="934" spans="1:21" x14ac:dyDescent="0.3">
      <c r="A934">
        <v>933</v>
      </c>
      <c r="B934">
        <v>47</v>
      </c>
      <c r="C934" t="s">
        <v>10</v>
      </c>
      <c r="D934">
        <v>32.1</v>
      </c>
      <c r="E934">
        <v>91</v>
      </c>
      <c r="F934" t="s">
        <v>12</v>
      </c>
      <c r="G934">
        <v>0</v>
      </c>
      <c r="H934" t="s">
        <v>12</v>
      </c>
      <c r="I934" t="s">
        <v>17</v>
      </c>
      <c r="J934">
        <v>13555</v>
      </c>
      <c r="K934" t="str">
        <f t="shared" si="140"/>
        <v>30-35</v>
      </c>
      <c r="L934">
        <f t="shared" si="141"/>
        <v>0</v>
      </c>
      <c r="M934">
        <f t="shared" si="142"/>
        <v>0</v>
      </c>
      <c r="N934">
        <f t="shared" si="143"/>
        <v>0</v>
      </c>
      <c r="O934">
        <f t="shared" si="144"/>
        <v>0</v>
      </c>
      <c r="P934">
        <v>0.43655620600087919</v>
      </c>
      <c r="Q934">
        <f t="shared" si="145"/>
        <v>0</v>
      </c>
      <c r="R934">
        <f t="shared" si="146"/>
        <v>0</v>
      </c>
      <c r="S934">
        <f t="shared" si="147"/>
        <v>0</v>
      </c>
      <c r="T934">
        <f t="shared" si="148"/>
        <v>9929.3700000000008</v>
      </c>
      <c r="U934">
        <f t="shared" si="149"/>
        <v>3625.6299999999992</v>
      </c>
    </row>
    <row r="935" spans="1:21" x14ac:dyDescent="0.3">
      <c r="A935">
        <v>934</v>
      </c>
      <c r="B935">
        <v>28</v>
      </c>
      <c r="C935" t="s">
        <v>16</v>
      </c>
      <c r="D935">
        <v>31.8</v>
      </c>
      <c r="E935">
        <v>110</v>
      </c>
      <c r="F935" t="s">
        <v>11</v>
      </c>
      <c r="G935">
        <v>2</v>
      </c>
      <c r="H935" t="s">
        <v>12</v>
      </c>
      <c r="I935" t="s">
        <v>17</v>
      </c>
      <c r="J935">
        <v>13607.37</v>
      </c>
      <c r="K935" t="str">
        <f t="shared" si="140"/>
        <v>30-35</v>
      </c>
      <c r="L935">
        <f t="shared" si="141"/>
        <v>0</v>
      </c>
      <c r="M935">
        <f t="shared" si="142"/>
        <v>0</v>
      </c>
      <c r="N935">
        <f t="shared" si="143"/>
        <v>0</v>
      </c>
      <c r="O935">
        <f t="shared" si="144"/>
        <v>0</v>
      </c>
      <c r="P935">
        <v>0.15893845700649212</v>
      </c>
      <c r="Q935">
        <f t="shared" si="145"/>
        <v>0</v>
      </c>
      <c r="R935">
        <f t="shared" si="146"/>
        <v>1</v>
      </c>
      <c r="S935">
        <f t="shared" si="147"/>
        <v>1</v>
      </c>
      <c r="T935">
        <f t="shared" si="148"/>
        <v>14812.620000000003</v>
      </c>
      <c r="U935">
        <f t="shared" si="149"/>
        <v>-1205.2500000000018</v>
      </c>
    </row>
    <row r="936" spans="1:21" x14ac:dyDescent="0.3">
      <c r="A936">
        <v>935</v>
      </c>
      <c r="B936">
        <v>41</v>
      </c>
      <c r="C936" t="s">
        <v>16</v>
      </c>
      <c r="D936">
        <v>22</v>
      </c>
      <c r="E936">
        <v>89</v>
      </c>
      <c r="F936" t="s">
        <v>12</v>
      </c>
      <c r="G936">
        <v>0</v>
      </c>
      <c r="H936" t="s">
        <v>12</v>
      </c>
      <c r="I936" t="s">
        <v>17</v>
      </c>
      <c r="J936">
        <v>13616.36</v>
      </c>
      <c r="K936" t="str">
        <f t="shared" si="140"/>
        <v>20-25</v>
      </c>
      <c r="L936">
        <f t="shared" si="141"/>
        <v>0</v>
      </c>
      <c r="M936">
        <f t="shared" si="142"/>
        <v>0</v>
      </c>
      <c r="N936">
        <f t="shared" si="143"/>
        <v>0</v>
      </c>
      <c r="O936">
        <f t="shared" si="144"/>
        <v>0</v>
      </c>
      <c r="P936">
        <v>0.70221798288120807</v>
      </c>
      <c r="Q936">
        <f t="shared" si="145"/>
        <v>0</v>
      </c>
      <c r="R936">
        <f t="shared" si="146"/>
        <v>0</v>
      </c>
      <c r="S936">
        <f t="shared" si="147"/>
        <v>1</v>
      </c>
      <c r="T936">
        <f t="shared" si="148"/>
        <v>9199.27</v>
      </c>
      <c r="U936">
        <f t="shared" si="149"/>
        <v>4417.09</v>
      </c>
    </row>
    <row r="937" spans="1:21" x14ac:dyDescent="0.3">
      <c r="A937">
        <v>936</v>
      </c>
      <c r="B937">
        <v>59</v>
      </c>
      <c r="C937" t="s">
        <v>16</v>
      </c>
      <c r="D937">
        <v>35.9</v>
      </c>
      <c r="E937">
        <v>89</v>
      </c>
      <c r="F937" t="s">
        <v>12</v>
      </c>
      <c r="G937">
        <v>0</v>
      </c>
      <c r="H937" t="s">
        <v>12</v>
      </c>
      <c r="I937" t="s">
        <v>17</v>
      </c>
      <c r="J937">
        <v>13635.64</v>
      </c>
      <c r="K937" t="str">
        <f t="shared" si="140"/>
        <v>35+</v>
      </c>
      <c r="L937">
        <f t="shared" si="141"/>
        <v>0</v>
      </c>
      <c r="M937">
        <f t="shared" si="142"/>
        <v>0</v>
      </c>
      <c r="N937">
        <f t="shared" si="143"/>
        <v>0</v>
      </c>
      <c r="O937">
        <f t="shared" si="144"/>
        <v>0</v>
      </c>
      <c r="P937">
        <v>0.50868910611027074</v>
      </c>
      <c r="Q937">
        <f t="shared" si="145"/>
        <v>0</v>
      </c>
      <c r="R937">
        <f t="shared" si="146"/>
        <v>0</v>
      </c>
      <c r="S937">
        <f t="shared" si="147"/>
        <v>1</v>
      </c>
      <c r="T937">
        <f t="shared" si="148"/>
        <v>10364.68</v>
      </c>
      <c r="U937">
        <f t="shared" si="149"/>
        <v>3270.9599999999991</v>
      </c>
    </row>
    <row r="938" spans="1:21" x14ac:dyDescent="0.3">
      <c r="A938">
        <v>937</v>
      </c>
      <c r="B938">
        <v>55</v>
      </c>
      <c r="C938" t="s">
        <v>16</v>
      </c>
      <c r="D938">
        <v>21.8</v>
      </c>
      <c r="E938">
        <v>93</v>
      </c>
      <c r="F938" t="s">
        <v>12</v>
      </c>
      <c r="G938">
        <v>1</v>
      </c>
      <c r="H938" t="s">
        <v>12</v>
      </c>
      <c r="I938" t="s">
        <v>17</v>
      </c>
      <c r="J938">
        <v>13725.47</v>
      </c>
      <c r="K938" t="str">
        <f t="shared" si="140"/>
        <v>20-25</v>
      </c>
      <c r="L938">
        <f t="shared" si="141"/>
        <v>0</v>
      </c>
      <c r="M938">
        <f t="shared" si="142"/>
        <v>0</v>
      </c>
      <c r="N938">
        <f t="shared" si="143"/>
        <v>0</v>
      </c>
      <c r="O938">
        <f t="shared" si="144"/>
        <v>0</v>
      </c>
      <c r="P938">
        <v>0.54505613814344023</v>
      </c>
      <c r="Q938">
        <f t="shared" si="145"/>
        <v>0</v>
      </c>
      <c r="R938">
        <f t="shared" si="146"/>
        <v>0</v>
      </c>
      <c r="S938">
        <f t="shared" si="147"/>
        <v>1</v>
      </c>
      <c r="T938">
        <f t="shared" si="148"/>
        <v>10540.850000000002</v>
      </c>
      <c r="U938">
        <f t="shared" si="149"/>
        <v>3184.6199999999972</v>
      </c>
    </row>
    <row r="939" spans="1:21" x14ac:dyDescent="0.3">
      <c r="A939">
        <v>938</v>
      </c>
      <c r="B939">
        <v>33</v>
      </c>
      <c r="C939" t="s">
        <v>10</v>
      </c>
      <c r="D939">
        <v>21.6</v>
      </c>
      <c r="E939">
        <v>106</v>
      </c>
      <c r="F939" t="s">
        <v>11</v>
      </c>
      <c r="G939">
        <v>0</v>
      </c>
      <c r="H939" t="s">
        <v>11</v>
      </c>
      <c r="I939" t="s">
        <v>17</v>
      </c>
      <c r="J939">
        <v>13747.87</v>
      </c>
      <c r="K939" t="str">
        <f t="shared" si="140"/>
        <v>20-25</v>
      </c>
      <c r="L939">
        <f t="shared" si="141"/>
        <v>21.6</v>
      </c>
      <c r="M939">
        <f t="shared" si="142"/>
        <v>0</v>
      </c>
      <c r="N939">
        <f t="shared" si="143"/>
        <v>0</v>
      </c>
      <c r="O939">
        <f t="shared" si="144"/>
        <v>0</v>
      </c>
      <c r="P939">
        <v>0.80577768373692138</v>
      </c>
      <c r="Q939">
        <f t="shared" si="145"/>
        <v>1</v>
      </c>
      <c r="R939">
        <f t="shared" si="146"/>
        <v>1</v>
      </c>
      <c r="S939">
        <f t="shared" si="147"/>
        <v>0</v>
      </c>
      <c r="T939">
        <f t="shared" si="148"/>
        <v>20743.984000000008</v>
      </c>
      <c r="U939">
        <f t="shared" si="149"/>
        <v>-6996.1140000000069</v>
      </c>
    </row>
    <row r="940" spans="1:21" x14ac:dyDescent="0.3">
      <c r="A940">
        <v>939</v>
      </c>
      <c r="B940">
        <v>30</v>
      </c>
      <c r="C940" t="s">
        <v>10</v>
      </c>
      <c r="D940">
        <v>28.3</v>
      </c>
      <c r="E940">
        <v>85</v>
      </c>
      <c r="F940" t="s">
        <v>12</v>
      </c>
      <c r="G940">
        <v>0</v>
      </c>
      <c r="H940" t="s">
        <v>12</v>
      </c>
      <c r="I940" t="s">
        <v>14</v>
      </c>
      <c r="J940">
        <v>13770.1</v>
      </c>
      <c r="K940" t="str">
        <f t="shared" si="140"/>
        <v>25-30</v>
      </c>
      <c r="L940">
        <f t="shared" si="141"/>
        <v>0</v>
      </c>
      <c r="M940">
        <f t="shared" si="142"/>
        <v>0</v>
      </c>
      <c r="N940">
        <f t="shared" si="143"/>
        <v>0</v>
      </c>
      <c r="O940">
        <f t="shared" si="144"/>
        <v>1</v>
      </c>
      <c r="P940">
        <v>7.7440907976642159E-2</v>
      </c>
      <c r="Q940">
        <f t="shared" si="145"/>
        <v>0</v>
      </c>
      <c r="R940">
        <f t="shared" si="146"/>
        <v>0</v>
      </c>
      <c r="S940">
        <f t="shared" si="147"/>
        <v>0</v>
      </c>
      <c r="T940">
        <f t="shared" si="148"/>
        <v>5720.6500000000005</v>
      </c>
      <c r="U940">
        <f t="shared" si="149"/>
        <v>8049.45</v>
      </c>
    </row>
    <row r="941" spans="1:21" x14ac:dyDescent="0.3">
      <c r="A941">
        <v>940</v>
      </c>
      <c r="B941">
        <v>24</v>
      </c>
      <c r="C941" t="s">
        <v>10</v>
      </c>
      <c r="D941">
        <v>34.5</v>
      </c>
      <c r="E941">
        <v>95</v>
      </c>
      <c r="F941" t="s">
        <v>12</v>
      </c>
      <c r="G941">
        <v>0</v>
      </c>
      <c r="H941" t="s">
        <v>12</v>
      </c>
      <c r="I941" t="s">
        <v>15</v>
      </c>
      <c r="J941">
        <v>13822.8</v>
      </c>
      <c r="K941" t="str">
        <f t="shared" si="140"/>
        <v>30-35</v>
      </c>
      <c r="L941">
        <f t="shared" si="141"/>
        <v>0</v>
      </c>
      <c r="M941">
        <f t="shared" si="142"/>
        <v>0</v>
      </c>
      <c r="N941">
        <f t="shared" si="143"/>
        <v>1</v>
      </c>
      <c r="O941">
        <f t="shared" si="144"/>
        <v>0</v>
      </c>
      <c r="P941">
        <v>0.53734820507180048</v>
      </c>
      <c r="Q941">
        <f t="shared" si="145"/>
        <v>0</v>
      </c>
      <c r="R941">
        <f t="shared" si="146"/>
        <v>0</v>
      </c>
      <c r="S941">
        <f t="shared" si="147"/>
        <v>0</v>
      </c>
      <c r="T941">
        <f t="shared" si="148"/>
        <v>7846.26</v>
      </c>
      <c r="U941">
        <f t="shared" si="149"/>
        <v>5976.5399999999991</v>
      </c>
    </row>
    <row r="942" spans="1:21" x14ac:dyDescent="0.3">
      <c r="A942">
        <v>941</v>
      </c>
      <c r="B942">
        <v>43</v>
      </c>
      <c r="C942" t="s">
        <v>10</v>
      </c>
      <c r="D942">
        <v>40.5</v>
      </c>
      <c r="E942">
        <v>99</v>
      </c>
      <c r="F942" t="s">
        <v>11</v>
      </c>
      <c r="G942">
        <v>0</v>
      </c>
      <c r="H942" t="s">
        <v>12</v>
      </c>
      <c r="I942" t="s">
        <v>13</v>
      </c>
      <c r="J942">
        <v>13831.12</v>
      </c>
      <c r="K942" t="str">
        <f t="shared" si="140"/>
        <v>35+</v>
      </c>
      <c r="L942">
        <f t="shared" si="141"/>
        <v>0</v>
      </c>
      <c r="M942">
        <f t="shared" si="142"/>
        <v>1</v>
      </c>
      <c r="N942">
        <f t="shared" si="143"/>
        <v>0</v>
      </c>
      <c r="O942">
        <f t="shared" si="144"/>
        <v>0</v>
      </c>
      <c r="P942">
        <v>0.33361037022715134</v>
      </c>
      <c r="Q942">
        <f t="shared" si="145"/>
        <v>0</v>
      </c>
      <c r="R942">
        <f t="shared" si="146"/>
        <v>1</v>
      </c>
      <c r="S942">
        <f t="shared" si="147"/>
        <v>0</v>
      </c>
      <c r="T942">
        <f t="shared" si="148"/>
        <v>8215.6200000000008</v>
      </c>
      <c r="U942">
        <f t="shared" si="149"/>
        <v>5615.5</v>
      </c>
    </row>
    <row r="943" spans="1:21" x14ac:dyDescent="0.3">
      <c r="A943">
        <v>942</v>
      </c>
      <c r="B943">
        <v>52</v>
      </c>
      <c r="C943" t="s">
        <v>16</v>
      </c>
      <c r="D943">
        <v>21.7</v>
      </c>
      <c r="E943">
        <v>81</v>
      </c>
      <c r="F943" t="s">
        <v>11</v>
      </c>
      <c r="G943">
        <v>0</v>
      </c>
      <c r="H943" t="s">
        <v>11</v>
      </c>
      <c r="I943" t="s">
        <v>15</v>
      </c>
      <c r="J943">
        <v>13844.51</v>
      </c>
      <c r="K943" t="str">
        <f t="shared" si="140"/>
        <v>20-25</v>
      </c>
      <c r="L943">
        <f t="shared" si="141"/>
        <v>21.7</v>
      </c>
      <c r="M943">
        <f t="shared" si="142"/>
        <v>0</v>
      </c>
      <c r="N943">
        <f t="shared" si="143"/>
        <v>1</v>
      </c>
      <c r="O943">
        <f t="shared" si="144"/>
        <v>0</v>
      </c>
      <c r="P943">
        <v>0.37052939129644424</v>
      </c>
      <c r="Q943">
        <f t="shared" si="145"/>
        <v>1</v>
      </c>
      <c r="R943">
        <f t="shared" si="146"/>
        <v>1</v>
      </c>
      <c r="S943">
        <f t="shared" si="147"/>
        <v>1</v>
      </c>
      <c r="T943">
        <f t="shared" si="148"/>
        <v>14353.223</v>
      </c>
      <c r="U943">
        <f t="shared" si="149"/>
        <v>-508.71299999999974</v>
      </c>
    </row>
    <row r="944" spans="1:21" x14ac:dyDescent="0.3">
      <c r="A944">
        <v>943</v>
      </c>
      <c r="B944">
        <v>34</v>
      </c>
      <c r="C944" t="s">
        <v>16</v>
      </c>
      <c r="D944">
        <v>32.700000000000003</v>
      </c>
      <c r="E944">
        <v>110</v>
      </c>
      <c r="F944" t="s">
        <v>11</v>
      </c>
      <c r="G944">
        <v>0</v>
      </c>
      <c r="H944" t="s">
        <v>12</v>
      </c>
      <c r="I944" t="s">
        <v>14</v>
      </c>
      <c r="J944">
        <v>13844.8</v>
      </c>
      <c r="K944" t="str">
        <f t="shared" si="140"/>
        <v>30-35</v>
      </c>
      <c r="L944">
        <f t="shared" si="141"/>
        <v>0</v>
      </c>
      <c r="M944">
        <f t="shared" si="142"/>
        <v>0</v>
      </c>
      <c r="N944">
        <f t="shared" si="143"/>
        <v>0</v>
      </c>
      <c r="O944">
        <f t="shared" si="144"/>
        <v>1</v>
      </c>
      <c r="P944">
        <v>0.85519311140104637</v>
      </c>
      <c r="Q944">
        <f t="shared" si="145"/>
        <v>0</v>
      </c>
      <c r="R944">
        <f t="shared" si="146"/>
        <v>1</v>
      </c>
      <c r="S944">
        <f t="shared" si="147"/>
        <v>1</v>
      </c>
      <c r="T944">
        <f t="shared" si="148"/>
        <v>10457.370000000001</v>
      </c>
      <c r="U944">
        <f t="shared" si="149"/>
        <v>3387.4299999999985</v>
      </c>
    </row>
    <row r="945" spans="1:21" x14ac:dyDescent="0.3">
      <c r="A945">
        <v>944</v>
      </c>
      <c r="B945">
        <v>35</v>
      </c>
      <c r="C945" t="s">
        <v>16</v>
      </c>
      <c r="D945">
        <v>31.8</v>
      </c>
      <c r="E945">
        <v>95</v>
      </c>
      <c r="F945" t="s">
        <v>12</v>
      </c>
      <c r="G945">
        <v>0</v>
      </c>
      <c r="H945" t="s">
        <v>12</v>
      </c>
      <c r="I945" t="s">
        <v>15</v>
      </c>
      <c r="J945">
        <v>13880.95</v>
      </c>
      <c r="K945" t="str">
        <f t="shared" si="140"/>
        <v>30-35</v>
      </c>
      <c r="L945">
        <f t="shared" si="141"/>
        <v>0</v>
      </c>
      <c r="M945">
        <f t="shared" si="142"/>
        <v>0</v>
      </c>
      <c r="N945">
        <f t="shared" si="143"/>
        <v>1</v>
      </c>
      <c r="O945">
        <f t="shared" si="144"/>
        <v>0</v>
      </c>
      <c r="P945">
        <v>0.5168127002072419</v>
      </c>
      <c r="Q945">
        <f t="shared" si="145"/>
        <v>0</v>
      </c>
      <c r="R945">
        <f t="shared" si="146"/>
        <v>0</v>
      </c>
      <c r="S945">
        <f t="shared" si="147"/>
        <v>1</v>
      </c>
      <c r="T945">
        <f t="shared" si="148"/>
        <v>8046.28</v>
      </c>
      <c r="U945">
        <f t="shared" si="149"/>
        <v>5834.670000000001</v>
      </c>
    </row>
    <row r="946" spans="1:21" x14ac:dyDescent="0.3">
      <c r="A946">
        <v>945</v>
      </c>
      <c r="B946">
        <v>57</v>
      </c>
      <c r="C946" t="s">
        <v>16</v>
      </c>
      <c r="D946">
        <v>36.299999999999997</v>
      </c>
      <c r="E946">
        <v>98</v>
      </c>
      <c r="F946" t="s">
        <v>11</v>
      </c>
      <c r="G946">
        <v>0</v>
      </c>
      <c r="H946" t="s">
        <v>12</v>
      </c>
      <c r="I946" t="s">
        <v>13</v>
      </c>
      <c r="J946">
        <v>13887.2</v>
      </c>
      <c r="K946" t="str">
        <f t="shared" si="140"/>
        <v>35+</v>
      </c>
      <c r="L946">
        <f t="shared" si="141"/>
        <v>0</v>
      </c>
      <c r="M946">
        <f t="shared" si="142"/>
        <v>1</v>
      </c>
      <c r="N946">
        <f t="shared" si="143"/>
        <v>0</v>
      </c>
      <c r="O946">
        <f t="shared" si="144"/>
        <v>0</v>
      </c>
      <c r="P946">
        <v>0.86529589158780673</v>
      </c>
      <c r="Q946">
        <f t="shared" si="145"/>
        <v>0</v>
      </c>
      <c r="R946">
        <f t="shared" si="146"/>
        <v>1</v>
      </c>
      <c r="S946">
        <f t="shared" si="147"/>
        <v>1</v>
      </c>
      <c r="T946">
        <f t="shared" si="148"/>
        <v>8123.9599999999991</v>
      </c>
      <c r="U946">
        <f t="shared" si="149"/>
        <v>5763.2400000000016</v>
      </c>
    </row>
    <row r="947" spans="1:21" x14ac:dyDescent="0.3">
      <c r="A947">
        <v>946</v>
      </c>
      <c r="B947">
        <v>57</v>
      </c>
      <c r="C947" t="s">
        <v>16</v>
      </c>
      <c r="D947">
        <v>36.9</v>
      </c>
      <c r="E947">
        <v>88</v>
      </c>
      <c r="F947" t="s">
        <v>11</v>
      </c>
      <c r="G947">
        <v>0</v>
      </c>
      <c r="H947" t="s">
        <v>12</v>
      </c>
      <c r="I947" t="s">
        <v>13</v>
      </c>
      <c r="J947">
        <v>13887.97</v>
      </c>
      <c r="K947" t="str">
        <f t="shared" si="140"/>
        <v>35+</v>
      </c>
      <c r="L947">
        <f t="shared" si="141"/>
        <v>0</v>
      </c>
      <c r="M947">
        <f t="shared" si="142"/>
        <v>1</v>
      </c>
      <c r="N947">
        <f t="shared" si="143"/>
        <v>0</v>
      </c>
      <c r="O947">
        <f t="shared" si="144"/>
        <v>0</v>
      </c>
      <c r="P947">
        <v>0.67523805168433026</v>
      </c>
      <c r="Q947">
        <f t="shared" si="145"/>
        <v>0</v>
      </c>
      <c r="R947">
        <f t="shared" si="146"/>
        <v>1</v>
      </c>
      <c r="S947">
        <f t="shared" si="147"/>
        <v>1</v>
      </c>
      <c r="T947">
        <f t="shared" si="148"/>
        <v>6579.3600000000006</v>
      </c>
      <c r="U947">
        <f t="shared" si="149"/>
        <v>7308.6099999999988</v>
      </c>
    </row>
    <row r="948" spans="1:21" x14ac:dyDescent="0.3">
      <c r="A948">
        <v>947</v>
      </c>
      <c r="B948">
        <v>20</v>
      </c>
      <c r="C948" t="s">
        <v>10</v>
      </c>
      <c r="D948">
        <v>33.1</v>
      </c>
      <c r="E948">
        <v>99</v>
      </c>
      <c r="F948" t="s">
        <v>12</v>
      </c>
      <c r="G948">
        <v>3</v>
      </c>
      <c r="H948" t="s">
        <v>12</v>
      </c>
      <c r="I948" t="s">
        <v>13</v>
      </c>
      <c r="J948">
        <v>13919.82</v>
      </c>
      <c r="K948" t="str">
        <f t="shared" si="140"/>
        <v>30-35</v>
      </c>
      <c r="L948">
        <f t="shared" si="141"/>
        <v>0</v>
      </c>
      <c r="M948">
        <f t="shared" si="142"/>
        <v>1</v>
      </c>
      <c r="N948">
        <f t="shared" si="143"/>
        <v>0</v>
      </c>
      <c r="O948">
        <f t="shared" si="144"/>
        <v>0</v>
      </c>
      <c r="P948">
        <v>0.37795639960279548</v>
      </c>
      <c r="Q948">
        <f t="shared" si="145"/>
        <v>0</v>
      </c>
      <c r="R948">
        <f t="shared" si="146"/>
        <v>0</v>
      </c>
      <c r="S948">
        <f t="shared" si="147"/>
        <v>0</v>
      </c>
      <c r="T948">
        <f t="shared" si="148"/>
        <v>9896.14</v>
      </c>
      <c r="U948">
        <f t="shared" si="149"/>
        <v>4023.6800000000003</v>
      </c>
    </row>
    <row r="949" spans="1:21" x14ac:dyDescent="0.3">
      <c r="A949">
        <v>948</v>
      </c>
      <c r="B949">
        <v>33</v>
      </c>
      <c r="C949" t="s">
        <v>10</v>
      </c>
      <c r="D949">
        <v>27.6</v>
      </c>
      <c r="E949">
        <v>109</v>
      </c>
      <c r="F949" t="s">
        <v>12</v>
      </c>
      <c r="G949">
        <v>1</v>
      </c>
      <c r="H949" t="s">
        <v>12</v>
      </c>
      <c r="I949" t="s">
        <v>14</v>
      </c>
      <c r="J949">
        <v>13937.67</v>
      </c>
      <c r="K949" t="str">
        <f t="shared" si="140"/>
        <v>25-30</v>
      </c>
      <c r="L949">
        <f t="shared" si="141"/>
        <v>0</v>
      </c>
      <c r="M949">
        <f t="shared" si="142"/>
        <v>0</v>
      </c>
      <c r="N949">
        <f t="shared" si="143"/>
        <v>0</v>
      </c>
      <c r="O949">
        <f t="shared" si="144"/>
        <v>1</v>
      </c>
      <c r="P949">
        <v>0.81285203661017447</v>
      </c>
      <c r="Q949">
        <f t="shared" si="145"/>
        <v>0</v>
      </c>
      <c r="R949">
        <f t="shared" si="146"/>
        <v>0</v>
      </c>
      <c r="S949">
        <f t="shared" si="147"/>
        <v>0</v>
      </c>
      <c r="T949">
        <f t="shared" si="148"/>
        <v>10225.36</v>
      </c>
      <c r="U949">
        <f t="shared" si="149"/>
        <v>3712.3099999999995</v>
      </c>
    </row>
    <row r="950" spans="1:21" x14ac:dyDescent="0.3">
      <c r="A950">
        <v>949</v>
      </c>
      <c r="B950">
        <v>31</v>
      </c>
      <c r="C950" t="s">
        <v>10</v>
      </c>
      <c r="D950">
        <v>31.4</v>
      </c>
      <c r="E950">
        <v>82</v>
      </c>
      <c r="F950" t="s">
        <v>12</v>
      </c>
      <c r="G950">
        <v>0</v>
      </c>
      <c r="H950" t="s">
        <v>12</v>
      </c>
      <c r="I950" t="s">
        <v>17</v>
      </c>
      <c r="J950">
        <v>13974.46</v>
      </c>
      <c r="K950" t="str">
        <f t="shared" si="140"/>
        <v>30-35</v>
      </c>
      <c r="L950">
        <f t="shared" si="141"/>
        <v>0</v>
      </c>
      <c r="M950">
        <f t="shared" si="142"/>
        <v>0</v>
      </c>
      <c r="N950">
        <f t="shared" si="143"/>
        <v>0</v>
      </c>
      <c r="O950">
        <f t="shared" si="144"/>
        <v>0</v>
      </c>
      <c r="P950">
        <v>0.35173578195728805</v>
      </c>
      <c r="Q950">
        <f t="shared" si="145"/>
        <v>0</v>
      </c>
      <c r="R950">
        <f t="shared" si="146"/>
        <v>0</v>
      </c>
      <c r="S950">
        <f t="shared" si="147"/>
        <v>0</v>
      </c>
      <c r="T950">
        <f t="shared" si="148"/>
        <v>8453.69</v>
      </c>
      <c r="U950">
        <f t="shared" si="149"/>
        <v>5520.7699999999986</v>
      </c>
    </row>
    <row r="951" spans="1:21" x14ac:dyDescent="0.3">
      <c r="A951">
        <v>950</v>
      </c>
      <c r="B951">
        <v>43</v>
      </c>
      <c r="C951" t="s">
        <v>10</v>
      </c>
      <c r="D951">
        <v>36.799999999999997</v>
      </c>
      <c r="E951">
        <v>85</v>
      </c>
      <c r="F951" t="s">
        <v>12</v>
      </c>
      <c r="G951">
        <v>0</v>
      </c>
      <c r="H951" t="s">
        <v>12</v>
      </c>
      <c r="I951" t="s">
        <v>17</v>
      </c>
      <c r="J951">
        <v>13981.85</v>
      </c>
      <c r="K951" t="str">
        <f t="shared" si="140"/>
        <v>35+</v>
      </c>
      <c r="L951">
        <f t="shared" si="141"/>
        <v>0</v>
      </c>
      <c r="M951">
        <f t="shared" si="142"/>
        <v>0</v>
      </c>
      <c r="N951">
        <f t="shared" si="143"/>
        <v>0</v>
      </c>
      <c r="O951">
        <f t="shared" si="144"/>
        <v>0</v>
      </c>
      <c r="P951">
        <v>3.9566532683810496E-2</v>
      </c>
      <c r="Q951">
        <f t="shared" si="145"/>
        <v>0</v>
      </c>
      <c r="R951">
        <f t="shared" si="146"/>
        <v>0</v>
      </c>
      <c r="S951">
        <f t="shared" si="147"/>
        <v>0</v>
      </c>
      <c r="T951">
        <f t="shared" si="148"/>
        <v>9378.7999999999993</v>
      </c>
      <c r="U951">
        <f t="shared" si="149"/>
        <v>4603.0500000000011</v>
      </c>
    </row>
    <row r="952" spans="1:21" x14ac:dyDescent="0.3">
      <c r="A952">
        <v>951</v>
      </c>
      <c r="B952">
        <v>32</v>
      </c>
      <c r="C952" t="s">
        <v>16</v>
      </c>
      <c r="D952">
        <v>27.7</v>
      </c>
      <c r="E952">
        <v>86</v>
      </c>
      <c r="F952" t="s">
        <v>11</v>
      </c>
      <c r="G952">
        <v>3</v>
      </c>
      <c r="H952" t="s">
        <v>12</v>
      </c>
      <c r="I952" t="s">
        <v>13</v>
      </c>
      <c r="J952">
        <v>14001.13</v>
      </c>
      <c r="K952" t="str">
        <f t="shared" si="140"/>
        <v>25-30</v>
      </c>
      <c r="L952">
        <f t="shared" si="141"/>
        <v>0</v>
      </c>
      <c r="M952">
        <f t="shared" si="142"/>
        <v>1</v>
      </c>
      <c r="N952">
        <f t="shared" si="143"/>
        <v>0</v>
      </c>
      <c r="O952">
        <f t="shared" si="144"/>
        <v>0</v>
      </c>
      <c r="P952">
        <v>0.2341916775828472</v>
      </c>
      <c r="Q952">
        <f t="shared" si="145"/>
        <v>0</v>
      </c>
      <c r="R952">
        <f t="shared" si="146"/>
        <v>1</v>
      </c>
      <c r="S952">
        <f t="shared" si="147"/>
        <v>1</v>
      </c>
      <c r="T952">
        <f t="shared" si="148"/>
        <v>7720.2999999999993</v>
      </c>
      <c r="U952">
        <f t="shared" si="149"/>
        <v>6280.83</v>
      </c>
    </row>
    <row r="953" spans="1:21" x14ac:dyDescent="0.3">
      <c r="A953">
        <v>952</v>
      </c>
      <c r="B953">
        <v>50</v>
      </c>
      <c r="C953" t="s">
        <v>16</v>
      </c>
      <c r="D953">
        <v>27.8</v>
      </c>
      <c r="E953">
        <v>80</v>
      </c>
      <c r="F953" t="s">
        <v>11</v>
      </c>
      <c r="G953">
        <v>3</v>
      </c>
      <c r="H953" t="s">
        <v>12</v>
      </c>
      <c r="I953" t="s">
        <v>13</v>
      </c>
      <c r="J953">
        <v>14001.29</v>
      </c>
      <c r="K953" t="str">
        <f t="shared" si="140"/>
        <v>25-30</v>
      </c>
      <c r="L953">
        <f t="shared" si="141"/>
        <v>0</v>
      </c>
      <c r="M953">
        <f t="shared" si="142"/>
        <v>1</v>
      </c>
      <c r="N953">
        <f t="shared" si="143"/>
        <v>0</v>
      </c>
      <c r="O953">
        <f t="shared" si="144"/>
        <v>0</v>
      </c>
      <c r="P953">
        <v>0.27711184503055286</v>
      </c>
      <c r="Q953">
        <f t="shared" si="145"/>
        <v>0</v>
      </c>
      <c r="R953">
        <f t="shared" si="146"/>
        <v>1</v>
      </c>
      <c r="S953">
        <f t="shared" si="147"/>
        <v>1</v>
      </c>
      <c r="T953">
        <f t="shared" si="148"/>
        <v>6748.27</v>
      </c>
      <c r="U953">
        <f t="shared" si="149"/>
        <v>7253.02</v>
      </c>
    </row>
    <row r="954" spans="1:21" x14ac:dyDescent="0.3">
      <c r="A954">
        <v>953</v>
      </c>
      <c r="B954">
        <v>41</v>
      </c>
      <c r="C954" t="s">
        <v>16</v>
      </c>
      <c r="D954">
        <v>32.1</v>
      </c>
      <c r="E954">
        <v>109</v>
      </c>
      <c r="F954" t="s">
        <v>11</v>
      </c>
      <c r="G954">
        <v>3</v>
      </c>
      <c r="H954" t="s">
        <v>12</v>
      </c>
      <c r="I954" t="s">
        <v>15</v>
      </c>
      <c r="J954">
        <v>14007.22</v>
      </c>
      <c r="K954" t="str">
        <f t="shared" si="140"/>
        <v>30-35</v>
      </c>
      <c r="L954">
        <f t="shared" si="141"/>
        <v>0</v>
      </c>
      <c r="M954">
        <f t="shared" si="142"/>
        <v>0</v>
      </c>
      <c r="N954">
        <f t="shared" si="143"/>
        <v>1</v>
      </c>
      <c r="O954">
        <f t="shared" si="144"/>
        <v>0</v>
      </c>
      <c r="P954">
        <v>0.68007771323331123</v>
      </c>
      <c r="Q954">
        <f t="shared" si="145"/>
        <v>0</v>
      </c>
      <c r="R954">
        <f t="shared" si="146"/>
        <v>1</v>
      </c>
      <c r="S954">
        <f t="shared" si="147"/>
        <v>1</v>
      </c>
      <c r="T954">
        <f t="shared" si="148"/>
        <v>12444.170000000004</v>
      </c>
      <c r="U954">
        <f t="shared" si="149"/>
        <v>1563.0499999999956</v>
      </c>
    </row>
    <row r="955" spans="1:21" x14ac:dyDescent="0.3">
      <c r="A955">
        <v>954</v>
      </c>
      <c r="B955">
        <v>42</v>
      </c>
      <c r="C955" t="s">
        <v>16</v>
      </c>
      <c r="D955">
        <v>31.7</v>
      </c>
      <c r="E955">
        <v>83</v>
      </c>
      <c r="F955" t="s">
        <v>12</v>
      </c>
      <c r="G955">
        <v>0</v>
      </c>
      <c r="H955" t="s">
        <v>12</v>
      </c>
      <c r="I955" t="s">
        <v>17</v>
      </c>
      <c r="J955">
        <v>14043.48</v>
      </c>
      <c r="K955" t="str">
        <f t="shared" si="140"/>
        <v>30-35</v>
      </c>
      <c r="L955">
        <f t="shared" si="141"/>
        <v>0</v>
      </c>
      <c r="M955">
        <f t="shared" si="142"/>
        <v>0</v>
      </c>
      <c r="N955">
        <f t="shared" si="143"/>
        <v>0</v>
      </c>
      <c r="O955">
        <f t="shared" si="144"/>
        <v>0</v>
      </c>
      <c r="P955">
        <v>0.96626020402871127</v>
      </c>
      <c r="Q955">
        <f t="shared" si="145"/>
        <v>0</v>
      </c>
      <c r="R955">
        <f t="shared" si="146"/>
        <v>0</v>
      </c>
      <c r="S955">
        <f t="shared" si="147"/>
        <v>1</v>
      </c>
      <c r="T955">
        <f t="shared" si="148"/>
        <v>9069.8000000000011</v>
      </c>
      <c r="U955">
        <f t="shared" si="149"/>
        <v>4973.6799999999985</v>
      </c>
    </row>
    <row r="956" spans="1:21" x14ac:dyDescent="0.3">
      <c r="A956">
        <v>955</v>
      </c>
      <c r="B956">
        <v>24</v>
      </c>
      <c r="C956" t="s">
        <v>10</v>
      </c>
      <c r="D956">
        <v>32.299999999999997</v>
      </c>
      <c r="E956">
        <v>97</v>
      </c>
      <c r="F956" t="s">
        <v>12</v>
      </c>
      <c r="G956">
        <v>2</v>
      </c>
      <c r="H956" t="s">
        <v>12</v>
      </c>
      <c r="I956" t="s">
        <v>14</v>
      </c>
      <c r="J956">
        <v>14119.62</v>
      </c>
      <c r="K956" t="str">
        <f t="shared" si="140"/>
        <v>30-35</v>
      </c>
      <c r="L956">
        <f t="shared" si="141"/>
        <v>0</v>
      </c>
      <c r="M956">
        <f t="shared" si="142"/>
        <v>0</v>
      </c>
      <c r="N956">
        <f t="shared" si="143"/>
        <v>0</v>
      </c>
      <c r="O956">
        <f t="shared" si="144"/>
        <v>1</v>
      </c>
      <c r="P956">
        <v>0.55645393721545588</v>
      </c>
      <c r="Q956">
        <f t="shared" si="145"/>
        <v>0</v>
      </c>
      <c r="R956">
        <f t="shared" si="146"/>
        <v>0</v>
      </c>
      <c r="S956">
        <f t="shared" si="147"/>
        <v>0</v>
      </c>
      <c r="T956">
        <f t="shared" si="148"/>
        <v>9461.89</v>
      </c>
      <c r="U956">
        <f t="shared" si="149"/>
        <v>4657.7300000000014</v>
      </c>
    </row>
    <row r="957" spans="1:21" x14ac:dyDescent="0.3">
      <c r="A957">
        <v>956</v>
      </c>
      <c r="B957">
        <v>30</v>
      </c>
      <c r="C957" t="s">
        <v>16</v>
      </c>
      <c r="D957">
        <v>38.299999999999997</v>
      </c>
      <c r="E957">
        <v>98</v>
      </c>
      <c r="F957" t="s">
        <v>12</v>
      </c>
      <c r="G957">
        <v>0</v>
      </c>
      <c r="H957" t="s">
        <v>12</v>
      </c>
      <c r="I957" t="s">
        <v>13</v>
      </c>
      <c r="J957">
        <v>14133.04</v>
      </c>
      <c r="K957" t="str">
        <f t="shared" si="140"/>
        <v>35+</v>
      </c>
      <c r="L957">
        <f t="shared" si="141"/>
        <v>0</v>
      </c>
      <c r="M957">
        <f t="shared" si="142"/>
        <v>1</v>
      </c>
      <c r="N957">
        <f t="shared" si="143"/>
        <v>0</v>
      </c>
      <c r="O957">
        <f t="shared" si="144"/>
        <v>0</v>
      </c>
      <c r="P957">
        <v>0.35514705647076883</v>
      </c>
      <c r="Q957">
        <f t="shared" si="145"/>
        <v>0</v>
      </c>
      <c r="R957">
        <f t="shared" si="146"/>
        <v>0</v>
      </c>
      <c r="S957">
        <f t="shared" si="147"/>
        <v>1</v>
      </c>
      <c r="T957">
        <f t="shared" si="148"/>
        <v>8398.5800000000017</v>
      </c>
      <c r="U957">
        <f t="shared" si="149"/>
        <v>5734.4599999999991</v>
      </c>
    </row>
    <row r="958" spans="1:21" x14ac:dyDescent="0.3">
      <c r="A958">
        <v>957</v>
      </c>
      <c r="B958">
        <v>47</v>
      </c>
      <c r="C958" t="s">
        <v>10</v>
      </c>
      <c r="D958">
        <v>37.9</v>
      </c>
      <c r="E958">
        <v>103</v>
      </c>
      <c r="F958" t="s">
        <v>12</v>
      </c>
      <c r="G958">
        <v>0</v>
      </c>
      <c r="H958" t="s">
        <v>12</v>
      </c>
      <c r="I958" t="s">
        <v>14</v>
      </c>
      <c r="J958">
        <v>14210.54</v>
      </c>
      <c r="K958" t="str">
        <f t="shared" si="140"/>
        <v>35+</v>
      </c>
      <c r="L958">
        <f t="shared" si="141"/>
        <v>0</v>
      </c>
      <c r="M958">
        <f t="shared" si="142"/>
        <v>0</v>
      </c>
      <c r="N958">
        <f t="shared" si="143"/>
        <v>0</v>
      </c>
      <c r="O958">
        <f t="shared" si="144"/>
        <v>1</v>
      </c>
      <c r="P958">
        <v>5.8230130808359926E-3</v>
      </c>
      <c r="Q958">
        <f t="shared" si="145"/>
        <v>0</v>
      </c>
      <c r="R958">
        <f t="shared" si="146"/>
        <v>0</v>
      </c>
      <c r="S958">
        <f t="shared" si="147"/>
        <v>0</v>
      </c>
      <c r="T958">
        <f t="shared" si="148"/>
        <v>9392.3100000000013</v>
      </c>
      <c r="U958">
        <f t="shared" si="149"/>
        <v>4818.2299999999996</v>
      </c>
    </row>
    <row r="959" spans="1:21" x14ac:dyDescent="0.3">
      <c r="A959">
        <v>958</v>
      </c>
      <c r="B959">
        <v>56</v>
      </c>
      <c r="C959" t="s">
        <v>16</v>
      </c>
      <c r="D959">
        <v>39.1</v>
      </c>
      <c r="E959">
        <v>83</v>
      </c>
      <c r="F959" t="s">
        <v>12</v>
      </c>
      <c r="G959">
        <v>2</v>
      </c>
      <c r="H959" t="s">
        <v>12</v>
      </c>
      <c r="I959" t="s">
        <v>15</v>
      </c>
      <c r="J959">
        <v>14235.07</v>
      </c>
      <c r="K959" t="str">
        <f t="shared" si="140"/>
        <v>35+</v>
      </c>
      <c r="L959">
        <f t="shared" si="141"/>
        <v>0</v>
      </c>
      <c r="M959">
        <f t="shared" si="142"/>
        <v>0</v>
      </c>
      <c r="N959">
        <f t="shared" si="143"/>
        <v>1</v>
      </c>
      <c r="O959">
        <f t="shared" si="144"/>
        <v>0</v>
      </c>
      <c r="P959">
        <v>0.51784336309089884</v>
      </c>
      <c r="Q959">
        <f t="shared" si="145"/>
        <v>0</v>
      </c>
      <c r="R959">
        <f t="shared" si="146"/>
        <v>0</v>
      </c>
      <c r="S959">
        <f t="shared" si="147"/>
        <v>1</v>
      </c>
      <c r="T959">
        <f t="shared" si="148"/>
        <v>8204.9500000000007</v>
      </c>
      <c r="U959">
        <f t="shared" si="149"/>
        <v>6030.119999999999</v>
      </c>
    </row>
    <row r="960" spans="1:21" x14ac:dyDescent="0.3">
      <c r="A960">
        <v>959</v>
      </c>
      <c r="B960">
        <v>28</v>
      </c>
      <c r="C960" t="s">
        <v>16</v>
      </c>
      <c r="D960">
        <v>25.1</v>
      </c>
      <c r="E960">
        <v>103</v>
      </c>
      <c r="F960" t="s">
        <v>12</v>
      </c>
      <c r="G960">
        <v>0</v>
      </c>
      <c r="H960" t="s">
        <v>12</v>
      </c>
      <c r="I960" t="s">
        <v>14</v>
      </c>
      <c r="J960">
        <v>14254.61</v>
      </c>
      <c r="K960" t="str">
        <f t="shared" si="140"/>
        <v>25-30</v>
      </c>
      <c r="L960">
        <f t="shared" si="141"/>
        <v>0</v>
      </c>
      <c r="M960">
        <f t="shared" si="142"/>
        <v>0</v>
      </c>
      <c r="N960">
        <f t="shared" si="143"/>
        <v>0</v>
      </c>
      <c r="O960">
        <f t="shared" si="144"/>
        <v>1</v>
      </c>
      <c r="P960">
        <v>0.47051117616848548</v>
      </c>
      <c r="Q960">
        <f t="shared" si="145"/>
        <v>0</v>
      </c>
      <c r="R960">
        <f t="shared" si="146"/>
        <v>0</v>
      </c>
      <c r="S960">
        <f t="shared" si="147"/>
        <v>1</v>
      </c>
      <c r="T960">
        <f t="shared" si="148"/>
        <v>8767.18</v>
      </c>
      <c r="U960">
        <f t="shared" si="149"/>
        <v>5487.43</v>
      </c>
    </row>
    <row r="961" spans="1:21" x14ac:dyDescent="0.3">
      <c r="A961">
        <v>960</v>
      </c>
      <c r="B961">
        <v>51</v>
      </c>
      <c r="C961" t="s">
        <v>16</v>
      </c>
      <c r="D961">
        <v>26.2</v>
      </c>
      <c r="E961">
        <v>106</v>
      </c>
      <c r="F961" t="s">
        <v>11</v>
      </c>
      <c r="G961">
        <v>0</v>
      </c>
      <c r="H961" t="s">
        <v>12</v>
      </c>
      <c r="I961" t="s">
        <v>14</v>
      </c>
      <c r="J961">
        <v>14256.19</v>
      </c>
      <c r="K961" t="str">
        <f t="shared" si="140"/>
        <v>25-30</v>
      </c>
      <c r="L961">
        <f t="shared" si="141"/>
        <v>0</v>
      </c>
      <c r="M961">
        <f t="shared" si="142"/>
        <v>0</v>
      </c>
      <c r="N961">
        <f t="shared" si="143"/>
        <v>0</v>
      </c>
      <c r="O961">
        <f t="shared" si="144"/>
        <v>1</v>
      </c>
      <c r="P961">
        <v>0.27221603184700416</v>
      </c>
      <c r="Q961">
        <f t="shared" si="145"/>
        <v>0</v>
      </c>
      <c r="R961">
        <f t="shared" si="146"/>
        <v>1</v>
      </c>
      <c r="S961">
        <f t="shared" si="147"/>
        <v>1</v>
      </c>
      <c r="T961">
        <f t="shared" si="148"/>
        <v>9241.5000000000018</v>
      </c>
      <c r="U961">
        <f t="shared" si="149"/>
        <v>5014.6899999999987</v>
      </c>
    </row>
    <row r="962" spans="1:21" x14ac:dyDescent="0.3">
      <c r="A962">
        <v>961</v>
      </c>
      <c r="B962">
        <v>48</v>
      </c>
      <c r="C962" t="s">
        <v>16</v>
      </c>
      <c r="D962">
        <v>21.7</v>
      </c>
      <c r="E962">
        <v>90</v>
      </c>
      <c r="F962" t="s">
        <v>11</v>
      </c>
      <c r="G962">
        <v>0</v>
      </c>
      <c r="H962" t="s">
        <v>11</v>
      </c>
      <c r="I962" t="s">
        <v>17</v>
      </c>
      <c r="J962">
        <v>14283.46</v>
      </c>
      <c r="K962" t="str">
        <f t="shared" si="140"/>
        <v>20-25</v>
      </c>
      <c r="L962">
        <f t="shared" si="141"/>
        <v>21.7</v>
      </c>
      <c r="M962">
        <f t="shared" si="142"/>
        <v>0</v>
      </c>
      <c r="N962">
        <f t="shared" si="143"/>
        <v>0</v>
      </c>
      <c r="O962">
        <f t="shared" si="144"/>
        <v>0</v>
      </c>
      <c r="P962">
        <v>0.58504950578947934</v>
      </c>
      <c r="Q962">
        <f t="shared" si="145"/>
        <v>1</v>
      </c>
      <c r="R962">
        <f t="shared" si="146"/>
        <v>1</v>
      </c>
      <c r="S962">
        <f t="shared" si="147"/>
        <v>1</v>
      </c>
      <c r="T962">
        <f t="shared" si="148"/>
        <v>18750.762999999999</v>
      </c>
      <c r="U962">
        <f t="shared" si="149"/>
        <v>-4467.3029999999999</v>
      </c>
    </row>
    <row r="963" spans="1:21" x14ac:dyDescent="0.3">
      <c r="A963">
        <v>962</v>
      </c>
      <c r="B963">
        <v>38</v>
      </c>
      <c r="C963" t="s">
        <v>16</v>
      </c>
      <c r="D963">
        <v>36</v>
      </c>
      <c r="E963">
        <v>83</v>
      </c>
      <c r="F963" t="s">
        <v>12</v>
      </c>
      <c r="G963">
        <v>0</v>
      </c>
      <c r="H963" t="s">
        <v>12</v>
      </c>
      <c r="I963" t="s">
        <v>13</v>
      </c>
      <c r="J963">
        <v>14313.85</v>
      </c>
      <c r="K963" t="str">
        <f t="shared" ref="K963:K1026" si="150">IF(D963&lt;20, "&lt;20", IF(D963&lt;25, "20-25", IF(D963&lt;30, "25-30", IF(D963&lt;35, "30-35", "35+"))))</f>
        <v>35+</v>
      </c>
      <c r="L963">
        <f t="shared" ref="L963:L1026" si="151">D963*Q963</f>
        <v>0</v>
      </c>
      <c r="M963">
        <f t="shared" ref="M963:M1026" si="152">IF(I963="southeast", 1, 0)</f>
        <v>1</v>
      </c>
      <c r="N963">
        <f t="shared" ref="N963:N1026" si="153">IF(I963="southwest", 1, 0)</f>
        <v>0</v>
      </c>
      <c r="O963">
        <f t="shared" ref="O963:O1026" si="154">IF(I963="northwest", 1, 0)</f>
        <v>0</v>
      </c>
      <c r="P963">
        <v>0.79324010131896083</v>
      </c>
      <c r="Q963">
        <f t="shared" ref="Q963:Q1026" si="155">IF(H963="Yes", 1, 0)</f>
        <v>0</v>
      </c>
      <c r="R963">
        <f t="shared" ref="R963:R1026" si="156">IF(F963="yes", 1, 0)</f>
        <v>0</v>
      </c>
      <c r="S963">
        <f t="shared" ref="S963:S1026" si="157">IF(C963="female", 1, 0)</f>
        <v>1</v>
      </c>
      <c r="T963">
        <f t="shared" ref="T963:T1026" si="158">-7277.71 + (-1.28*B963) + (85.5*D963) + (738.24*G963) + (159.59*E963) + (1259.19*L963) + (-3644.73*M963) + (-2956.11*N963) + (-2948.04*O963) + (-17828.85*Q963) + (-69.06*R963) + (444.95*S963)</f>
        <v>5797.8400000000011</v>
      </c>
      <c r="U963">
        <f t="shared" ref="U963:U1026" si="159">J963-T963</f>
        <v>8516.0099999999984</v>
      </c>
    </row>
    <row r="964" spans="1:21" x14ac:dyDescent="0.3">
      <c r="A964">
        <v>963</v>
      </c>
      <c r="B964">
        <v>38</v>
      </c>
      <c r="C964" t="s">
        <v>16</v>
      </c>
      <c r="D964">
        <v>39.700000000000003</v>
      </c>
      <c r="E964">
        <v>98</v>
      </c>
      <c r="F964" t="s">
        <v>12</v>
      </c>
      <c r="G964">
        <v>0</v>
      </c>
      <c r="H964" t="s">
        <v>12</v>
      </c>
      <c r="I964" t="s">
        <v>15</v>
      </c>
      <c r="J964">
        <v>14319.03</v>
      </c>
      <c r="K964" t="str">
        <f t="shared" si="150"/>
        <v>35+</v>
      </c>
      <c r="L964">
        <f t="shared" si="151"/>
        <v>0</v>
      </c>
      <c r="M964">
        <f t="shared" si="152"/>
        <v>0</v>
      </c>
      <c r="N964">
        <f t="shared" si="153"/>
        <v>1</v>
      </c>
      <c r="O964">
        <f t="shared" si="154"/>
        <v>0</v>
      </c>
      <c r="P964">
        <v>0.66233641844067193</v>
      </c>
      <c r="Q964">
        <f t="shared" si="155"/>
        <v>0</v>
      </c>
      <c r="R964">
        <f t="shared" si="156"/>
        <v>0</v>
      </c>
      <c r="S964">
        <f t="shared" si="157"/>
        <v>1</v>
      </c>
      <c r="T964">
        <f t="shared" si="158"/>
        <v>9196.66</v>
      </c>
      <c r="U964">
        <f t="shared" si="159"/>
        <v>5122.3700000000008</v>
      </c>
    </row>
    <row r="965" spans="1:21" x14ac:dyDescent="0.3">
      <c r="A965">
        <v>964</v>
      </c>
      <c r="B965">
        <v>40</v>
      </c>
      <c r="C965" t="s">
        <v>10</v>
      </c>
      <c r="D965">
        <v>21.7</v>
      </c>
      <c r="E965">
        <v>107</v>
      </c>
      <c r="F965" t="s">
        <v>11</v>
      </c>
      <c r="G965">
        <v>1</v>
      </c>
      <c r="H965" t="s">
        <v>12</v>
      </c>
      <c r="I965" t="s">
        <v>14</v>
      </c>
      <c r="J965">
        <v>14349.85</v>
      </c>
      <c r="K965" t="str">
        <f t="shared" si="150"/>
        <v>20-25</v>
      </c>
      <c r="L965">
        <f t="shared" si="151"/>
        <v>0</v>
      </c>
      <c r="M965">
        <f t="shared" si="152"/>
        <v>0</v>
      </c>
      <c r="N965">
        <f t="shared" si="153"/>
        <v>0</v>
      </c>
      <c r="O965">
        <f t="shared" si="154"/>
        <v>1</v>
      </c>
      <c r="P965">
        <v>0.22961055517788787</v>
      </c>
      <c r="Q965">
        <f t="shared" si="155"/>
        <v>0</v>
      </c>
      <c r="R965">
        <f t="shared" si="156"/>
        <v>1</v>
      </c>
      <c r="S965">
        <f t="shared" si="157"/>
        <v>0</v>
      </c>
      <c r="T965">
        <f t="shared" si="158"/>
        <v>9323.7100000000009</v>
      </c>
      <c r="U965">
        <f t="shared" si="159"/>
        <v>5026.1399999999994</v>
      </c>
    </row>
    <row r="966" spans="1:21" x14ac:dyDescent="0.3">
      <c r="A966">
        <v>965</v>
      </c>
      <c r="B966">
        <v>44</v>
      </c>
      <c r="C966" t="s">
        <v>10</v>
      </c>
      <c r="D966">
        <v>32.799999999999997</v>
      </c>
      <c r="E966">
        <v>89</v>
      </c>
      <c r="F966" t="s">
        <v>11</v>
      </c>
      <c r="G966">
        <v>1</v>
      </c>
      <c r="H966" t="s">
        <v>12</v>
      </c>
      <c r="I966" t="s">
        <v>15</v>
      </c>
      <c r="J966">
        <v>14358.36</v>
      </c>
      <c r="K966" t="str">
        <f t="shared" si="150"/>
        <v>30-35</v>
      </c>
      <c r="L966">
        <f t="shared" si="151"/>
        <v>0</v>
      </c>
      <c r="M966">
        <f t="shared" si="152"/>
        <v>0</v>
      </c>
      <c r="N966">
        <f t="shared" si="153"/>
        <v>1</v>
      </c>
      <c r="O966">
        <f t="shared" si="154"/>
        <v>0</v>
      </c>
      <c r="P966">
        <v>0.87711134035770899</v>
      </c>
      <c r="Q966">
        <f t="shared" si="155"/>
        <v>0</v>
      </c>
      <c r="R966">
        <f t="shared" si="156"/>
        <v>1</v>
      </c>
      <c r="S966">
        <f t="shared" si="157"/>
        <v>0</v>
      </c>
      <c r="T966">
        <f t="shared" si="158"/>
        <v>7386.949999999998</v>
      </c>
      <c r="U966">
        <f t="shared" si="159"/>
        <v>6971.4100000000026</v>
      </c>
    </row>
    <row r="967" spans="1:21" x14ac:dyDescent="0.3">
      <c r="A967">
        <v>966</v>
      </c>
      <c r="B967">
        <v>41</v>
      </c>
      <c r="C967" t="s">
        <v>16</v>
      </c>
      <c r="D967">
        <v>26.7</v>
      </c>
      <c r="E967">
        <v>94</v>
      </c>
      <c r="F967" t="s">
        <v>11</v>
      </c>
      <c r="G967">
        <v>3</v>
      </c>
      <c r="H967" t="s">
        <v>12</v>
      </c>
      <c r="I967" t="s">
        <v>14</v>
      </c>
      <c r="J967">
        <v>14382.71</v>
      </c>
      <c r="K967" t="str">
        <f t="shared" si="150"/>
        <v>25-30</v>
      </c>
      <c r="L967">
        <f t="shared" si="151"/>
        <v>0</v>
      </c>
      <c r="M967">
        <f t="shared" si="152"/>
        <v>0</v>
      </c>
      <c r="N967">
        <f t="shared" si="153"/>
        <v>0</v>
      </c>
      <c r="O967">
        <f t="shared" si="154"/>
        <v>1</v>
      </c>
      <c r="P967">
        <v>8.1380757050708019E-2</v>
      </c>
      <c r="Q967">
        <f t="shared" si="155"/>
        <v>0</v>
      </c>
      <c r="R967">
        <f t="shared" si="156"/>
        <v>1</v>
      </c>
      <c r="S967">
        <f t="shared" si="157"/>
        <v>1</v>
      </c>
      <c r="T967">
        <f t="shared" si="158"/>
        <v>9596.69</v>
      </c>
      <c r="U967">
        <f t="shared" si="159"/>
        <v>4786.0199999999986</v>
      </c>
    </row>
    <row r="968" spans="1:21" x14ac:dyDescent="0.3">
      <c r="A968">
        <v>967</v>
      </c>
      <c r="B968">
        <v>45</v>
      </c>
      <c r="C968" t="s">
        <v>16</v>
      </c>
      <c r="D968">
        <v>28.8</v>
      </c>
      <c r="E968">
        <v>101</v>
      </c>
      <c r="F968" t="s">
        <v>12</v>
      </c>
      <c r="G968">
        <v>4</v>
      </c>
      <c r="H968" t="s">
        <v>12</v>
      </c>
      <c r="I968" t="s">
        <v>17</v>
      </c>
      <c r="J968">
        <v>14394.4</v>
      </c>
      <c r="K968" t="str">
        <f t="shared" si="150"/>
        <v>25-30</v>
      </c>
      <c r="L968">
        <f t="shared" si="151"/>
        <v>0</v>
      </c>
      <c r="M968">
        <f t="shared" si="152"/>
        <v>0</v>
      </c>
      <c r="N968">
        <f t="shared" si="153"/>
        <v>0</v>
      </c>
      <c r="O968">
        <f t="shared" si="154"/>
        <v>0</v>
      </c>
      <c r="P968">
        <v>0.36979829112630613</v>
      </c>
      <c r="Q968">
        <f t="shared" si="155"/>
        <v>0</v>
      </c>
      <c r="R968">
        <f t="shared" si="156"/>
        <v>0</v>
      </c>
      <c r="S968">
        <f t="shared" si="157"/>
        <v>1</v>
      </c>
      <c r="T968">
        <f t="shared" si="158"/>
        <v>14643.59</v>
      </c>
      <c r="U968">
        <f t="shared" si="159"/>
        <v>-249.19000000000051</v>
      </c>
    </row>
    <row r="969" spans="1:21" x14ac:dyDescent="0.3">
      <c r="A969">
        <v>968</v>
      </c>
      <c r="B969">
        <v>45</v>
      </c>
      <c r="C969" t="s">
        <v>10</v>
      </c>
      <c r="D969">
        <v>26.4</v>
      </c>
      <c r="E969">
        <v>103</v>
      </c>
      <c r="F969" t="s">
        <v>11</v>
      </c>
      <c r="G969">
        <v>0</v>
      </c>
      <c r="H969" t="s">
        <v>12</v>
      </c>
      <c r="I969" t="s">
        <v>17</v>
      </c>
      <c r="J969">
        <v>14394.56</v>
      </c>
      <c r="K969" t="str">
        <f t="shared" si="150"/>
        <v>25-30</v>
      </c>
      <c r="L969">
        <f t="shared" si="151"/>
        <v>0</v>
      </c>
      <c r="M969">
        <f t="shared" si="152"/>
        <v>0</v>
      </c>
      <c r="N969">
        <f t="shared" si="153"/>
        <v>0</v>
      </c>
      <c r="O969">
        <f t="shared" si="154"/>
        <v>0</v>
      </c>
      <c r="P969">
        <v>0.10363269303546785</v>
      </c>
      <c r="Q969">
        <f t="shared" si="155"/>
        <v>0</v>
      </c>
      <c r="R969">
        <f t="shared" si="156"/>
        <v>1</v>
      </c>
      <c r="S969">
        <f t="shared" si="157"/>
        <v>0</v>
      </c>
      <c r="T969">
        <f t="shared" si="158"/>
        <v>11290.6</v>
      </c>
      <c r="U969">
        <f t="shared" si="159"/>
        <v>3103.9599999999991</v>
      </c>
    </row>
    <row r="970" spans="1:21" x14ac:dyDescent="0.3">
      <c r="A970">
        <v>969</v>
      </c>
      <c r="B970">
        <v>37</v>
      </c>
      <c r="C970" t="s">
        <v>10</v>
      </c>
      <c r="D970">
        <v>38.200000000000003</v>
      </c>
      <c r="E970">
        <v>97</v>
      </c>
      <c r="F970" t="s">
        <v>11</v>
      </c>
      <c r="G970">
        <v>0</v>
      </c>
      <c r="H970" t="s">
        <v>12</v>
      </c>
      <c r="I970" t="s">
        <v>17</v>
      </c>
      <c r="J970">
        <v>14410.93</v>
      </c>
      <c r="K970" t="str">
        <f t="shared" si="150"/>
        <v>35+</v>
      </c>
      <c r="L970">
        <f t="shared" si="151"/>
        <v>0</v>
      </c>
      <c r="M970">
        <f t="shared" si="152"/>
        <v>0</v>
      </c>
      <c r="N970">
        <f t="shared" si="153"/>
        <v>0</v>
      </c>
      <c r="O970">
        <f t="shared" si="154"/>
        <v>0</v>
      </c>
      <c r="P970">
        <v>0.12836309872921414</v>
      </c>
      <c r="Q970">
        <f t="shared" si="155"/>
        <v>0</v>
      </c>
      <c r="R970">
        <f t="shared" si="156"/>
        <v>1</v>
      </c>
      <c r="S970">
        <f t="shared" si="157"/>
        <v>0</v>
      </c>
      <c r="T970">
        <f t="shared" si="158"/>
        <v>11352.2</v>
      </c>
      <c r="U970">
        <f t="shared" si="159"/>
        <v>3058.7299999999996</v>
      </c>
    </row>
    <row r="971" spans="1:21" x14ac:dyDescent="0.3">
      <c r="A971">
        <v>970</v>
      </c>
      <c r="B971">
        <v>31</v>
      </c>
      <c r="C971" t="s">
        <v>10</v>
      </c>
      <c r="D971">
        <v>39.200000000000003</v>
      </c>
      <c r="E971">
        <v>91</v>
      </c>
      <c r="F971" t="s">
        <v>12</v>
      </c>
      <c r="G971">
        <v>1</v>
      </c>
      <c r="H971" t="s">
        <v>12</v>
      </c>
      <c r="I971" t="s">
        <v>13</v>
      </c>
      <c r="J971">
        <v>14418.28</v>
      </c>
      <c r="K971" t="str">
        <f t="shared" si="150"/>
        <v>35+</v>
      </c>
      <c r="L971">
        <f t="shared" si="151"/>
        <v>0</v>
      </c>
      <c r="M971">
        <f t="shared" si="152"/>
        <v>1</v>
      </c>
      <c r="N971">
        <f t="shared" si="153"/>
        <v>0</v>
      </c>
      <c r="O971">
        <f t="shared" si="154"/>
        <v>0</v>
      </c>
      <c r="P971">
        <v>0.4083288455632359</v>
      </c>
      <c r="Q971">
        <f t="shared" si="155"/>
        <v>0</v>
      </c>
      <c r="R971">
        <f t="shared" si="156"/>
        <v>0</v>
      </c>
      <c r="S971">
        <f t="shared" si="157"/>
        <v>0</v>
      </c>
      <c r="T971">
        <f t="shared" si="158"/>
        <v>7650.41</v>
      </c>
      <c r="U971">
        <f t="shared" si="159"/>
        <v>6767.8700000000008</v>
      </c>
    </row>
    <row r="972" spans="1:21" x14ac:dyDescent="0.3">
      <c r="A972">
        <v>971</v>
      </c>
      <c r="B972">
        <v>41</v>
      </c>
      <c r="C972" t="s">
        <v>16</v>
      </c>
      <c r="D972">
        <v>23.2</v>
      </c>
      <c r="E972">
        <v>98</v>
      </c>
      <c r="F972" t="s">
        <v>12</v>
      </c>
      <c r="G972">
        <v>2</v>
      </c>
      <c r="H972" t="s">
        <v>12</v>
      </c>
      <c r="I972" t="s">
        <v>14</v>
      </c>
      <c r="J972">
        <v>14426.07</v>
      </c>
      <c r="K972" t="str">
        <f t="shared" si="150"/>
        <v>20-25</v>
      </c>
      <c r="L972">
        <f t="shared" si="151"/>
        <v>0</v>
      </c>
      <c r="M972">
        <f t="shared" si="152"/>
        <v>0</v>
      </c>
      <c r="N972">
        <f t="shared" si="153"/>
        <v>0</v>
      </c>
      <c r="O972">
        <f t="shared" si="154"/>
        <v>1</v>
      </c>
      <c r="P972">
        <v>7.0402505201881738E-2</v>
      </c>
      <c r="Q972">
        <f t="shared" si="155"/>
        <v>0</v>
      </c>
      <c r="R972">
        <f t="shared" si="156"/>
        <v>0</v>
      </c>
      <c r="S972">
        <f t="shared" si="157"/>
        <v>1</v>
      </c>
      <c r="T972">
        <f t="shared" si="158"/>
        <v>9266.619999999999</v>
      </c>
      <c r="U972">
        <f t="shared" si="159"/>
        <v>5159.4500000000007</v>
      </c>
    </row>
    <row r="973" spans="1:21" x14ac:dyDescent="0.3">
      <c r="A973">
        <v>972</v>
      </c>
      <c r="B973">
        <v>56</v>
      </c>
      <c r="C973" t="s">
        <v>16</v>
      </c>
      <c r="D973">
        <v>21.7</v>
      </c>
      <c r="E973">
        <v>89</v>
      </c>
      <c r="F973" t="s">
        <v>11</v>
      </c>
      <c r="G973">
        <v>0</v>
      </c>
      <c r="H973" t="s">
        <v>12</v>
      </c>
      <c r="I973" t="s">
        <v>17</v>
      </c>
      <c r="J973">
        <v>14449.85</v>
      </c>
      <c r="K973" t="str">
        <f t="shared" si="150"/>
        <v>20-25</v>
      </c>
      <c r="L973">
        <f t="shared" si="151"/>
        <v>0</v>
      </c>
      <c r="M973">
        <f t="shared" si="152"/>
        <v>0</v>
      </c>
      <c r="N973">
        <f t="shared" si="153"/>
        <v>0</v>
      </c>
      <c r="O973">
        <f t="shared" si="154"/>
        <v>0</v>
      </c>
      <c r="P973">
        <v>0.43321709336639269</v>
      </c>
      <c r="Q973">
        <f t="shared" si="155"/>
        <v>0</v>
      </c>
      <c r="R973">
        <f t="shared" si="156"/>
        <v>1</v>
      </c>
      <c r="S973">
        <f t="shared" si="157"/>
        <v>1</v>
      </c>
      <c r="T973">
        <f t="shared" si="158"/>
        <v>9085.36</v>
      </c>
      <c r="U973">
        <f t="shared" si="159"/>
        <v>5364.49</v>
      </c>
    </row>
    <row r="974" spans="1:21" x14ac:dyDescent="0.3">
      <c r="A974">
        <v>973</v>
      </c>
      <c r="B974">
        <v>47</v>
      </c>
      <c r="C974" t="s">
        <v>16</v>
      </c>
      <c r="D974">
        <v>23.1</v>
      </c>
      <c r="E974">
        <v>92</v>
      </c>
      <c r="F974" t="s">
        <v>12</v>
      </c>
      <c r="G974">
        <v>0</v>
      </c>
      <c r="H974" t="s">
        <v>12</v>
      </c>
      <c r="I974" t="s">
        <v>17</v>
      </c>
      <c r="J974">
        <v>14451.84</v>
      </c>
      <c r="K974" t="str">
        <f t="shared" si="150"/>
        <v>20-25</v>
      </c>
      <c r="L974">
        <f t="shared" si="151"/>
        <v>0</v>
      </c>
      <c r="M974">
        <f t="shared" si="152"/>
        <v>0</v>
      </c>
      <c r="N974">
        <f t="shared" si="153"/>
        <v>0</v>
      </c>
      <c r="O974">
        <f t="shared" si="154"/>
        <v>0</v>
      </c>
      <c r="P974">
        <v>0.50179426103736979</v>
      </c>
      <c r="Q974">
        <f t="shared" si="155"/>
        <v>0</v>
      </c>
      <c r="R974">
        <f t="shared" si="156"/>
        <v>0</v>
      </c>
      <c r="S974">
        <f t="shared" si="157"/>
        <v>1</v>
      </c>
      <c r="T974">
        <f t="shared" si="158"/>
        <v>9764.4100000000017</v>
      </c>
      <c r="U974">
        <f t="shared" si="159"/>
        <v>4687.4299999999985</v>
      </c>
    </row>
    <row r="975" spans="1:21" x14ac:dyDescent="0.3">
      <c r="A975">
        <v>974</v>
      </c>
      <c r="B975">
        <v>52</v>
      </c>
      <c r="C975" t="s">
        <v>16</v>
      </c>
      <c r="D975">
        <v>17.2</v>
      </c>
      <c r="E975">
        <v>80</v>
      </c>
      <c r="F975" t="s">
        <v>11</v>
      </c>
      <c r="G975">
        <v>2</v>
      </c>
      <c r="H975" t="s">
        <v>11</v>
      </c>
      <c r="I975" t="s">
        <v>17</v>
      </c>
      <c r="J975">
        <v>14455.64</v>
      </c>
      <c r="K975" t="str">
        <f t="shared" si="150"/>
        <v>&lt;20</v>
      </c>
      <c r="L975">
        <f t="shared" si="151"/>
        <v>17.2</v>
      </c>
      <c r="M975">
        <f t="shared" si="152"/>
        <v>0</v>
      </c>
      <c r="N975">
        <f t="shared" si="153"/>
        <v>0</v>
      </c>
      <c r="O975">
        <f t="shared" si="154"/>
        <v>0</v>
      </c>
      <c r="P975">
        <v>0.56713113545246385</v>
      </c>
      <c r="Q975">
        <f t="shared" si="155"/>
        <v>1</v>
      </c>
      <c r="R975">
        <f t="shared" si="156"/>
        <v>1</v>
      </c>
      <c r="S975">
        <f t="shared" si="157"/>
        <v>1</v>
      </c>
      <c r="T975">
        <f t="shared" si="158"/>
        <v>12575.118000000004</v>
      </c>
      <c r="U975">
        <f t="shared" si="159"/>
        <v>1880.5219999999954</v>
      </c>
    </row>
    <row r="976" spans="1:21" x14ac:dyDescent="0.3">
      <c r="A976">
        <v>975</v>
      </c>
      <c r="B976">
        <v>57</v>
      </c>
      <c r="C976" t="s">
        <v>16</v>
      </c>
      <c r="D976">
        <v>35.200000000000003</v>
      </c>
      <c r="E976">
        <v>94</v>
      </c>
      <c r="F976" t="s">
        <v>12</v>
      </c>
      <c r="G976">
        <v>1</v>
      </c>
      <c r="H976" t="s">
        <v>12</v>
      </c>
      <c r="I976" t="s">
        <v>13</v>
      </c>
      <c r="J976">
        <v>14474.68</v>
      </c>
      <c r="K976" t="str">
        <f t="shared" si="150"/>
        <v>35+</v>
      </c>
      <c r="L976">
        <f t="shared" si="151"/>
        <v>0</v>
      </c>
      <c r="M976">
        <f t="shared" si="152"/>
        <v>1</v>
      </c>
      <c r="N976">
        <f t="shared" si="153"/>
        <v>0</v>
      </c>
      <c r="O976">
        <f t="shared" si="154"/>
        <v>0</v>
      </c>
      <c r="P976">
        <v>0.91017510984048533</v>
      </c>
      <c r="Q976">
        <f t="shared" si="155"/>
        <v>0</v>
      </c>
      <c r="R976">
        <f t="shared" si="156"/>
        <v>0</v>
      </c>
      <c r="S976">
        <f t="shared" si="157"/>
        <v>1</v>
      </c>
      <c r="T976">
        <f t="shared" si="158"/>
        <v>8198.8500000000022</v>
      </c>
      <c r="U976">
        <f t="shared" si="159"/>
        <v>6275.8299999999981</v>
      </c>
    </row>
    <row r="977" spans="1:21" x14ac:dyDescent="0.3">
      <c r="A977">
        <v>976</v>
      </c>
      <c r="B977">
        <v>50</v>
      </c>
      <c r="C977" t="s">
        <v>10</v>
      </c>
      <c r="D977">
        <v>25.5</v>
      </c>
      <c r="E977">
        <v>84</v>
      </c>
      <c r="F977" t="s">
        <v>12</v>
      </c>
      <c r="G977">
        <v>5</v>
      </c>
      <c r="H977" t="s">
        <v>12</v>
      </c>
      <c r="I977" t="s">
        <v>13</v>
      </c>
      <c r="J977">
        <v>14478.33</v>
      </c>
      <c r="K977" t="str">
        <f t="shared" si="150"/>
        <v>25-30</v>
      </c>
      <c r="L977">
        <f t="shared" si="151"/>
        <v>0</v>
      </c>
      <c r="M977">
        <f t="shared" si="152"/>
        <v>1</v>
      </c>
      <c r="N977">
        <f t="shared" si="153"/>
        <v>0</v>
      </c>
      <c r="O977">
        <f t="shared" si="154"/>
        <v>0</v>
      </c>
      <c r="P977">
        <v>0.29673962120876751</v>
      </c>
      <c r="Q977">
        <f t="shared" si="155"/>
        <v>0</v>
      </c>
      <c r="R977">
        <f t="shared" si="156"/>
        <v>0</v>
      </c>
      <c r="S977">
        <f t="shared" si="157"/>
        <v>0</v>
      </c>
      <c r="T977">
        <f t="shared" si="158"/>
        <v>8290.57</v>
      </c>
      <c r="U977">
        <f t="shared" si="159"/>
        <v>6187.76</v>
      </c>
    </row>
    <row r="978" spans="1:21" x14ac:dyDescent="0.3">
      <c r="A978">
        <v>977</v>
      </c>
      <c r="B978">
        <v>40</v>
      </c>
      <c r="C978" t="s">
        <v>16</v>
      </c>
      <c r="D978">
        <v>20.5</v>
      </c>
      <c r="E978">
        <v>87</v>
      </c>
      <c r="F978" t="s">
        <v>11</v>
      </c>
      <c r="G978">
        <v>0</v>
      </c>
      <c r="H978" t="s">
        <v>11</v>
      </c>
      <c r="I978" t="s">
        <v>17</v>
      </c>
      <c r="J978">
        <v>14571.89</v>
      </c>
      <c r="K978" t="str">
        <f t="shared" si="150"/>
        <v>20-25</v>
      </c>
      <c r="L978">
        <f t="shared" si="151"/>
        <v>20.5</v>
      </c>
      <c r="M978">
        <f t="shared" si="152"/>
        <v>0</v>
      </c>
      <c r="N978">
        <f t="shared" si="153"/>
        <v>0</v>
      </c>
      <c r="O978">
        <f t="shared" si="154"/>
        <v>0</v>
      </c>
      <c r="P978">
        <v>0.93412174159186989</v>
      </c>
      <c r="Q978">
        <f t="shared" si="155"/>
        <v>1</v>
      </c>
      <c r="R978">
        <f t="shared" si="156"/>
        <v>1</v>
      </c>
      <c r="S978">
        <f t="shared" si="157"/>
        <v>1</v>
      </c>
      <c r="T978">
        <f t="shared" si="158"/>
        <v>16668.605000000003</v>
      </c>
      <c r="U978">
        <f t="shared" si="159"/>
        <v>-2096.7150000000038</v>
      </c>
    </row>
    <row r="979" spans="1:21" x14ac:dyDescent="0.3">
      <c r="A979">
        <v>978</v>
      </c>
      <c r="B979">
        <v>53</v>
      </c>
      <c r="C979" t="s">
        <v>16</v>
      </c>
      <c r="D979">
        <v>32.4</v>
      </c>
      <c r="E979">
        <v>102</v>
      </c>
      <c r="F979" t="s">
        <v>11</v>
      </c>
      <c r="G979">
        <v>3</v>
      </c>
      <c r="H979" t="s">
        <v>12</v>
      </c>
      <c r="I979" t="s">
        <v>17</v>
      </c>
      <c r="J979">
        <v>14590.63</v>
      </c>
      <c r="K979" t="str">
        <f t="shared" si="150"/>
        <v>30-35</v>
      </c>
      <c r="L979">
        <f t="shared" si="151"/>
        <v>0</v>
      </c>
      <c r="M979">
        <f t="shared" si="152"/>
        <v>0</v>
      </c>
      <c r="N979">
        <f t="shared" si="153"/>
        <v>0</v>
      </c>
      <c r="O979">
        <f t="shared" si="154"/>
        <v>0</v>
      </c>
      <c r="P979">
        <v>0.91675080098654371</v>
      </c>
      <c r="Q979">
        <f t="shared" si="155"/>
        <v>0</v>
      </c>
      <c r="R979">
        <f t="shared" si="156"/>
        <v>1</v>
      </c>
      <c r="S979">
        <f t="shared" si="157"/>
        <v>1</v>
      </c>
      <c r="T979">
        <f t="shared" si="158"/>
        <v>14293.44</v>
      </c>
      <c r="U979">
        <f t="shared" si="159"/>
        <v>297.18999999999869</v>
      </c>
    </row>
    <row r="980" spans="1:21" x14ac:dyDescent="0.3">
      <c r="A980">
        <v>979</v>
      </c>
      <c r="B980">
        <v>35</v>
      </c>
      <c r="C980" t="s">
        <v>16</v>
      </c>
      <c r="D980">
        <v>33</v>
      </c>
      <c r="E980">
        <v>105</v>
      </c>
      <c r="F980" t="s">
        <v>12</v>
      </c>
      <c r="G980">
        <v>0</v>
      </c>
      <c r="H980" t="s">
        <v>12</v>
      </c>
      <c r="I980" t="s">
        <v>14</v>
      </c>
      <c r="J980">
        <v>14692.67</v>
      </c>
      <c r="K980" t="str">
        <f t="shared" si="150"/>
        <v>30-35</v>
      </c>
      <c r="L980">
        <f t="shared" si="151"/>
        <v>0</v>
      </c>
      <c r="M980">
        <f t="shared" si="152"/>
        <v>0</v>
      </c>
      <c r="N980">
        <f t="shared" si="153"/>
        <v>0</v>
      </c>
      <c r="O980">
        <f t="shared" si="154"/>
        <v>1</v>
      </c>
      <c r="P980">
        <v>0.75346150499688624</v>
      </c>
      <c r="Q980">
        <f t="shared" si="155"/>
        <v>0</v>
      </c>
      <c r="R980">
        <f t="shared" si="156"/>
        <v>0</v>
      </c>
      <c r="S980">
        <f t="shared" si="157"/>
        <v>1</v>
      </c>
      <c r="T980">
        <f t="shared" si="158"/>
        <v>9752.8500000000022</v>
      </c>
      <c r="U980">
        <f t="shared" si="159"/>
        <v>4939.8199999999979</v>
      </c>
    </row>
    <row r="981" spans="1:21" x14ac:dyDescent="0.3">
      <c r="A981">
        <v>980</v>
      </c>
      <c r="B981">
        <v>26</v>
      </c>
      <c r="C981" t="s">
        <v>16</v>
      </c>
      <c r="D981">
        <v>22.4</v>
      </c>
      <c r="E981">
        <v>100</v>
      </c>
      <c r="F981" t="s">
        <v>11</v>
      </c>
      <c r="G981">
        <v>0</v>
      </c>
      <c r="H981" t="s">
        <v>11</v>
      </c>
      <c r="I981" t="s">
        <v>14</v>
      </c>
      <c r="J981">
        <v>14711.74</v>
      </c>
      <c r="K981" t="str">
        <f t="shared" si="150"/>
        <v>20-25</v>
      </c>
      <c r="L981">
        <f t="shared" si="151"/>
        <v>22.4</v>
      </c>
      <c r="M981">
        <f t="shared" si="152"/>
        <v>0</v>
      </c>
      <c r="N981">
        <f t="shared" si="153"/>
        <v>0</v>
      </c>
      <c r="O981">
        <f t="shared" si="154"/>
        <v>1</v>
      </c>
      <c r="P981">
        <v>0.93519657244223764</v>
      </c>
      <c r="Q981">
        <f t="shared" si="155"/>
        <v>1</v>
      </c>
      <c r="R981">
        <f t="shared" si="156"/>
        <v>1</v>
      </c>
      <c r="S981">
        <f t="shared" si="157"/>
        <v>1</v>
      </c>
      <c r="T981">
        <f t="shared" si="158"/>
        <v>18368.065999999999</v>
      </c>
      <c r="U981">
        <f t="shared" si="159"/>
        <v>-3656.3259999999991</v>
      </c>
    </row>
    <row r="982" spans="1:21" x14ac:dyDescent="0.3">
      <c r="A982">
        <v>981</v>
      </c>
      <c r="B982">
        <v>36</v>
      </c>
      <c r="C982" t="s">
        <v>16</v>
      </c>
      <c r="D982">
        <v>39.299999999999997</v>
      </c>
      <c r="E982">
        <v>82</v>
      </c>
      <c r="F982" t="s">
        <v>12</v>
      </c>
      <c r="G982">
        <v>0</v>
      </c>
      <c r="H982" t="s">
        <v>12</v>
      </c>
      <c r="I982" t="s">
        <v>17</v>
      </c>
      <c r="J982">
        <v>14901.52</v>
      </c>
      <c r="K982" t="str">
        <f t="shared" si="150"/>
        <v>35+</v>
      </c>
      <c r="L982">
        <f t="shared" si="151"/>
        <v>0</v>
      </c>
      <c r="M982">
        <f t="shared" si="152"/>
        <v>0</v>
      </c>
      <c r="N982">
        <f t="shared" si="153"/>
        <v>0</v>
      </c>
      <c r="O982">
        <f t="shared" si="154"/>
        <v>0</v>
      </c>
      <c r="P982">
        <v>0.94222523699856897</v>
      </c>
      <c r="Q982">
        <f t="shared" si="155"/>
        <v>0</v>
      </c>
      <c r="R982">
        <f t="shared" si="156"/>
        <v>0</v>
      </c>
      <c r="S982">
        <f t="shared" si="157"/>
        <v>1</v>
      </c>
      <c r="T982">
        <f t="shared" si="158"/>
        <v>9567.6900000000023</v>
      </c>
      <c r="U982">
        <f t="shared" si="159"/>
        <v>5333.8299999999981</v>
      </c>
    </row>
    <row r="983" spans="1:21" x14ac:dyDescent="0.3">
      <c r="A983">
        <v>982</v>
      </c>
      <c r="B983">
        <v>21</v>
      </c>
      <c r="C983" t="s">
        <v>10</v>
      </c>
      <c r="D983">
        <v>25.6</v>
      </c>
      <c r="E983">
        <v>95</v>
      </c>
      <c r="F983" t="s">
        <v>12</v>
      </c>
      <c r="G983">
        <v>2</v>
      </c>
      <c r="H983" t="s">
        <v>12</v>
      </c>
      <c r="I983" t="s">
        <v>15</v>
      </c>
      <c r="J983">
        <v>14988.43</v>
      </c>
      <c r="K983" t="str">
        <f t="shared" si="150"/>
        <v>25-30</v>
      </c>
      <c r="L983">
        <f t="shared" si="151"/>
        <v>0</v>
      </c>
      <c r="M983">
        <f t="shared" si="152"/>
        <v>0</v>
      </c>
      <c r="N983">
        <f t="shared" si="153"/>
        <v>1</v>
      </c>
      <c r="O983">
        <f t="shared" si="154"/>
        <v>0</v>
      </c>
      <c r="P983">
        <v>0.51872643597681878</v>
      </c>
      <c r="Q983">
        <f t="shared" si="155"/>
        <v>0</v>
      </c>
      <c r="R983">
        <f t="shared" si="156"/>
        <v>0</v>
      </c>
      <c r="S983">
        <f t="shared" si="157"/>
        <v>0</v>
      </c>
      <c r="T983">
        <f t="shared" si="158"/>
        <v>8565.630000000001</v>
      </c>
      <c r="U983">
        <f t="shared" si="159"/>
        <v>6422.7999999999993</v>
      </c>
    </row>
    <row r="984" spans="1:21" x14ac:dyDescent="0.3">
      <c r="A984">
        <v>983</v>
      </c>
      <c r="B984">
        <v>39</v>
      </c>
      <c r="C984" t="s">
        <v>16</v>
      </c>
      <c r="D984">
        <v>18</v>
      </c>
      <c r="E984">
        <v>100</v>
      </c>
      <c r="F984" t="s">
        <v>11</v>
      </c>
      <c r="G984">
        <v>2</v>
      </c>
      <c r="H984" t="s">
        <v>11</v>
      </c>
      <c r="I984" t="s">
        <v>17</v>
      </c>
      <c r="J984">
        <v>15006.58</v>
      </c>
      <c r="K984" t="str">
        <f t="shared" si="150"/>
        <v>&lt;20</v>
      </c>
      <c r="L984">
        <f t="shared" si="151"/>
        <v>18</v>
      </c>
      <c r="M984">
        <f t="shared" si="152"/>
        <v>0</v>
      </c>
      <c r="N984">
        <f t="shared" si="153"/>
        <v>0</v>
      </c>
      <c r="O984">
        <f t="shared" si="154"/>
        <v>0</v>
      </c>
      <c r="P984">
        <v>6.5360108999824029E-2</v>
      </c>
      <c r="Q984">
        <f t="shared" si="155"/>
        <v>1</v>
      </c>
      <c r="R984">
        <f t="shared" si="156"/>
        <v>1</v>
      </c>
      <c r="S984">
        <f t="shared" si="157"/>
        <v>1</v>
      </c>
      <c r="T984">
        <f t="shared" si="158"/>
        <v>16859.310000000005</v>
      </c>
      <c r="U984">
        <f t="shared" si="159"/>
        <v>-1852.730000000005</v>
      </c>
    </row>
    <row r="985" spans="1:21" x14ac:dyDescent="0.3">
      <c r="A985">
        <v>984</v>
      </c>
      <c r="B985">
        <v>27</v>
      </c>
      <c r="C985" t="s">
        <v>16</v>
      </c>
      <c r="D985">
        <v>30.5</v>
      </c>
      <c r="E985">
        <v>100</v>
      </c>
      <c r="F985" t="s">
        <v>11</v>
      </c>
      <c r="G985">
        <v>2</v>
      </c>
      <c r="H985" t="s">
        <v>12</v>
      </c>
      <c r="I985" t="s">
        <v>14</v>
      </c>
      <c r="J985">
        <v>15019.76</v>
      </c>
      <c r="K985" t="str">
        <f t="shared" si="150"/>
        <v>30-35</v>
      </c>
      <c r="L985">
        <f t="shared" si="151"/>
        <v>0</v>
      </c>
      <c r="M985">
        <f t="shared" si="152"/>
        <v>0</v>
      </c>
      <c r="N985">
        <f t="shared" si="153"/>
        <v>0</v>
      </c>
      <c r="O985">
        <f t="shared" si="154"/>
        <v>1</v>
      </c>
      <c r="P985">
        <v>0.98404910897397491</v>
      </c>
      <c r="Q985">
        <f t="shared" si="155"/>
        <v>0</v>
      </c>
      <c r="R985">
        <f t="shared" si="156"/>
        <v>1</v>
      </c>
      <c r="S985">
        <f t="shared" si="157"/>
        <v>1</v>
      </c>
      <c r="T985">
        <f t="shared" si="158"/>
        <v>10158.81</v>
      </c>
      <c r="U985">
        <f t="shared" si="159"/>
        <v>4860.9500000000007</v>
      </c>
    </row>
    <row r="986" spans="1:21" x14ac:dyDescent="0.3">
      <c r="A986">
        <v>985</v>
      </c>
      <c r="B986">
        <v>24</v>
      </c>
      <c r="C986" t="s">
        <v>10</v>
      </c>
      <c r="D986">
        <v>33.700000000000003</v>
      </c>
      <c r="E986">
        <v>101</v>
      </c>
      <c r="F986" t="s">
        <v>12</v>
      </c>
      <c r="G986">
        <v>3</v>
      </c>
      <c r="H986" t="s">
        <v>12</v>
      </c>
      <c r="I986" t="s">
        <v>13</v>
      </c>
      <c r="J986">
        <v>15161.53</v>
      </c>
      <c r="K986" t="str">
        <f t="shared" si="150"/>
        <v>30-35</v>
      </c>
      <c r="L986">
        <f t="shared" si="151"/>
        <v>0</v>
      </c>
      <c r="M986">
        <f t="shared" si="152"/>
        <v>1</v>
      </c>
      <c r="N986">
        <f t="shared" si="153"/>
        <v>0</v>
      </c>
      <c r="O986">
        <f t="shared" si="154"/>
        <v>0</v>
      </c>
      <c r="P986">
        <v>0.71025673376354326</v>
      </c>
      <c r="Q986">
        <f t="shared" si="155"/>
        <v>0</v>
      </c>
      <c r="R986">
        <f t="shared" si="156"/>
        <v>0</v>
      </c>
      <c r="S986">
        <f t="shared" si="157"/>
        <v>0</v>
      </c>
      <c r="T986">
        <f t="shared" si="158"/>
        <v>10261.5</v>
      </c>
      <c r="U986">
        <f t="shared" si="159"/>
        <v>4900.0300000000007</v>
      </c>
    </row>
    <row r="987" spans="1:21" x14ac:dyDescent="0.3">
      <c r="A987">
        <v>986</v>
      </c>
      <c r="B987">
        <v>24</v>
      </c>
      <c r="C987" t="s">
        <v>10</v>
      </c>
      <c r="D987">
        <v>39.799999999999997</v>
      </c>
      <c r="E987">
        <v>95</v>
      </c>
      <c r="F987" t="s">
        <v>11</v>
      </c>
      <c r="G987">
        <v>3</v>
      </c>
      <c r="H987" t="s">
        <v>12</v>
      </c>
      <c r="I987" t="s">
        <v>15</v>
      </c>
      <c r="J987">
        <v>15170.07</v>
      </c>
      <c r="K987" t="str">
        <f t="shared" si="150"/>
        <v>35+</v>
      </c>
      <c r="L987">
        <f t="shared" si="151"/>
        <v>0</v>
      </c>
      <c r="M987">
        <f t="shared" si="152"/>
        <v>0</v>
      </c>
      <c r="N987">
        <f t="shared" si="153"/>
        <v>1</v>
      </c>
      <c r="O987">
        <f t="shared" si="154"/>
        <v>0</v>
      </c>
      <c r="P987">
        <v>0.12439653826282815</v>
      </c>
      <c r="Q987">
        <f t="shared" si="155"/>
        <v>0</v>
      </c>
      <c r="R987">
        <f t="shared" si="156"/>
        <v>1</v>
      </c>
      <c r="S987">
        <f t="shared" si="157"/>
        <v>0</v>
      </c>
      <c r="T987">
        <f t="shared" si="158"/>
        <v>10445.070000000002</v>
      </c>
      <c r="U987">
        <f t="shared" si="159"/>
        <v>4724.9999999999982</v>
      </c>
    </row>
    <row r="988" spans="1:21" x14ac:dyDescent="0.3">
      <c r="A988">
        <v>987</v>
      </c>
      <c r="B988">
        <v>55</v>
      </c>
      <c r="C988" t="s">
        <v>16</v>
      </c>
      <c r="D988">
        <v>38.1</v>
      </c>
      <c r="E988">
        <v>91</v>
      </c>
      <c r="F988" t="s">
        <v>12</v>
      </c>
      <c r="G988">
        <v>2</v>
      </c>
      <c r="H988" t="s">
        <v>12</v>
      </c>
      <c r="I988" t="s">
        <v>17</v>
      </c>
      <c r="J988">
        <v>15230.32</v>
      </c>
      <c r="K988" t="str">
        <f t="shared" si="150"/>
        <v>35+</v>
      </c>
      <c r="L988">
        <f t="shared" si="151"/>
        <v>0</v>
      </c>
      <c r="M988">
        <f t="shared" si="152"/>
        <v>0</v>
      </c>
      <c r="N988">
        <f t="shared" si="153"/>
        <v>0</v>
      </c>
      <c r="O988">
        <f t="shared" si="154"/>
        <v>0</v>
      </c>
      <c r="P988">
        <v>0.37933413077097322</v>
      </c>
      <c r="Q988">
        <f t="shared" si="155"/>
        <v>0</v>
      </c>
      <c r="R988">
        <f t="shared" si="156"/>
        <v>0</v>
      </c>
      <c r="S988">
        <f t="shared" si="157"/>
        <v>1</v>
      </c>
      <c r="T988">
        <f t="shared" si="158"/>
        <v>12353.560000000001</v>
      </c>
      <c r="U988">
        <f t="shared" si="159"/>
        <v>2876.7599999999984</v>
      </c>
    </row>
    <row r="989" spans="1:21" x14ac:dyDescent="0.3">
      <c r="A989">
        <v>988</v>
      </c>
      <c r="B989">
        <v>37</v>
      </c>
      <c r="C989" t="s">
        <v>16</v>
      </c>
      <c r="D989">
        <v>21.9</v>
      </c>
      <c r="E989">
        <v>89</v>
      </c>
      <c r="F989" t="s">
        <v>11</v>
      </c>
      <c r="G989">
        <v>1</v>
      </c>
      <c r="H989" t="s">
        <v>11</v>
      </c>
      <c r="I989" t="s">
        <v>17</v>
      </c>
      <c r="J989">
        <v>15359.1</v>
      </c>
      <c r="K989" t="str">
        <f t="shared" si="150"/>
        <v>20-25</v>
      </c>
      <c r="L989">
        <f t="shared" si="151"/>
        <v>21.9</v>
      </c>
      <c r="M989">
        <f t="shared" si="152"/>
        <v>0</v>
      </c>
      <c r="N989">
        <f t="shared" si="153"/>
        <v>0</v>
      </c>
      <c r="O989">
        <f t="shared" si="154"/>
        <v>0</v>
      </c>
      <c r="P989">
        <v>0.5857885951275158</v>
      </c>
      <c r="Q989">
        <f t="shared" si="155"/>
        <v>1</v>
      </c>
      <c r="R989">
        <f t="shared" si="156"/>
        <v>1</v>
      </c>
      <c r="S989">
        <f t="shared" si="157"/>
        <v>1</v>
      </c>
      <c r="T989">
        <f t="shared" si="158"/>
        <v>19612.431000000004</v>
      </c>
      <c r="U989">
        <f t="shared" si="159"/>
        <v>-4253.3310000000038</v>
      </c>
    </row>
    <row r="990" spans="1:21" x14ac:dyDescent="0.3">
      <c r="A990">
        <v>989</v>
      </c>
      <c r="B990">
        <v>46</v>
      </c>
      <c r="C990" t="s">
        <v>10</v>
      </c>
      <c r="D990">
        <v>25.2</v>
      </c>
      <c r="E990">
        <v>104</v>
      </c>
      <c r="F990" t="s">
        <v>11</v>
      </c>
      <c r="G990">
        <v>0</v>
      </c>
      <c r="H990" t="s">
        <v>11</v>
      </c>
      <c r="I990" t="s">
        <v>17</v>
      </c>
      <c r="J990">
        <v>15518.18</v>
      </c>
      <c r="K990" t="str">
        <f t="shared" si="150"/>
        <v>25-30</v>
      </c>
      <c r="L990">
        <f t="shared" si="151"/>
        <v>25.2</v>
      </c>
      <c r="M990">
        <f t="shared" si="152"/>
        <v>0</v>
      </c>
      <c r="N990">
        <f t="shared" si="153"/>
        <v>0</v>
      </c>
      <c r="O990">
        <f t="shared" si="154"/>
        <v>0</v>
      </c>
      <c r="P990">
        <v>0.66921242016540794</v>
      </c>
      <c r="Q990">
        <f t="shared" si="155"/>
        <v>1</v>
      </c>
      <c r="R990">
        <f t="shared" si="156"/>
        <v>1</v>
      </c>
      <c r="S990">
        <f t="shared" si="157"/>
        <v>0</v>
      </c>
      <c r="T990">
        <f t="shared" si="158"/>
        <v>25249.047999999999</v>
      </c>
      <c r="U990">
        <f t="shared" si="159"/>
        <v>-9730.8679999999986</v>
      </c>
    </row>
    <row r="991" spans="1:21" x14ac:dyDescent="0.3">
      <c r="A991">
        <v>990</v>
      </c>
      <c r="B991">
        <v>21</v>
      </c>
      <c r="C991" t="s">
        <v>10</v>
      </c>
      <c r="D991">
        <v>41.3</v>
      </c>
      <c r="E991">
        <v>85</v>
      </c>
      <c r="F991" t="s">
        <v>11</v>
      </c>
      <c r="G991">
        <v>3</v>
      </c>
      <c r="H991" t="s">
        <v>12</v>
      </c>
      <c r="I991" t="s">
        <v>14</v>
      </c>
      <c r="J991">
        <v>15555.19</v>
      </c>
      <c r="K991" t="str">
        <f t="shared" si="150"/>
        <v>35+</v>
      </c>
      <c r="L991">
        <f t="shared" si="151"/>
        <v>0</v>
      </c>
      <c r="M991">
        <f t="shared" si="152"/>
        <v>0</v>
      </c>
      <c r="N991">
        <f t="shared" si="153"/>
        <v>0</v>
      </c>
      <c r="O991">
        <f t="shared" si="154"/>
        <v>1</v>
      </c>
      <c r="P991">
        <v>0.18299863215316947</v>
      </c>
      <c r="Q991">
        <f t="shared" si="155"/>
        <v>0</v>
      </c>
      <c r="R991">
        <f t="shared" si="156"/>
        <v>1</v>
      </c>
      <c r="S991">
        <f t="shared" si="157"/>
        <v>0</v>
      </c>
      <c r="T991">
        <f t="shared" si="158"/>
        <v>8989.33</v>
      </c>
      <c r="U991">
        <f t="shared" si="159"/>
        <v>6565.8600000000006</v>
      </c>
    </row>
    <row r="992" spans="1:21" x14ac:dyDescent="0.3">
      <c r="A992">
        <v>991</v>
      </c>
      <c r="B992">
        <v>36</v>
      </c>
      <c r="C992" t="s">
        <v>16</v>
      </c>
      <c r="D992">
        <v>33</v>
      </c>
      <c r="E992">
        <v>94</v>
      </c>
      <c r="F992" t="s">
        <v>12</v>
      </c>
      <c r="G992">
        <v>3</v>
      </c>
      <c r="H992" t="s">
        <v>12</v>
      </c>
      <c r="I992" t="s">
        <v>14</v>
      </c>
      <c r="J992">
        <v>15612.19</v>
      </c>
      <c r="K992" t="str">
        <f t="shared" si="150"/>
        <v>30-35</v>
      </c>
      <c r="L992">
        <f t="shared" si="151"/>
        <v>0</v>
      </c>
      <c r="M992">
        <f t="shared" si="152"/>
        <v>0</v>
      </c>
      <c r="N992">
        <f t="shared" si="153"/>
        <v>0</v>
      </c>
      <c r="O992">
        <f t="shared" si="154"/>
        <v>1</v>
      </c>
      <c r="P992">
        <v>4.3498079674023638E-2</v>
      </c>
      <c r="Q992">
        <f t="shared" si="155"/>
        <v>0</v>
      </c>
      <c r="R992">
        <f t="shared" si="156"/>
        <v>0</v>
      </c>
      <c r="S992">
        <f t="shared" si="157"/>
        <v>1</v>
      </c>
      <c r="T992">
        <f t="shared" si="158"/>
        <v>10210.800000000003</v>
      </c>
      <c r="U992">
        <f t="shared" si="159"/>
        <v>5401.3899999999976</v>
      </c>
    </row>
    <row r="993" spans="1:21" x14ac:dyDescent="0.3">
      <c r="A993">
        <v>992</v>
      </c>
      <c r="B993">
        <v>27</v>
      </c>
      <c r="C993" t="s">
        <v>10</v>
      </c>
      <c r="D993">
        <v>24.1</v>
      </c>
      <c r="E993">
        <v>95</v>
      </c>
      <c r="F993" t="s">
        <v>12</v>
      </c>
      <c r="G993">
        <v>0</v>
      </c>
      <c r="H993" t="s">
        <v>11</v>
      </c>
      <c r="I993" t="s">
        <v>14</v>
      </c>
      <c r="J993">
        <v>15817.99</v>
      </c>
      <c r="K993" t="str">
        <f t="shared" si="150"/>
        <v>20-25</v>
      </c>
      <c r="L993">
        <f t="shared" si="151"/>
        <v>24.1</v>
      </c>
      <c r="M993">
        <f t="shared" si="152"/>
        <v>0</v>
      </c>
      <c r="N993">
        <f t="shared" si="153"/>
        <v>0</v>
      </c>
      <c r="O993">
        <f t="shared" si="154"/>
        <v>1</v>
      </c>
      <c r="P993">
        <v>0.99914309380554922</v>
      </c>
      <c r="Q993">
        <f t="shared" si="155"/>
        <v>1</v>
      </c>
      <c r="R993">
        <f t="shared" si="156"/>
        <v>0</v>
      </c>
      <c r="S993">
        <f t="shared" si="157"/>
        <v>0</v>
      </c>
      <c r="T993">
        <f t="shared" si="158"/>
        <v>19478.919000000009</v>
      </c>
      <c r="U993">
        <f t="shared" si="159"/>
        <v>-3660.9290000000092</v>
      </c>
    </row>
    <row r="994" spans="1:21" x14ac:dyDescent="0.3">
      <c r="A994">
        <v>993</v>
      </c>
      <c r="B994">
        <v>30</v>
      </c>
      <c r="C994" t="s">
        <v>10</v>
      </c>
      <c r="D994">
        <v>19.3</v>
      </c>
      <c r="E994">
        <v>84</v>
      </c>
      <c r="F994" t="s">
        <v>11</v>
      </c>
      <c r="G994">
        <v>0</v>
      </c>
      <c r="H994" t="s">
        <v>11</v>
      </c>
      <c r="I994" t="s">
        <v>15</v>
      </c>
      <c r="J994">
        <v>15820.7</v>
      </c>
      <c r="K994" t="str">
        <f t="shared" si="150"/>
        <v>&lt;20</v>
      </c>
      <c r="L994">
        <f t="shared" si="151"/>
        <v>19.3</v>
      </c>
      <c r="M994">
        <f t="shared" si="152"/>
        <v>0</v>
      </c>
      <c r="N994">
        <f t="shared" si="153"/>
        <v>1</v>
      </c>
      <c r="O994">
        <f t="shared" si="154"/>
        <v>0</v>
      </c>
      <c r="P994">
        <v>0.38388488049750524</v>
      </c>
      <c r="Q994">
        <f t="shared" si="155"/>
        <v>1</v>
      </c>
      <c r="R994">
        <f t="shared" si="156"/>
        <v>1</v>
      </c>
      <c r="S994">
        <f t="shared" si="157"/>
        <v>0</v>
      </c>
      <c r="T994">
        <f t="shared" si="158"/>
        <v>11187.947000000006</v>
      </c>
      <c r="U994">
        <f t="shared" si="159"/>
        <v>4632.7529999999952</v>
      </c>
    </row>
    <row r="995" spans="1:21" x14ac:dyDescent="0.3">
      <c r="A995">
        <v>994</v>
      </c>
      <c r="B995">
        <v>34</v>
      </c>
      <c r="C995" t="s">
        <v>16</v>
      </c>
      <c r="D995">
        <v>29.3</v>
      </c>
      <c r="E995">
        <v>87</v>
      </c>
      <c r="F995" t="s">
        <v>11</v>
      </c>
      <c r="G995">
        <v>4</v>
      </c>
      <c r="H995" t="s">
        <v>12</v>
      </c>
      <c r="I995" t="s">
        <v>15</v>
      </c>
      <c r="J995">
        <v>15828.82</v>
      </c>
      <c r="K995" t="str">
        <f t="shared" si="150"/>
        <v>25-30</v>
      </c>
      <c r="L995">
        <f t="shared" si="151"/>
        <v>0</v>
      </c>
      <c r="M995">
        <f t="shared" si="152"/>
        <v>0</v>
      </c>
      <c r="N995">
        <f t="shared" si="153"/>
        <v>1</v>
      </c>
      <c r="O995">
        <f t="shared" si="154"/>
        <v>0</v>
      </c>
      <c r="P995">
        <v>0.83826378851926897</v>
      </c>
      <c r="Q995">
        <f t="shared" si="155"/>
        <v>0</v>
      </c>
      <c r="R995">
        <f t="shared" si="156"/>
        <v>1</v>
      </c>
      <c r="S995">
        <f t="shared" si="157"/>
        <v>1</v>
      </c>
      <c r="T995">
        <f t="shared" si="158"/>
        <v>9440.99</v>
      </c>
      <c r="U995">
        <f t="shared" si="159"/>
        <v>6387.83</v>
      </c>
    </row>
    <row r="996" spans="1:21" x14ac:dyDescent="0.3">
      <c r="A996">
        <v>995</v>
      </c>
      <c r="B996">
        <v>53</v>
      </c>
      <c r="C996" t="s">
        <v>16</v>
      </c>
      <c r="D996">
        <v>31.8</v>
      </c>
      <c r="E996">
        <v>96</v>
      </c>
      <c r="F996" t="s">
        <v>12</v>
      </c>
      <c r="G996">
        <v>2</v>
      </c>
      <c r="H996" t="s">
        <v>12</v>
      </c>
      <c r="I996" t="s">
        <v>17</v>
      </c>
      <c r="J996">
        <v>16069.08</v>
      </c>
      <c r="K996" t="str">
        <f t="shared" si="150"/>
        <v>30-35</v>
      </c>
      <c r="L996">
        <f t="shared" si="151"/>
        <v>0</v>
      </c>
      <c r="M996">
        <f t="shared" si="152"/>
        <v>0</v>
      </c>
      <c r="N996">
        <f t="shared" si="153"/>
        <v>0</v>
      </c>
      <c r="O996">
        <f t="shared" si="154"/>
        <v>0</v>
      </c>
      <c r="P996">
        <v>0.47618130901620603</v>
      </c>
      <c r="Q996">
        <f t="shared" si="155"/>
        <v>0</v>
      </c>
      <c r="R996">
        <f t="shared" si="156"/>
        <v>0</v>
      </c>
      <c r="S996">
        <f t="shared" si="157"/>
        <v>1</v>
      </c>
      <c r="T996">
        <f t="shared" si="158"/>
        <v>12615.42</v>
      </c>
      <c r="U996">
        <f t="shared" si="159"/>
        <v>3453.66</v>
      </c>
    </row>
    <row r="997" spans="1:21" x14ac:dyDescent="0.3">
      <c r="A997">
        <v>996</v>
      </c>
      <c r="B997">
        <v>55</v>
      </c>
      <c r="C997" t="s">
        <v>16</v>
      </c>
      <c r="D997">
        <v>39.1</v>
      </c>
      <c r="E997">
        <v>83</v>
      </c>
      <c r="F997" t="s">
        <v>11</v>
      </c>
      <c r="G997">
        <v>3</v>
      </c>
      <c r="H997" t="s">
        <v>12</v>
      </c>
      <c r="I997" t="s">
        <v>13</v>
      </c>
      <c r="J997">
        <v>16085.13</v>
      </c>
      <c r="K997" t="str">
        <f t="shared" si="150"/>
        <v>35+</v>
      </c>
      <c r="L997">
        <f t="shared" si="151"/>
        <v>0</v>
      </c>
      <c r="M997">
        <f t="shared" si="152"/>
        <v>1</v>
      </c>
      <c r="N997">
        <f t="shared" si="153"/>
        <v>0</v>
      </c>
      <c r="O997">
        <f t="shared" si="154"/>
        <v>0</v>
      </c>
      <c r="P997">
        <v>0.89255200455034878</v>
      </c>
      <c r="Q997">
        <f t="shared" si="155"/>
        <v>0</v>
      </c>
      <c r="R997">
        <f t="shared" si="156"/>
        <v>1</v>
      </c>
      <c r="S997">
        <f t="shared" si="157"/>
        <v>1</v>
      </c>
      <c r="T997">
        <f t="shared" si="158"/>
        <v>8186.7900000000009</v>
      </c>
      <c r="U997">
        <f t="shared" si="159"/>
        <v>7898.3399999999983</v>
      </c>
    </row>
    <row r="998" spans="1:21" x14ac:dyDescent="0.3">
      <c r="A998">
        <v>997</v>
      </c>
      <c r="B998">
        <v>29</v>
      </c>
      <c r="C998" t="s">
        <v>16</v>
      </c>
      <c r="D998">
        <v>21.9</v>
      </c>
      <c r="E998">
        <v>92</v>
      </c>
      <c r="F998" t="s">
        <v>11</v>
      </c>
      <c r="G998">
        <v>0</v>
      </c>
      <c r="H998" t="s">
        <v>11</v>
      </c>
      <c r="I998" t="s">
        <v>17</v>
      </c>
      <c r="J998">
        <v>16115.3</v>
      </c>
      <c r="K998" t="str">
        <f t="shared" si="150"/>
        <v>20-25</v>
      </c>
      <c r="L998">
        <f t="shared" si="151"/>
        <v>21.9</v>
      </c>
      <c r="M998">
        <f t="shared" si="152"/>
        <v>0</v>
      </c>
      <c r="N998">
        <f t="shared" si="153"/>
        <v>0</v>
      </c>
      <c r="O998">
        <f t="shared" si="154"/>
        <v>0</v>
      </c>
      <c r="P998">
        <v>0.30369136671902763</v>
      </c>
      <c r="Q998">
        <f t="shared" si="155"/>
        <v>1</v>
      </c>
      <c r="R998">
        <f t="shared" si="156"/>
        <v>1</v>
      </c>
      <c r="S998">
        <f t="shared" si="157"/>
        <v>1</v>
      </c>
      <c r="T998">
        <f t="shared" si="158"/>
        <v>19363.201000000001</v>
      </c>
      <c r="U998">
        <f t="shared" si="159"/>
        <v>-3247.9010000000017</v>
      </c>
    </row>
    <row r="999" spans="1:21" x14ac:dyDescent="0.3">
      <c r="A999">
        <v>998</v>
      </c>
      <c r="B999">
        <v>30</v>
      </c>
      <c r="C999" t="s">
        <v>10</v>
      </c>
      <c r="D999">
        <v>22.9</v>
      </c>
      <c r="E999">
        <v>108</v>
      </c>
      <c r="F999" t="s">
        <v>12</v>
      </c>
      <c r="G999">
        <v>0</v>
      </c>
      <c r="H999" t="s">
        <v>11</v>
      </c>
      <c r="I999" t="s">
        <v>17</v>
      </c>
      <c r="J999">
        <v>16138.76</v>
      </c>
      <c r="K999" t="str">
        <f t="shared" si="150"/>
        <v>20-25</v>
      </c>
      <c r="L999">
        <f t="shared" si="151"/>
        <v>22.9</v>
      </c>
      <c r="M999">
        <f t="shared" si="152"/>
        <v>0</v>
      </c>
      <c r="N999">
        <f t="shared" si="153"/>
        <v>0</v>
      </c>
      <c r="O999">
        <f t="shared" si="154"/>
        <v>0</v>
      </c>
      <c r="P999">
        <v>0.35881099957185791</v>
      </c>
      <c r="Q999">
        <f t="shared" si="155"/>
        <v>1</v>
      </c>
      <c r="R999">
        <f t="shared" si="156"/>
        <v>0</v>
      </c>
      <c r="S999">
        <f t="shared" si="157"/>
        <v>0</v>
      </c>
      <c r="T999">
        <f t="shared" si="158"/>
        <v>22884.161</v>
      </c>
      <c r="U999">
        <f t="shared" si="159"/>
        <v>-6745.4009999999998</v>
      </c>
    </row>
    <row r="1000" spans="1:21" x14ac:dyDescent="0.3">
      <c r="A1000">
        <v>999</v>
      </c>
      <c r="B1000">
        <v>34</v>
      </c>
      <c r="C1000" t="s">
        <v>10</v>
      </c>
      <c r="D1000">
        <v>27.3</v>
      </c>
      <c r="E1000">
        <v>89</v>
      </c>
      <c r="F1000" t="s">
        <v>11</v>
      </c>
      <c r="G1000">
        <v>0</v>
      </c>
      <c r="H1000" t="s">
        <v>11</v>
      </c>
      <c r="I1000" t="s">
        <v>15</v>
      </c>
      <c r="J1000">
        <v>16232.85</v>
      </c>
      <c r="K1000" t="str">
        <f t="shared" si="150"/>
        <v>25-30</v>
      </c>
      <c r="L1000">
        <f t="shared" si="151"/>
        <v>27.3</v>
      </c>
      <c r="M1000">
        <f t="shared" si="152"/>
        <v>0</v>
      </c>
      <c r="N1000">
        <f t="shared" si="153"/>
        <v>1</v>
      </c>
      <c r="O1000">
        <f t="shared" si="154"/>
        <v>0</v>
      </c>
      <c r="P1000">
        <v>0.75326501417835068</v>
      </c>
      <c r="Q1000">
        <f t="shared" si="155"/>
        <v>1</v>
      </c>
      <c r="R1000">
        <f t="shared" si="156"/>
        <v>1</v>
      </c>
      <c r="S1000">
        <f t="shared" si="157"/>
        <v>0</v>
      </c>
      <c r="T1000">
        <f t="shared" si="158"/>
        <v>22738.297000000002</v>
      </c>
      <c r="U1000">
        <f t="shared" si="159"/>
        <v>-6505.4470000000019</v>
      </c>
    </row>
    <row r="1001" spans="1:21" x14ac:dyDescent="0.3">
      <c r="A1001">
        <v>1000</v>
      </c>
      <c r="B1001">
        <v>33</v>
      </c>
      <c r="C1001" t="s">
        <v>10</v>
      </c>
      <c r="D1001">
        <v>27.7</v>
      </c>
      <c r="E1001">
        <v>94</v>
      </c>
      <c r="F1001" t="s">
        <v>12</v>
      </c>
      <c r="G1001">
        <v>0</v>
      </c>
      <c r="H1001" t="s">
        <v>11</v>
      </c>
      <c r="I1001" t="s">
        <v>15</v>
      </c>
      <c r="J1001">
        <v>16297.85</v>
      </c>
      <c r="K1001" t="str">
        <f t="shared" si="150"/>
        <v>25-30</v>
      </c>
      <c r="L1001">
        <f t="shared" si="151"/>
        <v>27.7</v>
      </c>
      <c r="M1001">
        <f t="shared" si="152"/>
        <v>0</v>
      </c>
      <c r="N1001">
        <f t="shared" si="153"/>
        <v>1</v>
      </c>
      <c r="O1001">
        <f t="shared" si="154"/>
        <v>0</v>
      </c>
      <c r="P1001">
        <v>0.67904681856175653</v>
      </c>
      <c r="Q1001">
        <f t="shared" si="155"/>
        <v>1</v>
      </c>
      <c r="R1001">
        <f t="shared" si="156"/>
        <v>0</v>
      </c>
      <c r="S1001">
        <f t="shared" si="157"/>
        <v>0</v>
      </c>
      <c r="T1001">
        <f t="shared" si="158"/>
        <v>24144.463000000003</v>
      </c>
      <c r="U1001">
        <f t="shared" si="159"/>
        <v>-7846.613000000003</v>
      </c>
    </row>
    <row r="1002" spans="1:21" x14ac:dyDescent="0.3">
      <c r="A1002">
        <v>1001</v>
      </c>
      <c r="B1002">
        <v>45</v>
      </c>
      <c r="C1002" t="s">
        <v>16</v>
      </c>
      <c r="D1002">
        <v>20</v>
      </c>
      <c r="E1002">
        <v>91</v>
      </c>
      <c r="F1002" t="s">
        <v>12</v>
      </c>
      <c r="G1002">
        <v>3</v>
      </c>
      <c r="H1002" t="s">
        <v>11</v>
      </c>
      <c r="I1002" t="s">
        <v>14</v>
      </c>
      <c r="J1002">
        <v>16420.490000000002</v>
      </c>
      <c r="K1002" t="str">
        <f t="shared" si="150"/>
        <v>20-25</v>
      </c>
      <c r="L1002">
        <f t="shared" si="151"/>
        <v>20</v>
      </c>
      <c r="M1002">
        <f t="shared" si="152"/>
        <v>0</v>
      </c>
      <c r="N1002">
        <f t="shared" si="153"/>
        <v>0</v>
      </c>
      <c r="O1002">
        <f t="shared" si="154"/>
        <v>1</v>
      </c>
      <c r="P1002">
        <v>0.86739204094356637</v>
      </c>
      <c r="Q1002">
        <f t="shared" si="155"/>
        <v>1</v>
      </c>
      <c r="R1002">
        <f t="shared" si="156"/>
        <v>0</v>
      </c>
      <c r="S1002">
        <f t="shared" si="157"/>
        <v>1</v>
      </c>
      <c r="T1002">
        <f t="shared" si="158"/>
        <v>15963.960000000003</v>
      </c>
      <c r="U1002">
        <f t="shared" si="159"/>
        <v>456.52999999999884</v>
      </c>
    </row>
    <row r="1003" spans="1:21" x14ac:dyDescent="0.3">
      <c r="A1003">
        <v>1002</v>
      </c>
      <c r="B1003">
        <v>50</v>
      </c>
      <c r="C1003" t="s">
        <v>10</v>
      </c>
      <c r="D1003">
        <v>26</v>
      </c>
      <c r="E1003">
        <v>81</v>
      </c>
      <c r="F1003" t="s">
        <v>11</v>
      </c>
      <c r="G1003">
        <v>1</v>
      </c>
      <c r="H1003" t="s">
        <v>11</v>
      </c>
      <c r="I1003" t="s">
        <v>14</v>
      </c>
      <c r="J1003">
        <v>16450.89</v>
      </c>
      <c r="K1003" t="str">
        <f t="shared" si="150"/>
        <v>25-30</v>
      </c>
      <c r="L1003">
        <f t="shared" si="151"/>
        <v>26</v>
      </c>
      <c r="M1003">
        <f t="shared" si="152"/>
        <v>0</v>
      </c>
      <c r="N1003">
        <f t="shared" si="153"/>
        <v>0</v>
      </c>
      <c r="O1003">
        <f t="shared" si="154"/>
        <v>1</v>
      </c>
      <c r="P1003">
        <v>0.22953223661960587</v>
      </c>
      <c r="Q1003">
        <f t="shared" si="155"/>
        <v>1</v>
      </c>
      <c r="R1003">
        <f t="shared" si="156"/>
        <v>1</v>
      </c>
      <c r="S1003">
        <f t="shared" si="157"/>
        <v>0</v>
      </c>
      <c r="T1003">
        <f t="shared" si="158"/>
        <v>20439.310000000001</v>
      </c>
      <c r="U1003">
        <f t="shared" si="159"/>
        <v>-3988.4200000000019</v>
      </c>
    </row>
    <row r="1004" spans="1:21" x14ac:dyDescent="0.3">
      <c r="A1004">
        <v>1003</v>
      </c>
      <c r="B1004">
        <v>44</v>
      </c>
      <c r="C1004" t="s">
        <v>16</v>
      </c>
      <c r="D1004">
        <v>30.1</v>
      </c>
      <c r="E1004">
        <v>105</v>
      </c>
      <c r="F1004" t="s">
        <v>11</v>
      </c>
      <c r="G1004">
        <v>3</v>
      </c>
      <c r="H1004" t="s">
        <v>12</v>
      </c>
      <c r="I1004" t="s">
        <v>14</v>
      </c>
      <c r="J1004">
        <v>16455.71</v>
      </c>
      <c r="K1004" t="str">
        <f t="shared" si="150"/>
        <v>30-35</v>
      </c>
      <c r="L1004">
        <f t="shared" si="151"/>
        <v>0</v>
      </c>
      <c r="M1004">
        <f t="shared" si="152"/>
        <v>0</v>
      </c>
      <c r="N1004">
        <f t="shared" si="153"/>
        <v>0</v>
      </c>
      <c r="O1004">
        <f t="shared" si="154"/>
        <v>1</v>
      </c>
      <c r="P1004">
        <v>0.99983047274615822</v>
      </c>
      <c r="Q1004">
        <f t="shared" si="155"/>
        <v>0</v>
      </c>
      <c r="R1004">
        <f t="shared" si="156"/>
        <v>1</v>
      </c>
      <c r="S1004">
        <f t="shared" si="157"/>
        <v>1</v>
      </c>
      <c r="T1004">
        <f t="shared" si="158"/>
        <v>11639.040000000003</v>
      </c>
      <c r="U1004">
        <f t="shared" si="159"/>
        <v>4816.6699999999964</v>
      </c>
    </row>
    <row r="1005" spans="1:21" x14ac:dyDescent="0.3">
      <c r="A1005">
        <v>1004</v>
      </c>
      <c r="B1005">
        <v>42</v>
      </c>
      <c r="C1005" t="s">
        <v>16</v>
      </c>
      <c r="D1005">
        <v>24.8</v>
      </c>
      <c r="E1005">
        <v>83</v>
      </c>
      <c r="F1005" t="s">
        <v>12</v>
      </c>
      <c r="G1005">
        <v>0</v>
      </c>
      <c r="H1005" t="s">
        <v>11</v>
      </c>
      <c r="I1005" t="s">
        <v>13</v>
      </c>
      <c r="J1005">
        <v>16577.78</v>
      </c>
      <c r="K1005" t="str">
        <f t="shared" si="150"/>
        <v>20-25</v>
      </c>
      <c r="L1005">
        <f t="shared" si="151"/>
        <v>24.8</v>
      </c>
      <c r="M1005">
        <f t="shared" si="152"/>
        <v>1</v>
      </c>
      <c r="N1005">
        <f t="shared" si="153"/>
        <v>0</v>
      </c>
      <c r="O1005">
        <f t="shared" si="154"/>
        <v>0</v>
      </c>
      <c r="P1005">
        <v>0.19506160233523329</v>
      </c>
      <c r="Q1005">
        <f t="shared" si="155"/>
        <v>1</v>
      </c>
      <c r="R1005">
        <f t="shared" si="156"/>
        <v>0</v>
      </c>
      <c r="S1005">
        <f t="shared" si="157"/>
        <v>1</v>
      </c>
      <c r="T1005">
        <f t="shared" si="158"/>
        <v>18234.182000000004</v>
      </c>
      <c r="U1005">
        <f t="shared" si="159"/>
        <v>-1656.4020000000055</v>
      </c>
    </row>
    <row r="1006" spans="1:21" x14ac:dyDescent="0.3">
      <c r="A1006">
        <v>1005</v>
      </c>
      <c r="B1006">
        <v>44</v>
      </c>
      <c r="C1006" t="s">
        <v>10</v>
      </c>
      <c r="D1006">
        <v>31</v>
      </c>
      <c r="E1006">
        <v>88</v>
      </c>
      <c r="F1006" t="s">
        <v>12</v>
      </c>
      <c r="G1006">
        <v>0</v>
      </c>
      <c r="H1006" t="s">
        <v>12</v>
      </c>
      <c r="I1006" t="s">
        <v>13</v>
      </c>
      <c r="J1006">
        <v>16586.5</v>
      </c>
      <c r="K1006" t="str">
        <f t="shared" si="150"/>
        <v>30-35</v>
      </c>
      <c r="L1006">
        <f t="shared" si="151"/>
        <v>0</v>
      </c>
      <c r="M1006">
        <f t="shared" si="152"/>
        <v>1</v>
      </c>
      <c r="N1006">
        <f t="shared" si="153"/>
        <v>0</v>
      </c>
      <c r="O1006">
        <f t="shared" si="154"/>
        <v>0</v>
      </c>
      <c r="P1006">
        <v>0.24792950367926714</v>
      </c>
      <c r="Q1006">
        <f t="shared" si="155"/>
        <v>0</v>
      </c>
      <c r="R1006">
        <f t="shared" si="156"/>
        <v>0</v>
      </c>
      <c r="S1006">
        <f t="shared" si="157"/>
        <v>0</v>
      </c>
      <c r="T1006">
        <f t="shared" si="158"/>
        <v>5715.66</v>
      </c>
      <c r="U1006">
        <f t="shared" si="159"/>
        <v>10870.84</v>
      </c>
    </row>
    <row r="1007" spans="1:21" x14ac:dyDescent="0.3">
      <c r="A1007">
        <v>1006</v>
      </c>
      <c r="B1007">
        <v>56</v>
      </c>
      <c r="C1007" t="s">
        <v>16</v>
      </c>
      <c r="D1007">
        <v>21.8</v>
      </c>
      <c r="E1007">
        <v>105</v>
      </c>
      <c r="F1007" t="s">
        <v>12</v>
      </c>
      <c r="G1007">
        <v>1</v>
      </c>
      <c r="H1007" t="s">
        <v>11</v>
      </c>
      <c r="I1007" t="s">
        <v>17</v>
      </c>
      <c r="J1007">
        <v>16657.72</v>
      </c>
      <c r="K1007" t="str">
        <f t="shared" si="150"/>
        <v>20-25</v>
      </c>
      <c r="L1007">
        <f t="shared" si="151"/>
        <v>21.8</v>
      </c>
      <c r="M1007">
        <f t="shared" si="152"/>
        <v>0</v>
      </c>
      <c r="N1007">
        <f t="shared" si="153"/>
        <v>0</v>
      </c>
      <c r="O1007">
        <f t="shared" si="154"/>
        <v>0</v>
      </c>
      <c r="P1007">
        <v>0.82497971090388478</v>
      </c>
      <c r="Q1007">
        <f t="shared" si="155"/>
        <v>1</v>
      </c>
      <c r="R1007">
        <f t="shared" si="156"/>
        <v>0</v>
      </c>
      <c r="S1007">
        <f t="shared" si="157"/>
        <v>1</v>
      </c>
      <c r="T1007">
        <f t="shared" si="158"/>
        <v>22076.142000000003</v>
      </c>
      <c r="U1007">
        <f t="shared" si="159"/>
        <v>-5418.4220000000023</v>
      </c>
    </row>
    <row r="1008" spans="1:21" x14ac:dyDescent="0.3">
      <c r="A1008">
        <v>1007</v>
      </c>
      <c r="B1008">
        <v>50</v>
      </c>
      <c r="C1008" t="s">
        <v>16</v>
      </c>
      <c r="D1008">
        <v>19.100000000000001</v>
      </c>
      <c r="E1008">
        <v>108</v>
      </c>
      <c r="F1008" t="s">
        <v>12</v>
      </c>
      <c r="G1008">
        <v>2</v>
      </c>
      <c r="H1008" t="s">
        <v>11</v>
      </c>
      <c r="I1008" t="s">
        <v>17</v>
      </c>
      <c r="J1008">
        <v>16776.3</v>
      </c>
      <c r="K1008" t="str">
        <f t="shared" si="150"/>
        <v>&lt;20</v>
      </c>
      <c r="L1008">
        <f t="shared" si="151"/>
        <v>19.100000000000001</v>
      </c>
      <c r="M1008">
        <f t="shared" si="152"/>
        <v>0</v>
      </c>
      <c r="N1008">
        <f t="shared" si="153"/>
        <v>0</v>
      </c>
      <c r="O1008">
        <f t="shared" si="154"/>
        <v>0</v>
      </c>
      <c r="P1008">
        <v>0.51601032222732923</v>
      </c>
      <c r="Q1008">
        <f t="shared" si="155"/>
        <v>1</v>
      </c>
      <c r="R1008">
        <f t="shared" si="156"/>
        <v>0</v>
      </c>
      <c r="S1008">
        <f t="shared" si="157"/>
        <v>1</v>
      </c>
      <c r="T1008">
        <f t="shared" si="158"/>
        <v>19670.169000000005</v>
      </c>
      <c r="U1008">
        <f t="shared" si="159"/>
        <v>-2893.8690000000061</v>
      </c>
    </row>
    <row r="1009" spans="1:21" x14ac:dyDescent="0.3">
      <c r="A1009">
        <v>1008</v>
      </c>
      <c r="B1009">
        <v>45</v>
      </c>
      <c r="C1009" t="s">
        <v>16</v>
      </c>
      <c r="D1009">
        <v>30.6</v>
      </c>
      <c r="E1009">
        <v>85</v>
      </c>
      <c r="F1009" t="s">
        <v>12</v>
      </c>
      <c r="G1009">
        <v>1</v>
      </c>
      <c r="H1009" t="s">
        <v>12</v>
      </c>
      <c r="I1009" t="s">
        <v>17</v>
      </c>
      <c r="J1009">
        <v>16796.41</v>
      </c>
      <c r="K1009" t="str">
        <f t="shared" si="150"/>
        <v>30-35</v>
      </c>
      <c r="L1009">
        <f t="shared" si="151"/>
        <v>0</v>
      </c>
      <c r="M1009">
        <f t="shared" si="152"/>
        <v>0</v>
      </c>
      <c r="N1009">
        <f t="shared" si="153"/>
        <v>0</v>
      </c>
      <c r="O1009">
        <f t="shared" si="154"/>
        <v>0</v>
      </c>
      <c r="P1009">
        <v>0.8873551918000141</v>
      </c>
      <c r="Q1009">
        <f t="shared" si="155"/>
        <v>0</v>
      </c>
      <c r="R1009">
        <f t="shared" si="156"/>
        <v>0</v>
      </c>
      <c r="S1009">
        <f t="shared" si="157"/>
        <v>1</v>
      </c>
      <c r="T1009">
        <f t="shared" si="158"/>
        <v>10029.33</v>
      </c>
      <c r="U1009">
        <f t="shared" si="159"/>
        <v>6767.08</v>
      </c>
    </row>
    <row r="1010" spans="1:21" x14ac:dyDescent="0.3">
      <c r="A1010">
        <v>1009</v>
      </c>
      <c r="B1010">
        <v>60</v>
      </c>
      <c r="C1010" t="s">
        <v>16</v>
      </c>
      <c r="D1010">
        <v>27.9</v>
      </c>
      <c r="E1010">
        <v>97</v>
      </c>
      <c r="F1010" t="s">
        <v>12</v>
      </c>
      <c r="G1010">
        <v>0</v>
      </c>
      <c r="H1010" t="s">
        <v>11</v>
      </c>
      <c r="I1010" t="s">
        <v>15</v>
      </c>
      <c r="J1010">
        <v>16884.919999999998</v>
      </c>
      <c r="K1010" t="str">
        <f t="shared" si="150"/>
        <v>25-30</v>
      </c>
      <c r="L1010">
        <f t="shared" si="151"/>
        <v>27.9</v>
      </c>
      <c r="M1010">
        <f t="shared" si="152"/>
        <v>0</v>
      </c>
      <c r="N1010">
        <f t="shared" si="153"/>
        <v>1</v>
      </c>
      <c r="O1010">
        <f t="shared" si="154"/>
        <v>0</v>
      </c>
      <c r="P1010">
        <v>0.94199678381619856</v>
      </c>
      <c r="Q1010">
        <f t="shared" si="155"/>
        <v>1</v>
      </c>
      <c r="R1010">
        <f t="shared" si="156"/>
        <v>0</v>
      </c>
      <c r="S1010">
        <f t="shared" si="157"/>
        <v>1</v>
      </c>
      <c r="T1010">
        <f t="shared" si="158"/>
        <v>25302.560999999998</v>
      </c>
      <c r="U1010">
        <f t="shared" si="159"/>
        <v>-8417.6409999999996</v>
      </c>
    </row>
    <row r="1011" spans="1:21" x14ac:dyDescent="0.3">
      <c r="A1011">
        <v>1010</v>
      </c>
      <c r="B1011">
        <v>22</v>
      </c>
      <c r="C1011" t="s">
        <v>10</v>
      </c>
      <c r="D1011">
        <v>27.1</v>
      </c>
      <c r="E1011">
        <v>86</v>
      </c>
      <c r="F1011" t="s">
        <v>11</v>
      </c>
      <c r="G1011">
        <v>0</v>
      </c>
      <c r="H1011" t="s">
        <v>11</v>
      </c>
      <c r="I1011" t="s">
        <v>13</v>
      </c>
      <c r="J1011">
        <v>17043.34</v>
      </c>
      <c r="K1011" t="str">
        <f t="shared" si="150"/>
        <v>25-30</v>
      </c>
      <c r="L1011">
        <f t="shared" si="151"/>
        <v>27.1</v>
      </c>
      <c r="M1011">
        <f t="shared" si="152"/>
        <v>1</v>
      </c>
      <c r="N1011">
        <f t="shared" si="153"/>
        <v>0</v>
      </c>
      <c r="O1011">
        <f t="shared" si="154"/>
        <v>0</v>
      </c>
      <c r="P1011">
        <v>0.4978538954715519</v>
      </c>
      <c r="Q1011">
        <f t="shared" si="155"/>
        <v>1</v>
      </c>
      <c r="R1011">
        <f t="shared" si="156"/>
        <v>1</v>
      </c>
      <c r="S1011">
        <f t="shared" si="157"/>
        <v>0</v>
      </c>
      <c r="T1011">
        <f t="shared" si="158"/>
        <v>21317.329000000002</v>
      </c>
      <c r="U1011">
        <f t="shared" si="159"/>
        <v>-4273.9890000000014</v>
      </c>
    </row>
    <row r="1012" spans="1:21" x14ac:dyDescent="0.3">
      <c r="A1012">
        <v>1011</v>
      </c>
      <c r="B1012">
        <v>25</v>
      </c>
      <c r="C1012" t="s">
        <v>16</v>
      </c>
      <c r="D1012">
        <v>28.3</v>
      </c>
      <c r="E1012">
        <v>107</v>
      </c>
      <c r="F1012" t="s">
        <v>11</v>
      </c>
      <c r="G1012">
        <v>0</v>
      </c>
      <c r="H1012" t="s">
        <v>11</v>
      </c>
      <c r="I1012" t="s">
        <v>15</v>
      </c>
      <c r="J1012">
        <v>17081.080000000002</v>
      </c>
      <c r="K1012" t="str">
        <f t="shared" si="150"/>
        <v>25-30</v>
      </c>
      <c r="L1012">
        <f t="shared" si="151"/>
        <v>28.3</v>
      </c>
      <c r="M1012">
        <f t="shared" si="152"/>
        <v>0</v>
      </c>
      <c r="N1012">
        <f t="shared" si="153"/>
        <v>1</v>
      </c>
      <c r="O1012">
        <f t="shared" si="154"/>
        <v>0</v>
      </c>
      <c r="P1012">
        <v>0.64680572510200673</v>
      </c>
      <c r="Q1012">
        <f t="shared" si="155"/>
        <v>1</v>
      </c>
      <c r="R1012">
        <f t="shared" si="156"/>
        <v>1</v>
      </c>
      <c r="S1012">
        <f t="shared" si="157"/>
        <v>1</v>
      </c>
      <c r="T1012">
        <f t="shared" si="158"/>
        <v>27412.077000000005</v>
      </c>
      <c r="U1012">
        <f t="shared" si="159"/>
        <v>-10330.997000000003</v>
      </c>
    </row>
    <row r="1013" spans="1:21" x14ac:dyDescent="0.3">
      <c r="A1013">
        <v>1012</v>
      </c>
      <c r="B1013">
        <v>32</v>
      </c>
      <c r="C1013" t="s">
        <v>16</v>
      </c>
      <c r="D1013">
        <v>26.8</v>
      </c>
      <c r="E1013">
        <v>109</v>
      </c>
      <c r="F1013" t="s">
        <v>12</v>
      </c>
      <c r="G1013">
        <v>1</v>
      </c>
      <c r="H1013" t="s">
        <v>11</v>
      </c>
      <c r="I1013" t="s">
        <v>13</v>
      </c>
      <c r="J1013">
        <v>17085.27</v>
      </c>
      <c r="K1013" t="str">
        <f t="shared" si="150"/>
        <v>25-30</v>
      </c>
      <c r="L1013">
        <f t="shared" si="151"/>
        <v>26.8</v>
      </c>
      <c r="M1013">
        <f t="shared" si="152"/>
        <v>1</v>
      </c>
      <c r="N1013">
        <f t="shared" si="153"/>
        <v>0</v>
      </c>
      <c r="O1013">
        <f t="shared" si="154"/>
        <v>0</v>
      </c>
      <c r="P1013">
        <v>0.56369165662743059</v>
      </c>
      <c r="Q1013">
        <f t="shared" si="155"/>
        <v>1</v>
      </c>
      <c r="R1013">
        <f t="shared" si="156"/>
        <v>0</v>
      </c>
      <c r="S1013">
        <f t="shared" si="157"/>
        <v>1</v>
      </c>
      <c r="T1013">
        <f t="shared" si="158"/>
        <v>25823.941999999999</v>
      </c>
      <c r="U1013">
        <f t="shared" si="159"/>
        <v>-8738.6719999999987</v>
      </c>
    </row>
    <row r="1014" spans="1:21" x14ac:dyDescent="0.3">
      <c r="A1014">
        <v>1013</v>
      </c>
      <c r="B1014">
        <v>35</v>
      </c>
      <c r="C1014" t="s">
        <v>10</v>
      </c>
      <c r="D1014">
        <v>33.6</v>
      </c>
      <c r="E1014">
        <v>90</v>
      </c>
      <c r="F1014" t="s">
        <v>11</v>
      </c>
      <c r="G1014">
        <v>4</v>
      </c>
      <c r="H1014" t="s">
        <v>12</v>
      </c>
      <c r="I1014" t="s">
        <v>17</v>
      </c>
      <c r="J1014">
        <v>17128.43</v>
      </c>
      <c r="K1014" t="str">
        <f t="shared" si="150"/>
        <v>30-35</v>
      </c>
      <c r="L1014">
        <f t="shared" si="151"/>
        <v>0</v>
      </c>
      <c r="M1014">
        <f t="shared" si="152"/>
        <v>0</v>
      </c>
      <c r="N1014">
        <f t="shared" si="153"/>
        <v>0</v>
      </c>
      <c r="O1014">
        <f t="shared" si="154"/>
        <v>0</v>
      </c>
      <c r="P1014">
        <v>0.21797305498016462</v>
      </c>
      <c r="Q1014">
        <f t="shared" si="155"/>
        <v>0</v>
      </c>
      <c r="R1014">
        <f t="shared" si="156"/>
        <v>1</v>
      </c>
      <c r="S1014">
        <f t="shared" si="157"/>
        <v>0</v>
      </c>
      <c r="T1014">
        <f t="shared" si="158"/>
        <v>12797.29</v>
      </c>
      <c r="U1014">
        <f t="shared" si="159"/>
        <v>4331.1399999999994</v>
      </c>
    </row>
    <row r="1015" spans="1:21" x14ac:dyDescent="0.3">
      <c r="A1015">
        <v>1014</v>
      </c>
      <c r="B1015">
        <v>45</v>
      </c>
      <c r="C1015" t="s">
        <v>10</v>
      </c>
      <c r="D1015">
        <v>27.4</v>
      </c>
      <c r="E1015">
        <v>83</v>
      </c>
      <c r="F1015" t="s">
        <v>12</v>
      </c>
      <c r="G1015">
        <v>1</v>
      </c>
      <c r="H1015" t="s">
        <v>11</v>
      </c>
      <c r="I1015" t="s">
        <v>17</v>
      </c>
      <c r="J1015">
        <v>17178.68</v>
      </c>
      <c r="K1015" t="str">
        <f t="shared" si="150"/>
        <v>25-30</v>
      </c>
      <c r="L1015">
        <f t="shared" si="151"/>
        <v>27.4</v>
      </c>
      <c r="M1015">
        <f t="shared" si="152"/>
        <v>0</v>
      </c>
      <c r="N1015">
        <f t="shared" si="153"/>
        <v>0</v>
      </c>
      <c r="O1015">
        <f t="shared" si="154"/>
        <v>0</v>
      </c>
      <c r="P1015">
        <v>0.62943859902763788</v>
      </c>
      <c r="Q1015">
        <f t="shared" si="155"/>
        <v>1</v>
      </c>
      <c r="R1015">
        <f t="shared" si="156"/>
        <v>0</v>
      </c>
      <c r="S1015">
        <f t="shared" si="157"/>
        <v>0</v>
      </c>
      <c r="T1015">
        <f t="shared" si="158"/>
        <v>25664.555999999997</v>
      </c>
      <c r="U1015">
        <f t="shared" si="159"/>
        <v>-8485.8759999999966</v>
      </c>
    </row>
    <row r="1016" spans="1:21" x14ac:dyDescent="0.3">
      <c r="A1016">
        <v>1015</v>
      </c>
      <c r="B1016">
        <v>44</v>
      </c>
      <c r="C1016" t="s">
        <v>10</v>
      </c>
      <c r="D1016">
        <v>19.8</v>
      </c>
      <c r="E1016">
        <v>106</v>
      </c>
      <c r="F1016" t="s">
        <v>12</v>
      </c>
      <c r="G1016">
        <v>1</v>
      </c>
      <c r="H1016" t="s">
        <v>11</v>
      </c>
      <c r="I1016" t="s">
        <v>13</v>
      </c>
      <c r="J1016">
        <v>17179.52</v>
      </c>
      <c r="K1016" t="str">
        <f t="shared" si="150"/>
        <v>&lt;20</v>
      </c>
      <c r="L1016">
        <f t="shared" si="151"/>
        <v>19.8</v>
      </c>
      <c r="M1016">
        <f t="shared" si="152"/>
        <v>1</v>
      </c>
      <c r="N1016">
        <f t="shared" si="153"/>
        <v>0</v>
      </c>
      <c r="O1016">
        <f t="shared" si="154"/>
        <v>0</v>
      </c>
      <c r="P1016">
        <v>0.10530241814223185</v>
      </c>
      <c r="Q1016">
        <f t="shared" si="155"/>
        <v>1</v>
      </c>
      <c r="R1016">
        <f t="shared" si="156"/>
        <v>0</v>
      </c>
      <c r="S1016">
        <f t="shared" si="157"/>
        <v>0</v>
      </c>
      <c r="T1016">
        <f t="shared" si="158"/>
        <v>15472.032000000007</v>
      </c>
      <c r="U1016">
        <f t="shared" si="159"/>
        <v>1707.4879999999939</v>
      </c>
    </row>
    <row r="1017" spans="1:21" x14ac:dyDescent="0.3">
      <c r="A1017">
        <v>1016</v>
      </c>
      <c r="B1017">
        <v>47</v>
      </c>
      <c r="C1017" t="s">
        <v>10</v>
      </c>
      <c r="D1017">
        <v>29.1</v>
      </c>
      <c r="E1017">
        <v>97</v>
      </c>
      <c r="F1017" t="s">
        <v>12</v>
      </c>
      <c r="G1017">
        <v>0</v>
      </c>
      <c r="H1017" t="s">
        <v>11</v>
      </c>
      <c r="I1017" t="s">
        <v>14</v>
      </c>
      <c r="J1017">
        <v>17352.68</v>
      </c>
      <c r="K1017" t="str">
        <f t="shared" si="150"/>
        <v>25-30</v>
      </c>
      <c r="L1017">
        <f t="shared" si="151"/>
        <v>29.1</v>
      </c>
      <c r="M1017">
        <f t="shared" si="152"/>
        <v>0</v>
      </c>
      <c r="N1017">
        <f t="shared" si="153"/>
        <v>0</v>
      </c>
      <c r="O1017">
        <f t="shared" si="154"/>
        <v>1</v>
      </c>
      <c r="P1017">
        <v>0.78554489440964625</v>
      </c>
      <c r="Q1017">
        <f t="shared" si="155"/>
        <v>1</v>
      </c>
      <c r="R1017">
        <f t="shared" si="156"/>
        <v>0</v>
      </c>
      <c r="S1017">
        <f t="shared" si="157"/>
        <v>0</v>
      </c>
      <c r="T1017">
        <f t="shared" si="158"/>
        <v>26495.949000000008</v>
      </c>
      <c r="U1017">
        <f t="shared" si="159"/>
        <v>-9143.2690000000075</v>
      </c>
    </row>
    <row r="1018" spans="1:21" x14ac:dyDescent="0.3">
      <c r="A1018">
        <v>1017</v>
      </c>
      <c r="B1018">
        <v>19</v>
      </c>
      <c r="C1018" t="s">
        <v>10</v>
      </c>
      <c r="D1018">
        <v>23</v>
      </c>
      <c r="E1018">
        <v>99</v>
      </c>
      <c r="F1018" t="s">
        <v>11</v>
      </c>
      <c r="G1018">
        <v>2</v>
      </c>
      <c r="H1018" t="s">
        <v>11</v>
      </c>
      <c r="I1018" t="s">
        <v>14</v>
      </c>
      <c r="J1018">
        <v>17361.77</v>
      </c>
      <c r="K1018" t="str">
        <f t="shared" si="150"/>
        <v>20-25</v>
      </c>
      <c r="L1018">
        <f t="shared" si="151"/>
        <v>23</v>
      </c>
      <c r="M1018">
        <f t="shared" si="152"/>
        <v>0</v>
      </c>
      <c r="N1018">
        <f t="shared" si="153"/>
        <v>0</v>
      </c>
      <c r="O1018">
        <f t="shared" si="154"/>
        <v>1</v>
      </c>
      <c r="P1018">
        <v>0.74430073098310767</v>
      </c>
      <c r="Q1018">
        <f t="shared" si="155"/>
        <v>1</v>
      </c>
      <c r="R1018">
        <f t="shared" si="156"/>
        <v>1</v>
      </c>
      <c r="S1018">
        <f t="shared" si="157"/>
        <v>0</v>
      </c>
      <c r="T1018">
        <f t="shared" si="158"/>
        <v>20055.780000000002</v>
      </c>
      <c r="U1018">
        <f t="shared" si="159"/>
        <v>-2694.010000000002</v>
      </c>
    </row>
    <row r="1019" spans="1:21" x14ac:dyDescent="0.3">
      <c r="A1019">
        <v>1018</v>
      </c>
      <c r="B1019">
        <v>32</v>
      </c>
      <c r="C1019" t="s">
        <v>16</v>
      </c>
      <c r="D1019">
        <v>28.3</v>
      </c>
      <c r="E1019">
        <v>92</v>
      </c>
      <c r="F1019" t="s">
        <v>12</v>
      </c>
      <c r="G1019">
        <v>0</v>
      </c>
      <c r="H1019" t="s">
        <v>11</v>
      </c>
      <c r="I1019" t="s">
        <v>14</v>
      </c>
      <c r="J1019">
        <v>17468.98</v>
      </c>
      <c r="K1019" t="str">
        <f t="shared" si="150"/>
        <v>25-30</v>
      </c>
      <c r="L1019">
        <f t="shared" si="151"/>
        <v>28.3</v>
      </c>
      <c r="M1019">
        <f t="shared" si="152"/>
        <v>0</v>
      </c>
      <c r="N1019">
        <f t="shared" si="153"/>
        <v>0</v>
      </c>
      <c r="O1019">
        <f t="shared" si="154"/>
        <v>1</v>
      </c>
      <c r="P1019">
        <v>0.54958809682093102</v>
      </c>
      <c r="Q1019">
        <f t="shared" si="155"/>
        <v>1</v>
      </c>
      <c r="R1019">
        <f t="shared" si="156"/>
        <v>0</v>
      </c>
      <c r="S1019">
        <f t="shared" si="157"/>
        <v>1</v>
      </c>
      <c r="T1019">
        <f t="shared" si="158"/>
        <v>25086.397000000008</v>
      </c>
      <c r="U1019">
        <f t="shared" si="159"/>
        <v>-7617.4170000000086</v>
      </c>
    </row>
    <row r="1020" spans="1:21" x14ac:dyDescent="0.3">
      <c r="A1020">
        <v>1019</v>
      </c>
      <c r="B1020">
        <v>45</v>
      </c>
      <c r="C1020" t="s">
        <v>16</v>
      </c>
      <c r="D1020">
        <v>24.6</v>
      </c>
      <c r="E1020">
        <v>96</v>
      </c>
      <c r="F1020" t="s">
        <v>11</v>
      </c>
      <c r="G1020">
        <v>0</v>
      </c>
      <c r="H1020" t="s">
        <v>11</v>
      </c>
      <c r="I1020" t="s">
        <v>15</v>
      </c>
      <c r="J1020">
        <v>17496.310000000001</v>
      </c>
      <c r="K1020" t="str">
        <f t="shared" si="150"/>
        <v>20-25</v>
      </c>
      <c r="L1020">
        <f t="shared" si="151"/>
        <v>24.6</v>
      </c>
      <c r="M1020">
        <f t="shared" si="152"/>
        <v>0</v>
      </c>
      <c r="N1020">
        <f t="shared" si="153"/>
        <v>1</v>
      </c>
      <c r="O1020">
        <f t="shared" si="154"/>
        <v>0</v>
      </c>
      <c r="P1020">
        <v>0.13867281401816112</v>
      </c>
      <c r="Q1020">
        <f t="shared" si="155"/>
        <v>1</v>
      </c>
      <c r="R1020">
        <f t="shared" si="156"/>
        <v>1</v>
      </c>
      <c r="S1020">
        <f t="shared" si="157"/>
        <v>1</v>
      </c>
      <c r="T1020">
        <f t="shared" si="158"/>
        <v>20655.634000000005</v>
      </c>
      <c r="U1020">
        <f t="shared" si="159"/>
        <v>-3159.3240000000042</v>
      </c>
    </row>
    <row r="1021" spans="1:21" x14ac:dyDescent="0.3">
      <c r="A1021">
        <v>1020</v>
      </c>
      <c r="B1021">
        <v>23</v>
      </c>
      <c r="C1021" t="s">
        <v>10</v>
      </c>
      <c r="D1021">
        <v>28</v>
      </c>
      <c r="E1021">
        <v>86</v>
      </c>
      <c r="F1021" t="s">
        <v>11</v>
      </c>
      <c r="G1021">
        <v>1</v>
      </c>
      <c r="H1021" t="s">
        <v>11</v>
      </c>
      <c r="I1021" t="s">
        <v>14</v>
      </c>
      <c r="J1021">
        <v>17560.38</v>
      </c>
      <c r="K1021" t="str">
        <f t="shared" si="150"/>
        <v>25-30</v>
      </c>
      <c r="L1021">
        <f t="shared" si="151"/>
        <v>28</v>
      </c>
      <c r="M1021">
        <f t="shared" si="152"/>
        <v>0</v>
      </c>
      <c r="N1021">
        <f t="shared" si="153"/>
        <v>0</v>
      </c>
      <c r="O1021">
        <f t="shared" si="154"/>
        <v>1</v>
      </c>
      <c r="P1021">
        <v>8.5739685825759304E-2</v>
      </c>
      <c r="Q1021">
        <f t="shared" si="155"/>
        <v>1</v>
      </c>
      <c r="R1021">
        <f t="shared" si="156"/>
        <v>1</v>
      </c>
      <c r="S1021">
        <f t="shared" si="157"/>
        <v>0</v>
      </c>
      <c r="T1021">
        <f t="shared" si="158"/>
        <v>23961.200000000001</v>
      </c>
      <c r="U1021">
        <f t="shared" si="159"/>
        <v>-6400.82</v>
      </c>
    </row>
    <row r="1022" spans="1:21" x14ac:dyDescent="0.3">
      <c r="A1022">
        <v>1021</v>
      </c>
      <c r="B1022">
        <v>60</v>
      </c>
      <c r="C1022" t="s">
        <v>16</v>
      </c>
      <c r="D1022">
        <v>23.7</v>
      </c>
      <c r="E1022">
        <v>91</v>
      </c>
      <c r="F1022" t="s">
        <v>11</v>
      </c>
      <c r="G1022">
        <v>1</v>
      </c>
      <c r="H1022" t="s">
        <v>12</v>
      </c>
      <c r="I1022" t="s">
        <v>13</v>
      </c>
      <c r="J1022">
        <v>17626.240000000002</v>
      </c>
      <c r="K1022" t="str">
        <f t="shared" si="150"/>
        <v>20-25</v>
      </c>
      <c r="L1022">
        <f t="shared" si="151"/>
        <v>0</v>
      </c>
      <c r="M1022">
        <f t="shared" si="152"/>
        <v>1</v>
      </c>
      <c r="N1022">
        <f t="shared" si="153"/>
        <v>0</v>
      </c>
      <c r="O1022">
        <f t="shared" si="154"/>
        <v>0</v>
      </c>
      <c r="P1022">
        <v>0.35346988923243816</v>
      </c>
      <c r="Q1022">
        <f t="shared" si="155"/>
        <v>0</v>
      </c>
      <c r="R1022">
        <f t="shared" si="156"/>
        <v>1</v>
      </c>
      <c r="S1022">
        <f t="shared" si="157"/>
        <v>1</v>
      </c>
      <c r="T1022">
        <f t="shared" si="158"/>
        <v>6663.93</v>
      </c>
      <c r="U1022">
        <f t="shared" si="159"/>
        <v>10962.310000000001</v>
      </c>
    </row>
    <row r="1023" spans="1:21" x14ac:dyDescent="0.3">
      <c r="A1023">
        <v>1022</v>
      </c>
      <c r="B1023">
        <v>19</v>
      </c>
      <c r="C1023" t="s">
        <v>10</v>
      </c>
      <c r="D1023">
        <v>24</v>
      </c>
      <c r="E1023">
        <v>80</v>
      </c>
      <c r="F1023" t="s">
        <v>12</v>
      </c>
      <c r="G1023">
        <v>3</v>
      </c>
      <c r="H1023" t="s">
        <v>11</v>
      </c>
      <c r="I1023" t="s">
        <v>13</v>
      </c>
      <c r="J1023">
        <v>17663.14</v>
      </c>
      <c r="K1023" t="str">
        <f t="shared" si="150"/>
        <v>20-25</v>
      </c>
      <c r="L1023">
        <f t="shared" si="151"/>
        <v>24</v>
      </c>
      <c r="M1023">
        <f t="shared" si="152"/>
        <v>1</v>
      </c>
      <c r="N1023">
        <f t="shared" si="153"/>
        <v>0</v>
      </c>
      <c r="O1023">
        <f t="shared" si="154"/>
        <v>0</v>
      </c>
      <c r="P1023">
        <v>0.65397063239718856</v>
      </c>
      <c r="Q1023">
        <f t="shared" si="155"/>
        <v>1</v>
      </c>
      <c r="R1023">
        <f t="shared" si="156"/>
        <v>0</v>
      </c>
      <c r="S1023">
        <f t="shared" si="157"/>
        <v>0</v>
      </c>
      <c r="T1023">
        <f t="shared" si="158"/>
        <v>18478.870000000003</v>
      </c>
      <c r="U1023">
        <f t="shared" si="159"/>
        <v>-815.7300000000032</v>
      </c>
    </row>
    <row r="1024" spans="1:21" x14ac:dyDescent="0.3">
      <c r="A1024">
        <v>1023</v>
      </c>
      <c r="B1024">
        <v>58</v>
      </c>
      <c r="C1024" t="s">
        <v>16</v>
      </c>
      <c r="D1024">
        <v>28.9</v>
      </c>
      <c r="E1024">
        <v>83</v>
      </c>
      <c r="F1024" t="s">
        <v>11</v>
      </c>
      <c r="G1024">
        <v>0</v>
      </c>
      <c r="H1024" t="s">
        <v>11</v>
      </c>
      <c r="I1024" t="s">
        <v>14</v>
      </c>
      <c r="J1024">
        <v>17748.509999999998</v>
      </c>
      <c r="K1024" t="str">
        <f t="shared" si="150"/>
        <v>25-30</v>
      </c>
      <c r="L1024">
        <f t="shared" si="151"/>
        <v>28.9</v>
      </c>
      <c r="M1024">
        <f t="shared" si="152"/>
        <v>0</v>
      </c>
      <c r="N1024">
        <f t="shared" si="153"/>
        <v>0</v>
      </c>
      <c r="O1024">
        <f t="shared" si="154"/>
        <v>1</v>
      </c>
      <c r="P1024">
        <v>0.34053136527610384</v>
      </c>
      <c r="Q1024">
        <f t="shared" si="155"/>
        <v>1</v>
      </c>
      <c r="R1024">
        <f t="shared" si="156"/>
        <v>1</v>
      </c>
      <c r="S1024">
        <f t="shared" si="157"/>
        <v>1</v>
      </c>
      <c r="T1024">
        <f t="shared" si="158"/>
        <v>24354.561000000002</v>
      </c>
      <c r="U1024">
        <f t="shared" si="159"/>
        <v>-6606.0510000000031</v>
      </c>
    </row>
    <row r="1025" spans="1:21" x14ac:dyDescent="0.3">
      <c r="A1025">
        <v>1024</v>
      </c>
      <c r="B1025">
        <v>51</v>
      </c>
      <c r="C1025" t="s">
        <v>16</v>
      </c>
      <c r="D1025">
        <v>41.3</v>
      </c>
      <c r="E1025">
        <v>98</v>
      </c>
      <c r="F1025" t="s">
        <v>12</v>
      </c>
      <c r="G1025">
        <v>0</v>
      </c>
      <c r="H1025" t="s">
        <v>12</v>
      </c>
      <c r="I1025" t="s">
        <v>17</v>
      </c>
      <c r="J1025">
        <v>17878.900000000001</v>
      </c>
      <c r="K1025" t="str">
        <f t="shared" si="150"/>
        <v>35+</v>
      </c>
      <c r="L1025">
        <f t="shared" si="151"/>
        <v>0</v>
      </c>
      <c r="M1025">
        <f t="shared" si="152"/>
        <v>0</v>
      </c>
      <c r="N1025">
        <f t="shared" si="153"/>
        <v>0</v>
      </c>
      <c r="O1025">
        <f t="shared" si="154"/>
        <v>0</v>
      </c>
      <c r="P1025">
        <v>4.8574307215673573E-2</v>
      </c>
      <c r="Q1025">
        <f t="shared" si="155"/>
        <v>0</v>
      </c>
      <c r="R1025">
        <f t="shared" si="156"/>
        <v>0</v>
      </c>
      <c r="S1025">
        <f t="shared" si="157"/>
        <v>1</v>
      </c>
      <c r="T1025">
        <f t="shared" si="158"/>
        <v>12272.93</v>
      </c>
      <c r="U1025">
        <f t="shared" si="159"/>
        <v>5605.9700000000012</v>
      </c>
    </row>
    <row r="1026" spans="1:21" x14ac:dyDescent="0.3">
      <c r="A1026">
        <v>1025</v>
      </c>
      <c r="B1026">
        <v>22</v>
      </c>
      <c r="C1026" t="s">
        <v>10</v>
      </c>
      <c r="D1026">
        <v>24.8</v>
      </c>
      <c r="E1026">
        <v>100</v>
      </c>
      <c r="F1026" t="s">
        <v>12</v>
      </c>
      <c r="G1026">
        <v>0</v>
      </c>
      <c r="H1026" t="s">
        <v>11</v>
      </c>
      <c r="I1026" t="s">
        <v>17</v>
      </c>
      <c r="J1026">
        <v>17904.53</v>
      </c>
      <c r="K1026" t="str">
        <f t="shared" si="150"/>
        <v>20-25</v>
      </c>
      <c r="L1026">
        <f t="shared" si="151"/>
        <v>24.8</v>
      </c>
      <c r="M1026">
        <f t="shared" si="152"/>
        <v>0</v>
      </c>
      <c r="N1026">
        <f t="shared" si="153"/>
        <v>0</v>
      </c>
      <c r="O1026">
        <f t="shared" si="154"/>
        <v>0</v>
      </c>
      <c r="P1026">
        <v>0.93292540758704046</v>
      </c>
      <c r="Q1026">
        <f t="shared" si="155"/>
        <v>1</v>
      </c>
      <c r="R1026">
        <f t="shared" si="156"/>
        <v>0</v>
      </c>
      <c r="S1026">
        <f t="shared" si="157"/>
        <v>0</v>
      </c>
      <c r="T1026">
        <f t="shared" si="158"/>
        <v>24172.592000000004</v>
      </c>
      <c r="U1026">
        <f t="shared" si="159"/>
        <v>-6268.0620000000054</v>
      </c>
    </row>
    <row r="1027" spans="1:21" x14ac:dyDescent="0.3">
      <c r="A1027">
        <v>1026</v>
      </c>
      <c r="B1027">
        <v>59</v>
      </c>
      <c r="C1027" t="s">
        <v>16</v>
      </c>
      <c r="D1027">
        <v>31.8</v>
      </c>
      <c r="E1027">
        <v>103</v>
      </c>
      <c r="F1027" t="s">
        <v>11</v>
      </c>
      <c r="G1027">
        <v>0</v>
      </c>
      <c r="H1027" t="s">
        <v>12</v>
      </c>
      <c r="I1027" t="s">
        <v>13</v>
      </c>
      <c r="J1027">
        <v>17929.3</v>
      </c>
      <c r="K1027" t="str">
        <f t="shared" ref="K1027:K1090" si="160">IF(D1027&lt;20, "&lt;20", IF(D1027&lt;25, "20-25", IF(D1027&lt;30, "25-30", IF(D1027&lt;35, "30-35", "35+"))))</f>
        <v>30-35</v>
      </c>
      <c r="L1027">
        <f t="shared" ref="L1027:L1090" si="161">D1027*Q1027</f>
        <v>0</v>
      </c>
      <c r="M1027">
        <f t="shared" ref="M1027:M1090" si="162">IF(I1027="southeast", 1, 0)</f>
        <v>1</v>
      </c>
      <c r="N1027">
        <f t="shared" ref="N1027:N1090" si="163">IF(I1027="southwest", 1, 0)</f>
        <v>0</v>
      </c>
      <c r="O1027">
        <f t="shared" ref="O1027:O1090" si="164">IF(I1027="northwest", 1, 0)</f>
        <v>0</v>
      </c>
      <c r="P1027">
        <v>0.82410046535373094</v>
      </c>
      <c r="Q1027">
        <f t="shared" ref="Q1027:Q1090" si="165">IF(H1027="Yes", 1, 0)</f>
        <v>0</v>
      </c>
      <c r="R1027">
        <f t="shared" ref="R1027:R1090" si="166">IF(F1027="yes", 1, 0)</f>
        <v>1</v>
      </c>
      <c r="S1027">
        <f t="shared" ref="S1027:S1090" si="167">IF(C1027="female", 1, 0)</f>
        <v>1</v>
      </c>
      <c r="T1027">
        <f t="shared" ref="T1027:T1090" si="168">-7277.71 + (-1.28*B1027) + (85.5*D1027) + (738.24*G1027) + (159.59*E1027) + (1259.19*L1027) + (-3644.73*M1027) + (-2956.11*N1027) + (-2948.04*O1027) + (-17828.85*Q1027) + (-69.06*R1027) + (444.95*S1027)</f>
        <v>8534.6</v>
      </c>
      <c r="U1027">
        <f t="shared" ref="U1027:U1090" si="169">J1027-T1027</f>
        <v>9394.6999999999989</v>
      </c>
    </row>
    <row r="1028" spans="1:21" x14ac:dyDescent="0.3">
      <c r="A1028">
        <v>1027</v>
      </c>
      <c r="B1028">
        <v>36</v>
      </c>
      <c r="C1028" t="s">
        <v>10</v>
      </c>
      <c r="D1028">
        <v>25.7</v>
      </c>
      <c r="E1028">
        <v>96</v>
      </c>
      <c r="F1028" t="s">
        <v>11</v>
      </c>
      <c r="G1028">
        <v>4</v>
      </c>
      <c r="H1028" t="s">
        <v>11</v>
      </c>
      <c r="I1028" t="s">
        <v>15</v>
      </c>
      <c r="J1028">
        <v>17942.11</v>
      </c>
      <c r="K1028" t="str">
        <f t="shared" si="160"/>
        <v>25-30</v>
      </c>
      <c r="L1028">
        <f t="shared" si="161"/>
        <v>25.7</v>
      </c>
      <c r="M1028">
        <f t="shared" si="162"/>
        <v>0</v>
      </c>
      <c r="N1028">
        <f t="shared" si="163"/>
        <v>1</v>
      </c>
      <c r="O1028">
        <f t="shared" si="164"/>
        <v>0</v>
      </c>
      <c r="P1028">
        <v>0.51621445536105781</v>
      </c>
      <c r="Q1028">
        <f t="shared" si="165"/>
        <v>1</v>
      </c>
      <c r="R1028">
        <f t="shared" si="166"/>
        <v>1</v>
      </c>
      <c r="S1028">
        <f t="shared" si="167"/>
        <v>0</v>
      </c>
      <c r="T1028">
        <f t="shared" si="168"/>
        <v>24654.323</v>
      </c>
      <c r="U1028">
        <f t="shared" si="169"/>
        <v>-6712.2129999999997</v>
      </c>
    </row>
    <row r="1029" spans="1:21" x14ac:dyDescent="0.3">
      <c r="A1029">
        <v>1028</v>
      </c>
      <c r="B1029">
        <v>29</v>
      </c>
      <c r="C1029" t="s">
        <v>16</v>
      </c>
      <c r="D1029">
        <v>28.3</v>
      </c>
      <c r="E1029">
        <v>103</v>
      </c>
      <c r="F1029" t="s">
        <v>12</v>
      </c>
      <c r="G1029">
        <v>0</v>
      </c>
      <c r="H1029" t="s">
        <v>11</v>
      </c>
      <c r="I1029" t="s">
        <v>14</v>
      </c>
      <c r="J1029">
        <v>18033.97</v>
      </c>
      <c r="K1029" t="str">
        <f t="shared" si="160"/>
        <v>25-30</v>
      </c>
      <c r="L1029">
        <f t="shared" si="161"/>
        <v>28.3</v>
      </c>
      <c r="M1029">
        <f t="shared" si="162"/>
        <v>0</v>
      </c>
      <c r="N1029">
        <f t="shared" si="163"/>
        <v>0</v>
      </c>
      <c r="O1029">
        <f t="shared" si="164"/>
        <v>1</v>
      </c>
      <c r="P1029">
        <v>0.53055531126846478</v>
      </c>
      <c r="Q1029">
        <f t="shared" si="165"/>
        <v>1</v>
      </c>
      <c r="R1029">
        <f t="shared" si="166"/>
        <v>0</v>
      </c>
      <c r="S1029">
        <f t="shared" si="167"/>
        <v>1</v>
      </c>
      <c r="T1029">
        <f t="shared" si="168"/>
        <v>26845.727000000003</v>
      </c>
      <c r="U1029">
        <f t="shared" si="169"/>
        <v>-8811.7570000000014</v>
      </c>
    </row>
    <row r="1030" spans="1:21" x14ac:dyDescent="0.3">
      <c r="A1030">
        <v>1029</v>
      </c>
      <c r="B1030">
        <v>33</v>
      </c>
      <c r="C1030" t="s">
        <v>10</v>
      </c>
      <c r="D1030">
        <v>29.7</v>
      </c>
      <c r="E1030">
        <v>102</v>
      </c>
      <c r="F1030" t="s">
        <v>11</v>
      </c>
      <c r="G1030">
        <v>2</v>
      </c>
      <c r="H1030" t="s">
        <v>12</v>
      </c>
      <c r="I1030" t="s">
        <v>14</v>
      </c>
      <c r="J1030">
        <v>18157.88</v>
      </c>
      <c r="K1030" t="str">
        <f t="shared" si="160"/>
        <v>25-30</v>
      </c>
      <c r="L1030">
        <f t="shared" si="161"/>
        <v>0</v>
      </c>
      <c r="M1030">
        <f t="shared" si="162"/>
        <v>0</v>
      </c>
      <c r="N1030">
        <f t="shared" si="163"/>
        <v>0</v>
      </c>
      <c r="O1030">
        <f t="shared" si="164"/>
        <v>1</v>
      </c>
      <c r="P1030">
        <v>0.48523843235713593</v>
      </c>
      <c r="Q1030">
        <f t="shared" si="165"/>
        <v>0</v>
      </c>
      <c r="R1030">
        <f t="shared" si="166"/>
        <v>1</v>
      </c>
      <c r="S1030">
        <f t="shared" si="167"/>
        <v>0</v>
      </c>
      <c r="T1030">
        <f t="shared" si="168"/>
        <v>9956.9600000000009</v>
      </c>
      <c r="U1030">
        <f t="shared" si="169"/>
        <v>8200.92</v>
      </c>
    </row>
    <row r="1031" spans="1:21" x14ac:dyDescent="0.3">
      <c r="A1031">
        <v>1030</v>
      </c>
      <c r="B1031">
        <v>35</v>
      </c>
      <c r="C1031" t="s">
        <v>16</v>
      </c>
      <c r="D1031">
        <v>32.200000000000003</v>
      </c>
      <c r="E1031">
        <v>107</v>
      </c>
      <c r="F1031" t="s">
        <v>11</v>
      </c>
      <c r="G1031">
        <v>1</v>
      </c>
      <c r="H1031" t="s">
        <v>12</v>
      </c>
      <c r="I1031" t="s">
        <v>13</v>
      </c>
      <c r="J1031">
        <v>18218.16</v>
      </c>
      <c r="K1031" t="str">
        <f t="shared" si="160"/>
        <v>30-35</v>
      </c>
      <c r="L1031">
        <f t="shared" si="161"/>
        <v>0</v>
      </c>
      <c r="M1031">
        <f t="shared" si="162"/>
        <v>1</v>
      </c>
      <c r="N1031">
        <f t="shared" si="163"/>
        <v>0</v>
      </c>
      <c r="O1031">
        <f t="shared" si="164"/>
        <v>0</v>
      </c>
      <c r="P1031">
        <v>0.67292569382000111</v>
      </c>
      <c r="Q1031">
        <f t="shared" si="165"/>
        <v>0</v>
      </c>
      <c r="R1031">
        <f t="shared" si="166"/>
        <v>1</v>
      </c>
      <c r="S1031">
        <f t="shared" si="167"/>
        <v>1</v>
      </c>
      <c r="T1031">
        <f t="shared" si="168"/>
        <v>9976.1200000000026</v>
      </c>
      <c r="U1031">
        <f t="shared" si="169"/>
        <v>8242.0399999999972</v>
      </c>
    </row>
    <row r="1032" spans="1:21" x14ac:dyDescent="0.3">
      <c r="A1032">
        <v>1031</v>
      </c>
      <c r="B1032">
        <v>52</v>
      </c>
      <c r="C1032" t="s">
        <v>16</v>
      </c>
      <c r="D1032">
        <v>27.3</v>
      </c>
      <c r="E1032">
        <v>104</v>
      </c>
      <c r="F1032" t="s">
        <v>12</v>
      </c>
      <c r="G1032">
        <v>3</v>
      </c>
      <c r="H1032" t="s">
        <v>11</v>
      </c>
      <c r="I1032" t="s">
        <v>13</v>
      </c>
      <c r="J1032">
        <v>18223.45</v>
      </c>
      <c r="K1032" t="str">
        <f t="shared" si="160"/>
        <v>25-30</v>
      </c>
      <c r="L1032">
        <f t="shared" si="161"/>
        <v>27.3</v>
      </c>
      <c r="M1032">
        <f t="shared" si="162"/>
        <v>1</v>
      </c>
      <c r="N1032">
        <f t="shared" si="163"/>
        <v>0</v>
      </c>
      <c r="O1032">
        <f t="shared" si="164"/>
        <v>0</v>
      </c>
      <c r="P1032">
        <v>0.21015155089179938</v>
      </c>
      <c r="Q1032">
        <f t="shared" si="165"/>
        <v>1</v>
      </c>
      <c r="R1032">
        <f t="shared" si="166"/>
        <v>0</v>
      </c>
      <c r="S1032">
        <f t="shared" si="167"/>
        <v>1</v>
      </c>
      <c r="T1032">
        <f t="shared" si="168"/>
        <v>27149.217000000001</v>
      </c>
      <c r="U1032">
        <f t="shared" si="169"/>
        <v>-8925.7669999999998</v>
      </c>
    </row>
    <row r="1033" spans="1:21" x14ac:dyDescent="0.3">
      <c r="A1033">
        <v>1032</v>
      </c>
      <c r="B1033">
        <v>44</v>
      </c>
      <c r="C1033" t="s">
        <v>10</v>
      </c>
      <c r="D1033">
        <v>29.2</v>
      </c>
      <c r="E1033">
        <v>88</v>
      </c>
      <c r="F1033" t="s">
        <v>11</v>
      </c>
      <c r="G1033">
        <v>0</v>
      </c>
      <c r="H1033" t="s">
        <v>11</v>
      </c>
      <c r="I1033" t="s">
        <v>13</v>
      </c>
      <c r="J1033">
        <v>18246.5</v>
      </c>
      <c r="K1033" t="str">
        <f t="shared" si="160"/>
        <v>25-30</v>
      </c>
      <c r="L1033">
        <f t="shared" si="161"/>
        <v>29.2</v>
      </c>
      <c r="M1033">
        <f t="shared" si="162"/>
        <v>1</v>
      </c>
      <c r="N1033">
        <f t="shared" si="163"/>
        <v>0</v>
      </c>
      <c r="O1033">
        <f t="shared" si="164"/>
        <v>0</v>
      </c>
      <c r="P1033">
        <v>0.94963339786276135</v>
      </c>
      <c r="Q1033">
        <f t="shared" si="165"/>
        <v>1</v>
      </c>
      <c r="R1033">
        <f t="shared" si="166"/>
        <v>1</v>
      </c>
      <c r="S1033">
        <f t="shared" si="167"/>
        <v>0</v>
      </c>
      <c r="T1033">
        <f t="shared" si="168"/>
        <v>24432.197999999993</v>
      </c>
      <c r="U1033">
        <f t="shared" si="169"/>
        <v>-6185.697999999993</v>
      </c>
    </row>
    <row r="1034" spans="1:21" x14ac:dyDescent="0.3">
      <c r="A1034">
        <v>1033</v>
      </c>
      <c r="B1034">
        <v>22</v>
      </c>
      <c r="C1034" t="s">
        <v>10</v>
      </c>
      <c r="D1034">
        <v>24.4</v>
      </c>
      <c r="E1034">
        <v>83</v>
      </c>
      <c r="F1034" t="s">
        <v>11</v>
      </c>
      <c r="G1034">
        <v>3</v>
      </c>
      <c r="H1034" t="s">
        <v>11</v>
      </c>
      <c r="I1034" t="s">
        <v>15</v>
      </c>
      <c r="J1034">
        <v>18259.22</v>
      </c>
      <c r="K1034" t="str">
        <f t="shared" si="160"/>
        <v>20-25</v>
      </c>
      <c r="L1034">
        <f t="shared" si="161"/>
        <v>24.4</v>
      </c>
      <c r="M1034">
        <f t="shared" si="162"/>
        <v>0</v>
      </c>
      <c r="N1034">
        <f t="shared" si="163"/>
        <v>1</v>
      </c>
      <c r="O1034">
        <f t="shared" si="164"/>
        <v>0</v>
      </c>
      <c r="P1034">
        <v>0.65115951855133558</v>
      </c>
      <c r="Q1034">
        <f t="shared" si="165"/>
        <v>1</v>
      </c>
      <c r="R1034">
        <f t="shared" si="166"/>
        <v>1</v>
      </c>
      <c r="S1034">
        <f t="shared" si="167"/>
        <v>0</v>
      </c>
      <c r="T1034">
        <f t="shared" si="168"/>
        <v>20111.236000000001</v>
      </c>
      <c r="U1034">
        <f t="shared" si="169"/>
        <v>-1852.0159999999996</v>
      </c>
    </row>
    <row r="1035" spans="1:21" x14ac:dyDescent="0.3">
      <c r="A1035">
        <v>1034</v>
      </c>
      <c r="B1035">
        <v>23</v>
      </c>
      <c r="C1035" t="s">
        <v>10</v>
      </c>
      <c r="D1035">
        <v>28.5</v>
      </c>
      <c r="E1035">
        <v>97</v>
      </c>
      <c r="F1035" t="s">
        <v>12</v>
      </c>
      <c r="G1035">
        <v>0</v>
      </c>
      <c r="H1035" t="s">
        <v>11</v>
      </c>
      <c r="I1035" t="s">
        <v>14</v>
      </c>
      <c r="J1035">
        <v>18310.740000000002</v>
      </c>
      <c r="K1035" t="str">
        <f t="shared" si="160"/>
        <v>25-30</v>
      </c>
      <c r="L1035">
        <f t="shared" si="161"/>
        <v>28.5</v>
      </c>
      <c r="M1035">
        <f t="shared" si="162"/>
        <v>0</v>
      </c>
      <c r="N1035">
        <f t="shared" si="163"/>
        <v>0</v>
      </c>
      <c r="O1035">
        <f t="shared" si="164"/>
        <v>1</v>
      </c>
      <c r="P1035">
        <v>0.19766990626908554</v>
      </c>
      <c r="Q1035">
        <f t="shared" si="165"/>
        <v>1</v>
      </c>
      <c r="R1035">
        <f t="shared" si="166"/>
        <v>0</v>
      </c>
      <c r="S1035">
        <f t="shared" si="167"/>
        <v>0</v>
      </c>
      <c r="T1035">
        <f t="shared" si="168"/>
        <v>25719.855000000003</v>
      </c>
      <c r="U1035">
        <f t="shared" si="169"/>
        <v>-7409.1150000000016</v>
      </c>
    </row>
    <row r="1036" spans="1:21" x14ac:dyDescent="0.3">
      <c r="A1036">
        <v>1035</v>
      </c>
      <c r="B1036">
        <v>36</v>
      </c>
      <c r="C1036" t="s">
        <v>16</v>
      </c>
      <c r="D1036">
        <v>28.5</v>
      </c>
      <c r="E1036">
        <v>87</v>
      </c>
      <c r="F1036" t="s">
        <v>12</v>
      </c>
      <c r="G1036">
        <v>1</v>
      </c>
      <c r="H1036" t="s">
        <v>11</v>
      </c>
      <c r="I1036" t="s">
        <v>13</v>
      </c>
      <c r="J1036">
        <v>18328.240000000002</v>
      </c>
      <c r="K1036" t="str">
        <f t="shared" si="160"/>
        <v>25-30</v>
      </c>
      <c r="L1036">
        <f t="shared" si="161"/>
        <v>28.5</v>
      </c>
      <c r="M1036">
        <f t="shared" si="162"/>
        <v>1</v>
      </c>
      <c r="N1036">
        <f t="shared" si="163"/>
        <v>0</v>
      </c>
      <c r="O1036">
        <f t="shared" si="164"/>
        <v>0</v>
      </c>
      <c r="P1036">
        <v>0.97558672462401241</v>
      </c>
      <c r="Q1036">
        <f t="shared" si="165"/>
        <v>1</v>
      </c>
      <c r="R1036">
        <f t="shared" si="166"/>
        <v>0</v>
      </c>
      <c r="S1036">
        <f t="shared" si="167"/>
        <v>1</v>
      </c>
      <c r="T1036">
        <f t="shared" si="168"/>
        <v>24593.814999999999</v>
      </c>
      <c r="U1036">
        <f t="shared" si="169"/>
        <v>-6265.5749999999971</v>
      </c>
    </row>
    <row r="1037" spans="1:21" x14ac:dyDescent="0.3">
      <c r="A1037">
        <v>1036</v>
      </c>
      <c r="B1037">
        <v>45</v>
      </c>
      <c r="C1037" t="s">
        <v>16</v>
      </c>
      <c r="D1037">
        <v>22.6</v>
      </c>
      <c r="E1037">
        <v>96</v>
      </c>
      <c r="F1037" t="s">
        <v>12</v>
      </c>
      <c r="G1037">
        <v>2</v>
      </c>
      <c r="H1037" t="s">
        <v>11</v>
      </c>
      <c r="I1037" t="s">
        <v>15</v>
      </c>
      <c r="J1037">
        <v>18608.259999999998</v>
      </c>
      <c r="K1037" t="str">
        <f t="shared" si="160"/>
        <v>20-25</v>
      </c>
      <c r="L1037">
        <f t="shared" si="161"/>
        <v>22.6</v>
      </c>
      <c r="M1037">
        <f t="shared" si="162"/>
        <v>0</v>
      </c>
      <c r="N1037">
        <f t="shared" si="163"/>
        <v>1</v>
      </c>
      <c r="O1037">
        <f t="shared" si="164"/>
        <v>0</v>
      </c>
      <c r="P1037">
        <v>5.7830476094818728E-2</v>
      </c>
      <c r="Q1037">
        <f t="shared" si="165"/>
        <v>1</v>
      </c>
      <c r="R1037">
        <f t="shared" si="166"/>
        <v>0</v>
      </c>
      <c r="S1037">
        <f t="shared" si="167"/>
        <v>1</v>
      </c>
      <c r="T1037">
        <f t="shared" si="168"/>
        <v>19511.794000000005</v>
      </c>
      <c r="U1037">
        <f t="shared" si="169"/>
        <v>-903.53400000000693</v>
      </c>
    </row>
    <row r="1038" spans="1:21" x14ac:dyDescent="0.3">
      <c r="A1038">
        <v>1037</v>
      </c>
      <c r="B1038">
        <v>38</v>
      </c>
      <c r="C1038" t="s">
        <v>10</v>
      </c>
      <c r="D1038">
        <v>29.8</v>
      </c>
      <c r="E1038">
        <v>87</v>
      </c>
      <c r="F1038" t="s">
        <v>11</v>
      </c>
      <c r="G1038">
        <v>0</v>
      </c>
      <c r="H1038" t="s">
        <v>11</v>
      </c>
      <c r="I1038" t="s">
        <v>17</v>
      </c>
      <c r="J1038">
        <v>18648.419999999998</v>
      </c>
      <c r="K1038" t="str">
        <f t="shared" si="160"/>
        <v>25-30</v>
      </c>
      <c r="L1038">
        <f t="shared" si="161"/>
        <v>29.8</v>
      </c>
      <c r="M1038">
        <f t="shared" si="162"/>
        <v>0</v>
      </c>
      <c r="N1038">
        <f t="shared" si="163"/>
        <v>0</v>
      </c>
      <c r="O1038">
        <f t="shared" si="164"/>
        <v>0</v>
      </c>
      <c r="P1038">
        <v>0.24909798915030534</v>
      </c>
      <c r="Q1038">
        <f t="shared" si="165"/>
        <v>1</v>
      </c>
      <c r="R1038">
        <f t="shared" si="166"/>
        <v>1</v>
      </c>
      <c r="S1038">
        <f t="shared" si="167"/>
        <v>0</v>
      </c>
      <c r="T1038">
        <f t="shared" si="168"/>
        <v>28731.831999999999</v>
      </c>
      <c r="U1038">
        <f t="shared" si="169"/>
        <v>-10083.412</v>
      </c>
    </row>
    <row r="1039" spans="1:21" x14ac:dyDescent="0.3">
      <c r="A1039">
        <v>1038</v>
      </c>
      <c r="B1039">
        <v>58</v>
      </c>
      <c r="C1039" t="s">
        <v>16</v>
      </c>
      <c r="D1039">
        <v>23.7</v>
      </c>
      <c r="E1039">
        <v>95</v>
      </c>
      <c r="F1039" t="s">
        <v>12</v>
      </c>
      <c r="G1039">
        <v>3</v>
      </c>
      <c r="H1039" t="s">
        <v>11</v>
      </c>
      <c r="I1039" t="s">
        <v>14</v>
      </c>
      <c r="J1039">
        <v>18765.88</v>
      </c>
      <c r="K1039" t="str">
        <f t="shared" si="160"/>
        <v>20-25</v>
      </c>
      <c r="L1039">
        <f t="shared" si="161"/>
        <v>23.7</v>
      </c>
      <c r="M1039">
        <f t="shared" si="162"/>
        <v>0</v>
      </c>
      <c r="N1039">
        <f t="shared" si="163"/>
        <v>0</v>
      </c>
      <c r="O1039">
        <f t="shared" si="164"/>
        <v>1</v>
      </c>
      <c r="P1039">
        <v>0.34625664025882241</v>
      </c>
      <c r="Q1039">
        <f t="shared" si="165"/>
        <v>1</v>
      </c>
      <c r="R1039">
        <f t="shared" si="166"/>
        <v>0</v>
      </c>
      <c r="S1039">
        <f t="shared" si="167"/>
        <v>1</v>
      </c>
      <c r="T1039">
        <f t="shared" si="168"/>
        <v>21561.032999999999</v>
      </c>
      <c r="U1039">
        <f t="shared" si="169"/>
        <v>-2795.1529999999984</v>
      </c>
    </row>
    <row r="1040" spans="1:21" x14ac:dyDescent="0.3">
      <c r="A1040">
        <v>1039</v>
      </c>
      <c r="B1040">
        <v>21</v>
      </c>
      <c r="C1040" t="s">
        <v>10</v>
      </c>
      <c r="D1040">
        <v>20.100000000000001</v>
      </c>
      <c r="E1040">
        <v>108</v>
      </c>
      <c r="F1040" t="s">
        <v>12</v>
      </c>
      <c r="G1040">
        <v>2</v>
      </c>
      <c r="H1040" t="s">
        <v>11</v>
      </c>
      <c r="I1040" t="s">
        <v>13</v>
      </c>
      <c r="J1040">
        <v>18767.740000000002</v>
      </c>
      <c r="K1040" t="str">
        <f t="shared" si="160"/>
        <v>20-25</v>
      </c>
      <c r="L1040">
        <f t="shared" si="161"/>
        <v>20.100000000000001</v>
      </c>
      <c r="M1040">
        <f t="shared" si="162"/>
        <v>1</v>
      </c>
      <c r="N1040">
        <f t="shared" si="163"/>
        <v>0</v>
      </c>
      <c r="O1040">
        <f t="shared" si="164"/>
        <v>0</v>
      </c>
      <c r="P1040">
        <v>0.6684085125762339</v>
      </c>
      <c r="Q1040">
        <f t="shared" si="165"/>
        <v>1</v>
      </c>
      <c r="R1040">
        <f t="shared" si="166"/>
        <v>0</v>
      </c>
      <c r="S1040">
        <f t="shared" si="167"/>
        <v>0</v>
      </c>
      <c r="T1040">
        <f t="shared" si="168"/>
        <v>16962.299000000006</v>
      </c>
      <c r="U1040">
        <f t="shared" si="169"/>
        <v>1805.4409999999953</v>
      </c>
    </row>
    <row r="1041" spans="1:21" x14ac:dyDescent="0.3">
      <c r="A1041">
        <v>1040</v>
      </c>
      <c r="B1041">
        <v>39</v>
      </c>
      <c r="C1041" t="s">
        <v>16</v>
      </c>
      <c r="D1041">
        <v>30.4</v>
      </c>
      <c r="E1041">
        <v>92</v>
      </c>
      <c r="F1041" t="s">
        <v>11</v>
      </c>
      <c r="G1041">
        <v>3</v>
      </c>
      <c r="H1041" t="s">
        <v>12</v>
      </c>
      <c r="I1041" t="s">
        <v>14</v>
      </c>
      <c r="J1041">
        <v>18804.75</v>
      </c>
      <c r="K1041" t="str">
        <f t="shared" si="160"/>
        <v>30-35</v>
      </c>
      <c r="L1041">
        <f t="shared" si="161"/>
        <v>0</v>
      </c>
      <c r="M1041">
        <f t="shared" si="162"/>
        <v>0</v>
      </c>
      <c r="N1041">
        <f t="shared" si="163"/>
        <v>0</v>
      </c>
      <c r="O1041">
        <f t="shared" si="164"/>
        <v>1</v>
      </c>
      <c r="P1041">
        <v>3.5142118800743916E-2</v>
      </c>
      <c r="Q1041">
        <f t="shared" si="165"/>
        <v>0</v>
      </c>
      <c r="R1041">
        <f t="shared" si="166"/>
        <v>1</v>
      </c>
      <c r="S1041">
        <f t="shared" si="167"/>
        <v>1</v>
      </c>
      <c r="T1041">
        <f t="shared" si="168"/>
        <v>9596.42</v>
      </c>
      <c r="U1041">
        <f t="shared" si="169"/>
        <v>9208.33</v>
      </c>
    </row>
    <row r="1042" spans="1:21" x14ac:dyDescent="0.3">
      <c r="A1042">
        <v>1041</v>
      </c>
      <c r="B1042">
        <v>46</v>
      </c>
      <c r="C1042" t="s">
        <v>10</v>
      </c>
      <c r="D1042">
        <v>35.299999999999997</v>
      </c>
      <c r="E1042">
        <v>89</v>
      </c>
      <c r="F1042" t="s">
        <v>12</v>
      </c>
      <c r="G1042">
        <v>2</v>
      </c>
      <c r="H1042" t="s">
        <v>12</v>
      </c>
      <c r="I1042" t="s">
        <v>13</v>
      </c>
      <c r="J1042">
        <v>18806.150000000001</v>
      </c>
      <c r="K1042" t="str">
        <f t="shared" si="160"/>
        <v>35+</v>
      </c>
      <c r="L1042">
        <f t="shared" si="161"/>
        <v>0</v>
      </c>
      <c r="M1042">
        <f t="shared" si="162"/>
        <v>1</v>
      </c>
      <c r="N1042">
        <f t="shared" si="163"/>
        <v>0</v>
      </c>
      <c r="O1042">
        <f t="shared" si="164"/>
        <v>0</v>
      </c>
      <c r="P1042">
        <v>0.67135656286538703</v>
      </c>
      <c r="Q1042">
        <f t="shared" si="165"/>
        <v>0</v>
      </c>
      <c r="R1042">
        <f t="shared" si="166"/>
        <v>0</v>
      </c>
      <c r="S1042">
        <f t="shared" si="167"/>
        <v>0</v>
      </c>
      <c r="T1042">
        <f t="shared" si="168"/>
        <v>7716.82</v>
      </c>
      <c r="U1042">
        <f t="shared" si="169"/>
        <v>11089.330000000002</v>
      </c>
    </row>
    <row r="1043" spans="1:21" x14ac:dyDescent="0.3">
      <c r="A1043">
        <v>1042</v>
      </c>
      <c r="B1043">
        <v>30</v>
      </c>
      <c r="C1043" t="s">
        <v>16</v>
      </c>
      <c r="D1043">
        <v>27.9</v>
      </c>
      <c r="E1043">
        <v>84</v>
      </c>
      <c r="F1043" t="s">
        <v>12</v>
      </c>
      <c r="G1043">
        <v>3</v>
      </c>
      <c r="H1043" t="s">
        <v>12</v>
      </c>
      <c r="I1043" t="s">
        <v>14</v>
      </c>
      <c r="J1043">
        <v>18838.7</v>
      </c>
      <c r="K1043" t="str">
        <f t="shared" si="160"/>
        <v>25-30</v>
      </c>
      <c r="L1043">
        <f t="shared" si="161"/>
        <v>0</v>
      </c>
      <c r="M1043">
        <f t="shared" si="162"/>
        <v>0</v>
      </c>
      <c r="N1043">
        <f t="shared" si="163"/>
        <v>0</v>
      </c>
      <c r="O1043">
        <f t="shared" si="164"/>
        <v>1</v>
      </c>
      <c r="P1043">
        <v>2.0881426212516097E-2</v>
      </c>
      <c r="Q1043">
        <f t="shared" si="165"/>
        <v>0</v>
      </c>
      <c r="R1043">
        <f t="shared" si="166"/>
        <v>0</v>
      </c>
      <c r="S1043">
        <f t="shared" si="167"/>
        <v>1</v>
      </c>
      <c r="T1043">
        <f t="shared" si="168"/>
        <v>8186.5299999999988</v>
      </c>
      <c r="U1043">
        <f t="shared" si="169"/>
        <v>10652.170000000002</v>
      </c>
    </row>
    <row r="1044" spans="1:21" x14ac:dyDescent="0.3">
      <c r="A1044">
        <v>1043</v>
      </c>
      <c r="B1044">
        <v>26</v>
      </c>
      <c r="C1044" t="s">
        <v>16</v>
      </c>
      <c r="D1044">
        <v>32.4</v>
      </c>
      <c r="E1044">
        <v>81</v>
      </c>
      <c r="F1044" t="s">
        <v>12</v>
      </c>
      <c r="G1044">
        <v>1</v>
      </c>
      <c r="H1044" t="s">
        <v>12</v>
      </c>
      <c r="I1044" t="s">
        <v>17</v>
      </c>
      <c r="J1044">
        <v>18903.490000000002</v>
      </c>
      <c r="K1044" t="str">
        <f t="shared" si="160"/>
        <v>30-35</v>
      </c>
      <c r="L1044">
        <f t="shared" si="161"/>
        <v>0</v>
      </c>
      <c r="M1044">
        <f t="shared" si="162"/>
        <v>0</v>
      </c>
      <c r="N1044">
        <f t="shared" si="163"/>
        <v>0</v>
      </c>
      <c r="O1044">
        <f t="shared" si="164"/>
        <v>0</v>
      </c>
      <c r="P1044">
        <v>0.13586430505427727</v>
      </c>
      <c r="Q1044">
        <f t="shared" si="165"/>
        <v>0</v>
      </c>
      <c r="R1044">
        <f t="shared" si="166"/>
        <v>0</v>
      </c>
      <c r="S1044">
        <f t="shared" si="167"/>
        <v>1</v>
      </c>
      <c r="T1044">
        <f t="shared" si="168"/>
        <v>9569.1900000000023</v>
      </c>
      <c r="U1044">
        <f t="shared" si="169"/>
        <v>9334.2999999999993</v>
      </c>
    </row>
    <row r="1045" spans="1:21" x14ac:dyDescent="0.3">
      <c r="A1045">
        <v>1044</v>
      </c>
      <c r="B1045">
        <v>41</v>
      </c>
      <c r="C1045" t="s">
        <v>16</v>
      </c>
      <c r="D1045">
        <v>27.6</v>
      </c>
      <c r="E1045">
        <v>89</v>
      </c>
      <c r="F1045" t="s">
        <v>12</v>
      </c>
      <c r="G1045">
        <v>0</v>
      </c>
      <c r="H1045" t="s">
        <v>12</v>
      </c>
      <c r="I1045" t="s">
        <v>15</v>
      </c>
      <c r="J1045">
        <v>18955.22</v>
      </c>
      <c r="K1045" t="str">
        <f t="shared" si="160"/>
        <v>25-30</v>
      </c>
      <c r="L1045">
        <f t="shared" si="161"/>
        <v>0</v>
      </c>
      <c r="M1045">
        <f t="shared" si="162"/>
        <v>0</v>
      </c>
      <c r="N1045">
        <f t="shared" si="163"/>
        <v>1</v>
      </c>
      <c r="O1045">
        <f t="shared" si="164"/>
        <v>0</v>
      </c>
      <c r="P1045">
        <v>0.68805104109735782</v>
      </c>
      <c r="Q1045">
        <f t="shared" si="165"/>
        <v>0</v>
      </c>
      <c r="R1045">
        <f t="shared" si="166"/>
        <v>0</v>
      </c>
      <c r="S1045">
        <f t="shared" si="167"/>
        <v>1</v>
      </c>
      <c r="T1045">
        <f t="shared" si="168"/>
        <v>6721.96</v>
      </c>
      <c r="U1045">
        <f t="shared" si="169"/>
        <v>12233.260000000002</v>
      </c>
    </row>
    <row r="1046" spans="1:21" x14ac:dyDescent="0.3">
      <c r="A1046">
        <v>1045</v>
      </c>
      <c r="B1046">
        <v>36</v>
      </c>
      <c r="C1046" t="s">
        <v>10</v>
      </c>
      <c r="D1046">
        <v>38.799999999999997</v>
      </c>
      <c r="E1046">
        <v>99</v>
      </c>
      <c r="F1046" t="s">
        <v>12</v>
      </c>
      <c r="G1046">
        <v>1</v>
      </c>
      <c r="H1046" t="s">
        <v>12</v>
      </c>
      <c r="I1046" t="s">
        <v>13</v>
      </c>
      <c r="J1046">
        <v>18963.169999999998</v>
      </c>
      <c r="K1046" t="str">
        <f t="shared" si="160"/>
        <v>35+</v>
      </c>
      <c r="L1046">
        <f t="shared" si="161"/>
        <v>0</v>
      </c>
      <c r="M1046">
        <f t="shared" si="162"/>
        <v>1</v>
      </c>
      <c r="N1046">
        <f t="shared" si="163"/>
        <v>0</v>
      </c>
      <c r="O1046">
        <f t="shared" si="164"/>
        <v>0</v>
      </c>
      <c r="P1046">
        <v>0.68172741273986903</v>
      </c>
      <c r="Q1046">
        <f t="shared" si="165"/>
        <v>0</v>
      </c>
      <c r="R1046">
        <f t="shared" si="166"/>
        <v>0</v>
      </c>
      <c r="S1046">
        <f t="shared" si="167"/>
        <v>0</v>
      </c>
      <c r="T1046">
        <f t="shared" si="168"/>
        <v>8886.5299999999988</v>
      </c>
      <c r="U1046">
        <f t="shared" si="169"/>
        <v>10076.64</v>
      </c>
    </row>
    <row r="1047" spans="1:21" x14ac:dyDescent="0.3">
      <c r="A1047">
        <v>1046</v>
      </c>
      <c r="B1047">
        <v>19</v>
      </c>
      <c r="C1047" t="s">
        <v>10</v>
      </c>
      <c r="D1047">
        <v>25.3</v>
      </c>
      <c r="E1047">
        <v>95</v>
      </c>
      <c r="F1047" t="s">
        <v>12</v>
      </c>
      <c r="G1047">
        <v>2</v>
      </c>
      <c r="H1047" t="s">
        <v>11</v>
      </c>
      <c r="I1047" t="s">
        <v>13</v>
      </c>
      <c r="J1047">
        <v>18972.5</v>
      </c>
      <c r="K1047" t="str">
        <f t="shared" si="160"/>
        <v>25-30</v>
      </c>
      <c r="L1047">
        <f t="shared" si="161"/>
        <v>25.3</v>
      </c>
      <c r="M1047">
        <f t="shared" si="162"/>
        <v>1</v>
      </c>
      <c r="N1047">
        <f t="shared" si="163"/>
        <v>0</v>
      </c>
      <c r="O1047">
        <f t="shared" si="164"/>
        <v>0</v>
      </c>
      <c r="P1047">
        <v>0.3111843269490735</v>
      </c>
      <c r="Q1047">
        <f t="shared" si="165"/>
        <v>1</v>
      </c>
      <c r="R1047">
        <f t="shared" si="166"/>
        <v>0</v>
      </c>
      <c r="S1047">
        <f t="shared" si="167"/>
        <v>0</v>
      </c>
      <c r="T1047">
        <f t="shared" si="168"/>
        <v>21882.577000000005</v>
      </c>
      <c r="U1047">
        <f t="shared" si="169"/>
        <v>-2910.0770000000048</v>
      </c>
    </row>
    <row r="1048" spans="1:21" x14ac:dyDescent="0.3">
      <c r="A1048">
        <v>1047</v>
      </c>
      <c r="B1048">
        <v>60</v>
      </c>
      <c r="C1048" t="s">
        <v>16</v>
      </c>
      <c r="D1048">
        <v>18.3</v>
      </c>
      <c r="E1048">
        <v>82</v>
      </c>
      <c r="F1048" t="s">
        <v>11</v>
      </c>
      <c r="G1048">
        <v>5</v>
      </c>
      <c r="H1048" t="s">
        <v>11</v>
      </c>
      <c r="I1048" t="s">
        <v>15</v>
      </c>
      <c r="J1048">
        <v>19023.259999999998</v>
      </c>
      <c r="K1048" t="str">
        <f t="shared" si="160"/>
        <v>&lt;20</v>
      </c>
      <c r="L1048">
        <f t="shared" si="161"/>
        <v>18.3</v>
      </c>
      <c r="M1048">
        <f t="shared" si="162"/>
        <v>0</v>
      </c>
      <c r="N1048">
        <f t="shared" si="163"/>
        <v>1</v>
      </c>
      <c r="O1048">
        <f t="shared" si="164"/>
        <v>0</v>
      </c>
      <c r="P1048">
        <v>0.61174814467600835</v>
      </c>
      <c r="Q1048">
        <f t="shared" si="165"/>
        <v>1</v>
      </c>
      <c r="R1048">
        <f t="shared" si="166"/>
        <v>1</v>
      </c>
      <c r="S1048">
        <f t="shared" si="167"/>
        <v>1</v>
      </c>
      <c r="T1048">
        <f t="shared" si="168"/>
        <v>13621.827000000007</v>
      </c>
      <c r="U1048">
        <f t="shared" si="169"/>
        <v>5401.4329999999918</v>
      </c>
    </row>
    <row r="1049" spans="1:21" x14ac:dyDescent="0.3">
      <c r="A1049">
        <v>1048</v>
      </c>
      <c r="B1049">
        <v>27</v>
      </c>
      <c r="C1049" t="s">
        <v>10</v>
      </c>
      <c r="D1049">
        <v>27.1</v>
      </c>
      <c r="E1049">
        <v>104</v>
      </c>
      <c r="F1049" t="s">
        <v>12</v>
      </c>
      <c r="G1049">
        <v>1</v>
      </c>
      <c r="H1049" t="s">
        <v>11</v>
      </c>
      <c r="I1049" t="s">
        <v>15</v>
      </c>
      <c r="J1049">
        <v>19040.88</v>
      </c>
      <c r="K1049" t="str">
        <f t="shared" si="160"/>
        <v>25-30</v>
      </c>
      <c r="L1049">
        <f t="shared" si="161"/>
        <v>27.1</v>
      </c>
      <c r="M1049">
        <f t="shared" si="162"/>
        <v>0</v>
      </c>
      <c r="N1049">
        <f t="shared" si="163"/>
        <v>1</v>
      </c>
      <c r="O1049">
        <f t="shared" si="164"/>
        <v>0</v>
      </c>
      <c r="P1049">
        <v>0.74592854017640375</v>
      </c>
      <c r="Q1049">
        <f t="shared" si="165"/>
        <v>1</v>
      </c>
      <c r="R1049">
        <f t="shared" si="166"/>
        <v>0</v>
      </c>
      <c r="S1049">
        <f t="shared" si="167"/>
        <v>0</v>
      </c>
      <c r="T1049">
        <f t="shared" si="168"/>
        <v>25679.469000000005</v>
      </c>
      <c r="U1049">
        <f t="shared" si="169"/>
        <v>-6638.5890000000036</v>
      </c>
    </row>
    <row r="1050" spans="1:21" x14ac:dyDescent="0.3">
      <c r="A1050">
        <v>1049</v>
      </c>
      <c r="B1050">
        <v>50</v>
      </c>
      <c r="C1050" t="s">
        <v>16</v>
      </c>
      <c r="D1050">
        <v>27.9</v>
      </c>
      <c r="E1050">
        <v>83</v>
      </c>
      <c r="F1050" t="s">
        <v>12</v>
      </c>
      <c r="G1050">
        <v>1</v>
      </c>
      <c r="H1050" t="s">
        <v>11</v>
      </c>
      <c r="I1050" t="s">
        <v>13</v>
      </c>
      <c r="J1050">
        <v>19107.78</v>
      </c>
      <c r="K1050" t="str">
        <f t="shared" si="160"/>
        <v>25-30</v>
      </c>
      <c r="L1050">
        <f t="shared" si="161"/>
        <v>27.9</v>
      </c>
      <c r="M1050">
        <f t="shared" si="162"/>
        <v>1</v>
      </c>
      <c r="N1050">
        <f t="shared" si="163"/>
        <v>0</v>
      </c>
      <c r="O1050">
        <f t="shared" si="164"/>
        <v>0</v>
      </c>
      <c r="P1050">
        <v>0.31869052301986722</v>
      </c>
      <c r="Q1050">
        <f t="shared" si="165"/>
        <v>1</v>
      </c>
      <c r="R1050">
        <f t="shared" si="166"/>
        <v>0</v>
      </c>
      <c r="S1050">
        <f t="shared" si="167"/>
        <v>1</v>
      </c>
      <c r="T1050">
        <f t="shared" si="168"/>
        <v>23130.720999999994</v>
      </c>
      <c r="U1050">
        <f t="shared" si="169"/>
        <v>-4022.9409999999953</v>
      </c>
    </row>
    <row r="1051" spans="1:21" x14ac:dyDescent="0.3">
      <c r="A1051">
        <v>1050</v>
      </c>
      <c r="B1051">
        <v>27</v>
      </c>
      <c r="C1051" t="s">
        <v>16</v>
      </c>
      <c r="D1051">
        <v>35.700000000000003</v>
      </c>
      <c r="E1051">
        <v>96</v>
      </c>
      <c r="F1051" t="s">
        <v>11</v>
      </c>
      <c r="G1051">
        <v>2</v>
      </c>
      <c r="H1051" t="s">
        <v>12</v>
      </c>
      <c r="I1051" t="s">
        <v>17</v>
      </c>
      <c r="J1051">
        <v>19144.580000000002</v>
      </c>
      <c r="K1051" t="str">
        <f t="shared" si="160"/>
        <v>35+</v>
      </c>
      <c r="L1051">
        <f t="shared" si="161"/>
        <v>0</v>
      </c>
      <c r="M1051">
        <f t="shared" si="162"/>
        <v>0</v>
      </c>
      <c r="N1051">
        <f t="shared" si="163"/>
        <v>0</v>
      </c>
      <c r="O1051">
        <f t="shared" si="164"/>
        <v>0</v>
      </c>
      <c r="P1051">
        <v>0.62351992023598002</v>
      </c>
      <c r="Q1051">
        <f t="shared" si="165"/>
        <v>0</v>
      </c>
      <c r="R1051">
        <f t="shared" si="166"/>
        <v>1</v>
      </c>
      <c r="S1051">
        <f t="shared" si="167"/>
        <v>1</v>
      </c>
      <c r="T1051">
        <f t="shared" si="168"/>
        <v>12913.09</v>
      </c>
      <c r="U1051">
        <f t="shared" si="169"/>
        <v>6231.4900000000016</v>
      </c>
    </row>
    <row r="1052" spans="1:21" x14ac:dyDescent="0.3">
      <c r="A1052">
        <v>1051</v>
      </c>
      <c r="B1052">
        <v>43</v>
      </c>
      <c r="C1052" t="s">
        <v>10</v>
      </c>
      <c r="D1052">
        <v>25.9</v>
      </c>
      <c r="E1052">
        <v>81</v>
      </c>
      <c r="F1052" t="s">
        <v>12</v>
      </c>
      <c r="G1052">
        <v>3</v>
      </c>
      <c r="H1052" t="s">
        <v>11</v>
      </c>
      <c r="I1052" t="s">
        <v>15</v>
      </c>
      <c r="J1052">
        <v>19199.939999999999</v>
      </c>
      <c r="K1052" t="str">
        <f t="shared" si="160"/>
        <v>25-30</v>
      </c>
      <c r="L1052">
        <f t="shared" si="161"/>
        <v>25.9</v>
      </c>
      <c r="M1052">
        <f t="shared" si="162"/>
        <v>0</v>
      </c>
      <c r="N1052">
        <f t="shared" si="163"/>
        <v>1</v>
      </c>
      <c r="O1052">
        <f t="shared" si="164"/>
        <v>0</v>
      </c>
      <c r="P1052">
        <v>0.41147724391863216</v>
      </c>
      <c r="Q1052">
        <f t="shared" si="165"/>
        <v>1</v>
      </c>
      <c r="R1052">
        <f t="shared" si="166"/>
        <v>0</v>
      </c>
      <c r="S1052">
        <f t="shared" si="167"/>
        <v>0</v>
      </c>
      <c r="T1052">
        <f t="shared" si="168"/>
        <v>21851.271000000001</v>
      </c>
      <c r="U1052">
        <f t="shared" si="169"/>
        <v>-2651.3310000000019</v>
      </c>
    </row>
    <row r="1053" spans="1:21" x14ac:dyDescent="0.3">
      <c r="A1053">
        <v>1052</v>
      </c>
      <c r="B1053">
        <v>33</v>
      </c>
      <c r="C1053" t="s">
        <v>10</v>
      </c>
      <c r="D1053">
        <v>36.200000000000003</v>
      </c>
      <c r="E1053">
        <v>100</v>
      </c>
      <c r="F1053" t="s">
        <v>12</v>
      </c>
      <c r="G1053">
        <v>0</v>
      </c>
      <c r="H1053" t="s">
        <v>12</v>
      </c>
      <c r="I1053" t="s">
        <v>13</v>
      </c>
      <c r="J1053">
        <v>19214.71</v>
      </c>
      <c r="K1053" t="str">
        <f t="shared" si="160"/>
        <v>35+</v>
      </c>
      <c r="L1053">
        <f t="shared" si="161"/>
        <v>0</v>
      </c>
      <c r="M1053">
        <f t="shared" si="162"/>
        <v>1</v>
      </c>
      <c r="N1053">
        <f t="shared" si="163"/>
        <v>0</v>
      </c>
      <c r="O1053">
        <f t="shared" si="164"/>
        <v>0</v>
      </c>
      <c r="P1053">
        <v>0.14412234154221115</v>
      </c>
      <c r="Q1053">
        <f t="shared" si="165"/>
        <v>0</v>
      </c>
      <c r="R1053">
        <f t="shared" si="166"/>
        <v>0</v>
      </c>
      <c r="S1053">
        <f t="shared" si="167"/>
        <v>0</v>
      </c>
      <c r="T1053">
        <f t="shared" si="168"/>
        <v>8089.4200000000019</v>
      </c>
      <c r="U1053">
        <f t="shared" si="169"/>
        <v>11125.289999999997</v>
      </c>
    </row>
    <row r="1054" spans="1:21" x14ac:dyDescent="0.3">
      <c r="A1054">
        <v>1053</v>
      </c>
      <c r="B1054">
        <v>49</v>
      </c>
      <c r="C1054" t="s">
        <v>10</v>
      </c>
      <c r="D1054">
        <v>29.8</v>
      </c>
      <c r="E1054">
        <v>98</v>
      </c>
      <c r="F1054" t="s">
        <v>12</v>
      </c>
      <c r="G1054">
        <v>0</v>
      </c>
      <c r="H1054" t="s">
        <v>11</v>
      </c>
      <c r="I1054" t="s">
        <v>13</v>
      </c>
      <c r="J1054">
        <v>19350.37</v>
      </c>
      <c r="K1054" t="str">
        <f t="shared" si="160"/>
        <v>25-30</v>
      </c>
      <c r="L1054">
        <f t="shared" si="161"/>
        <v>29.8</v>
      </c>
      <c r="M1054">
        <f t="shared" si="162"/>
        <v>1</v>
      </c>
      <c r="N1054">
        <f t="shared" si="163"/>
        <v>0</v>
      </c>
      <c r="O1054">
        <f t="shared" si="164"/>
        <v>0</v>
      </c>
      <c r="P1054">
        <v>9.823788074516171E-2</v>
      </c>
      <c r="Q1054">
        <f t="shared" si="165"/>
        <v>1</v>
      </c>
      <c r="R1054">
        <f t="shared" si="166"/>
        <v>0</v>
      </c>
      <c r="S1054">
        <f t="shared" si="167"/>
        <v>0</v>
      </c>
      <c r="T1054">
        <f t="shared" si="168"/>
        <v>26897.572</v>
      </c>
      <c r="U1054">
        <f t="shared" si="169"/>
        <v>-7547.2020000000011</v>
      </c>
    </row>
    <row r="1055" spans="1:21" x14ac:dyDescent="0.3">
      <c r="A1055">
        <v>1054</v>
      </c>
      <c r="B1055">
        <v>35</v>
      </c>
      <c r="C1055" t="s">
        <v>10</v>
      </c>
      <c r="D1055">
        <v>24.4</v>
      </c>
      <c r="E1055">
        <v>101</v>
      </c>
      <c r="F1055" t="s">
        <v>11</v>
      </c>
      <c r="G1055">
        <v>3</v>
      </c>
      <c r="H1055" t="s">
        <v>11</v>
      </c>
      <c r="I1055" t="s">
        <v>13</v>
      </c>
      <c r="J1055">
        <v>19362</v>
      </c>
      <c r="K1055" t="str">
        <f t="shared" si="160"/>
        <v>20-25</v>
      </c>
      <c r="L1055">
        <f t="shared" si="161"/>
        <v>24.4</v>
      </c>
      <c r="M1055">
        <f t="shared" si="162"/>
        <v>1</v>
      </c>
      <c r="N1055">
        <f t="shared" si="163"/>
        <v>0</v>
      </c>
      <c r="O1055">
        <f t="shared" si="164"/>
        <v>0</v>
      </c>
      <c r="P1055">
        <v>0.92229047702582001</v>
      </c>
      <c r="Q1055">
        <f t="shared" si="165"/>
        <v>1</v>
      </c>
      <c r="R1055">
        <f t="shared" si="166"/>
        <v>1</v>
      </c>
      <c r="S1055">
        <f t="shared" si="167"/>
        <v>0</v>
      </c>
      <c r="T1055">
        <f t="shared" si="168"/>
        <v>22278.596000000001</v>
      </c>
      <c r="U1055">
        <f t="shared" si="169"/>
        <v>-2916.5960000000014</v>
      </c>
    </row>
    <row r="1056" spans="1:21" x14ac:dyDescent="0.3">
      <c r="A1056">
        <v>1055</v>
      </c>
      <c r="B1056">
        <v>34</v>
      </c>
      <c r="C1056" t="s">
        <v>10</v>
      </c>
      <c r="D1056">
        <v>33.299999999999997</v>
      </c>
      <c r="E1056">
        <v>93</v>
      </c>
      <c r="F1056" t="s">
        <v>11</v>
      </c>
      <c r="G1056">
        <v>2</v>
      </c>
      <c r="H1056" t="s">
        <v>12</v>
      </c>
      <c r="I1056" t="s">
        <v>14</v>
      </c>
      <c r="J1056">
        <v>19442.349999999999</v>
      </c>
      <c r="K1056" t="str">
        <f t="shared" si="160"/>
        <v>30-35</v>
      </c>
      <c r="L1056">
        <f t="shared" si="161"/>
        <v>0</v>
      </c>
      <c r="M1056">
        <f t="shared" si="162"/>
        <v>0</v>
      </c>
      <c r="N1056">
        <f t="shared" si="163"/>
        <v>0</v>
      </c>
      <c r="O1056">
        <f t="shared" si="164"/>
        <v>1</v>
      </c>
      <c r="P1056">
        <v>0.55538076828304128</v>
      </c>
      <c r="Q1056">
        <f t="shared" si="165"/>
        <v>0</v>
      </c>
      <c r="R1056">
        <f t="shared" si="166"/>
        <v>1</v>
      </c>
      <c r="S1056">
        <f t="shared" si="167"/>
        <v>0</v>
      </c>
      <c r="T1056">
        <f t="shared" si="168"/>
        <v>8827.17</v>
      </c>
      <c r="U1056">
        <f t="shared" si="169"/>
        <v>10615.179999999998</v>
      </c>
    </row>
    <row r="1057" spans="1:21" x14ac:dyDescent="0.3">
      <c r="A1057">
        <v>1056</v>
      </c>
      <c r="B1057">
        <v>25</v>
      </c>
      <c r="C1057" t="s">
        <v>16</v>
      </c>
      <c r="D1057">
        <v>22.2</v>
      </c>
      <c r="E1057">
        <v>100</v>
      </c>
      <c r="F1057" t="s">
        <v>11</v>
      </c>
      <c r="G1057">
        <v>2</v>
      </c>
      <c r="H1057" t="s">
        <v>11</v>
      </c>
      <c r="I1057" t="s">
        <v>13</v>
      </c>
      <c r="J1057">
        <v>19444.27</v>
      </c>
      <c r="K1057" t="str">
        <f t="shared" si="160"/>
        <v>20-25</v>
      </c>
      <c r="L1057">
        <f t="shared" si="161"/>
        <v>22.2</v>
      </c>
      <c r="M1057">
        <f t="shared" si="162"/>
        <v>1</v>
      </c>
      <c r="N1057">
        <f t="shared" si="163"/>
        <v>0</v>
      </c>
      <c r="O1057">
        <f t="shared" si="164"/>
        <v>0</v>
      </c>
      <c r="P1057">
        <v>0.87201358340866364</v>
      </c>
      <c r="Q1057">
        <f t="shared" si="165"/>
        <v>1</v>
      </c>
      <c r="R1057">
        <f t="shared" si="166"/>
        <v>1</v>
      </c>
      <c r="S1057">
        <f t="shared" si="167"/>
        <v>1</v>
      </c>
      <c r="T1057">
        <f t="shared" si="168"/>
        <v>18880.197999999997</v>
      </c>
      <c r="U1057">
        <f t="shared" si="169"/>
        <v>564.07200000000375</v>
      </c>
    </row>
    <row r="1058" spans="1:21" x14ac:dyDescent="0.3">
      <c r="A1058">
        <v>1057</v>
      </c>
      <c r="B1058">
        <v>21</v>
      </c>
      <c r="C1058" t="s">
        <v>10</v>
      </c>
      <c r="D1058">
        <v>39.700000000000003</v>
      </c>
      <c r="E1058">
        <v>107</v>
      </c>
      <c r="F1058" t="s">
        <v>11</v>
      </c>
      <c r="G1058">
        <v>4</v>
      </c>
      <c r="H1058" t="s">
        <v>12</v>
      </c>
      <c r="I1058" t="s">
        <v>17</v>
      </c>
      <c r="J1058">
        <v>19496.72</v>
      </c>
      <c r="K1058" t="str">
        <f t="shared" si="160"/>
        <v>35+</v>
      </c>
      <c r="L1058">
        <f t="shared" si="161"/>
        <v>0</v>
      </c>
      <c r="M1058">
        <f t="shared" si="162"/>
        <v>0</v>
      </c>
      <c r="N1058">
        <f t="shared" si="163"/>
        <v>0</v>
      </c>
      <c r="O1058">
        <f t="shared" si="164"/>
        <v>0</v>
      </c>
      <c r="P1058">
        <v>0.31495879182630582</v>
      </c>
      <c r="Q1058">
        <f t="shared" si="165"/>
        <v>0</v>
      </c>
      <c r="R1058">
        <f t="shared" si="166"/>
        <v>1</v>
      </c>
      <c r="S1058">
        <f t="shared" si="167"/>
        <v>0</v>
      </c>
      <c r="T1058">
        <f t="shared" si="168"/>
        <v>16049.790000000003</v>
      </c>
      <c r="U1058">
        <f t="shared" si="169"/>
        <v>3446.9299999999985</v>
      </c>
    </row>
    <row r="1059" spans="1:21" x14ac:dyDescent="0.3">
      <c r="A1059">
        <v>1058</v>
      </c>
      <c r="B1059">
        <v>21</v>
      </c>
      <c r="C1059" t="s">
        <v>10</v>
      </c>
      <c r="D1059">
        <v>24.6</v>
      </c>
      <c r="E1059">
        <v>87</v>
      </c>
      <c r="F1059" t="s">
        <v>12</v>
      </c>
      <c r="G1059">
        <v>0</v>
      </c>
      <c r="H1059" t="s">
        <v>11</v>
      </c>
      <c r="I1059" t="s">
        <v>13</v>
      </c>
      <c r="J1059">
        <v>19515.54</v>
      </c>
      <c r="K1059" t="str">
        <f t="shared" si="160"/>
        <v>20-25</v>
      </c>
      <c r="L1059">
        <f t="shared" si="161"/>
        <v>24.6</v>
      </c>
      <c r="M1059">
        <f t="shared" si="162"/>
        <v>1</v>
      </c>
      <c r="N1059">
        <f t="shared" si="163"/>
        <v>0</v>
      </c>
      <c r="O1059">
        <f t="shared" si="164"/>
        <v>0</v>
      </c>
      <c r="P1059">
        <v>0.23118922521671004</v>
      </c>
      <c r="Q1059">
        <f t="shared" si="165"/>
        <v>1</v>
      </c>
      <c r="R1059">
        <f t="shared" si="166"/>
        <v>0</v>
      </c>
      <c r="S1059">
        <f t="shared" si="167"/>
        <v>0</v>
      </c>
      <c r="T1059">
        <f t="shared" si="168"/>
        <v>18185.534</v>
      </c>
      <c r="U1059">
        <f t="shared" si="169"/>
        <v>1330.0060000000012</v>
      </c>
    </row>
    <row r="1060" spans="1:21" x14ac:dyDescent="0.3">
      <c r="A1060">
        <v>1059</v>
      </c>
      <c r="B1060">
        <v>40</v>
      </c>
      <c r="C1060" t="s">
        <v>16</v>
      </c>
      <c r="D1060">
        <v>28.4</v>
      </c>
      <c r="E1060">
        <v>109</v>
      </c>
      <c r="F1060" t="s">
        <v>11</v>
      </c>
      <c r="G1060">
        <v>1</v>
      </c>
      <c r="H1060" t="s">
        <v>11</v>
      </c>
      <c r="I1060" t="s">
        <v>13</v>
      </c>
      <c r="J1060">
        <v>19521.97</v>
      </c>
      <c r="K1060" t="str">
        <f t="shared" si="160"/>
        <v>25-30</v>
      </c>
      <c r="L1060">
        <f t="shared" si="161"/>
        <v>28.4</v>
      </c>
      <c r="M1060">
        <f t="shared" si="162"/>
        <v>1</v>
      </c>
      <c r="N1060">
        <f t="shared" si="163"/>
        <v>0</v>
      </c>
      <c r="O1060">
        <f t="shared" si="164"/>
        <v>0</v>
      </c>
      <c r="P1060">
        <v>0.30357821384052863</v>
      </c>
      <c r="Q1060">
        <f t="shared" si="165"/>
        <v>1</v>
      </c>
      <c r="R1060">
        <f t="shared" si="166"/>
        <v>1</v>
      </c>
      <c r="S1060">
        <f t="shared" si="167"/>
        <v>1</v>
      </c>
      <c r="T1060">
        <f t="shared" si="168"/>
        <v>27896.145999999993</v>
      </c>
      <c r="U1060">
        <f t="shared" si="169"/>
        <v>-8374.1759999999922</v>
      </c>
    </row>
    <row r="1061" spans="1:21" x14ac:dyDescent="0.3">
      <c r="A1061">
        <v>1060</v>
      </c>
      <c r="B1061">
        <v>34</v>
      </c>
      <c r="C1061" t="s">
        <v>16</v>
      </c>
      <c r="D1061">
        <v>26.4</v>
      </c>
      <c r="E1061">
        <v>105</v>
      </c>
      <c r="F1061" t="s">
        <v>12</v>
      </c>
      <c r="G1061">
        <v>0</v>
      </c>
      <c r="H1061" t="s">
        <v>11</v>
      </c>
      <c r="I1061" t="s">
        <v>13</v>
      </c>
      <c r="J1061">
        <v>19539.240000000002</v>
      </c>
      <c r="K1061" t="str">
        <f t="shared" si="160"/>
        <v>25-30</v>
      </c>
      <c r="L1061">
        <f t="shared" si="161"/>
        <v>26.4</v>
      </c>
      <c r="M1061">
        <f t="shared" si="162"/>
        <v>1</v>
      </c>
      <c r="N1061">
        <f t="shared" si="163"/>
        <v>0</v>
      </c>
      <c r="O1061">
        <f t="shared" si="164"/>
        <v>0</v>
      </c>
      <c r="P1061">
        <v>0.4815364121169905</v>
      </c>
      <c r="Q1061">
        <f t="shared" si="165"/>
        <v>1</v>
      </c>
      <c r="R1061">
        <f t="shared" si="166"/>
        <v>0</v>
      </c>
      <c r="S1061">
        <f t="shared" si="167"/>
        <v>1</v>
      </c>
      <c r="T1061">
        <f t="shared" si="168"/>
        <v>23906.905999999999</v>
      </c>
      <c r="U1061">
        <f t="shared" si="169"/>
        <v>-4367.6659999999974</v>
      </c>
    </row>
    <row r="1062" spans="1:21" x14ac:dyDescent="0.3">
      <c r="A1062">
        <v>1061</v>
      </c>
      <c r="B1062">
        <v>53</v>
      </c>
      <c r="C1062" t="s">
        <v>16</v>
      </c>
      <c r="D1062">
        <v>20.2</v>
      </c>
      <c r="E1062">
        <v>87</v>
      </c>
      <c r="F1062" t="s">
        <v>12</v>
      </c>
      <c r="G1062">
        <v>1</v>
      </c>
      <c r="H1062" t="s">
        <v>11</v>
      </c>
      <c r="I1062" t="s">
        <v>17</v>
      </c>
      <c r="J1062">
        <v>19594.810000000001</v>
      </c>
      <c r="K1062" t="str">
        <f t="shared" si="160"/>
        <v>20-25</v>
      </c>
      <c r="L1062">
        <f t="shared" si="161"/>
        <v>20.2</v>
      </c>
      <c r="M1062">
        <f t="shared" si="162"/>
        <v>0</v>
      </c>
      <c r="N1062">
        <f t="shared" si="163"/>
        <v>0</v>
      </c>
      <c r="O1062">
        <f t="shared" si="164"/>
        <v>0</v>
      </c>
      <c r="P1062">
        <v>0.60030894638609189</v>
      </c>
      <c r="Q1062">
        <f t="shared" si="165"/>
        <v>1</v>
      </c>
      <c r="R1062">
        <f t="shared" si="166"/>
        <v>0</v>
      </c>
      <c r="S1062">
        <f t="shared" si="167"/>
        <v>1</v>
      </c>
      <c r="T1062">
        <f t="shared" si="168"/>
        <v>17055.858000000004</v>
      </c>
      <c r="U1062">
        <f t="shared" si="169"/>
        <v>2538.9519999999975</v>
      </c>
    </row>
    <row r="1063" spans="1:21" x14ac:dyDescent="0.3">
      <c r="A1063">
        <v>1062</v>
      </c>
      <c r="B1063">
        <v>47</v>
      </c>
      <c r="C1063" t="s">
        <v>10</v>
      </c>
      <c r="D1063">
        <v>33.799999999999997</v>
      </c>
      <c r="E1063">
        <v>98</v>
      </c>
      <c r="F1063" t="s">
        <v>12</v>
      </c>
      <c r="G1063">
        <v>0</v>
      </c>
      <c r="H1063" t="s">
        <v>12</v>
      </c>
      <c r="I1063" t="s">
        <v>14</v>
      </c>
      <c r="J1063">
        <v>19673.34</v>
      </c>
      <c r="K1063" t="str">
        <f t="shared" si="160"/>
        <v>30-35</v>
      </c>
      <c r="L1063">
        <f t="shared" si="161"/>
        <v>0</v>
      </c>
      <c r="M1063">
        <f t="shared" si="162"/>
        <v>0</v>
      </c>
      <c r="N1063">
        <f t="shared" si="163"/>
        <v>0</v>
      </c>
      <c r="O1063">
        <f t="shared" si="164"/>
        <v>1</v>
      </c>
      <c r="P1063">
        <v>0.90193666246242044</v>
      </c>
      <c r="Q1063">
        <f t="shared" si="165"/>
        <v>0</v>
      </c>
      <c r="R1063">
        <f t="shared" si="166"/>
        <v>0</v>
      </c>
      <c r="S1063">
        <f t="shared" si="167"/>
        <v>0</v>
      </c>
      <c r="T1063">
        <f t="shared" si="168"/>
        <v>8243.8099999999977</v>
      </c>
      <c r="U1063">
        <f t="shared" si="169"/>
        <v>11429.530000000002</v>
      </c>
    </row>
    <row r="1064" spans="1:21" x14ac:dyDescent="0.3">
      <c r="A1064">
        <v>1063</v>
      </c>
      <c r="B1064">
        <v>38</v>
      </c>
      <c r="C1064" t="s">
        <v>10</v>
      </c>
      <c r="D1064">
        <v>28.9</v>
      </c>
      <c r="E1064">
        <v>106</v>
      </c>
      <c r="F1064" t="s">
        <v>12</v>
      </c>
      <c r="G1064">
        <v>1</v>
      </c>
      <c r="H1064" t="s">
        <v>11</v>
      </c>
      <c r="I1064" t="s">
        <v>13</v>
      </c>
      <c r="J1064">
        <v>19719.689999999999</v>
      </c>
      <c r="K1064" t="str">
        <f t="shared" si="160"/>
        <v>25-30</v>
      </c>
      <c r="L1064">
        <f t="shared" si="161"/>
        <v>28.9</v>
      </c>
      <c r="M1064">
        <f t="shared" si="162"/>
        <v>1</v>
      </c>
      <c r="N1064">
        <f t="shared" si="163"/>
        <v>0</v>
      </c>
      <c r="O1064">
        <f t="shared" si="164"/>
        <v>0</v>
      </c>
      <c r="P1064">
        <v>0.48264233150068381</v>
      </c>
      <c r="Q1064">
        <f t="shared" si="165"/>
        <v>1</v>
      </c>
      <c r="R1064">
        <f t="shared" si="166"/>
        <v>0</v>
      </c>
      <c r="S1064">
        <f t="shared" si="167"/>
        <v>0</v>
      </c>
      <c r="T1064">
        <f t="shared" si="168"/>
        <v>27716.391000000003</v>
      </c>
      <c r="U1064">
        <f t="shared" si="169"/>
        <v>-7996.7010000000046</v>
      </c>
    </row>
    <row r="1065" spans="1:21" x14ac:dyDescent="0.3">
      <c r="A1065">
        <v>1064</v>
      </c>
      <c r="B1065">
        <v>30</v>
      </c>
      <c r="C1065" t="s">
        <v>16</v>
      </c>
      <c r="D1065">
        <v>27.8</v>
      </c>
      <c r="E1065">
        <v>97</v>
      </c>
      <c r="F1065" t="s">
        <v>12</v>
      </c>
      <c r="G1065">
        <v>3</v>
      </c>
      <c r="H1065" t="s">
        <v>12</v>
      </c>
      <c r="I1065" t="s">
        <v>13</v>
      </c>
      <c r="J1065">
        <v>19749.38</v>
      </c>
      <c r="K1065" t="str">
        <f t="shared" si="160"/>
        <v>25-30</v>
      </c>
      <c r="L1065">
        <f t="shared" si="161"/>
        <v>0</v>
      </c>
      <c r="M1065">
        <f t="shared" si="162"/>
        <v>1</v>
      </c>
      <c r="N1065">
        <f t="shared" si="163"/>
        <v>0</v>
      </c>
      <c r="O1065">
        <f t="shared" si="164"/>
        <v>0</v>
      </c>
      <c r="P1065">
        <v>0.25365936573510484</v>
      </c>
      <c r="Q1065">
        <f t="shared" si="165"/>
        <v>0</v>
      </c>
      <c r="R1065">
        <f t="shared" si="166"/>
        <v>0</v>
      </c>
      <c r="S1065">
        <f t="shared" si="167"/>
        <v>1</v>
      </c>
      <c r="T1065">
        <f t="shared" si="168"/>
        <v>9555.9600000000028</v>
      </c>
      <c r="U1065">
        <f t="shared" si="169"/>
        <v>10193.419999999998</v>
      </c>
    </row>
    <row r="1066" spans="1:21" x14ac:dyDescent="0.3">
      <c r="A1066">
        <v>1065</v>
      </c>
      <c r="B1066">
        <v>28</v>
      </c>
      <c r="C1066" t="s">
        <v>16</v>
      </c>
      <c r="D1066">
        <v>20</v>
      </c>
      <c r="E1066">
        <v>96</v>
      </c>
      <c r="F1066" t="s">
        <v>11</v>
      </c>
      <c r="G1066">
        <v>2</v>
      </c>
      <c r="H1066" t="s">
        <v>11</v>
      </c>
      <c r="I1066" t="s">
        <v>17</v>
      </c>
      <c r="J1066">
        <v>19798.05</v>
      </c>
      <c r="K1066" t="str">
        <f t="shared" si="160"/>
        <v>20-25</v>
      </c>
      <c r="L1066">
        <f t="shared" si="161"/>
        <v>20</v>
      </c>
      <c r="M1066">
        <f t="shared" si="162"/>
        <v>0</v>
      </c>
      <c r="N1066">
        <f t="shared" si="163"/>
        <v>0</v>
      </c>
      <c r="O1066">
        <f t="shared" si="164"/>
        <v>0</v>
      </c>
      <c r="P1066">
        <v>0.1021974302456925</v>
      </c>
      <c r="Q1066">
        <f t="shared" si="165"/>
        <v>1</v>
      </c>
      <c r="R1066">
        <f t="shared" si="166"/>
        <v>1</v>
      </c>
      <c r="S1066">
        <f t="shared" si="167"/>
        <v>1</v>
      </c>
      <c r="T1066">
        <f t="shared" si="168"/>
        <v>18924.410000000003</v>
      </c>
      <c r="U1066">
        <f t="shared" si="169"/>
        <v>873.63999999999578</v>
      </c>
    </row>
    <row r="1067" spans="1:21" x14ac:dyDescent="0.3">
      <c r="A1067">
        <v>1066</v>
      </c>
      <c r="B1067">
        <v>23</v>
      </c>
      <c r="C1067" t="s">
        <v>10</v>
      </c>
      <c r="D1067">
        <v>29.7</v>
      </c>
      <c r="E1067">
        <v>99</v>
      </c>
      <c r="F1067" t="s">
        <v>11</v>
      </c>
      <c r="G1067">
        <v>3</v>
      </c>
      <c r="H1067" t="s">
        <v>11</v>
      </c>
      <c r="I1067" t="s">
        <v>15</v>
      </c>
      <c r="J1067">
        <v>19933.46</v>
      </c>
      <c r="K1067" t="str">
        <f t="shared" si="160"/>
        <v>25-30</v>
      </c>
      <c r="L1067">
        <f t="shared" si="161"/>
        <v>29.7</v>
      </c>
      <c r="M1067">
        <f t="shared" si="162"/>
        <v>0</v>
      </c>
      <c r="N1067">
        <f t="shared" si="163"/>
        <v>1</v>
      </c>
      <c r="O1067">
        <f t="shared" si="164"/>
        <v>0</v>
      </c>
      <c r="P1067">
        <v>0.96765173829019313</v>
      </c>
      <c r="Q1067">
        <f t="shared" si="165"/>
        <v>1</v>
      </c>
      <c r="R1067">
        <f t="shared" si="166"/>
        <v>1</v>
      </c>
      <c r="S1067">
        <f t="shared" si="167"/>
        <v>0</v>
      </c>
      <c r="T1067">
        <f t="shared" si="168"/>
        <v>29790.253000000001</v>
      </c>
      <c r="U1067">
        <f t="shared" si="169"/>
        <v>-9856.7930000000015</v>
      </c>
    </row>
    <row r="1068" spans="1:21" x14ac:dyDescent="0.3">
      <c r="A1068">
        <v>1067</v>
      </c>
      <c r="B1068">
        <v>43</v>
      </c>
      <c r="C1068" t="s">
        <v>16</v>
      </c>
      <c r="D1068">
        <v>23.4</v>
      </c>
      <c r="E1068">
        <v>82</v>
      </c>
      <c r="F1068" t="s">
        <v>11</v>
      </c>
      <c r="G1068">
        <v>0</v>
      </c>
      <c r="H1068" t="s">
        <v>11</v>
      </c>
      <c r="I1068" t="s">
        <v>17</v>
      </c>
      <c r="J1068">
        <v>19964.75</v>
      </c>
      <c r="K1068" t="str">
        <f t="shared" si="160"/>
        <v>20-25</v>
      </c>
      <c r="L1068">
        <f t="shared" si="161"/>
        <v>23.4</v>
      </c>
      <c r="M1068">
        <f t="shared" si="162"/>
        <v>0</v>
      </c>
      <c r="N1068">
        <f t="shared" si="163"/>
        <v>0</v>
      </c>
      <c r="O1068">
        <f t="shared" si="164"/>
        <v>0</v>
      </c>
      <c r="P1068">
        <v>0.6764493529524902</v>
      </c>
      <c r="Q1068">
        <f t="shared" si="165"/>
        <v>1</v>
      </c>
      <c r="R1068">
        <f t="shared" si="166"/>
        <v>1</v>
      </c>
      <c r="S1068">
        <f t="shared" si="167"/>
        <v>1</v>
      </c>
      <c r="T1068">
        <f t="shared" si="168"/>
        <v>19766.415999999997</v>
      </c>
      <c r="U1068">
        <f t="shared" si="169"/>
        <v>198.33400000000256</v>
      </c>
    </row>
    <row r="1069" spans="1:21" x14ac:dyDescent="0.3">
      <c r="A1069">
        <v>1068</v>
      </c>
      <c r="B1069">
        <v>40</v>
      </c>
      <c r="C1069" t="s">
        <v>10</v>
      </c>
      <c r="D1069">
        <v>27.8</v>
      </c>
      <c r="E1069">
        <v>93</v>
      </c>
      <c r="F1069" t="s">
        <v>12</v>
      </c>
      <c r="G1069">
        <v>1</v>
      </c>
      <c r="H1069" t="s">
        <v>11</v>
      </c>
      <c r="I1069" t="s">
        <v>14</v>
      </c>
      <c r="J1069">
        <v>20009.63</v>
      </c>
      <c r="K1069" t="str">
        <f t="shared" si="160"/>
        <v>25-30</v>
      </c>
      <c r="L1069">
        <f t="shared" si="161"/>
        <v>27.8</v>
      </c>
      <c r="M1069">
        <f t="shared" si="162"/>
        <v>0</v>
      </c>
      <c r="N1069">
        <f t="shared" si="163"/>
        <v>0</v>
      </c>
      <c r="O1069">
        <f t="shared" si="164"/>
        <v>1</v>
      </c>
      <c r="P1069">
        <v>0.51499515792057948</v>
      </c>
      <c r="Q1069">
        <f t="shared" si="165"/>
        <v>1</v>
      </c>
      <c r="R1069">
        <f t="shared" si="166"/>
        <v>0</v>
      </c>
      <c r="S1069">
        <f t="shared" si="167"/>
        <v>0</v>
      </c>
      <c r="T1069">
        <f t="shared" si="168"/>
        <v>24856.692000000003</v>
      </c>
      <c r="U1069">
        <f t="shared" si="169"/>
        <v>-4847.0620000000017</v>
      </c>
    </row>
    <row r="1070" spans="1:21" x14ac:dyDescent="0.3">
      <c r="A1070">
        <v>1069</v>
      </c>
      <c r="B1070">
        <v>19</v>
      </c>
      <c r="C1070" t="s">
        <v>10</v>
      </c>
      <c r="D1070">
        <v>26.4</v>
      </c>
      <c r="E1070">
        <v>87</v>
      </c>
      <c r="F1070" t="s">
        <v>11</v>
      </c>
      <c r="G1070">
        <v>0</v>
      </c>
      <c r="H1070" t="s">
        <v>11</v>
      </c>
      <c r="I1070" t="s">
        <v>17</v>
      </c>
      <c r="J1070">
        <v>20149.32</v>
      </c>
      <c r="K1070" t="str">
        <f t="shared" si="160"/>
        <v>25-30</v>
      </c>
      <c r="L1070">
        <f t="shared" si="161"/>
        <v>26.4</v>
      </c>
      <c r="M1070">
        <f t="shared" si="162"/>
        <v>0</v>
      </c>
      <c r="N1070">
        <f t="shared" si="163"/>
        <v>0</v>
      </c>
      <c r="O1070">
        <f t="shared" si="164"/>
        <v>0</v>
      </c>
      <c r="P1070">
        <v>3.1056391973740993E-2</v>
      </c>
      <c r="Q1070">
        <f t="shared" si="165"/>
        <v>1</v>
      </c>
      <c r="R1070">
        <f t="shared" si="166"/>
        <v>1</v>
      </c>
      <c r="S1070">
        <f t="shared" si="167"/>
        <v>0</v>
      </c>
      <c r="T1070">
        <f t="shared" si="168"/>
        <v>24184.206000000002</v>
      </c>
      <c r="U1070">
        <f t="shared" si="169"/>
        <v>-4034.8860000000022</v>
      </c>
    </row>
    <row r="1071" spans="1:21" x14ac:dyDescent="0.3">
      <c r="A1071">
        <v>1070</v>
      </c>
      <c r="B1071">
        <v>28</v>
      </c>
      <c r="C1071" t="s">
        <v>16</v>
      </c>
      <c r="D1071">
        <v>21.8</v>
      </c>
      <c r="E1071">
        <v>81</v>
      </c>
      <c r="F1071" t="s">
        <v>12</v>
      </c>
      <c r="G1071">
        <v>0</v>
      </c>
      <c r="H1071" t="s">
        <v>11</v>
      </c>
      <c r="I1071" t="s">
        <v>15</v>
      </c>
      <c r="J1071">
        <v>20167.34</v>
      </c>
      <c r="K1071" t="str">
        <f t="shared" si="160"/>
        <v>20-25</v>
      </c>
      <c r="L1071">
        <f t="shared" si="161"/>
        <v>21.8</v>
      </c>
      <c r="M1071">
        <f t="shared" si="162"/>
        <v>0</v>
      </c>
      <c r="N1071">
        <f t="shared" si="163"/>
        <v>1</v>
      </c>
      <c r="O1071">
        <f t="shared" si="164"/>
        <v>0</v>
      </c>
      <c r="P1071">
        <v>3.9192775649272149E-2</v>
      </c>
      <c r="Q1071">
        <f t="shared" si="165"/>
        <v>1</v>
      </c>
      <c r="R1071">
        <f t="shared" si="166"/>
        <v>0</v>
      </c>
      <c r="S1071">
        <f t="shared" si="167"/>
        <v>1</v>
      </c>
      <c r="T1071">
        <f t="shared" si="168"/>
        <v>14587.472000000005</v>
      </c>
      <c r="U1071">
        <f t="shared" si="169"/>
        <v>5579.8679999999949</v>
      </c>
    </row>
    <row r="1072" spans="1:21" x14ac:dyDescent="0.3">
      <c r="A1072">
        <v>1071</v>
      </c>
      <c r="B1072">
        <v>42</v>
      </c>
      <c r="C1072" t="s">
        <v>16</v>
      </c>
      <c r="D1072">
        <v>27.5</v>
      </c>
      <c r="E1072">
        <v>110</v>
      </c>
      <c r="F1072" t="s">
        <v>11</v>
      </c>
      <c r="G1072">
        <v>2</v>
      </c>
      <c r="H1072" t="s">
        <v>12</v>
      </c>
      <c r="I1072" t="s">
        <v>15</v>
      </c>
      <c r="J1072">
        <v>20177.669999999998</v>
      </c>
      <c r="K1072" t="str">
        <f t="shared" si="160"/>
        <v>25-30</v>
      </c>
      <c r="L1072">
        <f t="shared" si="161"/>
        <v>0</v>
      </c>
      <c r="M1072">
        <f t="shared" si="162"/>
        <v>0</v>
      </c>
      <c r="N1072">
        <f t="shared" si="163"/>
        <v>1</v>
      </c>
      <c r="O1072">
        <f t="shared" si="164"/>
        <v>0</v>
      </c>
      <c r="P1072">
        <v>0.55940927655847628</v>
      </c>
      <c r="Q1072">
        <f t="shared" si="165"/>
        <v>0</v>
      </c>
      <c r="R1072">
        <f t="shared" si="166"/>
        <v>1</v>
      </c>
      <c r="S1072">
        <f t="shared" si="167"/>
        <v>1</v>
      </c>
      <c r="T1072">
        <f t="shared" si="168"/>
        <v>11470.940000000002</v>
      </c>
      <c r="U1072">
        <f t="shared" si="169"/>
        <v>8706.7299999999959</v>
      </c>
    </row>
    <row r="1073" spans="1:21" x14ac:dyDescent="0.3">
      <c r="A1073">
        <v>1072</v>
      </c>
      <c r="B1073">
        <v>44</v>
      </c>
      <c r="C1073" t="s">
        <v>16</v>
      </c>
      <c r="D1073">
        <v>28</v>
      </c>
      <c r="E1073">
        <v>82</v>
      </c>
      <c r="F1073" t="s">
        <v>11</v>
      </c>
      <c r="G1073">
        <v>0</v>
      </c>
      <c r="H1073" t="s">
        <v>11</v>
      </c>
      <c r="I1073" t="s">
        <v>14</v>
      </c>
      <c r="J1073">
        <v>20234.849999999999</v>
      </c>
      <c r="K1073" t="str">
        <f t="shared" si="160"/>
        <v>25-30</v>
      </c>
      <c r="L1073">
        <f t="shared" si="161"/>
        <v>28</v>
      </c>
      <c r="M1073">
        <f t="shared" si="162"/>
        <v>0</v>
      </c>
      <c r="N1073">
        <f t="shared" si="163"/>
        <v>0</v>
      </c>
      <c r="O1073">
        <f t="shared" si="164"/>
        <v>1</v>
      </c>
      <c r="P1073">
        <v>0.49210486590652824</v>
      </c>
      <c r="Q1073">
        <f t="shared" si="165"/>
        <v>1</v>
      </c>
      <c r="R1073">
        <f t="shared" si="166"/>
        <v>1</v>
      </c>
      <c r="S1073">
        <f t="shared" si="167"/>
        <v>1</v>
      </c>
      <c r="T1073">
        <f t="shared" si="168"/>
        <v>23002.67</v>
      </c>
      <c r="U1073">
        <f t="shared" si="169"/>
        <v>-2767.8199999999997</v>
      </c>
    </row>
    <row r="1074" spans="1:21" x14ac:dyDescent="0.3">
      <c r="A1074">
        <v>1073</v>
      </c>
      <c r="B1074">
        <v>20</v>
      </c>
      <c r="C1074" t="s">
        <v>10</v>
      </c>
      <c r="D1074">
        <v>29.6</v>
      </c>
      <c r="E1074">
        <v>91</v>
      </c>
      <c r="F1074" t="s">
        <v>11</v>
      </c>
      <c r="G1074">
        <v>1</v>
      </c>
      <c r="H1074" t="s">
        <v>12</v>
      </c>
      <c r="I1074" t="s">
        <v>17</v>
      </c>
      <c r="J1074">
        <v>20277.810000000001</v>
      </c>
      <c r="K1074" t="str">
        <f t="shared" si="160"/>
        <v>25-30</v>
      </c>
      <c r="L1074">
        <f t="shared" si="161"/>
        <v>0</v>
      </c>
      <c r="M1074">
        <f t="shared" si="162"/>
        <v>0</v>
      </c>
      <c r="N1074">
        <f t="shared" si="163"/>
        <v>0</v>
      </c>
      <c r="O1074">
        <f t="shared" si="164"/>
        <v>0</v>
      </c>
      <c r="P1074">
        <v>0.808418139606774</v>
      </c>
      <c r="Q1074">
        <f t="shared" si="165"/>
        <v>0</v>
      </c>
      <c r="R1074">
        <f t="shared" si="166"/>
        <v>1</v>
      </c>
      <c r="S1074">
        <f t="shared" si="167"/>
        <v>0</v>
      </c>
      <c r="T1074">
        <f t="shared" si="168"/>
        <v>10419.36</v>
      </c>
      <c r="U1074">
        <f t="shared" si="169"/>
        <v>9858.4500000000007</v>
      </c>
    </row>
    <row r="1075" spans="1:21" x14ac:dyDescent="0.3">
      <c r="A1075">
        <v>1074</v>
      </c>
      <c r="B1075">
        <v>46</v>
      </c>
      <c r="C1075" t="s">
        <v>16</v>
      </c>
      <c r="D1075">
        <v>25.6</v>
      </c>
      <c r="E1075">
        <v>100</v>
      </c>
      <c r="F1075" t="s">
        <v>11</v>
      </c>
      <c r="G1075">
        <v>1</v>
      </c>
      <c r="H1075" t="s">
        <v>11</v>
      </c>
      <c r="I1075" t="s">
        <v>17</v>
      </c>
      <c r="J1075">
        <v>20296.86</v>
      </c>
      <c r="K1075" t="str">
        <f t="shared" si="160"/>
        <v>25-30</v>
      </c>
      <c r="L1075">
        <f t="shared" si="161"/>
        <v>25.6</v>
      </c>
      <c r="M1075">
        <f t="shared" si="162"/>
        <v>0</v>
      </c>
      <c r="N1075">
        <f t="shared" si="163"/>
        <v>0</v>
      </c>
      <c r="O1075">
        <f t="shared" si="164"/>
        <v>0</v>
      </c>
      <c r="P1075">
        <v>0.33399945241833928</v>
      </c>
      <c r="Q1075">
        <f t="shared" si="165"/>
        <v>1</v>
      </c>
      <c r="R1075">
        <f t="shared" si="166"/>
        <v>1</v>
      </c>
      <c r="S1075">
        <f t="shared" si="167"/>
        <v>1</v>
      </c>
      <c r="T1075">
        <f t="shared" si="168"/>
        <v>26331.754000000008</v>
      </c>
      <c r="U1075">
        <f t="shared" si="169"/>
        <v>-6034.8940000000075</v>
      </c>
    </row>
    <row r="1076" spans="1:21" x14ac:dyDescent="0.3">
      <c r="A1076">
        <v>1075</v>
      </c>
      <c r="B1076">
        <v>47</v>
      </c>
      <c r="C1076" t="s">
        <v>10</v>
      </c>
      <c r="D1076">
        <v>29.8</v>
      </c>
      <c r="E1076">
        <v>89</v>
      </c>
      <c r="F1076" t="s">
        <v>11</v>
      </c>
      <c r="G1076">
        <v>0</v>
      </c>
      <c r="H1076" t="s">
        <v>12</v>
      </c>
      <c r="I1076" t="s">
        <v>15</v>
      </c>
      <c r="J1076">
        <v>20420.599999999999</v>
      </c>
      <c r="K1076" t="str">
        <f t="shared" si="160"/>
        <v>25-30</v>
      </c>
      <c r="L1076">
        <f t="shared" si="161"/>
        <v>0</v>
      </c>
      <c r="M1076">
        <f t="shared" si="162"/>
        <v>0</v>
      </c>
      <c r="N1076">
        <f t="shared" si="163"/>
        <v>1</v>
      </c>
      <c r="O1076">
        <f t="shared" si="164"/>
        <v>0</v>
      </c>
      <c r="P1076">
        <v>0.44643819520836381</v>
      </c>
      <c r="Q1076">
        <f t="shared" si="165"/>
        <v>0</v>
      </c>
      <c r="R1076">
        <f t="shared" si="166"/>
        <v>1</v>
      </c>
      <c r="S1076">
        <f t="shared" si="167"/>
        <v>0</v>
      </c>
      <c r="T1076">
        <f t="shared" si="168"/>
        <v>6388.37</v>
      </c>
      <c r="U1076">
        <f t="shared" si="169"/>
        <v>14032.23</v>
      </c>
    </row>
    <row r="1077" spans="1:21" x14ac:dyDescent="0.3">
      <c r="A1077">
        <v>1076</v>
      </c>
      <c r="B1077">
        <v>44</v>
      </c>
      <c r="C1077" t="s">
        <v>16</v>
      </c>
      <c r="D1077">
        <v>38.1</v>
      </c>
      <c r="E1077">
        <v>98</v>
      </c>
      <c r="F1077" t="s">
        <v>11</v>
      </c>
      <c r="G1077">
        <v>3</v>
      </c>
      <c r="H1077" t="s">
        <v>12</v>
      </c>
      <c r="I1077" t="s">
        <v>13</v>
      </c>
      <c r="J1077">
        <v>20463</v>
      </c>
      <c r="K1077" t="str">
        <f t="shared" si="160"/>
        <v>35+</v>
      </c>
      <c r="L1077">
        <f t="shared" si="161"/>
        <v>0</v>
      </c>
      <c r="M1077">
        <f t="shared" si="162"/>
        <v>1</v>
      </c>
      <c r="N1077">
        <f t="shared" si="163"/>
        <v>0</v>
      </c>
      <c r="O1077">
        <f t="shared" si="164"/>
        <v>0</v>
      </c>
      <c r="P1077">
        <v>0.54532996095348807</v>
      </c>
      <c r="Q1077">
        <f t="shared" si="165"/>
        <v>0</v>
      </c>
      <c r="R1077">
        <f t="shared" si="166"/>
        <v>1</v>
      </c>
      <c r="S1077">
        <f t="shared" si="167"/>
        <v>1</v>
      </c>
      <c r="T1077">
        <f t="shared" si="168"/>
        <v>10509.220000000003</v>
      </c>
      <c r="U1077">
        <f t="shared" si="169"/>
        <v>9953.779999999997</v>
      </c>
    </row>
    <row r="1078" spans="1:21" x14ac:dyDescent="0.3">
      <c r="A1078">
        <v>1077</v>
      </c>
      <c r="B1078">
        <v>19</v>
      </c>
      <c r="C1078" t="s">
        <v>10</v>
      </c>
      <c r="D1078">
        <v>37.299999999999997</v>
      </c>
      <c r="E1078">
        <v>102</v>
      </c>
      <c r="F1078" t="s">
        <v>11</v>
      </c>
      <c r="G1078">
        <v>0</v>
      </c>
      <c r="H1078" t="s">
        <v>12</v>
      </c>
      <c r="I1078" t="s">
        <v>15</v>
      </c>
      <c r="J1078">
        <v>20630.28</v>
      </c>
      <c r="K1078" t="str">
        <f t="shared" si="160"/>
        <v>35+</v>
      </c>
      <c r="L1078">
        <f t="shared" si="161"/>
        <v>0</v>
      </c>
      <c r="M1078">
        <f t="shared" si="162"/>
        <v>0</v>
      </c>
      <c r="N1078">
        <f t="shared" si="163"/>
        <v>1</v>
      </c>
      <c r="O1078">
        <f t="shared" si="164"/>
        <v>0</v>
      </c>
      <c r="P1078">
        <v>0.41123347624550843</v>
      </c>
      <c r="Q1078">
        <f t="shared" si="165"/>
        <v>0</v>
      </c>
      <c r="R1078">
        <f t="shared" si="166"/>
        <v>1</v>
      </c>
      <c r="S1078">
        <f t="shared" si="167"/>
        <v>0</v>
      </c>
      <c r="T1078">
        <f t="shared" si="168"/>
        <v>9140.1299999999992</v>
      </c>
      <c r="U1078">
        <f t="shared" si="169"/>
        <v>11490.15</v>
      </c>
    </row>
    <row r="1079" spans="1:21" x14ac:dyDescent="0.3">
      <c r="A1079">
        <v>1078</v>
      </c>
      <c r="B1079">
        <v>19</v>
      </c>
      <c r="C1079" t="s">
        <v>10</v>
      </c>
      <c r="D1079">
        <v>40.299999999999997</v>
      </c>
      <c r="E1079">
        <v>110</v>
      </c>
      <c r="F1079" t="s">
        <v>12</v>
      </c>
      <c r="G1079">
        <v>0</v>
      </c>
      <c r="H1079" t="s">
        <v>12</v>
      </c>
      <c r="I1079" t="s">
        <v>17</v>
      </c>
      <c r="J1079">
        <v>20709.02</v>
      </c>
      <c r="K1079" t="str">
        <f t="shared" si="160"/>
        <v>35+</v>
      </c>
      <c r="L1079">
        <f t="shared" si="161"/>
        <v>0</v>
      </c>
      <c r="M1079">
        <f t="shared" si="162"/>
        <v>0</v>
      </c>
      <c r="N1079">
        <f t="shared" si="163"/>
        <v>0</v>
      </c>
      <c r="O1079">
        <f t="shared" si="164"/>
        <v>0</v>
      </c>
      <c r="P1079">
        <v>0.37445135397687146</v>
      </c>
      <c r="Q1079">
        <f t="shared" si="165"/>
        <v>0</v>
      </c>
      <c r="R1079">
        <f t="shared" si="166"/>
        <v>0</v>
      </c>
      <c r="S1079">
        <f t="shared" si="167"/>
        <v>0</v>
      </c>
      <c r="T1079">
        <f t="shared" si="168"/>
        <v>13698.52</v>
      </c>
      <c r="U1079">
        <f t="shared" si="169"/>
        <v>7010.5</v>
      </c>
    </row>
    <row r="1080" spans="1:21" x14ac:dyDescent="0.3">
      <c r="A1080">
        <v>1079</v>
      </c>
      <c r="B1080">
        <v>39</v>
      </c>
      <c r="C1080" t="s">
        <v>10</v>
      </c>
      <c r="D1080">
        <v>28.7</v>
      </c>
      <c r="E1080">
        <v>81</v>
      </c>
      <c r="F1080" t="s">
        <v>12</v>
      </c>
      <c r="G1080">
        <v>3</v>
      </c>
      <c r="H1080" t="s">
        <v>11</v>
      </c>
      <c r="I1080" t="s">
        <v>14</v>
      </c>
      <c r="J1080">
        <v>20745.990000000002</v>
      </c>
      <c r="K1080" t="str">
        <f t="shared" si="160"/>
        <v>25-30</v>
      </c>
      <c r="L1080">
        <f t="shared" si="161"/>
        <v>28.7</v>
      </c>
      <c r="M1080">
        <f t="shared" si="162"/>
        <v>0</v>
      </c>
      <c r="N1080">
        <f t="shared" si="163"/>
        <v>0</v>
      </c>
      <c r="O1080">
        <f t="shared" si="164"/>
        <v>1</v>
      </c>
      <c r="P1080">
        <v>0.41767571915496338</v>
      </c>
      <c r="Q1080">
        <f t="shared" si="165"/>
        <v>1</v>
      </c>
      <c r="R1080">
        <f t="shared" si="166"/>
        <v>0</v>
      </c>
      <c r="S1080">
        <f t="shared" si="167"/>
        <v>0</v>
      </c>
      <c r="T1080">
        <f t="shared" si="168"/>
        <v>25629.593000000008</v>
      </c>
      <c r="U1080">
        <f t="shared" si="169"/>
        <v>-4883.6030000000064</v>
      </c>
    </row>
    <row r="1081" spans="1:21" x14ac:dyDescent="0.3">
      <c r="A1081">
        <v>1080</v>
      </c>
      <c r="B1081">
        <v>49</v>
      </c>
      <c r="C1081" t="s">
        <v>10</v>
      </c>
      <c r="D1081">
        <v>28</v>
      </c>
      <c r="E1081">
        <v>106</v>
      </c>
      <c r="F1081" t="s">
        <v>12</v>
      </c>
      <c r="G1081">
        <v>1</v>
      </c>
      <c r="H1081" t="s">
        <v>11</v>
      </c>
      <c r="I1081" t="s">
        <v>17</v>
      </c>
      <c r="J1081">
        <v>20773.63</v>
      </c>
      <c r="K1081" t="str">
        <f t="shared" si="160"/>
        <v>25-30</v>
      </c>
      <c r="L1081">
        <f t="shared" si="161"/>
        <v>28</v>
      </c>
      <c r="M1081">
        <f t="shared" si="162"/>
        <v>0</v>
      </c>
      <c r="N1081">
        <f t="shared" si="163"/>
        <v>0</v>
      </c>
      <c r="O1081">
        <f t="shared" si="164"/>
        <v>0</v>
      </c>
      <c r="P1081">
        <v>5.8449863531573887E-2</v>
      </c>
      <c r="Q1081">
        <f t="shared" si="165"/>
        <v>1</v>
      </c>
      <c r="R1081">
        <f t="shared" si="166"/>
        <v>0</v>
      </c>
      <c r="S1081">
        <f t="shared" si="167"/>
        <v>0</v>
      </c>
      <c r="T1081">
        <f t="shared" si="168"/>
        <v>30136.82</v>
      </c>
      <c r="U1081">
        <f t="shared" si="169"/>
        <v>-9363.1899999999987</v>
      </c>
    </row>
    <row r="1082" spans="1:21" x14ac:dyDescent="0.3">
      <c r="A1082">
        <v>1081</v>
      </c>
      <c r="B1082">
        <v>43</v>
      </c>
      <c r="C1082" t="s">
        <v>10</v>
      </c>
      <c r="D1082">
        <v>33</v>
      </c>
      <c r="E1082">
        <v>85</v>
      </c>
      <c r="F1082" t="s">
        <v>12</v>
      </c>
      <c r="G1082">
        <v>0</v>
      </c>
      <c r="H1082" t="s">
        <v>12</v>
      </c>
      <c r="I1082" t="s">
        <v>13</v>
      </c>
      <c r="J1082">
        <v>20781.490000000002</v>
      </c>
      <c r="K1082" t="str">
        <f t="shared" si="160"/>
        <v>30-35</v>
      </c>
      <c r="L1082">
        <f t="shared" si="161"/>
        <v>0</v>
      </c>
      <c r="M1082">
        <f t="shared" si="162"/>
        <v>1</v>
      </c>
      <c r="N1082">
        <f t="shared" si="163"/>
        <v>0</v>
      </c>
      <c r="O1082">
        <f t="shared" si="164"/>
        <v>0</v>
      </c>
      <c r="P1082">
        <v>0.79791548704405635</v>
      </c>
      <c r="Q1082">
        <f t="shared" si="165"/>
        <v>0</v>
      </c>
      <c r="R1082">
        <f t="shared" si="166"/>
        <v>0</v>
      </c>
      <c r="S1082">
        <f t="shared" si="167"/>
        <v>0</v>
      </c>
      <c r="T1082">
        <f t="shared" si="168"/>
        <v>5409.17</v>
      </c>
      <c r="U1082">
        <f t="shared" si="169"/>
        <v>15372.320000000002</v>
      </c>
    </row>
    <row r="1083" spans="1:21" x14ac:dyDescent="0.3">
      <c r="A1083">
        <v>1082</v>
      </c>
      <c r="B1083">
        <v>42</v>
      </c>
      <c r="C1083" t="s">
        <v>16</v>
      </c>
      <c r="D1083">
        <v>33.299999999999997</v>
      </c>
      <c r="E1083">
        <v>107</v>
      </c>
      <c r="F1083" t="s">
        <v>12</v>
      </c>
      <c r="G1083">
        <v>0</v>
      </c>
      <c r="H1083" t="s">
        <v>12</v>
      </c>
      <c r="I1083" t="s">
        <v>17</v>
      </c>
      <c r="J1083">
        <v>20878.78</v>
      </c>
      <c r="K1083" t="str">
        <f t="shared" si="160"/>
        <v>30-35</v>
      </c>
      <c r="L1083">
        <f t="shared" si="161"/>
        <v>0</v>
      </c>
      <c r="M1083">
        <f t="shared" si="162"/>
        <v>0</v>
      </c>
      <c r="N1083">
        <f t="shared" si="163"/>
        <v>0</v>
      </c>
      <c r="O1083">
        <f t="shared" si="164"/>
        <v>0</v>
      </c>
      <c r="P1083">
        <v>0.38447898185287399</v>
      </c>
      <c r="Q1083">
        <f t="shared" si="165"/>
        <v>0</v>
      </c>
      <c r="R1083">
        <f t="shared" si="166"/>
        <v>0</v>
      </c>
      <c r="S1083">
        <f t="shared" si="167"/>
        <v>1</v>
      </c>
      <c r="T1083">
        <f t="shared" si="168"/>
        <v>13036.760000000002</v>
      </c>
      <c r="U1083">
        <f t="shared" si="169"/>
        <v>7842.0199999999968</v>
      </c>
    </row>
    <row r="1084" spans="1:21" x14ac:dyDescent="0.3">
      <c r="A1084">
        <v>1083</v>
      </c>
      <c r="B1084">
        <v>30</v>
      </c>
      <c r="C1084" t="s">
        <v>10</v>
      </c>
      <c r="D1084">
        <v>27.7</v>
      </c>
      <c r="E1084">
        <v>89</v>
      </c>
      <c r="F1084" t="s">
        <v>11</v>
      </c>
      <c r="G1084">
        <v>2</v>
      </c>
      <c r="H1084" t="s">
        <v>11</v>
      </c>
      <c r="I1084" t="s">
        <v>17</v>
      </c>
      <c r="J1084">
        <v>20984.09</v>
      </c>
      <c r="K1084" t="str">
        <f t="shared" si="160"/>
        <v>25-30</v>
      </c>
      <c r="L1084">
        <f t="shared" si="161"/>
        <v>27.7</v>
      </c>
      <c r="M1084">
        <f t="shared" si="162"/>
        <v>0</v>
      </c>
      <c r="N1084">
        <f t="shared" si="163"/>
        <v>0</v>
      </c>
      <c r="O1084">
        <f t="shared" si="164"/>
        <v>0</v>
      </c>
      <c r="P1084">
        <v>0.83251729147616849</v>
      </c>
      <c r="Q1084">
        <f t="shared" si="165"/>
        <v>1</v>
      </c>
      <c r="R1084">
        <f t="shared" si="166"/>
        <v>1</v>
      </c>
      <c r="S1084">
        <f t="shared" si="167"/>
        <v>0</v>
      </c>
      <c r="T1084">
        <f t="shared" si="168"/>
        <v>27713.883000000005</v>
      </c>
      <c r="U1084">
        <f t="shared" si="169"/>
        <v>-6729.7930000000051</v>
      </c>
    </row>
    <row r="1085" spans="1:21" x14ac:dyDescent="0.3">
      <c r="A1085">
        <v>1084</v>
      </c>
      <c r="B1085">
        <v>37</v>
      </c>
      <c r="C1085" t="s">
        <v>10</v>
      </c>
      <c r="D1085">
        <v>28.3</v>
      </c>
      <c r="E1085">
        <v>109</v>
      </c>
      <c r="F1085" t="s">
        <v>11</v>
      </c>
      <c r="G1085">
        <v>1</v>
      </c>
      <c r="H1085" t="s">
        <v>11</v>
      </c>
      <c r="I1085" t="s">
        <v>15</v>
      </c>
      <c r="J1085">
        <v>21082.16</v>
      </c>
      <c r="K1085" t="str">
        <f t="shared" si="160"/>
        <v>25-30</v>
      </c>
      <c r="L1085">
        <f t="shared" si="161"/>
        <v>28.3</v>
      </c>
      <c r="M1085">
        <f t="shared" si="162"/>
        <v>0</v>
      </c>
      <c r="N1085">
        <f t="shared" si="163"/>
        <v>1</v>
      </c>
      <c r="O1085">
        <f t="shared" si="164"/>
        <v>0</v>
      </c>
      <c r="P1085">
        <v>0.10593219814283672</v>
      </c>
      <c r="Q1085">
        <f t="shared" si="165"/>
        <v>1</v>
      </c>
      <c r="R1085">
        <f t="shared" si="166"/>
        <v>1</v>
      </c>
      <c r="S1085">
        <f t="shared" si="167"/>
        <v>0</v>
      </c>
      <c r="T1085">
        <f t="shared" si="168"/>
        <v>28009.187000000009</v>
      </c>
      <c r="U1085">
        <f t="shared" si="169"/>
        <v>-6927.0270000000091</v>
      </c>
    </row>
    <row r="1086" spans="1:21" x14ac:dyDescent="0.3">
      <c r="A1086">
        <v>1085</v>
      </c>
      <c r="B1086">
        <v>43</v>
      </c>
      <c r="C1086" t="s">
        <v>10</v>
      </c>
      <c r="D1086">
        <v>22.9</v>
      </c>
      <c r="E1086">
        <v>106</v>
      </c>
      <c r="F1086" t="s">
        <v>11</v>
      </c>
      <c r="G1086">
        <v>2</v>
      </c>
      <c r="H1086" t="s">
        <v>11</v>
      </c>
      <c r="I1086" t="s">
        <v>14</v>
      </c>
      <c r="J1086">
        <v>21098.55</v>
      </c>
      <c r="K1086" t="str">
        <f t="shared" si="160"/>
        <v>20-25</v>
      </c>
      <c r="L1086">
        <f t="shared" si="161"/>
        <v>22.9</v>
      </c>
      <c r="M1086">
        <f t="shared" si="162"/>
        <v>0</v>
      </c>
      <c r="N1086">
        <f t="shared" si="163"/>
        <v>0</v>
      </c>
      <c r="O1086">
        <f t="shared" si="164"/>
        <v>1</v>
      </c>
      <c r="P1086">
        <v>0.15169401135517802</v>
      </c>
      <c r="Q1086">
        <f t="shared" si="165"/>
        <v>1</v>
      </c>
      <c r="R1086">
        <f t="shared" si="166"/>
        <v>1</v>
      </c>
      <c r="S1086">
        <f t="shared" si="167"/>
        <v>0</v>
      </c>
      <c r="T1086">
        <f t="shared" si="168"/>
        <v>21007.721000000001</v>
      </c>
      <c r="U1086">
        <f t="shared" si="169"/>
        <v>90.828999999997905</v>
      </c>
    </row>
    <row r="1087" spans="1:21" x14ac:dyDescent="0.3">
      <c r="A1087">
        <v>1086</v>
      </c>
      <c r="B1087">
        <v>38</v>
      </c>
      <c r="C1087" t="s">
        <v>10</v>
      </c>
      <c r="D1087">
        <v>20.9</v>
      </c>
      <c r="E1087">
        <v>98</v>
      </c>
      <c r="F1087" t="s">
        <v>12</v>
      </c>
      <c r="G1087">
        <v>0</v>
      </c>
      <c r="H1087" t="s">
        <v>11</v>
      </c>
      <c r="I1087" t="s">
        <v>13</v>
      </c>
      <c r="J1087">
        <v>21195.82</v>
      </c>
      <c r="K1087" t="str">
        <f t="shared" si="160"/>
        <v>20-25</v>
      </c>
      <c r="L1087">
        <f t="shared" si="161"/>
        <v>20.9</v>
      </c>
      <c r="M1087">
        <f t="shared" si="162"/>
        <v>1</v>
      </c>
      <c r="N1087">
        <f t="shared" si="163"/>
        <v>0</v>
      </c>
      <c r="O1087">
        <f t="shared" si="164"/>
        <v>0</v>
      </c>
      <c r="P1087">
        <v>0.7339496846608824</v>
      </c>
      <c r="Q1087">
        <f t="shared" si="165"/>
        <v>1</v>
      </c>
      <c r="R1087">
        <f t="shared" si="166"/>
        <v>0</v>
      </c>
      <c r="S1087">
        <f t="shared" si="167"/>
        <v>0</v>
      </c>
      <c r="T1087">
        <f t="shared" si="168"/>
        <v>14943.910999999993</v>
      </c>
      <c r="U1087">
        <f t="shared" si="169"/>
        <v>6251.9090000000069</v>
      </c>
    </row>
    <row r="1088" spans="1:21" x14ac:dyDescent="0.3">
      <c r="A1088">
        <v>1087</v>
      </c>
      <c r="B1088">
        <v>44</v>
      </c>
      <c r="C1088" t="s">
        <v>10</v>
      </c>
      <c r="D1088">
        <v>24.4</v>
      </c>
      <c r="E1088">
        <v>110</v>
      </c>
      <c r="F1088" t="s">
        <v>12</v>
      </c>
      <c r="G1088">
        <v>0</v>
      </c>
      <c r="H1088" t="s">
        <v>11</v>
      </c>
      <c r="I1088" t="s">
        <v>13</v>
      </c>
      <c r="J1088">
        <v>21223.68</v>
      </c>
      <c r="K1088" t="str">
        <f t="shared" si="160"/>
        <v>20-25</v>
      </c>
      <c r="L1088">
        <f t="shared" si="161"/>
        <v>24.4</v>
      </c>
      <c r="M1088">
        <f t="shared" si="162"/>
        <v>1</v>
      </c>
      <c r="N1088">
        <f t="shared" si="163"/>
        <v>0</v>
      </c>
      <c r="O1088">
        <f t="shared" si="164"/>
        <v>0</v>
      </c>
      <c r="P1088">
        <v>0.31731662602157718</v>
      </c>
      <c r="Q1088">
        <f t="shared" si="165"/>
        <v>1</v>
      </c>
      <c r="R1088">
        <f t="shared" si="166"/>
        <v>0</v>
      </c>
      <c r="S1088">
        <f t="shared" si="167"/>
        <v>0</v>
      </c>
      <c r="T1088">
        <f t="shared" si="168"/>
        <v>21557.726000000002</v>
      </c>
      <c r="U1088">
        <f t="shared" si="169"/>
        <v>-334.0460000000021</v>
      </c>
    </row>
    <row r="1089" spans="1:21" x14ac:dyDescent="0.3">
      <c r="A1089">
        <v>1088</v>
      </c>
      <c r="B1089">
        <v>44</v>
      </c>
      <c r="C1089" t="s">
        <v>10</v>
      </c>
      <c r="D1089">
        <v>29.6</v>
      </c>
      <c r="E1089">
        <v>91</v>
      </c>
      <c r="F1089" t="s">
        <v>11</v>
      </c>
      <c r="G1089">
        <v>0</v>
      </c>
      <c r="H1089" t="s">
        <v>12</v>
      </c>
      <c r="I1089" t="s">
        <v>15</v>
      </c>
      <c r="J1089">
        <v>21232.18</v>
      </c>
      <c r="K1089" t="str">
        <f t="shared" si="160"/>
        <v>25-30</v>
      </c>
      <c r="L1089">
        <f t="shared" si="161"/>
        <v>0</v>
      </c>
      <c r="M1089">
        <f t="shared" si="162"/>
        <v>0</v>
      </c>
      <c r="N1089">
        <f t="shared" si="163"/>
        <v>1</v>
      </c>
      <c r="O1089">
        <f t="shared" si="164"/>
        <v>0</v>
      </c>
      <c r="P1089">
        <v>0.66332000016422343</v>
      </c>
      <c r="Q1089">
        <f t="shared" si="165"/>
        <v>0</v>
      </c>
      <c r="R1089">
        <f t="shared" si="166"/>
        <v>1</v>
      </c>
      <c r="S1089">
        <f t="shared" si="167"/>
        <v>0</v>
      </c>
      <c r="T1089">
        <f t="shared" si="168"/>
        <v>6694.29</v>
      </c>
      <c r="U1089">
        <f t="shared" si="169"/>
        <v>14537.89</v>
      </c>
    </row>
    <row r="1090" spans="1:21" x14ac:dyDescent="0.3">
      <c r="A1090">
        <v>1089</v>
      </c>
      <c r="B1090">
        <v>33</v>
      </c>
      <c r="C1090" t="s">
        <v>10</v>
      </c>
      <c r="D1090">
        <v>24.6</v>
      </c>
      <c r="E1090">
        <v>87</v>
      </c>
      <c r="F1090" t="s">
        <v>11</v>
      </c>
      <c r="G1090">
        <v>2</v>
      </c>
      <c r="H1090" t="s">
        <v>11</v>
      </c>
      <c r="I1090" t="s">
        <v>17</v>
      </c>
      <c r="J1090">
        <v>21259.38</v>
      </c>
      <c r="K1090" t="str">
        <f t="shared" si="160"/>
        <v>20-25</v>
      </c>
      <c r="L1090">
        <f t="shared" si="161"/>
        <v>24.6</v>
      </c>
      <c r="M1090">
        <f t="shared" si="162"/>
        <v>0</v>
      </c>
      <c r="N1090">
        <f t="shared" si="163"/>
        <v>0</v>
      </c>
      <c r="O1090">
        <f t="shared" si="164"/>
        <v>0</v>
      </c>
      <c r="P1090">
        <v>0.73639712079903108</v>
      </c>
      <c r="Q1090">
        <f t="shared" si="165"/>
        <v>1</v>
      </c>
      <c r="R1090">
        <f t="shared" si="166"/>
        <v>1</v>
      </c>
      <c r="S1090">
        <f t="shared" si="167"/>
        <v>0</v>
      </c>
      <c r="T1090">
        <f t="shared" si="168"/>
        <v>23222.324000000004</v>
      </c>
      <c r="U1090">
        <f t="shared" si="169"/>
        <v>-1962.9440000000031</v>
      </c>
    </row>
    <row r="1091" spans="1:21" x14ac:dyDescent="0.3">
      <c r="A1091">
        <v>1090</v>
      </c>
      <c r="B1091">
        <v>45</v>
      </c>
      <c r="C1091" t="s">
        <v>16</v>
      </c>
      <c r="D1091">
        <v>30.1</v>
      </c>
      <c r="E1091">
        <v>83</v>
      </c>
      <c r="F1091" t="s">
        <v>11</v>
      </c>
      <c r="G1091">
        <v>0</v>
      </c>
      <c r="H1091" t="s">
        <v>12</v>
      </c>
      <c r="I1091" t="s">
        <v>17</v>
      </c>
      <c r="J1091">
        <v>21344.85</v>
      </c>
      <c r="K1091" t="str">
        <f t="shared" ref="K1091:K1154" si="170">IF(D1091&lt;20, "&lt;20", IF(D1091&lt;25, "20-25", IF(D1091&lt;30, "25-30", IF(D1091&lt;35, "30-35", "35+"))))</f>
        <v>30-35</v>
      </c>
      <c r="L1091">
        <f t="shared" ref="L1091:L1154" si="171">D1091*Q1091</f>
        <v>0</v>
      </c>
      <c r="M1091">
        <f t="shared" ref="M1091:M1154" si="172">IF(I1091="southeast", 1, 0)</f>
        <v>0</v>
      </c>
      <c r="N1091">
        <f t="shared" ref="N1091:N1154" si="173">IF(I1091="southwest", 1, 0)</f>
        <v>0</v>
      </c>
      <c r="O1091">
        <f t="shared" ref="O1091:O1154" si="174">IF(I1091="northwest", 1, 0)</f>
        <v>0</v>
      </c>
      <c r="P1091">
        <v>0.14556114019787214</v>
      </c>
      <c r="Q1091">
        <f t="shared" ref="Q1091:Q1154" si="175">IF(H1091="Yes", 1, 0)</f>
        <v>0</v>
      </c>
      <c r="R1091">
        <f t="shared" ref="R1091:R1154" si="176">IF(F1091="yes", 1, 0)</f>
        <v>1</v>
      </c>
      <c r="S1091">
        <f t="shared" ref="S1091:S1154" si="177">IF(C1091="female", 1, 0)</f>
        <v>1</v>
      </c>
      <c r="T1091">
        <f t="shared" ref="T1091:T1154" si="178">-7277.71 + (-1.28*B1091) + (85.5*D1091) + (738.24*G1091) + (159.59*E1091) + (1259.19*L1091) + (-3644.73*M1091) + (-2956.11*N1091) + (-2948.04*O1091) + (-17828.85*Q1091) + (-69.06*R1091) + (444.95*S1091)</f>
        <v>8860.1000000000022</v>
      </c>
      <c r="U1091">
        <f t="shared" ref="U1091:U1154" si="179">J1091-T1091</f>
        <v>12484.749999999996</v>
      </c>
    </row>
    <row r="1092" spans="1:21" x14ac:dyDescent="0.3">
      <c r="A1092">
        <v>1091</v>
      </c>
      <c r="B1092">
        <v>54</v>
      </c>
      <c r="C1092" t="s">
        <v>16</v>
      </c>
      <c r="D1092">
        <v>26.6</v>
      </c>
      <c r="E1092">
        <v>99</v>
      </c>
      <c r="F1092" t="s">
        <v>12</v>
      </c>
      <c r="G1092">
        <v>0</v>
      </c>
      <c r="H1092" t="s">
        <v>11</v>
      </c>
      <c r="I1092" t="s">
        <v>14</v>
      </c>
      <c r="J1092">
        <v>21348.71</v>
      </c>
      <c r="K1092" t="str">
        <f t="shared" si="170"/>
        <v>25-30</v>
      </c>
      <c r="L1092">
        <f t="shared" si="171"/>
        <v>26.6</v>
      </c>
      <c r="M1092">
        <f t="shared" si="172"/>
        <v>0</v>
      </c>
      <c r="N1092">
        <f t="shared" si="173"/>
        <v>0</v>
      </c>
      <c r="O1092">
        <f t="shared" si="174"/>
        <v>1</v>
      </c>
      <c r="P1092">
        <v>0.50372753708967122</v>
      </c>
      <c r="Q1092">
        <f t="shared" si="175"/>
        <v>1</v>
      </c>
      <c r="R1092">
        <f t="shared" si="176"/>
        <v>0</v>
      </c>
      <c r="S1092">
        <f t="shared" si="177"/>
        <v>1</v>
      </c>
      <c r="T1092">
        <f t="shared" si="178"/>
        <v>23889.394000000004</v>
      </c>
      <c r="U1092">
        <f t="shared" si="179"/>
        <v>-2540.6840000000047</v>
      </c>
    </row>
    <row r="1093" spans="1:21" x14ac:dyDescent="0.3">
      <c r="A1093">
        <v>1092</v>
      </c>
      <c r="B1093">
        <v>22</v>
      </c>
      <c r="C1093" t="s">
        <v>10</v>
      </c>
      <c r="D1093">
        <v>28.1</v>
      </c>
      <c r="E1093">
        <v>95</v>
      </c>
      <c r="F1093" t="s">
        <v>11</v>
      </c>
      <c r="G1093">
        <v>4</v>
      </c>
      <c r="H1093" t="s">
        <v>11</v>
      </c>
      <c r="I1093" t="s">
        <v>14</v>
      </c>
      <c r="J1093">
        <v>21472.48</v>
      </c>
      <c r="K1093" t="str">
        <f t="shared" si="170"/>
        <v>25-30</v>
      </c>
      <c r="L1093">
        <f t="shared" si="171"/>
        <v>28.1</v>
      </c>
      <c r="M1093">
        <f t="shared" si="172"/>
        <v>0</v>
      </c>
      <c r="N1093">
        <f t="shared" si="173"/>
        <v>0</v>
      </c>
      <c r="O1093">
        <f t="shared" si="174"/>
        <v>1</v>
      </c>
      <c r="P1093">
        <v>0.22749691538040795</v>
      </c>
      <c r="Q1093">
        <f t="shared" si="175"/>
        <v>1</v>
      </c>
      <c r="R1093">
        <f t="shared" si="176"/>
        <v>1</v>
      </c>
      <c r="S1093">
        <f t="shared" si="177"/>
        <v>0</v>
      </c>
      <c r="T1093">
        <f t="shared" si="178"/>
        <v>27747.979000000003</v>
      </c>
      <c r="U1093">
        <f t="shared" si="179"/>
        <v>-6275.4990000000034</v>
      </c>
    </row>
    <row r="1094" spans="1:21" x14ac:dyDescent="0.3">
      <c r="A1094">
        <v>1093</v>
      </c>
      <c r="B1094">
        <v>50</v>
      </c>
      <c r="C1094" t="s">
        <v>10</v>
      </c>
      <c r="D1094">
        <v>18.7</v>
      </c>
      <c r="E1094">
        <v>89</v>
      </c>
      <c r="F1094" t="s">
        <v>12</v>
      </c>
      <c r="G1094">
        <v>0</v>
      </c>
      <c r="H1094" t="s">
        <v>12</v>
      </c>
      <c r="I1094" t="s">
        <v>14</v>
      </c>
      <c r="J1094">
        <v>21595.38</v>
      </c>
      <c r="K1094" t="str">
        <f t="shared" si="170"/>
        <v>&lt;20</v>
      </c>
      <c r="L1094">
        <f t="shared" si="171"/>
        <v>0</v>
      </c>
      <c r="M1094">
        <f t="shared" si="172"/>
        <v>0</v>
      </c>
      <c r="N1094">
        <f t="shared" si="173"/>
        <v>0</v>
      </c>
      <c r="O1094">
        <f t="shared" si="174"/>
        <v>1</v>
      </c>
      <c r="P1094">
        <v>0.14677266855160753</v>
      </c>
      <c r="Q1094">
        <f t="shared" si="175"/>
        <v>0</v>
      </c>
      <c r="R1094">
        <f t="shared" si="176"/>
        <v>0</v>
      </c>
      <c r="S1094">
        <f t="shared" si="177"/>
        <v>0</v>
      </c>
      <c r="T1094">
        <f t="shared" si="178"/>
        <v>5512.61</v>
      </c>
      <c r="U1094">
        <f t="shared" si="179"/>
        <v>16082.77</v>
      </c>
    </row>
    <row r="1095" spans="1:21" x14ac:dyDescent="0.3">
      <c r="A1095">
        <v>1094</v>
      </c>
      <c r="B1095">
        <v>59</v>
      </c>
      <c r="C1095" t="s">
        <v>16</v>
      </c>
      <c r="D1095">
        <v>24.9</v>
      </c>
      <c r="E1095">
        <v>108</v>
      </c>
      <c r="F1095" t="s">
        <v>12</v>
      </c>
      <c r="G1095">
        <v>3</v>
      </c>
      <c r="H1095" t="s">
        <v>11</v>
      </c>
      <c r="I1095" t="s">
        <v>17</v>
      </c>
      <c r="J1095">
        <v>21659.93</v>
      </c>
      <c r="K1095" t="str">
        <f t="shared" si="170"/>
        <v>20-25</v>
      </c>
      <c r="L1095">
        <f t="shared" si="171"/>
        <v>24.9</v>
      </c>
      <c r="M1095">
        <f t="shared" si="172"/>
        <v>0</v>
      </c>
      <c r="N1095">
        <f t="shared" si="173"/>
        <v>0</v>
      </c>
      <c r="O1095">
        <f t="shared" si="174"/>
        <v>0</v>
      </c>
      <c r="P1095">
        <v>0.51290065352438818</v>
      </c>
      <c r="Q1095">
        <f t="shared" si="175"/>
        <v>1</v>
      </c>
      <c r="R1095">
        <f t="shared" si="176"/>
        <v>0</v>
      </c>
      <c r="S1095">
        <f t="shared" si="177"/>
        <v>1</v>
      </c>
      <c r="T1095">
        <f t="shared" si="178"/>
        <v>28196.090999999997</v>
      </c>
      <c r="U1095">
        <f t="shared" si="179"/>
        <v>-6536.1609999999964</v>
      </c>
    </row>
    <row r="1096" spans="1:21" x14ac:dyDescent="0.3">
      <c r="A1096">
        <v>1095</v>
      </c>
      <c r="B1096">
        <v>26</v>
      </c>
      <c r="C1096" t="s">
        <v>16</v>
      </c>
      <c r="D1096">
        <v>23.7</v>
      </c>
      <c r="E1096">
        <v>94</v>
      </c>
      <c r="F1096" t="s">
        <v>11</v>
      </c>
      <c r="G1096">
        <v>1</v>
      </c>
      <c r="H1096" t="s">
        <v>11</v>
      </c>
      <c r="I1096" t="s">
        <v>14</v>
      </c>
      <c r="J1096">
        <v>21677.279999999999</v>
      </c>
      <c r="K1096" t="str">
        <f t="shared" si="170"/>
        <v>20-25</v>
      </c>
      <c r="L1096">
        <f t="shared" si="171"/>
        <v>23.7</v>
      </c>
      <c r="M1096">
        <f t="shared" si="172"/>
        <v>0</v>
      </c>
      <c r="N1096">
        <f t="shared" si="173"/>
        <v>0</v>
      </c>
      <c r="O1096">
        <f t="shared" si="174"/>
        <v>1</v>
      </c>
      <c r="P1096">
        <v>9.5047778400137117E-2</v>
      </c>
      <c r="Q1096">
        <f t="shared" si="175"/>
        <v>1</v>
      </c>
      <c r="R1096">
        <f t="shared" si="176"/>
        <v>1</v>
      </c>
      <c r="S1096">
        <f t="shared" si="177"/>
        <v>1</v>
      </c>
      <c r="T1096">
        <f t="shared" si="178"/>
        <v>19896.862999999998</v>
      </c>
      <c r="U1096">
        <f t="shared" si="179"/>
        <v>1780.4170000000013</v>
      </c>
    </row>
    <row r="1097" spans="1:21" x14ac:dyDescent="0.3">
      <c r="A1097">
        <v>1096</v>
      </c>
      <c r="B1097">
        <v>38</v>
      </c>
      <c r="C1097" t="s">
        <v>16</v>
      </c>
      <c r="D1097">
        <v>25.3</v>
      </c>
      <c r="E1097">
        <v>104</v>
      </c>
      <c r="F1097" t="s">
        <v>11</v>
      </c>
      <c r="G1097">
        <v>1</v>
      </c>
      <c r="H1097" t="s">
        <v>11</v>
      </c>
      <c r="I1097" t="s">
        <v>17</v>
      </c>
      <c r="J1097">
        <v>21771.34</v>
      </c>
      <c r="K1097" t="str">
        <f t="shared" si="170"/>
        <v>25-30</v>
      </c>
      <c r="L1097">
        <f t="shared" si="171"/>
        <v>25.3</v>
      </c>
      <c r="M1097">
        <f t="shared" si="172"/>
        <v>0</v>
      </c>
      <c r="N1097">
        <f t="shared" si="173"/>
        <v>0</v>
      </c>
      <c r="O1097">
        <f t="shared" si="174"/>
        <v>0</v>
      </c>
      <c r="P1097">
        <v>0.15703099883183713</v>
      </c>
      <c r="Q1097">
        <f t="shared" si="175"/>
        <v>1</v>
      </c>
      <c r="R1097">
        <f t="shared" si="176"/>
        <v>1</v>
      </c>
      <c r="S1097">
        <f t="shared" si="177"/>
        <v>1</v>
      </c>
      <c r="T1097">
        <f t="shared" si="178"/>
        <v>26576.947</v>
      </c>
      <c r="U1097">
        <f t="shared" si="179"/>
        <v>-4805.607</v>
      </c>
    </row>
    <row r="1098" spans="1:21" x14ac:dyDescent="0.3">
      <c r="A1098">
        <v>1097</v>
      </c>
      <c r="B1098">
        <v>34</v>
      </c>
      <c r="C1098" t="s">
        <v>16</v>
      </c>
      <c r="D1098">
        <v>26.9</v>
      </c>
      <c r="E1098">
        <v>105</v>
      </c>
      <c r="F1098" t="s">
        <v>12</v>
      </c>
      <c r="G1098">
        <v>0</v>
      </c>
      <c r="H1098" t="s">
        <v>11</v>
      </c>
      <c r="I1098" t="s">
        <v>14</v>
      </c>
      <c r="J1098">
        <v>21774.32</v>
      </c>
      <c r="K1098" t="str">
        <f t="shared" si="170"/>
        <v>25-30</v>
      </c>
      <c r="L1098">
        <f t="shared" si="171"/>
        <v>26.9</v>
      </c>
      <c r="M1098">
        <f t="shared" si="172"/>
        <v>0</v>
      </c>
      <c r="N1098">
        <f t="shared" si="173"/>
        <v>0</v>
      </c>
      <c r="O1098">
        <f t="shared" si="174"/>
        <v>1</v>
      </c>
      <c r="P1098">
        <v>0.67809434851565986</v>
      </c>
      <c r="Q1098">
        <f t="shared" si="175"/>
        <v>1</v>
      </c>
      <c r="R1098">
        <f t="shared" si="176"/>
        <v>0</v>
      </c>
      <c r="S1098">
        <f t="shared" si="177"/>
        <v>1</v>
      </c>
      <c r="T1098">
        <f t="shared" si="178"/>
        <v>25275.941000000003</v>
      </c>
      <c r="U1098">
        <f t="shared" si="179"/>
        <v>-3501.6210000000028</v>
      </c>
    </row>
    <row r="1099" spans="1:21" x14ac:dyDescent="0.3">
      <c r="A1099">
        <v>1098</v>
      </c>
      <c r="B1099">
        <v>39</v>
      </c>
      <c r="C1099" t="s">
        <v>10</v>
      </c>
      <c r="D1099">
        <v>37.4</v>
      </c>
      <c r="E1099">
        <v>99</v>
      </c>
      <c r="F1099" t="s">
        <v>11</v>
      </c>
      <c r="G1099">
        <v>0</v>
      </c>
      <c r="H1099" t="s">
        <v>12</v>
      </c>
      <c r="I1099" t="s">
        <v>15</v>
      </c>
      <c r="J1099">
        <v>21797</v>
      </c>
      <c r="K1099" t="str">
        <f t="shared" si="170"/>
        <v>35+</v>
      </c>
      <c r="L1099">
        <f t="shared" si="171"/>
        <v>0</v>
      </c>
      <c r="M1099">
        <f t="shared" si="172"/>
        <v>0</v>
      </c>
      <c r="N1099">
        <f t="shared" si="173"/>
        <v>1</v>
      </c>
      <c r="O1099">
        <f t="shared" si="174"/>
        <v>0</v>
      </c>
      <c r="P1099">
        <v>0.82021287557938805</v>
      </c>
      <c r="Q1099">
        <f t="shared" si="175"/>
        <v>0</v>
      </c>
      <c r="R1099">
        <f t="shared" si="176"/>
        <v>1</v>
      </c>
      <c r="S1099">
        <f t="shared" si="177"/>
        <v>0</v>
      </c>
      <c r="T1099">
        <f t="shared" si="178"/>
        <v>8644.31</v>
      </c>
      <c r="U1099">
        <f t="shared" si="179"/>
        <v>13152.69</v>
      </c>
    </row>
    <row r="1100" spans="1:21" x14ac:dyDescent="0.3">
      <c r="A1100">
        <v>1099</v>
      </c>
      <c r="B1100">
        <v>58</v>
      </c>
      <c r="C1100" t="s">
        <v>16</v>
      </c>
      <c r="D1100">
        <v>24.7</v>
      </c>
      <c r="E1100">
        <v>82</v>
      </c>
      <c r="F1100" t="s">
        <v>12</v>
      </c>
      <c r="G1100">
        <v>2</v>
      </c>
      <c r="H1100" t="s">
        <v>11</v>
      </c>
      <c r="I1100" t="s">
        <v>14</v>
      </c>
      <c r="J1100">
        <v>21880.82</v>
      </c>
      <c r="K1100" t="str">
        <f t="shared" si="170"/>
        <v>20-25</v>
      </c>
      <c r="L1100">
        <f t="shared" si="171"/>
        <v>24.7</v>
      </c>
      <c r="M1100">
        <f t="shared" si="172"/>
        <v>0</v>
      </c>
      <c r="N1100">
        <f t="shared" si="173"/>
        <v>0</v>
      </c>
      <c r="O1100">
        <f t="shared" si="174"/>
        <v>1</v>
      </c>
      <c r="P1100">
        <v>0.31912301106968632</v>
      </c>
      <c r="Q1100">
        <f t="shared" si="175"/>
        <v>1</v>
      </c>
      <c r="R1100">
        <f t="shared" si="176"/>
        <v>0</v>
      </c>
      <c r="S1100">
        <f t="shared" si="177"/>
        <v>1</v>
      </c>
      <c r="T1100">
        <f t="shared" si="178"/>
        <v>20092.813000000006</v>
      </c>
      <c r="U1100">
        <f t="shared" si="179"/>
        <v>1788.0069999999942</v>
      </c>
    </row>
    <row r="1101" spans="1:21" x14ac:dyDescent="0.3">
      <c r="A1101">
        <v>1100</v>
      </c>
      <c r="B1101">
        <v>48</v>
      </c>
      <c r="C1101" t="s">
        <v>10</v>
      </c>
      <c r="D1101">
        <v>25.4</v>
      </c>
      <c r="E1101">
        <v>99</v>
      </c>
      <c r="F1101" t="s">
        <v>12</v>
      </c>
      <c r="G1101">
        <v>1</v>
      </c>
      <c r="H1101" t="s">
        <v>11</v>
      </c>
      <c r="I1101" t="s">
        <v>13</v>
      </c>
      <c r="J1101">
        <v>21978.68</v>
      </c>
      <c r="K1101" t="str">
        <f t="shared" si="170"/>
        <v>25-30</v>
      </c>
      <c r="L1101">
        <f t="shared" si="171"/>
        <v>25.4</v>
      </c>
      <c r="M1101">
        <f t="shared" si="172"/>
        <v>1</v>
      </c>
      <c r="N1101">
        <f t="shared" si="173"/>
        <v>0</v>
      </c>
      <c r="O1101">
        <f t="shared" si="174"/>
        <v>0</v>
      </c>
      <c r="P1101">
        <v>0.82766521997873654</v>
      </c>
      <c r="Q1101">
        <f t="shared" si="175"/>
        <v>1</v>
      </c>
      <c r="R1101">
        <f t="shared" si="176"/>
        <v>0</v>
      </c>
      <c r="S1101">
        <f t="shared" si="177"/>
        <v>0</v>
      </c>
      <c r="T1101">
        <f t="shared" si="178"/>
        <v>21880.046000000002</v>
      </c>
      <c r="U1101">
        <f t="shared" si="179"/>
        <v>98.633999999998196</v>
      </c>
    </row>
    <row r="1102" spans="1:21" x14ac:dyDescent="0.3">
      <c r="A1102">
        <v>1101</v>
      </c>
      <c r="B1102">
        <v>34</v>
      </c>
      <c r="C1102" t="s">
        <v>10</v>
      </c>
      <c r="D1102">
        <v>22.7</v>
      </c>
      <c r="E1102">
        <v>107</v>
      </c>
      <c r="F1102" t="s">
        <v>11</v>
      </c>
      <c r="G1102">
        <v>0</v>
      </c>
      <c r="H1102" t="s">
        <v>12</v>
      </c>
      <c r="I1102" t="s">
        <v>14</v>
      </c>
      <c r="J1102">
        <v>21984.47</v>
      </c>
      <c r="K1102" t="str">
        <f t="shared" si="170"/>
        <v>20-25</v>
      </c>
      <c r="L1102">
        <f t="shared" si="171"/>
        <v>0</v>
      </c>
      <c r="M1102">
        <f t="shared" si="172"/>
        <v>0</v>
      </c>
      <c r="N1102">
        <f t="shared" si="173"/>
        <v>0</v>
      </c>
      <c r="O1102">
        <f t="shared" si="174"/>
        <v>1</v>
      </c>
      <c r="P1102">
        <v>9.3832151134591535E-2</v>
      </c>
      <c r="Q1102">
        <f t="shared" si="175"/>
        <v>0</v>
      </c>
      <c r="R1102">
        <f t="shared" si="176"/>
        <v>1</v>
      </c>
      <c r="S1102">
        <f t="shared" si="177"/>
        <v>0</v>
      </c>
      <c r="T1102">
        <f t="shared" si="178"/>
        <v>8678.65</v>
      </c>
      <c r="U1102">
        <f t="shared" si="179"/>
        <v>13305.820000000002</v>
      </c>
    </row>
    <row r="1103" spans="1:21" x14ac:dyDescent="0.3">
      <c r="A1103">
        <v>1102</v>
      </c>
      <c r="B1103">
        <v>40</v>
      </c>
      <c r="C1103" t="s">
        <v>10</v>
      </c>
      <c r="D1103">
        <v>30</v>
      </c>
      <c r="E1103">
        <v>106</v>
      </c>
      <c r="F1103" t="s">
        <v>12</v>
      </c>
      <c r="G1103">
        <v>0</v>
      </c>
      <c r="H1103" t="s">
        <v>11</v>
      </c>
      <c r="I1103" t="s">
        <v>15</v>
      </c>
      <c r="J1103">
        <v>22144.03</v>
      </c>
      <c r="K1103" t="str">
        <f t="shared" si="170"/>
        <v>30-35</v>
      </c>
      <c r="L1103">
        <f t="shared" si="171"/>
        <v>30</v>
      </c>
      <c r="M1103">
        <f t="shared" si="172"/>
        <v>0</v>
      </c>
      <c r="N1103">
        <f t="shared" si="173"/>
        <v>1</v>
      </c>
      <c r="O1103">
        <f t="shared" si="174"/>
        <v>0</v>
      </c>
      <c r="P1103">
        <v>0.49287007564399976</v>
      </c>
      <c r="Q1103">
        <f t="shared" si="175"/>
        <v>1</v>
      </c>
      <c r="R1103">
        <f t="shared" si="176"/>
        <v>0</v>
      </c>
      <c r="S1103">
        <f t="shared" si="177"/>
        <v>0</v>
      </c>
      <c r="T1103">
        <f t="shared" si="178"/>
        <v>29143.370000000003</v>
      </c>
      <c r="U1103">
        <f t="shared" si="179"/>
        <v>-6999.3400000000038</v>
      </c>
    </row>
    <row r="1104" spans="1:21" x14ac:dyDescent="0.3">
      <c r="A1104">
        <v>1103</v>
      </c>
      <c r="B1104">
        <v>40</v>
      </c>
      <c r="C1104" t="s">
        <v>16</v>
      </c>
      <c r="D1104">
        <v>24</v>
      </c>
      <c r="E1104">
        <v>87</v>
      </c>
      <c r="F1104" t="s">
        <v>11</v>
      </c>
      <c r="G1104">
        <v>1</v>
      </c>
      <c r="H1104" t="s">
        <v>12</v>
      </c>
      <c r="I1104" t="s">
        <v>13</v>
      </c>
      <c r="J1104">
        <v>22192.44</v>
      </c>
      <c r="K1104" t="str">
        <f t="shared" si="170"/>
        <v>20-25</v>
      </c>
      <c r="L1104">
        <f t="shared" si="171"/>
        <v>0</v>
      </c>
      <c r="M1104">
        <f t="shared" si="172"/>
        <v>1</v>
      </c>
      <c r="N1104">
        <f t="shared" si="173"/>
        <v>0</v>
      </c>
      <c r="O1104">
        <f t="shared" si="174"/>
        <v>0</v>
      </c>
      <c r="P1104">
        <v>0.63882147740529582</v>
      </c>
      <c r="Q1104">
        <f t="shared" si="175"/>
        <v>0</v>
      </c>
      <c r="R1104">
        <f t="shared" si="176"/>
        <v>1</v>
      </c>
      <c r="S1104">
        <f t="shared" si="177"/>
        <v>1</v>
      </c>
      <c r="T1104">
        <f t="shared" si="178"/>
        <v>6076.82</v>
      </c>
      <c r="U1104">
        <f t="shared" si="179"/>
        <v>16115.619999999999</v>
      </c>
    </row>
    <row r="1105" spans="1:21" x14ac:dyDescent="0.3">
      <c r="A1105">
        <v>1104</v>
      </c>
      <c r="B1105">
        <v>36</v>
      </c>
      <c r="C1105" t="s">
        <v>10</v>
      </c>
      <c r="D1105">
        <v>23.2</v>
      </c>
      <c r="E1105">
        <v>80</v>
      </c>
      <c r="F1105" t="s">
        <v>11</v>
      </c>
      <c r="G1105">
        <v>1</v>
      </c>
      <c r="H1105" t="s">
        <v>11</v>
      </c>
      <c r="I1105" t="s">
        <v>13</v>
      </c>
      <c r="J1105">
        <v>22218.11</v>
      </c>
      <c r="K1105" t="str">
        <f t="shared" si="170"/>
        <v>20-25</v>
      </c>
      <c r="L1105">
        <f t="shared" si="171"/>
        <v>23.2</v>
      </c>
      <c r="M1105">
        <f t="shared" si="172"/>
        <v>1</v>
      </c>
      <c r="N1105">
        <f t="shared" si="173"/>
        <v>0</v>
      </c>
      <c r="O1105">
        <f t="shared" si="174"/>
        <v>0</v>
      </c>
      <c r="P1105">
        <v>0.55930195887437772</v>
      </c>
      <c r="Q1105">
        <f t="shared" si="175"/>
        <v>1</v>
      </c>
      <c r="R1105">
        <f t="shared" si="176"/>
        <v>1</v>
      </c>
      <c r="S1105">
        <f t="shared" si="177"/>
        <v>0</v>
      </c>
      <c r="T1105">
        <f t="shared" si="178"/>
        <v>15835.817999999997</v>
      </c>
      <c r="U1105">
        <f t="shared" si="179"/>
        <v>6382.2920000000031</v>
      </c>
    </row>
    <row r="1106" spans="1:21" x14ac:dyDescent="0.3">
      <c r="A1106">
        <v>1105</v>
      </c>
      <c r="B1106">
        <v>60</v>
      </c>
      <c r="C1106" t="s">
        <v>16</v>
      </c>
      <c r="D1106">
        <v>28.1</v>
      </c>
      <c r="E1106">
        <v>84</v>
      </c>
      <c r="F1106" t="s">
        <v>12</v>
      </c>
      <c r="G1106">
        <v>1</v>
      </c>
      <c r="H1106" t="s">
        <v>11</v>
      </c>
      <c r="I1106" t="s">
        <v>17</v>
      </c>
      <c r="J1106">
        <v>22331.57</v>
      </c>
      <c r="K1106" t="str">
        <f t="shared" si="170"/>
        <v>25-30</v>
      </c>
      <c r="L1106">
        <f t="shared" si="171"/>
        <v>28.1</v>
      </c>
      <c r="M1106">
        <f t="shared" si="172"/>
        <v>0</v>
      </c>
      <c r="N1106">
        <f t="shared" si="173"/>
        <v>0</v>
      </c>
      <c r="O1106">
        <f t="shared" si="174"/>
        <v>0</v>
      </c>
      <c r="P1106">
        <v>0.60966586962691294</v>
      </c>
      <c r="Q1106">
        <f t="shared" si="175"/>
        <v>1</v>
      </c>
      <c r="R1106">
        <f t="shared" si="176"/>
        <v>0</v>
      </c>
      <c r="S1106">
        <f t="shared" si="177"/>
        <v>1</v>
      </c>
      <c r="T1106">
        <f t="shared" si="178"/>
        <v>27191.179</v>
      </c>
      <c r="U1106">
        <f t="shared" si="179"/>
        <v>-4859.6090000000004</v>
      </c>
    </row>
    <row r="1107" spans="1:21" x14ac:dyDescent="0.3">
      <c r="A1107">
        <v>1106</v>
      </c>
      <c r="B1107">
        <v>45</v>
      </c>
      <c r="C1107" t="s">
        <v>16</v>
      </c>
      <c r="D1107">
        <v>24.2</v>
      </c>
      <c r="E1107">
        <v>103</v>
      </c>
      <c r="F1107" t="s">
        <v>12</v>
      </c>
      <c r="G1107">
        <v>2</v>
      </c>
      <c r="H1107" t="s">
        <v>12</v>
      </c>
      <c r="I1107" t="s">
        <v>17</v>
      </c>
      <c r="J1107">
        <v>22395.74</v>
      </c>
      <c r="K1107" t="str">
        <f t="shared" si="170"/>
        <v>20-25</v>
      </c>
      <c r="L1107">
        <f t="shared" si="171"/>
        <v>0</v>
      </c>
      <c r="M1107">
        <f t="shared" si="172"/>
        <v>0</v>
      </c>
      <c r="N1107">
        <f t="shared" si="173"/>
        <v>0</v>
      </c>
      <c r="O1107">
        <f t="shared" si="174"/>
        <v>0</v>
      </c>
      <c r="P1107">
        <v>0.85254287266095707</v>
      </c>
      <c r="Q1107">
        <f t="shared" si="175"/>
        <v>0</v>
      </c>
      <c r="R1107">
        <f t="shared" si="176"/>
        <v>0</v>
      </c>
      <c r="S1107">
        <f t="shared" si="177"/>
        <v>1</v>
      </c>
      <c r="T1107">
        <f t="shared" si="178"/>
        <v>13092.99</v>
      </c>
      <c r="U1107">
        <f t="shared" si="179"/>
        <v>9302.7500000000018</v>
      </c>
    </row>
    <row r="1108" spans="1:21" x14ac:dyDescent="0.3">
      <c r="A1108">
        <v>1107</v>
      </c>
      <c r="B1108">
        <v>40</v>
      </c>
      <c r="C1108" t="s">
        <v>10</v>
      </c>
      <c r="D1108">
        <v>20</v>
      </c>
      <c r="E1108">
        <v>110</v>
      </c>
      <c r="F1108" t="s">
        <v>11</v>
      </c>
      <c r="G1108">
        <v>0</v>
      </c>
      <c r="H1108" t="s">
        <v>11</v>
      </c>
      <c r="I1108" t="s">
        <v>17</v>
      </c>
      <c r="J1108">
        <v>22412.65</v>
      </c>
      <c r="K1108" t="str">
        <f t="shared" si="170"/>
        <v>20-25</v>
      </c>
      <c r="L1108">
        <f t="shared" si="171"/>
        <v>20</v>
      </c>
      <c r="M1108">
        <f t="shared" si="172"/>
        <v>0</v>
      </c>
      <c r="N1108">
        <f t="shared" si="173"/>
        <v>0</v>
      </c>
      <c r="O1108">
        <f t="shared" si="174"/>
        <v>0</v>
      </c>
      <c r="P1108">
        <v>0.12183995911614476</v>
      </c>
      <c r="Q1108">
        <f t="shared" si="175"/>
        <v>1</v>
      </c>
      <c r="R1108">
        <f t="shared" si="176"/>
        <v>1</v>
      </c>
      <c r="S1108">
        <f t="shared" si="177"/>
        <v>0</v>
      </c>
      <c r="T1108">
        <f t="shared" si="178"/>
        <v>19221.880000000008</v>
      </c>
      <c r="U1108">
        <f t="shared" si="179"/>
        <v>3190.7699999999932</v>
      </c>
    </row>
    <row r="1109" spans="1:21" x14ac:dyDescent="0.3">
      <c r="A1109">
        <v>1108</v>
      </c>
      <c r="B1109">
        <v>32</v>
      </c>
      <c r="C1109" t="s">
        <v>10</v>
      </c>
      <c r="D1109">
        <v>29.9</v>
      </c>
      <c r="E1109">
        <v>85</v>
      </c>
      <c r="F1109" t="s">
        <v>11</v>
      </c>
      <c r="G1109">
        <v>1</v>
      </c>
      <c r="H1109" t="s">
        <v>11</v>
      </c>
      <c r="I1109" t="s">
        <v>17</v>
      </c>
      <c r="J1109">
        <v>22462.04</v>
      </c>
      <c r="K1109" t="str">
        <f t="shared" si="170"/>
        <v>25-30</v>
      </c>
      <c r="L1109">
        <f t="shared" si="171"/>
        <v>29.9</v>
      </c>
      <c r="M1109">
        <f t="shared" si="172"/>
        <v>0</v>
      </c>
      <c r="N1109">
        <f t="shared" si="173"/>
        <v>0</v>
      </c>
      <c r="O1109">
        <f t="shared" si="174"/>
        <v>0</v>
      </c>
      <c r="P1109">
        <v>0.4448236776325728</v>
      </c>
      <c r="Q1109">
        <f t="shared" si="175"/>
        <v>1</v>
      </c>
      <c r="R1109">
        <f t="shared" si="176"/>
        <v>1</v>
      </c>
      <c r="S1109">
        <f t="shared" si="177"/>
        <v>0</v>
      </c>
      <c r="T1109">
        <f t="shared" si="178"/>
        <v>29293.041000000001</v>
      </c>
      <c r="U1109">
        <f t="shared" si="179"/>
        <v>-6831.0010000000002</v>
      </c>
    </row>
    <row r="1110" spans="1:21" x14ac:dyDescent="0.3">
      <c r="A1110">
        <v>1109</v>
      </c>
      <c r="B1110">
        <v>49</v>
      </c>
      <c r="C1110" t="s">
        <v>16</v>
      </c>
      <c r="D1110">
        <v>26.7</v>
      </c>
      <c r="E1110">
        <v>88</v>
      </c>
      <c r="F1110" t="s">
        <v>12</v>
      </c>
      <c r="G1110">
        <v>2</v>
      </c>
      <c r="H1110" t="s">
        <v>11</v>
      </c>
      <c r="I1110" t="s">
        <v>15</v>
      </c>
      <c r="J1110">
        <v>22478.6</v>
      </c>
      <c r="K1110" t="str">
        <f t="shared" si="170"/>
        <v>25-30</v>
      </c>
      <c r="L1110">
        <f t="shared" si="171"/>
        <v>26.7</v>
      </c>
      <c r="M1110">
        <f t="shared" si="172"/>
        <v>0</v>
      </c>
      <c r="N1110">
        <f t="shared" si="173"/>
        <v>1</v>
      </c>
      <c r="O1110">
        <f t="shared" si="174"/>
        <v>0</v>
      </c>
      <c r="P1110">
        <v>0.66354559148295811</v>
      </c>
      <c r="Q1110">
        <f t="shared" si="175"/>
        <v>1</v>
      </c>
      <c r="R1110">
        <f t="shared" si="176"/>
        <v>0</v>
      </c>
      <c r="S1110">
        <f t="shared" si="177"/>
        <v>1</v>
      </c>
      <c r="T1110">
        <f t="shared" si="178"/>
        <v>23743.183000000001</v>
      </c>
      <c r="U1110">
        <f t="shared" si="179"/>
        <v>-1264.5830000000024</v>
      </c>
    </row>
    <row r="1111" spans="1:21" x14ac:dyDescent="0.3">
      <c r="A1111">
        <v>1110</v>
      </c>
      <c r="B1111">
        <v>32</v>
      </c>
      <c r="C1111" t="s">
        <v>10</v>
      </c>
      <c r="D1111">
        <v>27.3</v>
      </c>
      <c r="E1111">
        <v>94</v>
      </c>
      <c r="F1111" t="s">
        <v>12</v>
      </c>
      <c r="G1111">
        <v>2</v>
      </c>
      <c r="H1111" t="s">
        <v>12</v>
      </c>
      <c r="I1111" t="s">
        <v>14</v>
      </c>
      <c r="J1111">
        <v>22493.66</v>
      </c>
      <c r="K1111" t="str">
        <f t="shared" si="170"/>
        <v>25-30</v>
      </c>
      <c r="L1111">
        <f t="shared" si="171"/>
        <v>0</v>
      </c>
      <c r="M1111">
        <f t="shared" si="172"/>
        <v>0</v>
      </c>
      <c r="N1111">
        <f t="shared" si="173"/>
        <v>0</v>
      </c>
      <c r="O1111">
        <f t="shared" si="174"/>
        <v>1</v>
      </c>
      <c r="P1111">
        <v>0.61038498917384854</v>
      </c>
      <c r="Q1111">
        <f t="shared" si="175"/>
        <v>0</v>
      </c>
      <c r="R1111">
        <f t="shared" si="176"/>
        <v>0</v>
      </c>
      <c r="S1111">
        <f t="shared" si="177"/>
        <v>0</v>
      </c>
      <c r="T1111">
        <f t="shared" si="178"/>
        <v>8545.380000000001</v>
      </c>
      <c r="U1111">
        <f t="shared" si="179"/>
        <v>13948.279999999999</v>
      </c>
    </row>
    <row r="1112" spans="1:21" x14ac:dyDescent="0.3">
      <c r="A1112">
        <v>1111</v>
      </c>
      <c r="B1112">
        <v>57</v>
      </c>
      <c r="C1112" t="s">
        <v>16</v>
      </c>
      <c r="D1112">
        <v>30.9</v>
      </c>
      <c r="E1112">
        <v>83</v>
      </c>
      <c r="F1112" t="s">
        <v>12</v>
      </c>
      <c r="G1112">
        <v>0</v>
      </c>
      <c r="H1112" t="s">
        <v>12</v>
      </c>
      <c r="I1112" t="s">
        <v>17</v>
      </c>
      <c r="J1112">
        <v>23045.57</v>
      </c>
      <c r="K1112" t="str">
        <f t="shared" si="170"/>
        <v>30-35</v>
      </c>
      <c r="L1112">
        <f t="shared" si="171"/>
        <v>0</v>
      </c>
      <c r="M1112">
        <f t="shared" si="172"/>
        <v>0</v>
      </c>
      <c r="N1112">
        <f t="shared" si="173"/>
        <v>0</v>
      </c>
      <c r="O1112">
        <f t="shared" si="174"/>
        <v>0</v>
      </c>
      <c r="P1112">
        <v>0.82711116826526643</v>
      </c>
      <c r="Q1112">
        <f t="shared" si="175"/>
        <v>0</v>
      </c>
      <c r="R1112">
        <f t="shared" si="176"/>
        <v>0</v>
      </c>
      <c r="S1112">
        <f t="shared" si="177"/>
        <v>1</v>
      </c>
      <c r="T1112">
        <f t="shared" si="178"/>
        <v>8982.2000000000007</v>
      </c>
      <c r="U1112">
        <f t="shared" si="179"/>
        <v>14063.369999999999</v>
      </c>
    </row>
    <row r="1113" spans="1:21" x14ac:dyDescent="0.3">
      <c r="A1113">
        <v>1112</v>
      </c>
      <c r="B1113">
        <v>27</v>
      </c>
      <c r="C1113" t="s">
        <v>16</v>
      </c>
      <c r="D1113">
        <v>27.8</v>
      </c>
      <c r="E1113">
        <v>87</v>
      </c>
      <c r="F1113" t="s">
        <v>11</v>
      </c>
      <c r="G1113">
        <v>0</v>
      </c>
      <c r="H1113" t="s">
        <v>11</v>
      </c>
      <c r="I1113" t="s">
        <v>13</v>
      </c>
      <c r="J1113">
        <v>23065.42</v>
      </c>
      <c r="K1113" t="str">
        <f t="shared" si="170"/>
        <v>25-30</v>
      </c>
      <c r="L1113">
        <f t="shared" si="171"/>
        <v>27.8</v>
      </c>
      <c r="M1113">
        <f t="shared" si="172"/>
        <v>1</v>
      </c>
      <c r="N1113">
        <f t="shared" si="173"/>
        <v>0</v>
      </c>
      <c r="O1113">
        <f t="shared" si="174"/>
        <v>0</v>
      </c>
      <c r="P1113">
        <v>0.32163931061481355</v>
      </c>
      <c r="Q1113">
        <f t="shared" si="175"/>
        <v>1</v>
      </c>
      <c r="R1113">
        <f t="shared" si="176"/>
        <v>1</v>
      </c>
      <c r="S1113">
        <f t="shared" si="177"/>
        <v>1</v>
      </c>
      <c r="T1113">
        <f t="shared" si="178"/>
        <v>22856.752</v>
      </c>
      <c r="U1113">
        <f t="shared" si="179"/>
        <v>208.66799999999785</v>
      </c>
    </row>
    <row r="1114" spans="1:21" x14ac:dyDescent="0.3">
      <c r="A1114">
        <v>1113</v>
      </c>
      <c r="B1114">
        <v>22</v>
      </c>
      <c r="C1114" t="s">
        <v>10</v>
      </c>
      <c r="D1114">
        <v>33.1</v>
      </c>
      <c r="E1114">
        <v>91</v>
      </c>
      <c r="F1114" t="s">
        <v>12</v>
      </c>
      <c r="G1114">
        <v>0</v>
      </c>
      <c r="H1114" t="s">
        <v>12</v>
      </c>
      <c r="I1114" t="s">
        <v>15</v>
      </c>
      <c r="J1114">
        <v>23082.959999999999</v>
      </c>
      <c r="K1114" t="str">
        <f t="shared" si="170"/>
        <v>30-35</v>
      </c>
      <c r="L1114">
        <f t="shared" si="171"/>
        <v>0</v>
      </c>
      <c r="M1114">
        <f t="shared" si="172"/>
        <v>0</v>
      </c>
      <c r="N1114">
        <f t="shared" si="173"/>
        <v>1</v>
      </c>
      <c r="O1114">
        <f t="shared" si="174"/>
        <v>0</v>
      </c>
      <c r="P1114">
        <v>8.5252850918377865E-2</v>
      </c>
      <c r="Q1114">
        <f t="shared" si="175"/>
        <v>0</v>
      </c>
      <c r="R1114">
        <f t="shared" si="176"/>
        <v>0</v>
      </c>
      <c r="S1114">
        <f t="shared" si="177"/>
        <v>0</v>
      </c>
      <c r="T1114">
        <f t="shared" si="178"/>
        <v>7090.76</v>
      </c>
      <c r="U1114">
        <f t="shared" si="179"/>
        <v>15992.199999999999</v>
      </c>
    </row>
    <row r="1115" spans="1:21" x14ac:dyDescent="0.3">
      <c r="A1115">
        <v>1114</v>
      </c>
      <c r="B1115">
        <v>23</v>
      </c>
      <c r="C1115" t="s">
        <v>10</v>
      </c>
      <c r="D1115">
        <v>25</v>
      </c>
      <c r="E1115">
        <v>80</v>
      </c>
      <c r="F1115" t="s">
        <v>11</v>
      </c>
      <c r="G1115">
        <v>2</v>
      </c>
      <c r="H1115" t="s">
        <v>12</v>
      </c>
      <c r="I1115" t="s">
        <v>17</v>
      </c>
      <c r="J1115">
        <v>23241.47</v>
      </c>
      <c r="K1115" t="str">
        <f t="shared" si="170"/>
        <v>25-30</v>
      </c>
      <c r="L1115">
        <f t="shared" si="171"/>
        <v>0</v>
      </c>
      <c r="M1115">
        <f t="shared" si="172"/>
        <v>0</v>
      </c>
      <c r="N1115">
        <f t="shared" si="173"/>
        <v>0</v>
      </c>
      <c r="O1115">
        <f t="shared" si="174"/>
        <v>0</v>
      </c>
      <c r="P1115">
        <v>0.22337725395913322</v>
      </c>
      <c r="Q1115">
        <f t="shared" si="175"/>
        <v>0</v>
      </c>
      <c r="R1115">
        <f t="shared" si="176"/>
        <v>1</v>
      </c>
      <c r="S1115">
        <f t="shared" si="177"/>
        <v>0</v>
      </c>
      <c r="T1115">
        <f t="shared" si="178"/>
        <v>9004.9700000000012</v>
      </c>
      <c r="U1115">
        <f t="shared" si="179"/>
        <v>14236.5</v>
      </c>
    </row>
    <row r="1116" spans="1:21" x14ac:dyDescent="0.3">
      <c r="A1116">
        <v>1115</v>
      </c>
      <c r="B1116">
        <v>43</v>
      </c>
      <c r="C1116" t="s">
        <v>16</v>
      </c>
      <c r="D1116">
        <v>22.9</v>
      </c>
      <c r="E1116">
        <v>84</v>
      </c>
      <c r="F1116" t="s">
        <v>11</v>
      </c>
      <c r="G1116">
        <v>1</v>
      </c>
      <c r="H1116" t="s">
        <v>11</v>
      </c>
      <c r="I1116" t="s">
        <v>13</v>
      </c>
      <c r="J1116">
        <v>23244.79</v>
      </c>
      <c r="K1116" t="str">
        <f t="shared" si="170"/>
        <v>20-25</v>
      </c>
      <c r="L1116">
        <f t="shared" si="171"/>
        <v>22.9</v>
      </c>
      <c r="M1116">
        <f t="shared" si="172"/>
        <v>1</v>
      </c>
      <c r="N1116">
        <f t="shared" si="173"/>
        <v>0</v>
      </c>
      <c r="O1116">
        <f t="shared" si="174"/>
        <v>0</v>
      </c>
      <c r="P1116">
        <v>0.44217227841046558</v>
      </c>
      <c r="Q1116">
        <f t="shared" si="175"/>
        <v>1</v>
      </c>
      <c r="R1116">
        <f t="shared" si="176"/>
        <v>1</v>
      </c>
      <c r="S1116">
        <f t="shared" si="177"/>
        <v>1</v>
      </c>
      <c r="T1116">
        <f t="shared" si="178"/>
        <v>16506.760999999999</v>
      </c>
      <c r="U1116">
        <f t="shared" si="179"/>
        <v>6738.0290000000023</v>
      </c>
    </row>
    <row r="1117" spans="1:21" x14ac:dyDescent="0.3">
      <c r="A1117">
        <v>1116</v>
      </c>
      <c r="B1117">
        <v>59</v>
      </c>
      <c r="C1117" t="s">
        <v>16</v>
      </c>
      <c r="D1117">
        <v>24.3</v>
      </c>
      <c r="E1117">
        <v>104</v>
      </c>
      <c r="F1117" t="s">
        <v>12</v>
      </c>
      <c r="G1117">
        <v>1</v>
      </c>
      <c r="H1117" t="s">
        <v>12</v>
      </c>
      <c r="I1117" t="s">
        <v>17</v>
      </c>
      <c r="J1117">
        <v>23288.93</v>
      </c>
      <c r="K1117" t="str">
        <f t="shared" si="170"/>
        <v>20-25</v>
      </c>
      <c r="L1117">
        <f t="shared" si="171"/>
        <v>0</v>
      </c>
      <c r="M1117">
        <f t="shared" si="172"/>
        <v>0</v>
      </c>
      <c r="N1117">
        <f t="shared" si="173"/>
        <v>0</v>
      </c>
      <c r="O1117">
        <f t="shared" si="174"/>
        <v>0</v>
      </c>
      <c r="P1117">
        <v>0.95226735365226012</v>
      </c>
      <c r="Q1117">
        <f t="shared" si="175"/>
        <v>0</v>
      </c>
      <c r="R1117">
        <f t="shared" si="176"/>
        <v>0</v>
      </c>
      <c r="S1117">
        <f t="shared" si="177"/>
        <v>1</v>
      </c>
      <c r="T1117">
        <f t="shared" si="178"/>
        <v>12504.970000000001</v>
      </c>
      <c r="U1117">
        <f t="shared" si="179"/>
        <v>10783.96</v>
      </c>
    </row>
    <row r="1118" spans="1:21" x14ac:dyDescent="0.3">
      <c r="A1118">
        <v>1117</v>
      </c>
      <c r="B1118">
        <v>42</v>
      </c>
      <c r="C1118" t="s">
        <v>10</v>
      </c>
      <c r="D1118">
        <v>25.6</v>
      </c>
      <c r="E1118">
        <v>106</v>
      </c>
      <c r="F1118" t="s">
        <v>11</v>
      </c>
      <c r="G1118">
        <v>2</v>
      </c>
      <c r="H1118" t="s">
        <v>11</v>
      </c>
      <c r="I1118" t="s">
        <v>15</v>
      </c>
      <c r="J1118">
        <v>23306.55</v>
      </c>
      <c r="K1118" t="str">
        <f t="shared" si="170"/>
        <v>25-30</v>
      </c>
      <c r="L1118">
        <f t="shared" si="171"/>
        <v>25.6</v>
      </c>
      <c r="M1118">
        <f t="shared" si="172"/>
        <v>0</v>
      </c>
      <c r="N1118">
        <f t="shared" si="173"/>
        <v>1</v>
      </c>
      <c r="O1118">
        <f t="shared" si="174"/>
        <v>0</v>
      </c>
      <c r="P1118">
        <v>0.44459381641496265</v>
      </c>
      <c r="Q1118">
        <f t="shared" si="175"/>
        <v>1</v>
      </c>
      <c r="R1118">
        <f t="shared" si="176"/>
        <v>1</v>
      </c>
      <c r="S1118">
        <f t="shared" si="177"/>
        <v>0</v>
      </c>
      <c r="T1118">
        <f t="shared" si="178"/>
        <v>24631.594000000001</v>
      </c>
      <c r="U1118">
        <f t="shared" si="179"/>
        <v>-1325.0440000000017</v>
      </c>
    </row>
    <row r="1119" spans="1:21" x14ac:dyDescent="0.3">
      <c r="A1119">
        <v>1118</v>
      </c>
      <c r="B1119">
        <v>26</v>
      </c>
      <c r="C1119" t="s">
        <v>16</v>
      </c>
      <c r="D1119">
        <v>26.1</v>
      </c>
      <c r="E1119">
        <v>99</v>
      </c>
      <c r="F1119" t="s">
        <v>11</v>
      </c>
      <c r="G1119">
        <v>1</v>
      </c>
      <c r="H1119" t="s">
        <v>11</v>
      </c>
      <c r="I1119" t="s">
        <v>17</v>
      </c>
      <c r="J1119">
        <v>23401.31</v>
      </c>
      <c r="K1119" t="str">
        <f t="shared" si="170"/>
        <v>25-30</v>
      </c>
      <c r="L1119">
        <f t="shared" si="171"/>
        <v>26.1</v>
      </c>
      <c r="M1119">
        <f t="shared" si="172"/>
        <v>0</v>
      </c>
      <c r="N1119">
        <f t="shared" si="173"/>
        <v>0</v>
      </c>
      <c r="O1119">
        <f t="shared" si="174"/>
        <v>0</v>
      </c>
      <c r="P1119">
        <v>8.8007759138761466E-2</v>
      </c>
      <c r="Q1119">
        <f t="shared" si="175"/>
        <v>1</v>
      </c>
      <c r="R1119">
        <f t="shared" si="176"/>
        <v>1</v>
      </c>
      <c r="S1119">
        <f t="shared" si="177"/>
        <v>1</v>
      </c>
      <c r="T1119">
        <f t="shared" si="178"/>
        <v>26870.109000000004</v>
      </c>
      <c r="U1119">
        <f t="shared" si="179"/>
        <v>-3468.7990000000027</v>
      </c>
    </row>
    <row r="1120" spans="1:21" x14ac:dyDescent="0.3">
      <c r="A1120">
        <v>1119</v>
      </c>
      <c r="B1120">
        <v>36</v>
      </c>
      <c r="C1120" t="s">
        <v>10</v>
      </c>
      <c r="D1120">
        <v>34.1</v>
      </c>
      <c r="E1120">
        <v>89</v>
      </c>
      <c r="F1120" t="s">
        <v>12</v>
      </c>
      <c r="G1120">
        <v>2</v>
      </c>
      <c r="H1120" t="s">
        <v>12</v>
      </c>
      <c r="I1120" t="s">
        <v>13</v>
      </c>
      <c r="J1120">
        <v>23563.02</v>
      </c>
      <c r="K1120" t="str">
        <f t="shared" si="170"/>
        <v>30-35</v>
      </c>
      <c r="L1120">
        <f t="shared" si="171"/>
        <v>0</v>
      </c>
      <c r="M1120">
        <f t="shared" si="172"/>
        <v>1</v>
      </c>
      <c r="N1120">
        <f t="shared" si="173"/>
        <v>0</v>
      </c>
      <c r="O1120">
        <f t="shared" si="174"/>
        <v>0</v>
      </c>
      <c r="P1120">
        <v>0.538338566192053</v>
      </c>
      <c r="Q1120">
        <f t="shared" si="175"/>
        <v>0</v>
      </c>
      <c r="R1120">
        <f t="shared" si="176"/>
        <v>0</v>
      </c>
      <c r="S1120">
        <f t="shared" si="177"/>
        <v>0</v>
      </c>
      <c r="T1120">
        <f t="shared" si="178"/>
        <v>7627.02</v>
      </c>
      <c r="U1120">
        <f t="shared" si="179"/>
        <v>15936</v>
      </c>
    </row>
    <row r="1121" spans="1:21" x14ac:dyDescent="0.3">
      <c r="A1121">
        <v>1120</v>
      </c>
      <c r="B1121">
        <v>44</v>
      </c>
      <c r="C1121" t="s">
        <v>10</v>
      </c>
      <c r="D1121">
        <v>28</v>
      </c>
      <c r="E1121">
        <v>93</v>
      </c>
      <c r="F1121" t="s">
        <v>12</v>
      </c>
      <c r="G1121">
        <v>1</v>
      </c>
      <c r="H1121" t="s">
        <v>11</v>
      </c>
      <c r="I1121" t="s">
        <v>15</v>
      </c>
      <c r="J1121">
        <v>23568.27</v>
      </c>
      <c r="K1121" t="str">
        <f t="shared" si="170"/>
        <v>25-30</v>
      </c>
      <c r="L1121">
        <f t="shared" si="171"/>
        <v>28</v>
      </c>
      <c r="M1121">
        <f t="shared" si="172"/>
        <v>0</v>
      </c>
      <c r="N1121">
        <f t="shared" si="173"/>
        <v>1</v>
      </c>
      <c r="O1121">
        <f t="shared" si="174"/>
        <v>0</v>
      </c>
      <c r="P1121">
        <v>0.15211172937565709</v>
      </c>
      <c r="Q1121">
        <f t="shared" si="175"/>
        <v>1</v>
      </c>
      <c r="R1121">
        <f t="shared" si="176"/>
        <v>0</v>
      </c>
      <c r="S1121">
        <f t="shared" si="177"/>
        <v>0</v>
      </c>
      <c r="T1121">
        <f t="shared" si="178"/>
        <v>25112.440000000002</v>
      </c>
      <c r="U1121">
        <f t="shared" si="179"/>
        <v>-1544.1700000000019</v>
      </c>
    </row>
    <row r="1122" spans="1:21" x14ac:dyDescent="0.3">
      <c r="A1122">
        <v>1121</v>
      </c>
      <c r="B1122">
        <v>47</v>
      </c>
      <c r="C1122" t="s">
        <v>10</v>
      </c>
      <c r="D1122">
        <v>25.8</v>
      </c>
      <c r="E1122">
        <v>101</v>
      </c>
      <c r="F1122" t="s">
        <v>11</v>
      </c>
      <c r="G1122">
        <v>2</v>
      </c>
      <c r="H1122" t="s">
        <v>11</v>
      </c>
      <c r="I1122" t="s">
        <v>14</v>
      </c>
      <c r="J1122">
        <v>23807.24</v>
      </c>
      <c r="K1122" t="str">
        <f t="shared" si="170"/>
        <v>25-30</v>
      </c>
      <c r="L1122">
        <f t="shared" si="171"/>
        <v>25.8</v>
      </c>
      <c r="M1122">
        <f t="shared" si="172"/>
        <v>0</v>
      </c>
      <c r="N1122">
        <f t="shared" si="173"/>
        <v>0</v>
      </c>
      <c r="O1122">
        <f t="shared" si="174"/>
        <v>1</v>
      </c>
      <c r="P1122">
        <v>0.46772879683668767</v>
      </c>
      <c r="Q1122">
        <f t="shared" si="175"/>
        <v>1</v>
      </c>
      <c r="R1122">
        <f t="shared" si="176"/>
        <v>1</v>
      </c>
      <c r="S1122">
        <f t="shared" si="177"/>
        <v>0</v>
      </c>
      <c r="T1122">
        <f t="shared" si="178"/>
        <v>24104.252000000004</v>
      </c>
      <c r="U1122">
        <f t="shared" si="179"/>
        <v>-297.01200000000244</v>
      </c>
    </row>
    <row r="1123" spans="1:21" x14ac:dyDescent="0.3">
      <c r="A1123">
        <v>1122</v>
      </c>
      <c r="B1123">
        <v>59</v>
      </c>
      <c r="C1123" t="s">
        <v>16</v>
      </c>
      <c r="D1123">
        <v>24.1</v>
      </c>
      <c r="E1123">
        <v>91</v>
      </c>
      <c r="F1123" t="s">
        <v>11</v>
      </c>
      <c r="G1123">
        <v>1</v>
      </c>
      <c r="H1123" t="s">
        <v>11</v>
      </c>
      <c r="I1123" t="s">
        <v>14</v>
      </c>
      <c r="J1123">
        <v>23887.66</v>
      </c>
      <c r="K1123" t="str">
        <f t="shared" si="170"/>
        <v>20-25</v>
      </c>
      <c r="L1123">
        <f t="shared" si="171"/>
        <v>24.1</v>
      </c>
      <c r="M1123">
        <f t="shared" si="172"/>
        <v>0</v>
      </c>
      <c r="N1123">
        <f t="shared" si="173"/>
        <v>0</v>
      </c>
      <c r="O1123">
        <f t="shared" si="174"/>
        <v>1</v>
      </c>
      <c r="P1123">
        <v>0.70410313237081534</v>
      </c>
      <c r="Q1123">
        <f t="shared" si="175"/>
        <v>1</v>
      </c>
      <c r="R1123">
        <f t="shared" si="176"/>
        <v>1</v>
      </c>
      <c r="S1123">
        <f t="shared" si="177"/>
        <v>1</v>
      </c>
      <c r="T1123">
        <f t="shared" si="178"/>
        <v>19913.729000000007</v>
      </c>
      <c r="U1123">
        <f t="shared" si="179"/>
        <v>3973.9309999999932</v>
      </c>
    </row>
    <row r="1124" spans="1:21" x14ac:dyDescent="0.3">
      <c r="A1124">
        <v>1123</v>
      </c>
      <c r="B1124">
        <v>28</v>
      </c>
      <c r="C1124" t="s">
        <v>10</v>
      </c>
      <c r="D1124">
        <v>24.8</v>
      </c>
      <c r="E1124">
        <v>92</v>
      </c>
      <c r="F1124" t="s">
        <v>11</v>
      </c>
      <c r="G1124">
        <v>2</v>
      </c>
      <c r="H1124" t="s">
        <v>11</v>
      </c>
      <c r="I1124" t="s">
        <v>14</v>
      </c>
      <c r="J1124">
        <v>23967.38</v>
      </c>
      <c r="K1124" t="str">
        <f t="shared" si="170"/>
        <v>20-25</v>
      </c>
      <c r="L1124">
        <f t="shared" si="171"/>
        <v>24.8</v>
      </c>
      <c r="M1124">
        <f t="shared" si="172"/>
        <v>0</v>
      </c>
      <c r="N1124">
        <f t="shared" si="173"/>
        <v>0</v>
      </c>
      <c r="O1124">
        <f t="shared" si="174"/>
        <v>1</v>
      </c>
      <c r="P1124">
        <v>0.66737043873782409</v>
      </c>
      <c r="Q1124">
        <f t="shared" si="175"/>
        <v>1</v>
      </c>
      <c r="R1124">
        <f t="shared" si="176"/>
        <v>1</v>
      </c>
      <c r="S1124">
        <f t="shared" si="177"/>
        <v>0</v>
      </c>
      <c r="T1124">
        <f t="shared" si="178"/>
        <v>21347.572000000004</v>
      </c>
      <c r="U1124">
        <f t="shared" si="179"/>
        <v>2619.8079999999973</v>
      </c>
    </row>
    <row r="1125" spans="1:21" x14ac:dyDescent="0.3">
      <c r="A1125">
        <v>1124</v>
      </c>
      <c r="B1125">
        <v>60</v>
      </c>
      <c r="C1125" t="s">
        <v>16</v>
      </c>
      <c r="D1125">
        <v>30.6</v>
      </c>
      <c r="E1125">
        <v>85</v>
      </c>
      <c r="F1125" t="s">
        <v>12</v>
      </c>
      <c r="G1125">
        <v>2</v>
      </c>
      <c r="H1125" t="s">
        <v>12</v>
      </c>
      <c r="I1125" t="s">
        <v>14</v>
      </c>
      <c r="J1125">
        <v>24059.68</v>
      </c>
      <c r="K1125" t="str">
        <f t="shared" si="170"/>
        <v>30-35</v>
      </c>
      <c r="L1125">
        <f t="shared" si="171"/>
        <v>0</v>
      </c>
      <c r="M1125">
        <f t="shared" si="172"/>
        <v>0</v>
      </c>
      <c r="N1125">
        <f t="shared" si="173"/>
        <v>0</v>
      </c>
      <c r="O1125">
        <f t="shared" si="174"/>
        <v>1</v>
      </c>
      <c r="P1125">
        <v>9.1143680337441579E-2</v>
      </c>
      <c r="Q1125">
        <f t="shared" si="175"/>
        <v>0</v>
      </c>
      <c r="R1125">
        <f t="shared" si="176"/>
        <v>0</v>
      </c>
      <c r="S1125">
        <f t="shared" si="177"/>
        <v>1</v>
      </c>
      <c r="T1125">
        <f t="shared" si="178"/>
        <v>7800.33</v>
      </c>
      <c r="U1125">
        <f t="shared" si="179"/>
        <v>16259.35</v>
      </c>
    </row>
    <row r="1126" spans="1:21" x14ac:dyDescent="0.3">
      <c r="A1126">
        <v>1125</v>
      </c>
      <c r="B1126">
        <v>46</v>
      </c>
      <c r="C1126" t="s">
        <v>16</v>
      </c>
      <c r="D1126">
        <v>23.8</v>
      </c>
      <c r="E1126">
        <v>86</v>
      </c>
      <c r="F1126" t="s">
        <v>11</v>
      </c>
      <c r="G1126">
        <v>3</v>
      </c>
      <c r="H1126" t="s">
        <v>11</v>
      </c>
      <c r="I1126" t="s">
        <v>17</v>
      </c>
      <c r="J1126">
        <v>24106.91</v>
      </c>
      <c r="K1126" t="str">
        <f t="shared" si="170"/>
        <v>20-25</v>
      </c>
      <c r="L1126">
        <f t="shared" si="171"/>
        <v>23.8</v>
      </c>
      <c r="M1126">
        <f t="shared" si="172"/>
        <v>0</v>
      </c>
      <c r="N1126">
        <f t="shared" si="173"/>
        <v>0</v>
      </c>
      <c r="O1126">
        <f t="shared" si="174"/>
        <v>0</v>
      </c>
      <c r="P1126">
        <v>0.20984578278933774</v>
      </c>
      <c r="Q1126">
        <f t="shared" si="175"/>
        <v>1</v>
      </c>
      <c r="R1126">
        <f t="shared" si="176"/>
        <v>1</v>
      </c>
      <c r="S1126">
        <f t="shared" si="177"/>
        <v>1</v>
      </c>
      <c r="T1126">
        <f t="shared" si="178"/>
        <v>23153.531999999999</v>
      </c>
      <c r="U1126">
        <f t="shared" si="179"/>
        <v>953.37800000000061</v>
      </c>
    </row>
    <row r="1127" spans="1:21" x14ac:dyDescent="0.3">
      <c r="A1127">
        <v>1126</v>
      </c>
      <c r="B1127">
        <v>58</v>
      </c>
      <c r="C1127" t="s">
        <v>16</v>
      </c>
      <c r="D1127">
        <v>25.9</v>
      </c>
      <c r="E1127">
        <v>102</v>
      </c>
      <c r="F1127" t="s">
        <v>12</v>
      </c>
      <c r="G1127">
        <v>3</v>
      </c>
      <c r="H1127" t="s">
        <v>11</v>
      </c>
      <c r="I1127" t="s">
        <v>13</v>
      </c>
      <c r="J1127">
        <v>24180.93</v>
      </c>
      <c r="K1127" t="str">
        <f t="shared" si="170"/>
        <v>25-30</v>
      </c>
      <c r="L1127">
        <f t="shared" si="171"/>
        <v>25.9</v>
      </c>
      <c r="M1127">
        <f t="shared" si="172"/>
        <v>1</v>
      </c>
      <c r="N1127">
        <f t="shared" si="173"/>
        <v>0</v>
      </c>
      <c r="O1127">
        <f t="shared" si="174"/>
        <v>0</v>
      </c>
      <c r="P1127">
        <v>8.1882106506859786E-2</v>
      </c>
      <c r="Q1127">
        <f t="shared" si="175"/>
        <v>1</v>
      </c>
      <c r="R1127">
        <f t="shared" si="176"/>
        <v>0</v>
      </c>
      <c r="S1127">
        <f t="shared" si="177"/>
        <v>1</v>
      </c>
      <c r="T1127">
        <f t="shared" si="178"/>
        <v>24939.791000000001</v>
      </c>
      <c r="U1127">
        <f t="shared" si="179"/>
        <v>-758.86100000000079</v>
      </c>
    </row>
    <row r="1128" spans="1:21" x14ac:dyDescent="0.3">
      <c r="A1128">
        <v>1127</v>
      </c>
      <c r="B1128">
        <v>51</v>
      </c>
      <c r="C1128" t="s">
        <v>16</v>
      </c>
      <c r="D1128">
        <v>41.9</v>
      </c>
      <c r="E1128">
        <v>106</v>
      </c>
      <c r="F1128" t="s">
        <v>12</v>
      </c>
      <c r="G1128">
        <v>0</v>
      </c>
      <c r="H1128" t="s">
        <v>12</v>
      </c>
      <c r="I1128" t="s">
        <v>13</v>
      </c>
      <c r="J1128">
        <v>24227.34</v>
      </c>
      <c r="K1128" t="str">
        <f t="shared" si="170"/>
        <v>35+</v>
      </c>
      <c r="L1128">
        <f t="shared" si="171"/>
        <v>0</v>
      </c>
      <c r="M1128">
        <f t="shared" si="172"/>
        <v>1</v>
      </c>
      <c r="N1128">
        <f t="shared" si="173"/>
        <v>0</v>
      </c>
      <c r="O1128">
        <f t="shared" si="174"/>
        <v>0</v>
      </c>
      <c r="P1128">
        <v>0.67372304743964939</v>
      </c>
      <c r="Q1128">
        <f t="shared" si="175"/>
        <v>0</v>
      </c>
      <c r="R1128">
        <f t="shared" si="176"/>
        <v>0</v>
      </c>
      <c r="S1128">
        <f t="shared" si="177"/>
        <v>1</v>
      </c>
      <c r="T1128">
        <f t="shared" si="178"/>
        <v>9956.2200000000012</v>
      </c>
      <c r="U1128">
        <f t="shared" si="179"/>
        <v>14271.119999999999</v>
      </c>
    </row>
    <row r="1129" spans="1:21" x14ac:dyDescent="0.3">
      <c r="A1129">
        <v>1128</v>
      </c>
      <c r="B1129">
        <v>48</v>
      </c>
      <c r="C1129" t="s">
        <v>10</v>
      </c>
      <c r="D1129">
        <v>27.4</v>
      </c>
      <c r="E1129">
        <v>106</v>
      </c>
      <c r="F1129" t="s">
        <v>12</v>
      </c>
      <c r="G1129">
        <v>0</v>
      </c>
      <c r="H1129" t="s">
        <v>11</v>
      </c>
      <c r="I1129" t="s">
        <v>14</v>
      </c>
      <c r="J1129">
        <v>24393.62</v>
      </c>
      <c r="K1129" t="str">
        <f t="shared" si="170"/>
        <v>25-30</v>
      </c>
      <c r="L1129">
        <f t="shared" si="171"/>
        <v>27.4</v>
      </c>
      <c r="M1129">
        <f t="shared" si="172"/>
        <v>0</v>
      </c>
      <c r="N1129">
        <f t="shared" si="173"/>
        <v>0</v>
      </c>
      <c r="O1129">
        <f t="shared" si="174"/>
        <v>1</v>
      </c>
      <c r="P1129">
        <v>7.7952780349215267E-2</v>
      </c>
      <c r="Q1129">
        <f t="shared" si="175"/>
        <v>1</v>
      </c>
      <c r="R1129">
        <f t="shared" si="176"/>
        <v>0</v>
      </c>
      <c r="S1129">
        <f t="shared" si="177"/>
        <v>0</v>
      </c>
      <c r="T1129">
        <f t="shared" si="178"/>
        <v>25645.005999999994</v>
      </c>
      <c r="U1129">
        <f t="shared" si="179"/>
        <v>-1251.385999999995</v>
      </c>
    </row>
    <row r="1130" spans="1:21" x14ac:dyDescent="0.3">
      <c r="A1130">
        <v>1129</v>
      </c>
      <c r="B1130">
        <v>45</v>
      </c>
      <c r="C1130" t="s">
        <v>10</v>
      </c>
      <c r="D1130">
        <v>30</v>
      </c>
      <c r="E1130">
        <v>84</v>
      </c>
      <c r="F1130" t="s">
        <v>12</v>
      </c>
      <c r="G1130">
        <v>0</v>
      </c>
      <c r="H1130" t="s">
        <v>12</v>
      </c>
      <c r="I1130" t="s">
        <v>14</v>
      </c>
      <c r="J1130">
        <v>24476.48</v>
      </c>
      <c r="K1130" t="str">
        <f t="shared" si="170"/>
        <v>30-35</v>
      </c>
      <c r="L1130">
        <f t="shared" si="171"/>
        <v>0</v>
      </c>
      <c r="M1130">
        <f t="shared" si="172"/>
        <v>0</v>
      </c>
      <c r="N1130">
        <f t="shared" si="173"/>
        <v>0</v>
      </c>
      <c r="O1130">
        <f t="shared" si="174"/>
        <v>1</v>
      </c>
      <c r="P1130">
        <v>0.43700904170251476</v>
      </c>
      <c r="Q1130">
        <f t="shared" si="175"/>
        <v>0</v>
      </c>
      <c r="R1130">
        <f t="shared" si="176"/>
        <v>0</v>
      </c>
      <c r="S1130">
        <f t="shared" si="177"/>
        <v>0</v>
      </c>
      <c r="T1130">
        <f t="shared" si="178"/>
        <v>5687.21</v>
      </c>
      <c r="U1130">
        <f t="shared" si="179"/>
        <v>18789.27</v>
      </c>
    </row>
    <row r="1131" spans="1:21" x14ac:dyDescent="0.3">
      <c r="A1131">
        <v>1130</v>
      </c>
      <c r="B1131">
        <v>53</v>
      </c>
      <c r="C1131" t="s">
        <v>16</v>
      </c>
      <c r="D1131">
        <v>25.1</v>
      </c>
      <c r="E1131">
        <v>104</v>
      </c>
      <c r="F1131" t="s">
        <v>12</v>
      </c>
      <c r="G1131">
        <v>0</v>
      </c>
      <c r="H1131" t="s">
        <v>12</v>
      </c>
      <c r="I1131" t="s">
        <v>13</v>
      </c>
      <c r="J1131">
        <v>24513.09</v>
      </c>
      <c r="K1131" t="str">
        <f t="shared" si="170"/>
        <v>25-30</v>
      </c>
      <c r="L1131">
        <f t="shared" si="171"/>
        <v>0</v>
      </c>
      <c r="M1131">
        <f t="shared" si="172"/>
        <v>1</v>
      </c>
      <c r="N1131">
        <f t="shared" si="173"/>
        <v>0</v>
      </c>
      <c r="O1131">
        <f t="shared" si="174"/>
        <v>0</v>
      </c>
      <c r="P1131">
        <v>0.93937674510370073</v>
      </c>
      <c r="Q1131">
        <f t="shared" si="175"/>
        <v>0</v>
      </c>
      <c r="R1131">
        <f t="shared" si="176"/>
        <v>0</v>
      </c>
      <c r="S1131">
        <f t="shared" si="177"/>
        <v>1</v>
      </c>
      <c r="T1131">
        <f t="shared" si="178"/>
        <v>8198.0800000000017</v>
      </c>
      <c r="U1131">
        <f t="shared" si="179"/>
        <v>16315.009999999998</v>
      </c>
    </row>
    <row r="1132" spans="1:21" x14ac:dyDescent="0.3">
      <c r="A1132">
        <v>1131</v>
      </c>
      <c r="B1132">
        <v>39</v>
      </c>
      <c r="C1132" t="s">
        <v>16</v>
      </c>
      <c r="D1132">
        <v>27.6</v>
      </c>
      <c r="E1132">
        <v>104</v>
      </c>
      <c r="F1132" t="s">
        <v>11</v>
      </c>
      <c r="G1132">
        <v>1</v>
      </c>
      <c r="H1132" t="s">
        <v>11</v>
      </c>
      <c r="I1132" t="s">
        <v>15</v>
      </c>
      <c r="J1132">
        <v>24520.26</v>
      </c>
      <c r="K1132" t="str">
        <f t="shared" si="170"/>
        <v>25-30</v>
      </c>
      <c r="L1132">
        <f t="shared" si="171"/>
        <v>27.6</v>
      </c>
      <c r="M1132">
        <f t="shared" si="172"/>
        <v>0</v>
      </c>
      <c r="N1132">
        <f t="shared" si="173"/>
        <v>1</v>
      </c>
      <c r="O1132">
        <f t="shared" si="174"/>
        <v>0</v>
      </c>
      <c r="P1132">
        <v>0.62372677132614951</v>
      </c>
      <c r="Q1132">
        <f t="shared" si="175"/>
        <v>1</v>
      </c>
      <c r="R1132">
        <f t="shared" si="176"/>
        <v>1</v>
      </c>
      <c r="S1132">
        <f t="shared" si="177"/>
        <v>1</v>
      </c>
      <c r="T1132">
        <f t="shared" si="178"/>
        <v>26712.344000000005</v>
      </c>
      <c r="U1132">
        <f t="shared" si="179"/>
        <v>-2192.0840000000062</v>
      </c>
    </row>
    <row r="1133" spans="1:21" x14ac:dyDescent="0.3">
      <c r="A1133">
        <v>1132</v>
      </c>
      <c r="B1133">
        <v>43</v>
      </c>
      <c r="C1133" t="s">
        <v>16</v>
      </c>
      <c r="D1133">
        <v>27.6</v>
      </c>
      <c r="E1133">
        <v>107</v>
      </c>
      <c r="F1133" t="s">
        <v>12</v>
      </c>
      <c r="G1133">
        <v>2</v>
      </c>
      <c r="H1133" t="s">
        <v>11</v>
      </c>
      <c r="I1133" t="s">
        <v>14</v>
      </c>
      <c r="J1133">
        <v>24535.7</v>
      </c>
      <c r="K1133" t="str">
        <f t="shared" si="170"/>
        <v>25-30</v>
      </c>
      <c r="L1133">
        <f t="shared" si="171"/>
        <v>27.6</v>
      </c>
      <c r="M1133">
        <f t="shared" si="172"/>
        <v>0</v>
      </c>
      <c r="N1133">
        <f t="shared" si="173"/>
        <v>0</v>
      </c>
      <c r="O1133">
        <f t="shared" si="174"/>
        <v>1</v>
      </c>
      <c r="P1133">
        <v>0.36484414576336388</v>
      </c>
      <c r="Q1133">
        <f t="shared" si="175"/>
        <v>1</v>
      </c>
      <c r="R1133">
        <f t="shared" si="176"/>
        <v>0</v>
      </c>
      <c r="S1133">
        <f t="shared" si="177"/>
        <v>1</v>
      </c>
      <c r="T1133">
        <f t="shared" si="178"/>
        <v>28001.364000000005</v>
      </c>
      <c r="U1133">
        <f t="shared" si="179"/>
        <v>-3465.6640000000043</v>
      </c>
    </row>
    <row r="1134" spans="1:21" x14ac:dyDescent="0.3">
      <c r="A1134">
        <v>1133</v>
      </c>
      <c r="B1134">
        <v>46</v>
      </c>
      <c r="C1134" t="s">
        <v>10</v>
      </c>
      <c r="D1134">
        <v>27.6</v>
      </c>
      <c r="E1134">
        <v>84</v>
      </c>
      <c r="F1134" t="s">
        <v>12</v>
      </c>
      <c r="G1134">
        <v>0</v>
      </c>
      <c r="H1134" t="s">
        <v>12</v>
      </c>
      <c r="I1134" t="s">
        <v>15</v>
      </c>
      <c r="J1134">
        <v>24603.05</v>
      </c>
      <c r="K1134" t="str">
        <f t="shared" si="170"/>
        <v>25-30</v>
      </c>
      <c r="L1134">
        <f t="shared" si="171"/>
        <v>0</v>
      </c>
      <c r="M1134">
        <f t="shared" si="172"/>
        <v>0</v>
      </c>
      <c r="N1134">
        <f t="shared" si="173"/>
        <v>1</v>
      </c>
      <c r="O1134">
        <f t="shared" si="174"/>
        <v>0</v>
      </c>
      <c r="P1134">
        <v>0.85900242451065112</v>
      </c>
      <c r="Q1134">
        <f t="shared" si="175"/>
        <v>0</v>
      </c>
      <c r="R1134">
        <f t="shared" si="176"/>
        <v>0</v>
      </c>
      <c r="S1134">
        <f t="shared" si="177"/>
        <v>0</v>
      </c>
      <c r="T1134">
        <f t="shared" si="178"/>
        <v>5472.66</v>
      </c>
      <c r="U1134">
        <f t="shared" si="179"/>
        <v>19130.39</v>
      </c>
    </row>
    <row r="1135" spans="1:21" x14ac:dyDescent="0.3">
      <c r="A1135">
        <v>1134</v>
      </c>
      <c r="B1135">
        <v>27</v>
      </c>
      <c r="C1135" t="s">
        <v>16</v>
      </c>
      <c r="D1135">
        <v>25.3</v>
      </c>
      <c r="E1135">
        <v>93</v>
      </c>
      <c r="F1135" t="s">
        <v>11</v>
      </c>
      <c r="G1135">
        <v>2</v>
      </c>
      <c r="H1135" t="s">
        <v>11</v>
      </c>
      <c r="I1135" t="s">
        <v>13</v>
      </c>
      <c r="J1135">
        <v>24667.42</v>
      </c>
      <c r="K1135" t="str">
        <f t="shared" si="170"/>
        <v>25-30</v>
      </c>
      <c r="L1135">
        <f t="shared" si="171"/>
        <v>25.3</v>
      </c>
      <c r="M1135">
        <f t="shared" si="172"/>
        <v>1</v>
      </c>
      <c r="N1135">
        <f t="shared" si="173"/>
        <v>0</v>
      </c>
      <c r="O1135">
        <f t="shared" si="174"/>
        <v>0</v>
      </c>
      <c r="P1135">
        <v>0.56420157782011915</v>
      </c>
      <c r="Q1135">
        <f t="shared" si="175"/>
        <v>1</v>
      </c>
      <c r="R1135">
        <f t="shared" si="176"/>
        <v>1</v>
      </c>
      <c r="S1135">
        <f t="shared" si="177"/>
        <v>1</v>
      </c>
      <c r="T1135">
        <f t="shared" si="178"/>
        <v>21929.046999999999</v>
      </c>
      <c r="U1135">
        <f t="shared" si="179"/>
        <v>2738.3729999999996</v>
      </c>
    </row>
    <row r="1136" spans="1:21" x14ac:dyDescent="0.3">
      <c r="A1136">
        <v>1135</v>
      </c>
      <c r="B1136">
        <v>36</v>
      </c>
      <c r="C1136" t="s">
        <v>16</v>
      </c>
      <c r="D1136">
        <v>29.6</v>
      </c>
      <c r="E1136">
        <v>99</v>
      </c>
      <c r="F1136" t="s">
        <v>12</v>
      </c>
      <c r="G1136">
        <v>4</v>
      </c>
      <c r="H1136" t="s">
        <v>12</v>
      </c>
      <c r="I1136" t="s">
        <v>17</v>
      </c>
      <c r="J1136">
        <v>24671.66</v>
      </c>
      <c r="K1136" t="str">
        <f t="shared" si="170"/>
        <v>25-30</v>
      </c>
      <c r="L1136">
        <f t="shared" si="171"/>
        <v>0</v>
      </c>
      <c r="M1136">
        <f t="shared" si="172"/>
        <v>0</v>
      </c>
      <c r="N1136">
        <f t="shared" si="173"/>
        <v>0</v>
      </c>
      <c r="O1136">
        <f t="shared" si="174"/>
        <v>0</v>
      </c>
      <c r="P1136">
        <v>0.4691538146740748</v>
      </c>
      <c r="Q1136">
        <f t="shared" si="175"/>
        <v>0</v>
      </c>
      <c r="R1136">
        <f t="shared" si="176"/>
        <v>0</v>
      </c>
      <c r="S1136">
        <f t="shared" si="177"/>
        <v>1</v>
      </c>
      <c r="T1136">
        <f t="shared" si="178"/>
        <v>14404.330000000002</v>
      </c>
      <c r="U1136">
        <f t="shared" si="179"/>
        <v>10267.329999999998</v>
      </c>
    </row>
    <row r="1137" spans="1:21" x14ac:dyDescent="0.3">
      <c r="A1137">
        <v>1136</v>
      </c>
      <c r="B1137">
        <v>23</v>
      </c>
      <c r="C1137" t="s">
        <v>10</v>
      </c>
      <c r="D1137">
        <v>24.3</v>
      </c>
      <c r="E1137">
        <v>97</v>
      </c>
      <c r="F1137" t="s">
        <v>12</v>
      </c>
      <c r="G1137">
        <v>3</v>
      </c>
      <c r="H1137" t="s">
        <v>11</v>
      </c>
      <c r="I1137" t="s">
        <v>17</v>
      </c>
      <c r="J1137">
        <v>24869.84</v>
      </c>
      <c r="K1137" t="str">
        <f t="shared" si="170"/>
        <v>20-25</v>
      </c>
      <c r="L1137">
        <f t="shared" si="171"/>
        <v>24.3</v>
      </c>
      <c r="M1137">
        <f t="shared" si="172"/>
        <v>0</v>
      </c>
      <c r="N1137">
        <f t="shared" si="173"/>
        <v>0</v>
      </c>
      <c r="O1137">
        <f t="shared" si="174"/>
        <v>0</v>
      </c>
      <c r="P1137">
        <v>0.84553719096335334</v>
      </c>
      <c r="Q1137">
        <f t="shared" si="175"/>
        <v>1</v>
      </c>
      <c r="R1137">
        <f t="shared" si="176"/>
        <v>0</v>
      </c>
      <c r="S1137">
        <f t="shared" si="177"/>
        <v>0</v>
      </c>
      <c r="T1137">
        <f t="shared" si="178"/>
        <v>25234.917000000009</v>
      </c>
      <c r="U1137">
        <f t="shared" si="179"/>
        <v>-365.07700000000841</v>
      </c>
    </row>
    <row r="1138" spans="1:21" x14ac:dyDescent="0.3">
      <c r="A1138">
        <v>1137</v>
      </c>
      <c r="B1138">
        <v>32</v>
      </c>
      <c r="C1138" t="s">
        <v>16</v>
      </c>
      <c r="D1138">
        <v>22.6</v>
      </c>
      <c r="E1138">
        <v>84</v>
      </c>
      <c r="F1138" t="s">
        <v>11</v>
      </c>
      <c r="G1138">
        <v>3</v>
      </c>
      <c r="H1138" t="s">
        <v>11</v>
      </c>
      <c r="I1138" t="s">
        <v>17</v>
      </c>
      <c r="J1138">
        <v>24873.38</v>
      </c>
      <c r="K1138" t="str">
        <f t="shared" si="170"/>
        <v>20-25</v>
      </c>
      <c r="L1138">
        <f t="shared" si="171"/>
        <v>22.6</v>
      </c>
      <c r="M1138">
        <f t="shared" si="172"/>
        <v>0</v>
      </c>
      <c r="N1138">
        <f t="shared" si="173"/>
        <v>0</v>
      </c>
      <c r="O1138">
        <f t="shared" si="174"/>
        <v>0</v>
      </c>
      <c r="P1138">
        <v>0.54047609903559302</v>
      </c>
      <c r="Q1138">
        <f t="shared" si="175"/>
        <v>1</v>
      </c>
      <c r="R1138">
        <f t="shared" si="176"/>
        <v>1</v>
      </c>
      <c r="S1138">
        <f t="shared" si="177"/>
        <v>1</v>
      </c>
      <c r="T1138">
        <f t="shared" si="178"/>
        <v>21238.644000000008</v>
      </c>
      <c r="U1138">
        <f t="shared" si="179"/>
        <v>3634.7359999999935</v>
      </c>
    </row>
    <row r="1139" spans="1:21" x14ac:dyDescent="0.3">
      <c r="A1139">
        <v>1138</v>
      </c>
      <c r="B1139">
        <v>58</v>
      </c>
      <c r="C1139" t="s">
        <v>16</v>
      </c>
      <c r="D1139">
        <v>38.1</v>
      </c>
      <c r="E1139">
        <v>94</v>
      </c>
      <c r="F1139" t="s">
        <v>12</v>
      </c>
      <c r="G1139">
        <v>2</v>
      </c>
      <c r="H1139" t="s">
        <v>12</v>
      </c>
      <c r="I1139" t="s">
        <v>17</v>
      </c>
      <c r="J1139">
        <v>24915.05</v>
      </c>
      <c r="K1139" t="str">
        <f t="shared" si="170"/>
        <v>35+</v>
      </c>
      <c r="L1139">
        <f t="shared" si="171"/>
        <v>0</v>
      </c>
      <c r="M1139">
        <f t="shared" si="172"/>
        <v>0</v>
      </c>
      <c r="N1139">
        <f t="shared" si="173"/>
        <v>0</v>
      </c>
      <c r="O1139">
        <f t="shared" si="174"/>
        <v>0</v>
      </c>
      <c r="P1139">
        <v>0.9364892306057796</v>
      </c>
      <c r="Q1139">
        <f t="shared" si="175"/>
        <v>0</v>
      </c>
      <c r="R1139">
        <f t="shared" si="176"/>
        <v>0</v>
      </c>
      <c r="S1139">
        <f t="shared" si="177"/>
        <v>1</v>
      </c>
      <c r="T1139">
        <f t="shared" si="178"/>
        <v>12828.490000000002</v>
      </c>
      <c r="U1139">
        <f t="shared" si="179"/>
        <v>12086.559999999998</v>
      </c>
    </row>
    <row r="1140" spans="1:21" x14ac:dyDescent="0.3">
      <c r="A1140">
        <v>1139</v>
      </c>
      <c r="B1140">
        <v>20</v>
      </c>
      <c r="C1140" t="s">
        <v>10</v>
      </c>
      <c r="D1140">
        <v>28.2</v>
      </c>
      <c r="E1140">
        <v>107</v>
      </c>
      <c r="F1140" t="s">
        <v>11</v>
      </c>
      <c r="G1140">
        <v>3</v>
      </c>
      <c r="H1140" t="s">
        <v>11</v>
      </c>
      <c r="I1140" t="s">
        <v>14</v>
      </c>
      <c r="J1140">
        <v>24915.22</v>
      </c>
      <c r="K1140" t="str">
        <f t="shared" si="170"/>
        <v>25-30</v>
      </c>
      <c r="L1140">
        <f t="shared" si="171"/>
        <v>28.2</v>
      </c>
      <c r="M1140">
        <f t="shared" si="172"/>
        <v>0</v>
      </c>
      <c r="N1140">
        <f t="shared" si="173"/>
        <v>0</v>
      </c>
      <c r="O1140">
        <f t="shared" si="174"/>
        <v>1</v>
      </c>
      <c r="P1140">
        <v>0.13321087663538789</v>
      </c>
      <c r="Q1140">
        <f t="shared" si="175"/>
        <v>1</v>
      </c>
      <c r="R1140">
        <f t="shared" si="176"/>
        <v>1</v>
      </c>
      <c r="S1140">
        <f t="shared" si="177"/>
        <v>0</v>
      </c>
      <c r="T1140">
        <f t="shared" si="178"/>
        <v>29061.848000000002</v>
      </c>
      <c r="U1140">
        <f t="shared" si="179"/>
        <v>-4146.6280000000006</v>
      </c>
    </row>
    <row r="1141" spans="1:21" x14ac:dyDescent="0.3">
      <c r="A1141">
        <v>1140</v>
      </c>
      <c r="B1141">
        <v>35</v>
      </c>
      <c r="C1141" t="s">
        <v>16</v>
      </c>
      <c r="D1141">
        <v>23.2</v>
      </c>
      <c r="E1141">
        <v>86</v>
      </c>
      <c r="F1141" t="s">
        <v>12</v>
      </c>
      <c r="G1141">
        <v>0</v>
      </c>
      <c r="H1141" t="s">
        <v>12</v>
      </c>
      <c r="I1141" t="s">
        <v>13</v>
      </c>
      <c r="J1141">
        <v>25081.77</v>
      </c>
      <c r="K1141" t="str">
        <f t="shared" si="170"/>
        <v>20-25</v>
      </c>
      <c r="L1141">
        <f t="shared" si="171"/>
        <v>0</v>
      </c>
      <c r="M1141">
        <f t="shared" si="172"/>
        <v>1</v>
      </c>
      <c r="N1141">
        <f t="shared" si="173"/>
        <v>0</v>
      </c>
      <c r="O1141">
        <f t="shared" si="174"/>
        <v>0</v>
      </c>
      <c r="P1141">
        <v>0.13600150821642332</v>
      </c>
      <c r="Q1141">
        <f t="shared" si="175"/>
        <v>0</v>
      </c>
      <c r="R1141">
        <f t="shared" si="176"/>
        <v>0</v>
      </c>
      <c r="S1141">
        <f t="shared" si="177"/>
        <v>1</v>
      </c>
      <c r="T1141">
        <f t="shared" si="178"/>
        <v>5186.05</v>
      </c>
      <c r="U1141">
        <f t="shared" si="179"/>
        <v>19895.72</v>
      </c>
    </row>
    <row r="1142" spans="1:21" x14ac:dyDescent="0.3">
      <c r="A1142">
        <v>1141</v>
      </c>
      <c r="B1142">
        <v>19</v>
      </c>
      <c r="C1142" t="s">
        <v>10</v>
      </c>
      <c r="D1142">
        <v>29.8</v>
      </c>
      <c r="E1142">
        <v>89</v>
      </c>
      <c r="F1142" t="s">
        <v>12</v>
      </c>
      <c r="G1142">
        <v>3</v>
      </c>
      <c r="H1142" t="s">
        <v>11</v>
      </c>
      <c r="I1142" t="s">
        <v>15</v>
      </c>
      <c r="J1142">
        <v>25309.49</v>
      </c>
      <c r="K1142" t="str">
        <f t="shared" si="170"/>
        <v>25-30</v>
      </c>
      <c r="L1142">
        <f t="shared" si="171"/>
        <v>29.8</v>
      </c>
      <c r="M1142">
        <f t="shared" si="172"/>
        <v>0</v>
      </c>
      <c r="N1142">
        <f t="shared" si="173"/>
        <v>1</v>
      </c>
      <c r="O1142">
        <f t="shared" si="174"/>
        <v>0</v>
      </c>
      <c r="P1142">
        <v>5.2697371111949387E-2</v>
      </c>
      <c r="Q1142">
        <f t="shared" si="175"/>
        <v>1</v>
      </c>
      <c r="R1142">
        <f t="shared" si="176"/>
        <v>0</v>
      </c>
      <c r="S1142">
        <f t="shared" si="177"/>
        <v>0</v>
      </c>
      <c r="T1142">
        <f t="shared" si="178"/>
        <v>28403.002</v>
      </c>
      <c r="U1142">
        <f t="shared" si="179"/>
        <v>-3093.5119999999988</v>
      </c>
    </row>
    <row r="1143" spans="1:21" x14ac:dyDescent="0.3">
      <c r="A1143">
        <v>1142</v>
      </c>
      <c r="B1143">
        <v>29</v>
      </c>
      <c r="C1143" t="s">
        <v>10</v>
      </c>
      <c r="D1143">
        <v>32.1</v>
      </c>
      <c r="E1143">
        <v>85</v>
      </c>
      <c r="F1143" t="s">
        <v>12</v>
      </c>
      <c r="G1143">
        <v>2</v>
      </c>
      <c r="H1143" t="s">
        <v>12</v>
      </c>
      <c r="I1143" t="s">
        <v>17</v>
      </c>
      <c r="J1143">
        <v>25333.33</v>
      </c>
      <c r="K1143" t="str">
        <f t="shared" si="170"/>
        <v>30-35</v>
      </c>
      <c r="L1143">
        <f t="shared" si="171"/>
        <v>0</v>
      </c>
      <c r="M1143">
        <f t="shared" si="172"/>
        <v>0</v>
      </c>
      <c r="N1143">
        <f t="shared" si="173"/>
        <v>0</v>
      </c>
      <c r="O1143">
        <f t="shared" si="174"/>
        <v>0</v>
      </c>
      <c r="P1143">
        <v>4.3806963102413166E-2</v>
      </c>
      <c r="Q1143">
        <f t="shared" si="175"/>
        <v>0</v>
      </c>
      <c r="R1143">
        <f t="shared" si="176"/>
        <v>0</v>
      </c>
      <c r="S1143">
        <f t="shared" si="177"/>
        <v>0</v>
      </c>
      <c r="T1143">
        <f t="shared" si="178"/>
        <v>10471.35</v>
      </c>
      <c r="U1143">
        <f t="shared" si="179"/>
        <v>14861.980000000001</v>
      </c>
    </row>
    <row r="1144" spans="1:21" x14ac:dyDescent="0.3">
      <c r="A1144">
        <v>1143</v>
      </c>
      <c r="B1144">
        <v>26</v>
      </c>
      <c r="C1144" t="s">
        <v>10</v>
      </c>
      <c r="D1144">
        <v>25.1</v>
      </c>
      <c r="E1144">
        <v>85</v>
      </c>
      <c r="F1144" t="s">
        <v>12</v>
      </c>
      <c r="G1144">
        <v>3</v>
      </c>
      <c r="H1144" t="s">
        <v>11</v>
      </c>
      <c r="I1144" t="s">
        <v>15</v>
      </c>
      <c r="J1144">
        <v>25382.3</v>
      </c>
      <c r="K1144" t="str">
        <f t="shared" si="170"/>
        <v>25-30</v>
      </c>
      <c r="L1144">
        <f t="shared" si="171"/>
        <v>25.1</v>
      </c>
      <c r="M1144">
        <f t="shared" si="172"/>
        <v>0</v>
      </c>
      <c r="N1144">
        <f t="shared" si="173"/>
        <v>1</v>
      </c>
      <c r="O1144">
        <f t="shared" si="174"/>
        <v>0</v>
      </c>
      <c r="P1144">
        <v>0.68810849340235436</v>
      </c>
      <c r="Q1144">
        <f t="shared" si="175"/>
        <v>1</v>
      </c>
      <c r="R1144">
        <f t="shared" si="176"/>
        <v>0</v>
      </c>
      <c r="S1144">
        <f t="shared" si="177"/>
        <v>0</v>
      </c>
      <c r="T1144">
        <f t="shared" si="178"/>
        <v>21435.639000000003</v>
      </c>
      <c r="U1144">
        <f t="shared" si="179"/>
        <v>3946.6609999999964</v>
      </c>
    </row>
    <row r="1145" spans="1:21" x14ac:dyDescent="0.3">
      <c r="A1145">
        <v>1144</v>
      </c>
      <c r="B1145">
        <v>19</v>
      </c>
      <c r="C1145" t="s">
        <v>10</v>
      </c>
      <c r="D1145">
        <v>25.5</v>
      </c>
      <c r="E1145">
        <v>85</v>
      </c>
      <c r="F1145" t="s">
        <v>11</v>
      </c>
      <c r="G1145">
        <v>1</v>
      </c>
      <c r="H1145" t="s">
        <v>12</v>
      </c>
      <c r="I1145" t="s">
        <v>17</v>
      </c>
      <c r="J1145">
        <v>25517.11</v>
      </c>
      <c r="K1145" t="str">
        <f t="shared" si="170"/>
        <v>25-30</v>
      </c>
      <c r="L1145">
        <f t="shared" si="171"/>
        <v>0</v>
      </c>
      <c r="M1145">
        <f t="shared" si="172"/>
        <v>0</v>
      </c>
      <c r="N1145">
        <f t="shared" si="173"/>
        <v>0</v>
      </c>
      <c r="O1145">
        <f t="shared" si="174"/>
        <v>0</v>
      </c>
      <c r="P1145">
        <v>0.41005908486892273</v>
      </c>
      <c r="Q1145">
        <f t="shared" si="175"/>
        <v>0</v>
      </c>
      <c r="R1145">
        <f t="shared" si="176"/>
        <v>1</v>
      </c>
      <c r="S1145">
        <f t="shared" si="177"/>
        <v>0</v>
      </c>
      <c r="T1145">
        <f t="shared" si="178"/>
        <v>9112.5500000000011</v>
      </c>
      <c r="U1145">
        <f t="shared" si="179"/>
        <v>16404.559999999998</v>
      </c>
    </row>
    <row r="1146" spans="1:21" x14ac:dyDescent="0.3">
      <c r="A1146">
        <v>1145</v>
      </c>
      <c r="B1146">
        <v>47</v>
      </c>
      <c r="C1146" t="s">
        <v>16</v>
      </c>
      <c r="D1146">
        <v>27.4</v>
      </c>
      <c r="E1146">
        <v>80</v>
      </c>
      <c r="F1146" t="s">
        <v>12</v>
      </c>
      <c r="G1146">
        <v>0</v>
      </c>
      <c r="H1146" t="s">
        <v>12</v>
      </c>
      <c r="I1146" t="s">
        <v>17</v>
      </c>
      <c r="J1146">
        <v>25656.58</v>
      </c>
      <c r="K1146" t="str">
        <f t="shared" si="170"/>
        <v>25-30</v>
      </c>
      <c r="L1146">
        <f t="shared" si="171"/>
        <v>0</v>
      </c>
      <c r="M1146">
        <f t="shared" si="172"/>
        <v>0</v>
      </c>
      <c r="N1146">
        <f t="shared" si="173"/>
        <v>0</v>
      </c>
      <c r="O1146">
        <f t="shared" si="174"/>
        <v>0</v>
      </c>
      <c r="P1146">
        <v>0.72894809220325607</v>
      </c>
      <c r="Q1146">
        <f t="shared" si="175"/>
        <v>0</v>
      </c>
      <c r="R1146">
        <f t="shared" si="176"/>
        <v>0</v>
      </c>
      <c r="S1146">
        <f t="shared" si="177"/>
        <v>1</v>
      </c>
      <c r="T1146">
        <f t="shared" si="178"/>
        <v>8216.9800000000014</v>
      </c>
      <c r="U1146">
        <f t="shared" si="179"/>
        <v>17439.599999999999</v>
      </c>
    </row>
    <row r="1147" spans="1:21" x14ac:dyDescent="0.3">
      <c r="A1147">
        <v>1146</v>
      </c>
      <c r="B1147">
        <v>56</v>
      </c>
      <c r="C1147" t="s">
        <v>16</v>
      </c>
      <c r="D1147">
        <v>23.7</v>
      </c>
      <c r="E1147">
        <v>84</v>
      </c>
      <c r="F1147" t="s">
        <v>12</v>
      </c>
      <c r="G1147">
        <v>0</v>
      </c>
      <c r="H1147" t="s">
        <v>11</v>
      </c>
      <c r="I1147" t="s">
        <v>14</v>
      </c>
      <c r="J1147">
        <v>25678.78</v>
      </c>
      <c r="K1147" t="str">
        <f t="shared" si="170"/>
        <v>20-25</v>
      </c>
      <c r="L1147">
        <f t="shared" si="171"/>
        <v>23.7</v>
      </c>
      <c r="M1147">
        <f t="shared" si="172"/>
        <v>0</v>
      </c>
      <c r="N1147">
        <f t="shared" si="173"/>
        <v>0</v>
      </c>
      <c r="O1147">
        <f t="shared" si="174"/>
        <v>1</v>
      </c>
      <c r="P1147">
        <v>0.9562603465069015</v>
      </c>
      <c r="Q1147">
        <f t="shared" si="175"/>
        <v>1</v>
      </c>
      <c r="R1147">
        <f t="shared" si="176"/>
        <v>0</v>
      </c>
      <c r="S1147">
        <f t="shared" si="177"/>
        <v>1</v>
      </c>
      <c r="T1147">
        <f t="shared" si="178"/>
        <v>17593.382999999998</v>
      </c>
      <c r="U1147">
        <f t="shared" si="179"/>
        <v>8085.3970000000008</v>
      </c>
    </row>
    <row r="1148" spans="1:21" x14ac:dyDescent="0.3">
      <c r="A1148">
        <v>1147</v>
      </c>
      <c r="B1148">
        <v>32</v>
      </c>
      <c r="C1148" t="s">
        <v>10</v>
      </c>
      <c r="D1148">
        <v>26.4</v>
      </c>
      <c r="E1148">
        <v>95</v>
      </c>
      <c r="F1148" t="s">
        <v>11</v>
      </c>
      <c r="G1148">
        <v>3</v>
      </c>
      <c r="H1148" t="s">
        <v>12</v>
      </c>
      <c r="I1148" t="s">
        <v>13</v>
      </c>
      <c r="J1148">
        <v>25992.82</v>
      </c>
      <c r="K1148" t="str">
        <f t="shared" si="170"/>
        <v>25-30</v>
      </c>
      <c r="L1148">
        <f t="shared" si="171"/>
        <v>0</v>
      </c>
      <c r="M1148">
        <f t="shared" si="172"/>
        <v>1</v>
      </c>
      <c r="N1148">
        <f t="shared" si="173"/>
        <v>0</v>
      </c>
      <c r="O1148">
        <f t="shared" si="174"/>
        <v>0</v>
      </c>
      <c r="P1148">
        <v>0.63631660634368259</v>
      </c>
      <c r="Q1148">
        <f t="shared" si="175"/>
        <v>0</v>
      </c>
      <c r="R1148">
        <f t="shared" si="176"/>
        <v>1</v>
      </c>
      <c r="S1148">
        <f t="shared" si="177"/>
        <v>0</v>
      </c>
      <c r="T1148">
        <f t="shared" si="178"/>
        <v>8600.510000000002</v>
      </c>
      <c r="U1148">
        <f t="shared" si="179"/>
        <v>17392.309999999998</v>
      </c>
    </row>
    <row r="1149" spans="1:21" x14ac:dyDescent="0.3">
      <c r="A1149">
        <v>1148</v>
      </c>
      <c r="B1149">
        <v>29</v>
      </c>
      <c r="C1149" t="s">
        <v>16</v>
      </c>
      <c r="D1149">
        <v>32.700000000000003</v>
      </c>
      <c r="E1149">
        <v>128</v>
      </c>
      <c r="F1149" t="s">
        <v>11</v>
      </c>
      <c r="G1149">
        <v>2</v>
      </c>
      <c r="H1149" t="s">
        <v>12</v>
      </c>
      <c r="I1149" t="s">
        <v>14</v>
      </c>
      <c r="J1149">
        <v>26018.95</v>
      </c>
      <c r="K1149" t="str">
        <f t="shared" si="170"/>
        <v>30-35</v>
      </c>
      <c r="L1149">
        <f t="shared" si="171"/>
        <v>0</v>
      </c>
      <c r="M1149">
        <f t="shared" si="172"/>
        <v>0</v>
      </c>
      <c r="N1149">
        <f t="shared" si="173"/>
        <v>0</v>
      </c>
      <c r="O1149">
        <f t="shared" si="174"/>
        <v>1</v>
      </c>
      <c r="P1149">
        <v>0.50676754093508392</v>
      </c>
      <c r="Q1149">
        <f t="shared" si="175"/>
        <v>0</v>
      </c>
      <c r="R1149">
        <f t="shared" si="176"/>
        <v>1</v>
      </c>
      <c r="S1149">
        <f t="shared" si="177"/>
        <v>1</v>
      </c>
      <c r="T1149">
        <f t="shared" si="178"/>
        <v>14812.87</v>
      </c>
      <c r="U1149">
        <f t="shared" si="179"/>
        <v>11206.08</v>
      </c>
    </row>
    <row r="1150" spans="1:21" x14ac:dyDescent="0.3">
      <c r="A1150">
        <v>1149</v>
      </c>
      <c r="B1150">
        <v>32</v>
      </c>
      <c r="C1150" t="s">
        <v>10</v>
      </c>
      <c r="D1150">
        <v>26.7</v>
      </c>
      <c r="E1150">
        <v>115</v>
      </c>
      <c r="F1150" t="s">
        <v>11</v>
      </c>
      <c r="G1150">
        <v>1</v>
      </c>
      <c r="H1150" t="s">
        <v>11</v>
      </c>
      <c r="I1150" t="s">
        <v>14</v>
      </c>
      <c r="J1150">
        <v>26109.33</v>
      </c>
      <c r="K1150" t="str">
        <f t="shared" si="170"/>
        <v>25-30</v>
      </c>
      <c r="L1150">
        <f t="shared" si="171"/>
        <v>26.7</v>
      </c>
      <c r="M1150">
        <f t="shared" si="172"/>
        <v>0</v>
      </c>
      <c r="N1150">
        <f t="shared" si="173"/>
        <v>0</v>
      </c>
      <c r="O1150">
        <f t="shared" si="174"/>
        <v>1</v>
      </c>
      <c r="P1150">
        <v>0.10057903428956549</v>
      </c>
      <c r="Q1150">
        <f t="shared" si="175"/>
        <v>1</v>
      </c>
      <c r="R1150">
        <f t="shared" si="176"/>
        <v>1</v>
      </c>
      <c r="S1150">
        <f t="shared" si="177"/>
        <v>0</v>
      </c>
      <c r="T1150">
        <f t="shared" si="178"/>
        <v>26829.693000000003</v>
      </c>
      <c r="U1150">
        <f t="shared" si="179"/>
        <v>-720.36300000000119</v>
      </c>
    </row>
    <row r="1151" spans="1:21" x14ac:dyDescent="0.3">
      <c r="A1151">
        <v>1150</v>
      </c>
      <c r="B1151">
        <v>57</v>
      </c>
      <c r="C1151" t="s">
        <v>16</v>
      </c>
      <c r="D1151">
        <v>24.4</v>
      </c>
      <c r="E1151">
        <v>104</v>
      </c>
      <c r="F1151" t="s">
        <v>11</v>
      </c>
      <c r="G1151">
        <v>0</v>
      </c>
      <c r="H1151" t="s">
        <v>11</v>
      </c>
      <c r="I1151" t="s">
        <v>13</v>
      </c>
      <c r="J1151">
        <v>26125.67</v>
      </c>
      <c r="K1151" t="str">
        <f t="shared" si="170"/>
        <v>20-25</v>
      </c>
      <c r="L1151">
        <f t="shared" si="171"/>
        <v>24.4</v>
      </c>
      <c r="M1151">
        <f t="shared" si="172"/>
        <v>1</v>
      </c>
      <c r="N1151">
        <f t="shared" si="173"/>
        <v>0</v>
      </c>
      <c r="O1151">
        <f t="shared" si="174"/>
        <v>0</v>
      </c>
      <c r="P1151">
        <v>0.16499419974812424</v>
      </c>
      <c r="Q1151">
        <f t="shared" si="175"/>
        <v>1</v>
      </c>
      <c r="R1151">
        <f t="shared" si="176"/>
        <v>1</v>
      </c>
      <c r="S1151">
        <f t="shared" si="177"/>
        <v>1</v>
      </c>
      <c r="T1151">
        <f t="shared" si="178"/>
        <v>20959.436000000002</v>
      </c>
      <c r="U1151">
        <f t="shared" si="179"/>
        <v>5166.2339999999967</v>
      </c>
    </row>
    <row r="1152" spans="1:21" x14ac:dyDescent="0.3">
      <c r="A1152">
        <v>1151</v>
      </c>
      <c r="B1152">
        <v>55</v>
      </c>
      <c r="C1152" t="s">
        <v>16</v>
      </c>
      <c r="D1152">
        <v>27.1</v>
      </c>
      <c r="E1152">
        <v>135</v>
      </c>
      <c r="F1152" t="s">
        <v>12</v>
      </c>
      <c r="G1152">
        <v>1</v>
      </c>
      <c r="H1152" t="s">
        <v>12</v>
      </c>
      <c r="I1152" t="s">
        <v>15</v>
      </c>
      <c r="J1152">
        <v>26140.36</v>
      </c>
      <c r="K1152" t="str">
        <f t="shared" si="170"/>
        <v>25-30</v>
      </c>
      <c r="L1152">
        <f t="shared" si="171"/>
        <v>0</v>
      </c>
      <c r="M1152">
        <f t="shared" si="172"/>
        <v>0</v>
      </c>
      <c r="N1152">
        <f t="shared" si="173"/>
        <v>1</v>
      </c>
      <c r="O1152">
        <f t="shared" si="174"/>
        <v>0</v>
      </c>
      <c r="P1152">
        <v>0.24440983271486372</v>
      </c>
      <c r="Q1152">
        <f t="shared" si="175"/>
        <v>0</v>
      </c>
      <c r="R1152">
        <f t="shared" si="176"/>
        <v>0</v>
      </c>
      <c r="S1152">
        <f t="shared" si="177"/>
        <v>1</v>
      </c>
      <c r="T1152">
        <f t="shared" si="178"/>
        <v>14740.670000000002</v>
      </c>
      <c r="U1152">
        <f t="shared" si="179"/>
        <v>11399.689999999999</v>
      </c>
    </row>
    <row r="1153" spans="1:21" x14ac:dyDescent="0.3">
      <c r="A1153">
        <v>1152</v>
      </c>
      <c r="B1153">
        <v>52</v>
      </c>
      <c r="C1153" t="s">
        <v>16</v>
      </c>
      <c r="D1153">
        <v>24.1</v>
      </c>
      <c r="E1153">
        <v>84</v>
      </c>
      <c r="F1153" t="s">
        <v>11</v>
      </c>
      <c r="G1153">
        <v>1</v>
      </c>
      <c r="H1153" t="s">
        <v>12</v>
      </c>
      <c r="I1153" t="s">
        <v>15</v>
      </c>
      <c r="J1153">
        <v>26236.58</v>
      </c>
      <c r="K1153" t="str">
        <f t="shared" si="170"/>
        <v>20-25</v>
      </c>
      <c r="L1153">
        <f t="shared" si="171"/>
        <v>0</v>
      </c>
      <c r="M1153">
        <f t="shared" si="172"/>
        <v>0</v>
      </c>
      <c r="N1153">
        <f t="shared" si="173"/>
        <v>1</v>
      </c>
      <c r="O1153">
        <f t="shared" si="174"/>
        <v>0</v>
      </c>
      <c r="P1153">
        <v>0.96067574577115045</v>
      </c>
      <c r="Q1153">
        <f t="shared" si="175"/>
        <v>0</v>
      </c>
      <c r="R1153">
        <f t="shared" si="176"/>
        <v>1</v>
      </c>
      <c r="S1153">
        <f t="shared" si="177"/>
        <v>1</v>
      </c>
      <c r="T1153">
        <f t="shared" si="178"/>
        <v>6279.8599999999969</v>
      </c>
      <c r="U1153">
        <f t="shared" si="179"/>
        <v>19956.720000000005</v>
      </c>
    </row>
    <row r="1154" spans="1:21" x14ac:dyDescent="0.3">
      <c r="A1154">
        <v>1153</v>
      </c>
      <c r="B1154">
        <v>38</v>
      </c>
      <c r="C1154" t="s">
        <v>16</v>
      </c>
      <c r="D1154">
        <v>35.9</v>
      </c>
      <c r="E1154">
        <v>128</v>
      </c>
      <c r="F1154" t="s">
        <v>12</v>
      </c>
      <c r="G1154">
        <v>1</v>
      </c>
      <c r="H1154" t="s">
        <v>12</v>
      </c>
      <c r="I1154" t="s">
        <v>17</v>
      </c>
      <c r="J1154">
        <v>26392.26</v>
      </c>
      <c r="K1154" t="str">
        <f t="shared" si="170"/>
        <v>35+</v>
      </c>
      <c r="L1154">
        <f t="shared" si="171"/>
        <v>0</v>
      </c>
      <c r="M1154">
        <f t="shared" si="172"/>
        <v>0</v>
      </c>
      <c r="N1154">
        <f t="shared" si="173"/>
        <v>0</v>
      </c>
      <c r="O1154">
        <f t="shared" si="174"/>
        <v>0</v>
      </c>
      <c r="P1154">
        <v>0.76526480849016765</v>
      </c>
      <c r="Q1154">
        <f t="shared" si="175"/>
        <v>0</v>
      </c>
      <c r="R1154">
        <f t="shared" si="176"/>
        <v>0</v>
      </c>
      <c r="S1154">
        <f t="shared" si="177"/>
        <v>1</v>
      </c>
      <c r="T1154">
        <f t="shared" si="178"/>
        <v>17353.810000000001</v>
      </c>
      <c r="U1154">
        <f t="shared" si="179"/>
        <v>9038.4499999999971</v>
      </c>
    </row>
    <row r="1155" spans="1:21" x14ac:dyDescent="0.3">
      <c r="A1155">
        <v>1154</v>
      </c>
      <c r="B1155">
        <v>43</v>
      </c>
      <c r="C1155" t="s">
        <v>10</v>
      </c>
      <c r="D1155">
        <v>36.799999999999997</v>
      </c>
      <c r="E1155">
        <v>126</v>
      </c>
      <c r="F1155" t="s">
        <v>12</v>
      </c>
      <c r="G1155">
        <v>2</v>
      </c>
      <c r="H1155" t="s">
        <v>12</v>
      </c>
      <c r="I1155" t="s">
        <v>14</v>
      </c>
      <c r="J1155">
        <v>26467.1</v>
      </c>
      <c r="K1155" t="str">
        <f t="shared" ref="K1155:K1218" si="180">IF(D1155&lt;20, "&lt;20", IF(D1155&lt;25, "20-25", IF(D1155&lt;30, "25-30", IF(D1155&lt;35, "30-35", "35+"))))</f>
        <v>35+</v>
      </c>
      <c r="L1155">
        <f t="shared" ref="L1155:L1218" si="181">D1155*Q1155</f>
        <v>0</v>
      </c>
      <c r="M1155">
        <f t="shared" ref="M1155:M1218" si="182">IF(I1155="southeast", 1, 0)</f>
        <v>0</v>
      </c>
      <c r="N1155">
        <f t="shared" ref="N1155:N1218" si="183">IF(I1155="southwest", 1, 0)</f>
        <v>0</v>
      </c>
      <c r="O1155">
        <f t="shared" ref="O1155:O1218" si="184">IF(I1155="northwest", 1, 0)</f>
        <v>1</v>
      </c>
      <c r="P1155">
        <v>0.58023383479643753</v>
      </c>
      <c r="Q1155">
        <f t="shared" ref="Q1155:Q1218" si="185">IF(H1155="Yes", 1, 0)</f>
        <v>0</v>
      </c>
      <c r="R1155">
        <f t="shared" ref="R1155:R1218" si="186">IF(F1155="yes", 1, 0)</f>
        <v>0</v>
      </c>
      <c r="S1155">
        <f t="shared" ref="S1155:S1218" si="187">IF(C1155="female", 1, 0)</f>
        <v>0</v>
      </c>
      <c r="T1155">
        <f t="shared" ref="T1155:T1218" si="188">-7277.71 + (-1.28*B1155) + (85.5*D1155) + (738.24*G1155) + (159.59*E1155) + (1259.19*L1155) + (-3644.73*M1155) + (-2956.11*N1155) + (-2948.04*O1155) + (-17828.85*Q1155) + (-69.06*R1155) + (444.95*S1155)</f>
        <v>14450.43</v>
      </c>
      <c r="U1155">
        <f t="shared" ref="U1155:U1218" si="189">J1155-T1155</f>
        <v>12016.669999999998</v>
      </c>
    </row>
    <row r="1156" spans="1:21" x14ac:dyDescent="0.3">
      <c r="A1156">
        <v>1155</v>
      </c>
      <c r="B1156">
        <v>31</v>
      </c>
      <c r="C1156" t="s">
        <v>10</v>
      </c>
      <c r="D1156">
        <v>23.8</v>
      </c>
      <c r="E1156">
        <v>126</v>
      </c>
      <c r="F1156" t="s">
        <v>11</v>
      </c>
      <c r="G1156">
        <v>0</v>
      </c>
      <c r="H1156" t="s">
        <v>11</v>
      </c>
      <c r="I1156" t="s">
        <v>13</v>
      </c>
      <c r="J1156">
        <v>26926.51</v>
      </c>
      <c r="K1156" t="str">
        <f t="shared" si="180"/>
        <v>20-25</v>
      </c>
      <c r="L1156">
        <f t="shared" si="181"/>
        <v>23.8</v>
      </c>
      <c r="M1156">
        <f t="shared" si="182"/>
        <v>1</v>
      </c>
      <c r="N1156">
        <f t="shared" si="183"/>
        <v>0</v>
      </c>
      <c r="O1156">
        <f t="shared" si="184"/>
        <v>0</v>
      </c>
      <c r="P1156">
        <v>0.80954666222214466</v>
      </c>
      <c r="Q1156">
        <f t="shared" si="185"/>
        <v>1</v>
      </c>
      <c r="R1156">
        <f t="shared" si="186"/>
        <v>1</v>
      </c>
      <c r="S1156">
        <f t="shared" si="187"/>
        <v>0</v>
      </c>
      <c r="T1156">
        <f t="shared" si="188"/>
        <v>23251.931999999997</v>
      </c>
      <c r="U1156">
        <f t="shared" si="189"/>
        <v>3674.5780000000013</v>
      </c>
    </row>
    <row r="1157" spans="1:21" x14ac:dyDescent="0.3">
      <c r="A1157">
        <v>1156</v>
      </c>
      <c r="B1157">
        <v>28</v>
      </c>
      <c r="C1157" t="s">
        <v>10</v>
      </c>
      <c r="D1157">
        <v>31.5</v>
      </c>
      <c r="E1157">
        <v>94</v>
      </c>
      <c r="F1157" t="s">
        <v>11</v>
      </c>
      <c r="G1157">
        <v>1</v>
      </c>
      <c r="H1157" t="s">
        <v>12</v>
      </c>
      <c r="I1157" t="s">
        <v>13</v>
      </c>
      <c r="J1157">
        <v>27000.98</v>
      </c>
      <c r="K1157" t="str">
        <f t="shared" si="180"/>
        <v>30-35</v>
      </c>
      <c r="L1157">
        <f t="shared" si="181"/>
        <v>0</v>
      </c>
      <c r="M1157">
        <f t="shared" si="182"/>
        <v>1</v>
      </c>
      <c r="N1157">
        <f t="shared" si="183"/>
        <v>0</v>
      </c>
      <c r="O1157">
        <f t="shared" si="184"/>
        <v>0</v>
      </c>
      <c r="P1157">
        <v>1.1857174612883492E-2</v>
      </c>
      <c r="Q1157">
        <f t="shared" si="185"/>
        <v>0</v>
      </c>
      <c r="R1157">
        <f t="shared" si="186"/>
        <v>1</v>
      </c>
      <c r="S1157">
        <f t="shared" si="187"/>
        <v>0</v>
      </c>
      <c r="T1157">
        <f t="shared" si="188"/>
        <v>7405.6100000000015</v>
      </c>
      <c r="U1157">
        <f t="shared" si="189"/>
        <v>19595.37</v>
      </c>
    </row>
    <row r="1158" spans="1:21" x14ac:dyDescent="0.3">
      <c r="A1158">
        <v>1157</v>
      </c>
      <c r="B1158">
        <v>46</v>
      </c>
      <c r="C1158" t="s">
        <v>16</v>
      </c>
      <c r="D1158">
        <v>23</v>
      </c>
      <c r="E1158">
        <v>137</v>
      </c>
      <c r="F1158" t="s">
        <v>11</v>
      </c>
      <c r="G1158">
        <v>0</v>
      </c>
      <c r="H1158" t="s">
        <v>11</v>
      </c>
      <c r="I1158" t="s">
        <v>13</v>
      </c>
      <c r="J1158">
        <v>27037.91</v>
      </c>
      <c r="K1158" t="str">
        <f t="shared" si="180"/>
        <v>20-25</v>
      </c>
      <c r="L1158">
        <f t="shared" si="181"/>
        <v>23</v>
      </c>
      <c r="M1158">
        <f t="shared" si="182"/>
        <v>1</v>
      </c>
      <c r="N1158">
        <f t="shared" si="183"/>
        <v>0</v>
      </c>
      <c r="O1158">
        <f t="shared" si="184"/>
        <v>0</v>
      </c>
      <c r="P1158">
        <v>0.24284015829426686</v>
      </c>
      <c r="Q1158">
        <f t="shared" si="185"/>
        <v>1</v>
      </c>
      <c r="R1158">
        <f t="shared" si="186"/>
        <v>1</v>
      </c>
      <c r="S1158">
        <f t="shared" si="187"/>
        <v>1</v>
      </c>
      <c r="T1158">
        <f t="shared" si="188"/>
        <v>24357.42</v>
      </c>
      <c r="U1158">
        <f t="shared" si="189"/>
        <v>2680.4900000000016</v>
      </c>
    </row>
    <row r="1159" spans="1:21" x14ac:dyDescent="0.3">
      <c r="A1159">
        <v>1158</v>
      </c>
      <c r="B1159">
        <v>30</v>
      </c>
      <c r="C1159" t="s">
        <v>16</v>
      </c>
      <c r="D1159">
        <v>24.9</v>
      </c>
      <c r="E1159">
        <v>91</v>
      </c>
      <c r="F1159" t="s">
        <v>11</v>
      </c>
      <c r="G1159">
        <v>0</v>
      </c>
      <c r="H1159" t="s">
        <v>12</v>
      </c>
      <c r="I1159" t="s">
        <v>13</v>
      </c>
      <c r="J1159">
        <v>27117.99</v>
      </c>
      <c r="K1159" t="str">
        <f t="shared" si="180"/>
        <v>20-25</v>
      </c>
      <c r="L1159">
        <f t="shared" si="181"/>
        <v>0</v>
      </c>
      <c r="M1159">
        <f t="shared" si="182"/>
        <v>1</v>
      </c>
      <c r="N1159">
        <f t="shared" si="183"/>
        <v>0</v>
      </c>
      <c r="O1159">
        <f t="shared" si="184"/>
        <v>0</v>
      </c>
      <c r="P1159">
        <v>0.58907354546331947</v>
      </c>
      <c r="Q1159">
        <f t="shared" si="185"/>
        <v>0</v>
      </c>
      <c r="R1159">
        <f t="shared" si="186"/>
        <v>1</v>
      </c>
      <c r="S1159">
        <f t="shared" si="187"/>
        <v>1</v>
      </c>
      <c r="T1159">
        <f t="shared" si="188"/>
        <v>6066.6900000000005</v>
      </c>
      <c r="U1159">
        <f t="shared" si="189"/>
        <v>21051.300000000003</v>
      </c>
    </row>
    <row r="1160" spans="1:21" x14ac:dyDescent="0.3">
      <c r="A1160">
        <v>1159</v>
      </c>
      <c r="B1160">
        <v>20</v>
      </c>
      <c r="C1160" t="s">
        <v>10</v>
      </c>
      <c r="D1160">
        <v>29</v>
      </c>
      <c r="E1160">
        <v>101</v>
      </c>
      <c r="F1160" t="s">
        <v>12</v>
      </c>
      <c r="G1160">
        <v>0</v>
      </c>
      <c r="H1160" t="s">
        <v>11</v>
      </c>
      <c r="I1160" t="s">
        <v>17</v>
      </c>
      <c r="J1160">
        <v>27218.44</v>
      </c>
      <c r="K1160" t="str">
        <f t="shared" si="180"/>
        <v>25-30</v>
      </c>
      <c r="L1160">
        <f t="shared" si="181"/>
        <v>29</v>
      </c>
      <c r="M1160">
        <f t="shared" si="182"/>
        <v>0</v>
      </c>
      <c r="N1160">
        <f t="shared" si="183"/>
        <v>0</v>
      </c>
      <c r="O1160">
        <f t="shared" si="184"/>
        <v>0</v>
      </c>
      <c r="P1160">
        <v>1.9518897780492428E-2</v>
      </c>
      <c r="Q1160">
        <f t="shared" si="185"/>
        <v>1</v>
      </c>
      <c r="R1160">
        <f t="shared" si="186"/>
        <v>0</v>
      </c>
      <c r="S1160">
        <f t="shared" si="187"/>
        <v>0</v>
      </c>
      <c r="T1160">
        <f t="shared" si="188"/>
        <v>29982.440000000002</v>
      </c>
      <c r="U1160">
        <f t="shared" si="189"/>
        <v>-2764.0000000000036</v>
      </c>
    </row>
    <row r="1161" spans="1:21" x14ac:dyDescent="0.3">
      <c r="A1161">
        <v>1160</v>
      </c>
      <c r="B1161">
        <v>30</v>
      </c>
      <c r="C1161" t="s">
        <v>16</v>
      </c>
      <c r="D1161">
        <v>31.9</v>
      </c>
      <c r="E1161">
        <v>87</v>
      </c>
      <c r="F1161" t="s">
        <v>11</v>
      </c>
      <c r="G1161">
        <v>3</v>
      </c>
      <c r="H1161" t="s">
        <v>12</v>
      </c>
      <c r="I1161" t="s">
        <v>13</v>
      </c>
      <c r="J1161">
        <v>27322.73</v>
      </c>
      <c r="K1161" t="str">
        <f t="shared" si="180"/>
        <v>30-35</v>
      </c>
      <c r="L1161">
        <f t="shared" si="181"/>
        <v>0</v>
      </c>
      <c r="M1161">
        <f t="shared" si="182"/>
        <v>1</v>
      </c>
      <c r="N1161">
        <f t="shared" si="183"/>
        <v>0</v>
      </c>
      <c r="O1161">
        <f t="shared" si="184"/>
        <v>0</v>
      </c>
      <c r="P1161">
        <v>0.66761812664736586</v>
      </c>
      <c r="Q1161">
        <f t="shared" si="185"/>
        <v>0</v>
      </c>
      <c r="R1161">
        <f t="shared" si="186"/>
        <v>1</v>
      </c>
      <c r="S1161">
        <f t="shared" si="187"/>
        <v>1</v>
      </c>
      <c r="T1161">
        <f t="shared" si="188"/>
        <v>8241.5499999999993</v>
      </c>
      <c r="U1161">
        <f t="shared" si="189"/>
        <v>19081.18</v>
      </c>
    </row>
    <row r="1162" spans="1:21" x14ac:dyDescent="0.3">
      <c r="A1162">
        <v>1161</v>
      </c>
      <c r="B1162">
        <v>36</v>
      </c>
      <c r="C1162" t="s">
        <v>10</v>
      </c>
      <c r="D1162">
        <v>31.4</v>
      </c>
      <c r="E1162">
        <v>81</v>
      </c>
      <c r="F1162" t="s">
        <v>11</v>
      </c>
      <c r="G1162">
        <v>0</v>
      </c>
      <c r="H1162" t="s">
        <v>12</v>
      </c>
      <c r="I1162" t="s">
        <v>13</v>
      </c>
      <c r="J1162">
        <v>27346.04</v>
      </c>
      <c r="K1162" t="str">
        <f t="shared" si="180"/>
        <v>30-35</v>
      </c>
      <c r="L1162">
        <f t="shared" si="181"/>
        <v>0</v>
      </c>
      <c r="M1162">
        <f t="shared" si="182"/>
        <v>1</v>
      </c>
      <c r="N1162">
        <f t="shared" si="183"/>
        <v>0</v>
      </c>
      <c r="O1162">
        <f t="shared" si="184"/>
        <v>0</v>
      </c>
      <c r="P1162">
        <v>0.66488015820000301</v>
      </c>
      <c r="Q1162">
        <f t="shared" si="185"/>
        <v>0</v>
      </c>
      <c r="R1162">
        <f t="shared" si="186"/>
        <v>1</v>
      </c>
      <c r="S1162">
        <f t="shared" si="187"/>
        <v>0</v>
      </c>
      <c r="T1162">
        <f t="shared" si="188"/>
        <v>4573.9100000000008</v>
      </c>
      <c r="U1162">
        <f t="shared" si="189"/>
        <v>22772.13</v>
      </c>
    </row>
    <row r="1163" spans="1:21" x14ac:dyDescent="0.3">
      <c r="A1163">
        <v>1162</v>
      </c>
      <c r="B1163">
        <v>22</v>
      </c>
      <c r="C1163" t="s">
        <v>10</v>
      </c>
      <c r="D1163">
        <v>22.4</v>
      </c>
      <c r="E1163">
        <v>137</v>
      </c>
      <c r="F1163" t="s">
        <v>11</v>
      </c>
      <c r="G1163">
        <v>2</v>
      </c>
      <c r="H1163" t="s">
        <v>12</v>
      </c>
      <c r="I1163" t="s">
        <v>17</v>
      </c>
      <c r="J1163">
        <v>27375.9</v>
      </c>
      <c r="K1163" t="str">
        <f t="shared" si="180"/>
        <v>20-25</v>
      </c>
      <c r="L1163">
        <f t="shared" si="181"/>
        <v>0</v>
      </c>
      <c r="M1163">
        <f t="shared" si="182"/>
        <v>0</v>
      </c>
      <c r="N1163">
        <f t="shared" si="183"/>
        <v>0</v>
      </c>
      <c r="O1163">
        <f t="shared" si="184"/>
        <v>0</v>
      </c>
      <c r="P1163">
        <v>0.35158145651887329</v>
      </c>
      <c r="Q1163">
        <f t="shared" si="185"/>
        <v>0</v>
      </c>
      <c r="R1163">
        <f t="shared" si="186"/>
        <v>1</v>
      </c>
      <c r="S1163">
        <f t="shared" si="187"/>
        <v>0</v>
      </c>
      <c r="T1163">
        <f t="shared" si="188"/>
        <v>17880.580000000002</v>
      </c>
      <c r="U1163">
        <f t="shared" si="189"/>
        <v>9495.32</v>
      </c>
    </row>
    <row r="1164" spans="1:21" x14ac:dyDescent="0.3">
      <c r="A1164">
        <v>1163</v>
      </c>
      <c r="B1164">
        <v>49</v>
      </c>
      <c r="C1164" t="s">
        <v>16</v>
      </c>
      <c r="D1164">
        <v>29.8</v>
      </c>
      <c r="E1164">
        <v>92</v>
      </c>
      <c r="F1164" t="s">
        <v>11</v>
      </c>
      <c r="G1164">
        <v>0</v>
      </c>
      <c r="H1164" t="s">
        <v>11</v>
      </c>
      <c r="I1164" t="s">
        <v>13</v>
      </c>
      <c r="J1164">
        <v>27533.91</v>
      </c>
      <c r="K1164" t="str">
        <f t="shared" si="180"/>
        <v>25-30</v>
      </c>
      <c r="L1164">
        <f t="shared" si="181"/>
        <v>29.8</v>
      </c>
      <c r="M1164">
        <f t="shared" si="182"/>
        <v>1</v>
      </c>
      <c r="N1164">
        <f t="shared" si="183"/>
        <v>0</v>
      </c>
      <c r="O1164">
        <f t="shared" si="184"/>
        <v>0</v>
      </c>
      <c r="P1164">
        <v>0.30419071245323215</v>
      </c>
      <c r="Q1164">
        <f t="shared" si="185"/>
        <v>1</v>
      </c>
      <c r="R1164">
        <f t="shared" si="186"/>
        <v>1</v>
      </c>
      <c r="S1164">
        <f t="shared" si="187"/>
        <v>1</v>
      </c>
      <c r="T1164">
        <f t="shared" si="188"/>
        <v>26315.921999999999</v>
      </c>
      <c r="U1164">
        <f t="shared" si="189"/>
        <v>1217.9880000000012</v>
      </c>
    </row>
    <row r="1165" spans="1:21" x14ac:dyDescent="0.3">
      <c r="A1165">
        <v>1164</v>
      </c>
      <c r="B1165">
        <v>37</v>
      </c>
      <c r="C1165" t="s">
        <v>10</v>
      </c>
      <c r="D1165">
        <v>35.299999999999997</v>
      </c>
      <c r="E1165">
        <v>81</v>
      </c>
      <c r="F1165" t="s">
        <v>12</v>
      </c>
      <c r="G1165">
        <v>1</v>
      </c>
      <c r="H1165" t="s">
        <v>12</v>
      </c>
      <c r="I1165" t="s">
        <v>13</v>
      </c>
      <c r="J1165">
        <v>27724.29</v>
      </c>
      <c r="K1165" t="str">
        <f t="shared" si="180"/>
        <v>35+</v>
      </c>
      <c r="L1165">
        <f t="shared" si="181"/>
        <v>0</v>
      </c>
      <c r="M1165">
        <f t="shared" si="182"/>
        <v>1</v>
      </c>
      <c r="N1165">
        <f t="shared" si="183"/>
        <v>0</v>
      </c>
      <c r="O1165">
        <f t="shared" si="184"/>
        <v>0</v>
      </c>
      <c r="P1165">
        <v>0.60318620429732228</v>
      </c>
      <c r="Q1165">
        <f t="shared" si="185"/>
        <v>0</v>
      </c>
      <c r="R1165">
        <f t="shared" si="186"/>
        <v>0</v>
      </c>
      <c r="S1165">
        <f t="shared" si="187"/>
        <v>0</v>
      </c>
      <c r="T1165">
        <f t="shared" si="188"/>
        <v>5713.380000000001</v>
      </c>
      <c r="U1165">
        <f t="shared" si="189"/>
        <v>22010.91</v>
      </c>
    </row>
    <row r="1166" spans="1:21" x14ac:dyDescent="0.3">
      <c r="A1166">
        <v>1165</v>
      </c>
      <c r="B1166">
        <v>53</v>
      </c>
      <c r="C1166" t="s">
        <v>16</v>
      </c>
      <c r="D1166">
        <v>26.3</v>
      </c>
      <c r="E1166">
        <v>119</v>
      </c>
      <c r="F1166" t="s">
        <v>12</v>
      </c>
      <c r="G1166">
        <v>0</v>
      </c>
      <c r="H1166" t="s">
        <v>11</v>
      </c>
      <c r="I1166" t="s">
        <v>13</v>
      </c>
      <c r="J1166">
        <v>27808.73</v>
      </c>
      <c r="K1166" t="str">
        <f t="shared" si="180"/>
        <v>25-30</v>
      </c>
      <c r="L1166">
        <f t="shared" si="181"/>
        <v>26.3</v>
      </c>
      <c r="M1166">
        <f t="shared" si="182"/>
        <v>1</v>
      </c>
      <c r="N1166">
        <f t="shared" si="183"/>
        <v>0</v>
      </c>
      <c r="O1166">
        <f t="shared" si="184"/>
        <v>0</v>
      </c>
      <c r="P1166">
        <v>0.4009533485683745</v>
      </c>
      <c r="Q1166">
        <f t="shared" si="185"/>
        <v>1</v>
      </c>
      <c r="R1166">
        <f t="shared" si="186"/>
        <v>0</v>
      </c>
      <c r="S1166">
        <f t="shared" si="187"/>
        <v>1</v>
      </c>
      <c r="T1166">
        <f t="shared" si="188"/>
        <v>25982.376999999997</v>
      </c>
      <c r="U1166">
        <f t="shared" si="189"/>
        <v>1826.3530000000028</v>
      </c>
    </row>
    <row r="1167" spans="1:21" x14ac:dyDescent="0.3">
      <c r="A1167">
        <v>1166</v>
      </c>
      <c r="B1167">
        <v>22</v>
      </c>
      <c r="C1167" t="s">
        <v>10</v>
      </c>
      <c r="D1167">
        <v>36.1</v>
      </c>
      <c r="E1167">
        <v>80</v>
      </c>
      <c r="F1167" t="s">
        <v>12</v>
      </c>
      <c r="G1167">
        <v>3</v>
      </c>
      <c r="H1167" t="s">
        <v>12</v>
      </c>
      <c r="I1167" t="s">
        <v>15</v>
      </c>
      <c r="J1167">
        <v>27941.29</v>
      </c>
      <c r="K1167" t="str">
        <f t="shared" si="180"/>
        <v>35+</v>
      </c>
      <c r="L1167">
        <f t="shared" si="181"/>
        <v>0</v>
      </c>
      <c r="M1167">
        <f t="shared" si="182"/>
        <v>0</v>
      </c>
      <c r="N1167">
        <f t="shared" si="183"/>
        <v>1</v>
      </c>
      <c r="O1167">
        <f t="shared" si="184"/>
        <v>0</v>
      </c>
      <c r="P1167">
        <v>0.85376584311231385</v>
      </c>
      <c r="Q1167">
        <f t="shared" si="185"/>
        <v>0</v>
      </c>
      <c r="R1167">
        <f t="shared" si="186"/>
        <v>0</v>
      </c>
      <c r="S1167">
        <f t="shared" si="187"/>
        <v>0</v>
      </c>
      <c r="T1167">
        <f t="shared" si="188"/>
        <v>7806.4900000000016</v>
      </c>
      <c r="U1167">
        <f t="shared" si="189"/>
        <v>20134.8</v>
      </c>
    </row>
    <row r="1168" spans="1:21" x14ac:dyDescent="0.3">
      <c r="A1168">
        <v>1167</v>
      </c>
      <c r="B1168">
        <v>23</v>
      </c>
      <c r="C1168" t="s">
        <v>10</v>
      </c>
      <c r="D1168">
        <v>26.7</v>
      </c>
      <c r="E1168">
        <v>123</v>
      </c>
      <c r="F1168" t="s">
        <v>11</v>
      </c>
      <c r="G1168">
        <v>0</v>
      </c>
      <c r="H1168" t="s">
        <v>11</v>
      </c>
      <c r="I1168" t="s">
        <v>17</v>
      </c>
      <c r="J1168">
        <v>28101.33</v>
      </c>
      <c r="K1168" t="str">
        <f t="shared" si="180"/>
        <v>25-30</v>
      </c>
      <c r="L1168">
        <f t="shared" si="181"/>
        <v>26.7</v>
      </c>
      <c r="M1168">
        <f t="shared" si="182"/>
        <v>0</v>
      </c>
      <c r="N1168">
        <f t="shared" si="183"/>
        <v>0</v>
      </c>
      <c r="O1168">
        <f t="shared" si="184"/>
        <v>0</v>
      </c>
      <c r="P1168">
        <v>0.93086958453069779</v>
      </c>
      <c r="Q1168">
        <f t="shared" si="185"/>
        <v>1</v>
      </c>
      <c r="R1168">
        <f t="shared" si="186"/>
        <v>1</v>
      </c>
      <c r="S1168">
        <f t="shared" si="187"/>
        <v>0</v>
      </c>
      <c r="T1168">
        <f t="shared" si="188"/>
        <v>30327.732999999997</v>
      </c>
      <c r="U1168">
        <f t="shared" si="189"/>
        <v>-2226.4029999999948</v>
      </c>
    </row>
    <row r="1169" spans="1:21" x14ac:dyDescent="0.3">
      <c r="A1169">
        <v>1168</v>
      </c>
      <c r="B1169">
        <v>33</v>
      </c>
      <c r="C1169" t="s">
        <v>16</v>
      </c>
      <c r="D1169">
        <v>36.5</v>
      </c>
      <c r="E1169">
        <v>118</v>
      </c>
      <c r="F1169" t="s">
        <v>12</v>
      </c>
      <c r="G1169">
        <v>1</v>
      </c>
      <c r="H1169" t="s">
        <v>12</v>
      </c>
      <c r="I1169" t="s">
        <v>13</v>
      </c>
      <c r="J1169">
        <v>28287.9</v>
      </c>
      <c r="K1169" t="str">
        <f t="shared" si="180"/>
        <v>35+</v>
      </c>
      <c r="L1169">
        <f t="shared" si="181"/>
        <v>0</v>
      </c>
      <c r="M1169">
        <f t="shared" si="182"/>
        <v>1</v>
      </c>
      <c r="N1169">
        <f t="shared" si="183"/>
        <v>0</v>
      </c>
      <c r="O1169">
        <f t="shared" si="184"/>
        <v>0</v>
      </c>
      <c r="P1169">
        <v>0.97073747554442957</v>
      </c>
      <c r="Q1169">
        <f t="shared" si="185"/>
        <v>0</v>
      </c>
      <c r="R1169">
        <f t="shared" si="186"/>
        <v>0</v>
      </c>
      <c r="S1169">
        <f t="shared" si="187"/>
        <v>1</v>
      </c>
      <c r="T1169">
        <f t="shared" si="188"/>
        <v>12170.880000000001</v>
      </c>
      <c r="U1169">
        <f t="shared" si="189"/>
        <v>16117.02</v>
      </c>
    </row>
    <row r="1170" spans="1:21" x14ac:dyDescent="0.3">
      <c r="A1170">
        <v>1169</v>
      </c>
      <c r="B1170">
        <v>36</v>
      </c>
      <c r="C1170" t="s">
        <v>16</v>
      </c>
      <c r="D1170">
        <v>27.6</v>
      </c>
      <c r="E1170">
        <v>118</v>
      </c>
      <c r="F1170" t="s">
        <v>12</v>
      </c>
      <c r="G1170">
        <v>1</v>
      </c>
      <c r="H1170" t="s">
        <v>12</v>
      </c>
      <c r="I1170" t="s">
        <v>14</v>
      </c>
      <c r="J1170">
        <v>28340.19</v>
      </c>
      <c r="K1170" t="str">
        <f t="shared" si="180"/>
        <v>25-30</v>
      </c>
      <c r="L1170">
        <f t="shared" si="181"/>
        <v>0</v>
      </c>
      <c r="M1170">
        <f t="shared" si="182"/>
        <v>0</v>
      </c>
      <c r="N1170">
        <f t="shared" si="183"/>
        <v>0</v>
      </c>
      <c r="O1170">
        <f t="shared" si="184"/>
        <v>1</v>
      </c>
      <c r="P1170">
        <v>0.45291211852919266</v>
      </c>
      <c r="Q1170">
        <f t="shared" si="185"/>
        <v>0</v>
      </c>
      <c r="R1170">
        <f t="shared" si="186"/>
        <v>0</v>
      </c>
      <c r="S1170">
        <f t="shared" si="187"/>
        <v>1</v>
      </c>
      <c r="T1170">
        <f t="shared" si="188"/>
        <v>12102.779999999999</v>
      </c>
      <c r="U1170">
        <f t="shared" si="189"/>
        <v>16237.41</v>
      </c>
    </row>
    <row r="1171" spans="1:21" x14ac:dyDescent="0.3">
      <c r="A1171">
        <v>1170</v>
      </c>
      <c r="B1171">
        <v>27</v>
      </c>
      <c r="C1171" t="s">
        <v>10</v>
      </c>
      <c r="D1171">
        <v>36.700000000000003</v>
      </c>
      <c r="E1171">
        <v>130</v>
      </c>
      <c r="F1171" t="s">
        <v>12</v>
      </c>
      <c r="G1171">
        <v>1</v>
      </c>
      <c r="H1171" t="s">
        <v>12</v>
      </c>
      <c r="I1171" t="s">
        <v>14</v>
      </c>
      <c r="J1171">
        <v>28468.92</v>
      </c>
      <c r="K1171" t="str">
        <f t="shared" si="180"/>
        <v>35+</v>
      </c>
      <c r="L1171">
        <f t="shared" si="181"/>
        <v>0</v>
      </c>
      <c r="M1171">
        <f t="shared" si="182"/>
        <v>0</v>
      </c>
      <c r="N1171">
        <f t="shared" si="183"/>
        <v>0</v>
      </c>
      <c r="O1171">
        <f t="shared" si="184"/>
        <v>1</v>
      </c>
      <c r="P1171">
        <v>0.46136521606979453</v>
      </c>
      <c r="Q1171">
        <f t="shared" si="185"/>
        <v>0</v>
      </c>
      <c r="R1171">
        <f t="shared" si="186"/>
        <v>0</v>
      </c>
      <c r="S1171">
        <f t="shared" si="187"/>
        <v>0</v>
      </c>
      <c r="T1171">
        <f t="shared" si="188"/>
        <v>14362.48</v>
      </c>
      <c r="U1171">
        <f t="shared" si="189"/>
        <v>14106.439999999999</v>
      </c>
    </row>
    <row r="1172" spans="1:21" x14ac:dyDescent="0.3">
      <c r="A1172">
        <v>1171</v>
      </c>
      <c r="B1172">
        <v>27</v>
      </c>
      <c r="C1172" t="s">
        <v>16</v>
      </c>
      <c r="D1172">
        <v>41.4</v>
      </c>
      <c r="E1172">
        <v>95</v>
      </c>
      <c r="F1172" t="s">
        <v>12</v>
      </c>
      <c r="G1172">
        <v>1</v>
      </c>
      <c r="H1172" t="s">
        <v>12</v>
      </c>
      <c r="I1172" t="s">
        <v>14</v>
      </c>
      <c r="J1172">
        <v>28476.73</v>
      </c>
      <c r="K1172" t="str">
        <f t="shared" si="180"/>
        <v>35+</v>
      </c>
      <c r="L1172">
        <f t="shared" si="181"/>
        <v>0</v>
      </c>
      <c r="M1172">
        <f t="shared" si="182"/>
        <v>0</v>
      </c>
      <c r="N1172">
        <f t="shared" si="183"/>
        <v>0</v>
      </c>
      <c r="O1172">
        <f t="shared" si="184"/>
        <v>1</v>
      </c>
      <c r="P1172">
        <v>0.5313235140693876</v>
      </c>
      <c r="Q1172">
        <f t="shared" si="185"/>
        <v>0</v>
      </c>
      <c r="R1172">
        <f t="shared" si="186"/>
        <v>0</v>
      </c>
      <c r="S1172">
        <f t="shared" si="187"/>
        <v>1</v>
      </c>
      <c r="T1172">
        <f t="shared" si="188"/>
        <v>9623.630000000001</v>
      </c>
      <c r="U1172">
        <f t="shared" si="189"/>
        <v>18853.099999999999</v>
      </c>
    </row>
    <row r="1173" spans="1:21" x14ac:dyDescent="0.3">
      <c r="A1173">
        <v>1172</v>
      </c>
      <c r="B1173">
        <v>38</v>
      </c>
      <c r="C1173" t="s">
        <v>10</v>
      </c>
      <c r="D1173">
        <v>28.3</v>
      </c>
      <c r="E1173">
        <v>93</v>
      </c>
      <c r="F1173" t="s">
        <v>12</v>
      </c>
      <c r="G1173">
        <v>1</v>
      </c>
      <c r="H1173" t="s">
        <v>11</v>
      </c>
      <c r="I1173" t="s">
        <v>14</v>
      </c>
      <c r="J1173">
        <v>28868.66</v>
      </c>
      <c r="K1173" t="str">
        <f t="shared" si="180"/>
        <v>25-30</v>
      </c>
      <c r="L1173">
        <f t="shared" si="181"/>
        <v>28.3</v>
      </c>
      <c r="M1173">
        <f t="shared" si="182"/>
        <v>0</v>
      </c>
      <c r="N1173">
        <f t="shared" si="183"/>
        <v>0</v>
      </c>
      <c r="O1173">
        <f t="shared" si="184"/>
        <v>1</v>
      </c>
      <c r="P1173">
        <v>0.67069017413667631</v>
      </c>
      <c r="Q1173">
        <f t="shared" si="185"/>
        <v>1</v>
      </c>
      <c r="R1173">
        <f t="shared" si="186"/>
        <v>0</v>
      </c>
      <c r="S1173">
        <f t="shared" si="187"/>
        <v>0</v>
      </c>
      <c r="T1173">
        <f t="shared" si="188"/>
        <v>25531.597000000009</v>
      </c>
      <c r="U1173">
        <f t="shared" si="189"/>
        <v>3337.062999999991</v>
      </c>
    </row>
    <row r="1174" spans="1:21" x14ac:dyDescent="0.3">
      <c r="A1174">
        <v>1173</v>
      </c>
      <c r="B1174">
        <v>57</v>
      </c>
      <c r="C1174" t="s">
        <v>16</v>
      </c>
      <c r="D1174">
        <v>25.8</v>
      </c>
      <c r="E1174">
        <v>98</v>
      </c>
      <c r="F1174" t="s">
        <v>11</v>
      </c>
      <c r="G1174">
        <v>0</v>
      </c>
      <c r="H1174" t="s">
        <v>12</v>
      </c>
      <c r="I1174" t="s">
        <v>14</v>
      </c>
      <c r="J1174">
        <v>28923.14</v>
      </c>
      <c r="K1174" t="str">
        <f t="shared" si="180"/>
        <v>25-30</v>
      </c>
      <c r="L1174">
        <f t="shared" si="181"/>
        <v>0</v>
      </c>
      <c r="M1174">
        <f t="shared" si="182"/>
        <v>0</v>
      </c>
      <c r="N1174">
        <f t="shared" si="183"/>
        <v>0</v>
      </c>
      <c r="O1174">
        <f t="shared" si="184"/>
        <v>1</v>
      </c>
      <c r="P1174">
        <v>9.4552639631913737E-2</v>
      </c>
      <c r="Q1174">
        <f t="shared" si="185"/>
        <v>0</v>
      </c>
      <c r="R1174">
        <f t="shared" si="186"/>
        <v>1</v>
      </c>
      <c r="S1174">
        <f t="shared" si="187"/>
        <v>1</v>
      </c>
      <c r="T1174">
        <f t="shared" si="188"/>
        <v>7922.8999999999987</v>
      </c>
      <c r="U1174">
        <f t="shared" si="189"/>
        <v>21000.240000000002</v>
      </c>
    </row>
    <row r="1175" spans="1:21" x14ac:dyDescent="0.3">
      <c r="A1175">
        <v>1174</v>
      </c>
      <c r="B1175">
        <v>30</v>
      </c>
      <c r="C1175" t="s">
        <v>16</v>
      </c>
      <c r="D1175">
        <v>27</v>
      </c>
      <c r="E1175">
        <v>113</v>
      </c>
      <c r="F1175" t="s">
        <v>12</v>
      </c>
      <c r="G1175">
        <v>0</v>
      </c>
      <c r="H1175" t="s">
        <v>11</v>
      </c>
      <c r="I1175" t="s">
        <v>14</v>
      </c>
      <c r="J1175">
        <v>28950.47</v>
      </c>
      <c r="K1175" t="str">
        <f t="shared" si="180"/>
        <v>25-30</v>
      </c>
      <c r="L1175">
        <f t="shared" si="181"/>
        <v>27</v>
      </c>
      <c r="M1175">
        <f t="shared" si="182"/>
        <v>0</v>
      </c>
      <c r="N1175">
        <f t="shared" si="183"/>
        <v>0</v>
      </c>
      <c r="O1175">
        <f t="shared" si="184"/>
        <v>1</v>
      </c>
      <c r="P1175">
        <v>0.53282905331300923</v>
      </c>
      <c r="Q1175">
        <f t="shared" si="185"/>
        <v>1</v>
      </c>
      <c r="R1175">
        <f t="shared" si="186"/>
        <v>0</v>
      </c>
      <c r="S1175">
        <f t="shared" si="187"/>
        <v>1</v>
      </c>
      <c r="T1175">
        <f t="shared" si="188"/>
        <v>26692.250000000004</v>
      </c>
      <c r="U1175">
        <f t="shared" si="189"/>
        <v>2258.2199999999975</v>
      </c>
    </row>
    <row r="1176" spans="1:21" x14ac:dyDescent="0.3">
      <c r="A1176">
        <v>1175</v>
      </c>
      <c r="B1176">
        <v>44</v>
      </c>
      <c r="C1176" t="s">
        <v>16</v>
      </c>
      <c r="D1176">
        <v>29.1</v>
      </c>
      <c r="E1176">
        <v>139</v>
      </c>
      <c r="F1176" t="s">
        <v>12</v>
      </c>
      <c r="G1176">
        <v>0</v>
      </c>
      <c r="H1176" t="s">
        <v>11</v>
      </c>
      <c r="I1176" t="s">
        <v>14</v>
      </c>
      <c r="J1176">
        <v>29141.360000000001</v>
      </c>
      <c r="K1176" t="str">
        <f t="shared" si="180"/>
        <v>25-30</v>
      </c>
      <c r="L1176">
        <f t="shared" si="181"/>
        <v>29.1</v>
      </c>
      <c r="M1176">
        <f t="shared" si="182"/>
        <v>0</v>
      </c>
      <c r="N1176">
        <f t="shared" si="183"/>
        <v>0</v>
      </c>
      <c r="O1176">
        <f t="shared" si="184"/>
        <v>1</v>
      </c>
      <c r="P1176">
        <v>0.35741906041203375</v>
      </c>
      <c r="Q1176">
        <f t="shared" si="185"/>
        <v>1</v>
      </c>
      <c r="R1176">
        <f t="shared" si="186"/>
        <v>0</v>
      </c>
      <c r="S1176">
        <f t="shared" si="187"/>
        <v>1</v>
      </c>
      <c r="T1176">
        <f t="shared" si="188"/>
        <v>33647.519</v>
      </c>
      <c r="U1176">
        <f t="shared" si="189"/>
        <v>-4506.1589999999997</v>
      </c>
    </row>
    <row r="1177" spans="1:21" x14ac:dyDescent="0.3">
      <c r="A1177">
        <v>1176</v>
      </c>
      <c r="B1177">
        <v>52</v>
      </c>
      <c r="C1177" t="s">
        <v>16</v>
      </c>
      <c r="D1177">
        <v>32.299999999999997</v>
      </c>
      <c r="E1177">
        <v>99</v>
      </c>
      <c r="F1177" t="s">
        <v>11</v>
      </c>
      <c r="G1177">
        <v>2</v>
      </c>
      <c r="H1177" t="s">
        <v>12</v>
      </c>
      <c r="I1177" t="s">
        <v>17</v>
      </c>
      <c r="J1177">
        <v>29186.48</v>
      </c>
      <c r="K1177" t="str">
        <f t="shared" si="180"/>
        <v>30-35</v>
      </c>
      <c r="L1177">
        <f t="shared" si="181"/>
        <v>0</v>
      </c>
      <c r="M1177">
        <f t="shared" si="182"/>
        <v>0</v>
      </c>
      <c r="N1177">
        <f t="shared" si="183"/>
        <v>0</v>
      </c>
      <c r="O1177">
        <f t="shared" si="184"/>
        <v>0</v>
      </c>
      <c r="P1177">
        <v>0.63053213660741358</v>
      </c>
      <c r="Q1177">
        <f t="shared" si="185"/>
        <v>0</v>
      </c>
      <c r="R1177">
        <f t="shared" si="186"/>
        <v>1</v>
      </c>
      <c r="S1177">
        <f t="shared" si="187"/>
        <v>1</v>
      </c>
      <c r="T1177">
        <f t="shared" si="188"/>
        <v>13069.16</v>
      </c>
      <c r="U1177">
        <f t="shared" si="189"/>
        <v>16117.32</v>
      </c>
    </row>
    <row r="1178" spans="1:21" x14ac:dyDescent="0.3">
      <c r="A1178">
        <v>1177</v>
      </c>
      <c r="B1178">
        <v>47</v>
      </c>
      <c r="C1178" t="s">
        <v>16</v>
      </c>
      <c r="D1178">
        <v>26.9</v>
      </c>
      <c r="E1178">
        <v>114</v>
      </c>
      <c r="F1178" t="s">
        <v>11</v>
      </c>
      <c r="G1178">
        <v>0</v>
      </c>
      <c r="H1178" t="s">
        <v>11</v>
      </c>
      <c r="I1178" t="s">
        <v>14</v>
      </c>
      <c r="J1178">
        <v>29330.98</v>
      </c>
      <c r="K1178" t="str">
        <f t="shared" si="180"/>
        <v>25-30</v>
      </c>
      <c r="L1178">
        <f t="shared" si="181"/>
        <v>26.9</v>
      </c>
      <c r="M1178">
        <f t="shared" si="182"/>
        <v>0</v>
      </c>
      <c r="N1178">
        <f t="shared" si="183"/>
        <v>0</v>
      </c>
      <c r="O1178">
        <f t="shared" si="184"/>
        <v>1</v>
      </c>
      <c r="P1178">
        <v>0.25180919204139907</v>
      </c>
      <c r="Q1178">
        <f t="shared" si="185"/>
        <v>1</v>
      </c>
      <c r="R1178">
        <f t="shared" si="186"/>
        <v>1</v>
      </c>
      <c r="S1178">
        <f t="shared" si="187"/>
        <v>1</v>
      </c>
      <c r="T1178">
        <f t="shared" si="188"/>
        <v>26626.551000000007</v>
      </c>
      <c r="U1178">
        <f t="shared" si="189"/>
        <v>2704.4289999999928</v>
      </c>
    </row>
    <row r="1179" spans="1:21" x14ac:dyDescent="0.3">
      <c r="A1179">
        <v>1178</v>
      </c>
      <c r="B1179">
        <v>55</v>
      </c>
      <c r="C1179" t="s">
        <v>16</v>
      </c>
      <c r="D1179">
        <v>27.7</v>
      </c>
      <c r="E1179">
        <v>111</v>
      </c>
      <c r="F1179" t="s">
        <v>11</v>
      </c>
      <c r="G1179">
        <v>0</v>
      </c>
      <c r="H1179" t="s">
        <v>11</v>
      </c>
      <c r="I1179" t="s">
        <v>17</v>
      </c>
      <c r="J1179">
        <v>29523.17</v>
      </c>
      <c r="K1179" t="str">
        <f t="shared" si="180"/>
        <v>25-30</v>
      </c>
      <c r="L1179">
        <f t="shared" si="181"/>
        <v>27.7</v>
      </c>
      <c r="M1179">
        <f t="shared" si="182"/>
        <v>0</v>
      </c>
      <c r="N1179">
        <f t="shared" si="183"/>
        <v>0</v>
      </c>
      <c r="O1179">
        <f t="shared" si="184"/>
        <v>0</v>
      </c>
      <c r="P1179">
        <v>0.50607690905516278</v>
      </c>
      <c r="Q1179">
        <f t="shared" si="185"/>
        <v>1</v>
      </c>
      <c r="R1179">
        <f t="shared" si="186"/>
        <v>1</v>
      </c>
      <c r="S1179">
        <f t="shared" si="187"/>
        <v>1</v>
      </c>
      <c r="T1179">
        <f t="shared" si="188"/>
        <v>30161.333000000006</v>
      </c>
      <c r="U1179">
        <f t="shared" si="189"/>
        <v>-638.16300000000774</v>
      </c>
    </row>
    <row r="1180" spans="1:21" x14ac:dyDescent="0.3">
      <c r="A1180">
        <v>1179</v>
      </c>
      <c r="B1180">
        <v>27</v>
      </c>
      <c r="C1180" t="s">
        <v>10</v>
      </c>
      <c r="D1180">
        <v>37.700000000000003</v>
      </c>
      <c r="E1180">
        <v>95</v>
      </c>
      <c r="F1180" t="s">
        <v>12</v>
      </c>
      <c r="G1180">
        <v>3</v>
      </c>
      <c r="H1180" t="s">
        <v>12</v>
      </c>
      <c r="I1180" t="s">
        <v>14</v>
      </c>
      <c r="J1180">
        <v>30063.58</v>
      </c>
      <c r="K1180" t="str">
        <f t="shared" si="180"/>
        <v>35+</v>
      </c>
      <c r="L1180">
        <f t="shared" si="181"/>
        <v>0</v>
      </c>
      <c r="M1180">
        <f t="shared" si="182"/>
        <v>0</v>
      </c>
      <c r="N1180">
        <f t="shared" si="183"/>
        <v>0</v>
      </c>
      <c r="O1180">
        <f t="shared" si="184"/>
        <v>1</v>
      </c>
      <c r="P1180">
        <v>0.78110209303566103</v>
      </c>
      <c r="Q1180">
        <f t="shared" si="185"/>
        <v>0</v>
      </c>
      <c r="R1180">
        <f t="shared" si="186"/>
        <v>0</v>
      </c>
      <c r="S1180">
        <f t="shared" si="187"/>
        <v>0</v>
      </c>
      <c r="T1180">
        <f t="shared" si="188"/>
        <v>10338.810000000001</v>
      </c>
      <c r="U1180">
        <f t="shared" si="189"/>
        <v>19724.77</v>
      </c>
    </row>
    <row r="1181" spans="1:21" x14ac:dyDescent="0.3">
      <c r="A1181">
        <v>1180</v>
      </c>
      <c r="B1181">
        <v>19</v>
      </c>
      <c r="C1181" t="s">
        <v>10</v>
      </c>
      <c r="D1181">
        <v>24.7</v>
      </c>
      <c r="E1181">
        <v>97</v>
      </c>
      <c r="F1181" t="s">
        <v>11</v>
      </c>
      <c r="G1181">
        <v>1</v>
      </c>
      <c r="H1181" t="s">
        <v>12</v>
      </c>
      <c r="I1181" t="s">
        <v>14</v>
      </c>
      <c r="J1181">
        <v>30166.62</v>
      </c>
      <c r="K1181" t="str">
        <f t="shared" si="180"/>
        <v>20-25</v>
      </c>
      <c r="L1181">
        <f t="shared" si="181"/>
        <v>0</v>
      </c>
      <c r="M1181">
        <f t="shared" si="182"/>
        <v>0</v>
      </c>
      <c r="N1181">
        <f t="shared" si="183"/>
        <v>0</v>
      </c>
      <c r="O1181">
        <f t="shared" si="184"/>
        <v>1</v>
      </c>
      <c r="P1181">
        <v>0.78307388040192671</v>
      </c>
      <c r="Q1181">
        <f t="shared" si="185"/>
        <v>0</v>
      </c>
      <c r="R1181">
        <f t="shared" si="186"/>
        <v>1</v>
      </c>
      <c r="S1181">
        <f t="shared" si="187"/>
        <v>0</v>
      </c>
      <c r="T1181">
        <f t="shared" si="188"/>
        <v>8011.1899999999987</v>
      </c>
      <c r="U1181">
        <f t="shared" si="189"/>
        <v>22155.43</v>
      </c>
    </row>
    <row r="1182" spans="1:21" x14ac:dyDescent="0.3">
      <c r="A1182">
        <v>1181</v>
      </c>
      <c r="B1182">
        <v>39</v>
      </c>
      <c r="C1182" t="s">
        <v>10</v>
      </c>
      <c r="D1182">
        <v>29.8</v>
      </c>
      <c r="E1182">
        <v>110</v>
      </c>
      <c r="F1182" t="s">
        <v>12</v>
      </c>
      <c r="G1182">
        <v>3</v>
      </c>
      <c r="H1182" t="s">
        <v>11</v>
      </c>
      <c r="I1182" t="s">
        <v>17</v>
      </c>
      <c r="J1182">
        <v>30184.94</v>
      </c>
      <c r="K1182" t="str">
        <f t="shared" si="180"/>
        <v>25-30</v>
      </c>
      <c r="L1182">
        <f t="shared" si="181"/>
        <v>29.8</v>
      </c>
      <c r="M1182">
        <f t="shared" si="182"/>
        <v>0</v>
      </c>
      <c r="N1182">
        <f t="shared" si="183"/>
        <v>0</v>
      </c>
      <c r="O1182">
        <f t="shared" si="184"/>
        <v>0</v>
      </c>
      <c r="P1182">
        <v>0.24132965506802362</v>
      </c>
      <c r="Q1182">
        <f t="shared" si="185"/>
        <v>1</v>
      </c>
      <c r="R1182">
        <f t="shared" si="186"/>
        <v>0</v>
      </c>
      <c r="S1182">
        <f t="shared" si="187"/>
        <v>0</v>
      </c>
      <c r="T1182">
        <f t="shared" si="188"/>
        <v>34684.902000000009</v>
      </c>
      <c r="U1182">
        <f t="shared" si="189"/>
        <v>-4499.9620000000104</v>
      </c>
    </row>
    <row r="1183" spans="1:21" x14ac:dyDescent="0.3">
      <c r="A1183">
        <v>1182</v>
      </c>
      <c r="B1183">
        <v>32</v>
      </c>
      <c r="C1183" t="s">
        <v>10</v>
      </c>
      <c r="D1183">
        <v>28.6</v>
      </c>
      <c r="E1183">
        <v>132</v>
      </c>
      <c r="F1183" t="s">
        <v>12</v>
      </c>
      <c r="G1183">
        <v>0</v>
      </c>
      <c r="H1183" t="s">
        <v>12</v>
      </c>
      <c r="I1183" t="s">
        <v>17</v>
      </c>
      <c r="J1183">
        <v>30260</v>
      </c>
      <c r="K1183" t="str">
        <f t="shared" si="180"/>
        <v>25-30</v>
      </c>
      <c r="L1183">
        <f t="shared" si="181"/>
        <v>0</v>
      </c>
      <c r="M1183">
        <f t="shared" si="182"/>
        <v>0</v>
      </c>
      <c r="N1183">
        <f t="shared" si="183"/>
        <v>0</v>
      </c>
      <c r="O1183">
        <f t="shared" si="184"/>
        <v>0</v>
      </c>
      <c r="P1183">
        <v>0.82271171129191023</v>
      </c>
      <c r="Q1183">
        <f t="shared" si="185"/>
        <v>0</v>
      </c>
      <c r="R1183">
        <f t="shared" si="186"/>
        <v>0</v>
      </c>
      <c r="S1183">
        <f t="shared" si="187"/>
        <v>0</v>
      </c>
      <c r="T1183">
        <f t="shared" si="188"/>
        <v>16192.510000000002</v>
      </c>
      <c r="U1183">
        <f t="shared" si="189"/>
        <v>14067.489999999998</v>
      </c>
    </row>
    <row r="1184" spans="1:21" x14ac:dyDescent="0.3">
      <c r="A1184">
        <v>1183</v>
      </c>
      <c r="B1184">
        <v>36</v>
      </c>
      <c r="C1184" t="s">
        <v>10</v>
      </c>
      <c r="D1184">
        <v>25.4</v>
      </c>
      <c r="E1184">
        <v>84</v>
      </c>
      <c r="F1184" t="s">
        <v>12</v>
      </c>
      <c r="G1184">
        <v>2</v>
      </c>
      <c r="H1184" t="s">
        <v>12</v>
      </c>
      <c r="I1184" t="s">
        <v>14</v>
      </c>
      <c r="J1184">
        <v>30284.639999999999</v>
      </c>
      <c r="K1184" t="str">
        <f t="shared" si="180"/>
        <v>25-30</v>
      </c>
      <c r="L1184">
        <f t="shared" si="181"/>
        <v>0</v>
      </c>
      <c r="M1184">
        <f t="shared" si="182"/>
        <v>0</v>
      </c>
      <c r="N1184">
        <f t="shared" si="183"/>
        <v>0</v>
      </c>
      <c r="O1184">
        <f t="shared" si="184"/>
        <v>1</v>
      </c>
      <c r="P1184">
        <v>0.1607793909560622</v>
      </c>
      <c r="Q1184">
        <f t="shared" si="185"/>
        <v>0</v>
      </c>
      <c r="R1184">
        <f t="shared" si="186"/>
        <v>0</v>
      </c>
      <c r="S1184">
        <f t="shared" si="187"/>
        <v>0</v>
      </c>
      <c r="T1184">
        <f t="shared" si="188"/>
        <v>6781.9099999999989</v>
      </c>
      <c r="U1184">
        <f t="shared" si="189"/>
        <v>23502.73</v>
      </c>
    </row>
    <row r="1185" spans="1:21" x14ac:dyDescent="0.3">
      <c r="A1185">
        <v>1184</v>
      </c>
      <c r="B1185">
        <v>30</v>
      </c>
      <c r="C1185" t="s">
        <v>16</v>
      </c>
      <c r="D1185">
        <v>29.9</v>
      </c>
      <c r="E1185">
        <v>95</v>
      </c>
      <c r="F1185" t="s">
        <v>11</v>
      </c>
      <c r="G1185">
        <v>3</v>
      </c>
      <c r="H1185" t="s">
        <v>11</v>
      </c>
      <c r="I1185" t="s">
        <v>13</v>
      </c>
      <c r="J1185">
        <v>30942.19</v>
      </c>
      <c r="K1185" t="str">
        <f t="shared" si="180"/>
        <v>25-30</v>
      </c>
      <c r="L1185">
        <f t="shared" si="181"/>
        <v>29.9</v>
      </c>
      <c r="M1185">
        <f t="shared" si="182"/>
        <v>1</v>
      </c>
      <c r="N1185">
        <f t="shared" si="183"/>
        <v>0</v>
      </c>
      <c r="O1185">
        <f t="shared" si="184"/>
        <v>0</v>
      </c>
      <c r="P1185">
        <v>0.17392596122109916</v>
      </c>
      <c r="Q1185">
        <f t="shared" si="185"/>
        <v>1</v>
      </c>
      <c r="R1185">
        <f t="shared" si="186"/>
        <v>1</v>
      </c>
      <c r="S1185">
        <f t="shared" si="187"/>
        <v>1</v>
      </c>
      <c r="T1185">
        <f t="shared" si="188"/>
        <v>29168.201000000001</v>
      </c>
      <c r="U1185">
        <f t="shared" si="189"/>
        <v>1773.9889999999978</v>
      </c>
    </row>
    <row r="1186" spans="1:21" x14ac:dyDescent="0.3">
      <c r="A1186">
        <v>1185</v>
      </c>
      <c r="B1186">
        <v>45</v>
      </c>
      <c r="C1186" t="s">
        <v>16</v>
      </c>
      <c r="D1186">
        <v>36.9</v>
      </c>
      <c r="E1186">
        <v>122</v>
      </c>
      <c r="F1186" t="s">
        <v>11</v>
      </c>
      <c r="G1186">
        <v>1</v>
      </c>
      <c r="H1186" t="s">
        <v>12</v>
      </c>
      <c r="I1186" t="s">
        <v>17</v>
      </c>
      <c r="J1186">
        <v>31620</v>
      </c>
      <c r="K1186" t="str">
        <f t="shared" si="180"/>
        <v>35+</v>
      </c>
      <c r="L1186">
        <f t="shared" si="181"/>
        <v>0</v>
      </c>
      <c r="M1186">
        <f t="shared" si="182"/>
        <v>0</v>
      </c>
      <c r="N1186">
        <f t="shared" si="183"/>
        <v>0</v>
      </c>
      <c r="O1186">
        <f t="shared" si="184"/>
        <v>0</v>
      </c>
      <c r="P1186">
        <v>0.47588966303997593</v>
      </c>
      <c r="Q1186">
        <f t="shared" si="185"/>
        <v>0</v>
      </c>
      <c r="R1186">
        <f t="shared" si="186"/>
        <v>1</v>
      </c>
      <c r="S1186">
        <f t="shared" si="187"/>
        <v>1</v>
      </c>
      <c r="T1186">
        <f t="shared" si="188"/>
        <v>16403.75</v>
      </c>
      <c r="U1186">
        <f t="shared" si="189"/>
        <v>15216.25</v>
      </c>
    </row>
    <row r="1187" spans="1:21" x14ac:dyDescent="0.3">
      <c r="A1187">
        <v>1186</v>
      </c>
      <c r="B1187">
        <v>18</v>
      </c>
      <c r="C1187" t="s">
        <v>10</v>
      </c>
      <c r="D1187">
        <v>29.7</v>
      </c>
      <c r="E1187">
        <v>103</v>
      </c>
      <c r="F1187" t="s">
        <v>12</v>
      </c>
      <c r="G1187">
        <v>2</v>
      </c>
      <c r="H1187" t="s">
        <v>12</v>
      </c>
      <c r="I1187" t="s">
        <v>17</v>
      </c>
      <c r="J1187">
        <v>32108.66</v>
      </c>
      <c r="K1187" t="str">
        <f t="shared" si="180"/>
        <v>25-30</v>
      </c>
      <c r="L1187">
        <f t="shared" si="181"/>
        <v>0</v>
      </c>
      <c r="M1187">
        <f t="shared" si="182"/>
        <v>0</v>
      </c>
      <c r="N1187">
        <f t="shared" si="183"/>
        <v>0</v>
      </c>
      <c r="O1187">
        <f t="shared" si="184"/>
        <v>0</v>
      </c>
      <c r="P1187">
        <v>0.73807086817892353</v>
      </c>
      <c r="Q1187">
        <f t="shared" si="185"/>
        <v>0</v>
      </c>
      <c r="R1187">
        <f t="shared" si="186"/>
        <v>0</v>
      </c>
      <c r="S1187">
        <f t="shared" si="187"/>
        <v>0</v>
      </c>
      <c r="T1187">
        <f t="shared" si="188"/>
        <v>13152.85</v>
      </c>
      <c r="U1187">
        <f t="shared" si="189"/>
        <v>18955.809999999998</v>
      </c>
    </row>
    <row r="1188" spans="1:21" x14ac:dyDescent="0.3">
      <c r="A1188">
        <v>1187</v>
      </c>
      <c r="B1188">
        <v>46</v>
      </c>
      <c r="C1188" t="s">
        <v>10</v>
      </c>
      <c r="D1188">
        <v>30.3</v>
      </c>
      <c r="E1188">
        <v>114</v>
      </c>
      <c r="F1188" t="s">
        <v>11</v>
      </c>
      <c r="G1188">
        <v>0</v>
      </c>
      <c r="H1188" t="s">
        <v>11</v>
      </c>
      <c r="I1188" t="s">
        <v>13</v>
      </c>
      <c r="J1188">
        <v>32548.34</v>
      </c>
      <c r="K1188" t="str">
        <f t="shared" si="180"/>
        <v>30-35</v>
      </c>
      <c r="L1188">
        <f t="shared" si="181"/>
        <v>30.3</v>
      </c>
      <c r="M1188">
        <f t="shared" si="182"/>
        <v>1</v>
      </c>
      <c r="N1188">
        <f t="shared" si="183"/>
        <v>0</v>
      </c>
      <c r="O1188">
        <f t="shared" si="184"/>
        <v>0</v>
      </c>
      <c r="P1188">
        <v>7.8039145963907042E-2</v>
      </c>
      <c r="Q1188">
        <f t="shared" si="185"/>
        <v>1</v>
      </c>
      <c r="R1188">
        <f t="shared" si="186"/>
        <v>1</v>
      </c>
      <c r="S1188">
        <f t="shared" si="187"/>
        <v>0</v>
      </c>
      <c r="T1188">
        <f t="shared" si="188"/>
        <v>30058.136999999999</v>
      </c>
      <c r="U1188">
        <f t="shared" si="189"/>
        <v>2490.2030000000013</v>
      </c>
    </row>
    <row r="1189" spans="1:21" x14ac:dyDescent="0.3">
      <c r="A1189">
        <v>1188</v>
      </c>
      <c r="B1189">
        <v>25</v>
      </c>
      <c r="C1189" t="s">
        <v>16</v>
      </c>
      <c r="D1189">
        <v>17.8</v>
      </c>
      <c r="E1189">
        <v>83</v>
      </c>
      <c r="F1189" t="s">
        <v>12</v>
      </c>
      <c r="G1189">
        <v>2</v>
      </c>
      <c r="H1189" t="s">
        <v>11</v>
      </c>
      <c r="I1189" t="s">
        <v>14</v>
      </c>
      <c r="J1189">
        <v>32734.19</v>
      </c>
      <c r="K1189" t="str">
        <f t="shared" si="180"/>
        <v>&lt;20</v>
      </c>
      <c r="L1189">
        <f t="shared" si="181"/>
        <v>17.8</v>
      </c>
      <c r="M1189">
        <f t="shared" si="182"/>
        <v>0</v>
      </c>
      <c r="N1189">
        <f t="shared" si="183"/>
        <v>0</v>
      </c>
      <c r="O1189">
        <f t="shared" si="184"/>
        <v>1</v>
      </c>
      <c r="P1189">
        <v>0.94708001970631828</v>
      </c>
      <c r="Q1189">
        <f t="shared" si="185"/>
        <v>1</v>
      </c>
      <c r="R1189">
        <f t="shared" si="186"/>
        <v>0</v>
      </c>
      <c r="S1189">
        <f t="shared" si="187"/>
        <v>1</v>
      </c>
      <c r="T1189">
        <f t="shared" si="188"/>
        <v>11016.282000000003</v>
      </c>
      <c r="U1189">
        <f t="shared" si="189"/>
        <v>21717.907999999996</v>
      </c>
    </row>
    <row r="1190" spans="1:21" x14ac:dyDescent="0.3">
      <c r="A1190">
        <v>1189</v>
      </c>
      <c r="B1190">
        <v>37</v>
      </c>
      <c r="C1190" t="s">
        <v>10</v>
      </c>
      <c r="D1190">
        <v>28.3</v>
      </c>
      <c r="E1190">
        <v>88</v>
      </c>
      <c r="F1190" t="s">
        <v>12</v>
      </c>
      <c r="G1190">
        <v>3</v>
      </c>
      <c r="H1190" t="s">
        <v>11</v>
      </c>
      <c r="I1190" t="s">
        <v>14</v>
      </c>
      <c r="J1190">
        <v>32787.46</v>
      </c>
      <c r="K1190" t="str">
        <f t="shared" si="180"/>
        <v>25-30</v>
      </c>
      <c r="L1190">
        <f t="shared" si="181"/>
        <v>28.3</v>
      </c>
      <c r="M1190">
        <f t="shared" si="182"/>
        <v>0</v>
      </c>
      <c r="N1190">
        <f t="shared" si="183"/>
        <v>0</v>
      </c>
      <c r="O1190">
        <f t="shared" si="184"/>
        <v>1</v>
      </c>
      <c r="P1190">
        <v>0.57409796676168445</v>
      </c>
      <c r="Q1190">
        <f t="shared" si="185"/>
        <v>1</v>
      </c>
      <c r="R1190">
        <f t="shared" si="186"/>
        <v>0</v>
      </c>
      <c r="S1190">
        <f t="shared" si="187"/>
        <v>0</v>
      </c>
      <c r="T1190">
        <f t="shared" si="188"/>
        <v>26211.407000000007</v>
      </c>
      <c r="U1190">
        <f t="shared" si="189"/>
        <v>6576.0529999999926</v>
      </c>
    </row>
    <row r="1191" spans="1:21" x14ac:dyDescent="0.3">
      <c r="A1191">
        <v>1190</v>
      </c>
      <c r="B1191">
        <v>33</v>
      </c>
      <c r="C1191" t="s">
        <v>16</v>
      </c>
      <c r="D1191">
        <v>30</v>
      </c>
      <c r="E1191">
        <v>81</v>
      </c>
      <c r="F1191" t="s">
        <v>11</v>
      </c>
      <c r="G1191">
        <v>0</v>
      </c>
      <c r="H1191" t="s">
        <v>11</v>
      </c>
      <c r="I1191" t="s">
        <v>14</v>
      </c>
      <c r="J1191">
        <v>33307.550000000003</v>
      </c>
      <c r="K1191" t="str">
        <f t="shared" si="180"/>
        <v>30-35</v>
      </c>
      <c r="L1191">
        <f t="shared" si="181"/>
        <v>30</v>
      </c>
      <c r="M1191">
        <f t="shared" si="182"/>
        <v>0</v>
      </c>
      <c r="N1191">
        <f t="shared" si="183"/>
        <v>0</v>
      </c>
      <c r="O1191">
        <f t="shared" si="184"/>
        <v>1</v>
      </c>
      <c r="P1191">
        <v>0.26465417369665212</v>
      </c>
      <c r="Q1191">
        <f t="shared" si="185"/>
        <v>1</v>
      </c>
      <c r="R1191">
        <f t="shared" si="186"/>
        <v>1</v>
      </c>
      <c r="S1191">
        <f t="shared" si="187"/>
        <v>1</v>
      </c>
      <c r="T1191">
        <f t="shared" si="188"/>
        <v>25546.540000000008</v>
      </c>
      <c r="U1191">
        <f t="shared" si="189"/>
        <v>7761.0099999999948</v>
      </c>
    </row>
    <row r="1192" spans="1:21" x14ac:dyDescent="0.3">
      <c r="A1192">
        <v>1191</v>
      </c>
      <c r="B1192">
        <v>29</v>
      </c>
      <c r="C1192" t="s">
        <v>16</v>
      </c>
      <c r="D1192">
        <v>37.5</v>
      </c>
      <c r="E1192">
        <v>106</v>
      </c>
      <c r="F1192" t="s">
        <v>11</v>
      </c>
      <c r="G1192">
        <v>2</v>
      </c>
      <c r="H1192" t="s">
        <v>12</v>
      </c>
      <c r="I1192" t="s">
        <v>14</v>
      </c>
      <c r="J1192">
        <v>33471.97</v>
      </c>
      <c r="K1192" t="str">
        <f t="shared" si="180"/>
        <v>35+</v>
      </c>
      <c r="L1192">
        <f t="shared" si="181"/>
        <v>0</v>
      </c>
      <c r="M1192">
        <f t="shared" si="182"/>
        <v>0</v>
      </c>
      <c r="N1192">
        <f t="shared" si="183"/>
        <v>0</v>
      </c>
      <c r="O1192">
        <f t="shared" si="184"/>
        <v>1</v>
      </c>
      <c r="P1192">
        <v>0.74133275387306785</v>
      </c>
      <c r="Q1192">
        <f t="shared" si="185"/>
        <v>0</v>
      </c>
      <c r="R1192">
        <f t="shared" si="186"/>
        <v>1</v>
      </c>
      <c r="S1192">
        <f t="shared" si="187"/>
        <v>1</v>
      </c>
      <c r="T1192">
        <f t="shared" si="188"/>
        <v>11712.290000000003</v>
      </c>
      <c r="U1192">
        <f t="shared" si="189"/>
        <v>21759.68</v>
      </c>
    </row>
    <row r="1193" spans="1:21" x14ac:dyDescent="0.3">
      <c r="A1193">
        <v>1192</v>
      </c>
      <c r="B1193">
        <v>29</v>
      </c>
      <c r="C1193" t="s">
        <v>10</v>
      </c>
      <c r="D1193">
        <v>30.7</v>
      </c>
      <c r="E1193">
        <v>94</v>
      </c>
      <c r="F1193" t="s">
        <v>12</v>
      </c>
      <c r="G1193">
        <v>0</v>
      </c>
      <c r="H1193" t="s">
        <v>11</v>
      </c>
      <c r="I1193" t="s">
        <v>17</v>
      </c>
      <c r="J1193">
        <v>33475.82</v>
      </c>
      <c r="K1193" t="str">
        <f t="shared" si="180"/>
        <v>30-35</v>
      </c>
      <c r="L1193">
        <f t="shared" si="181"/>
        <v>30.7</v>
      </c>
      <c r="M1193">
        <f t="shared" si="182"/>
        <v>0</v>
      </c>
      <c r="N1193">
        <f t="shared" si="183"/>
        <v>0</v>
      </c>
      <c r="O1193">
        <f t="shared" si="184"/>
        <v>0</v>
      </c>
      <c r="P1193">
        <v>0.69717765537250542</v>
      </c>
      <c r="Q1193">
        <f t="shared" si="185"/>
        <v>1</v>
      </c>
      <c r="R1193">
        <f t="shared" si="186"/>
        <v>0</v>
      </c>
      <c r="S1193">
        <f t="shared" si="187"/>
        <v>0</v>
      </c>
      <c r="T1193">
        <f t="shared" si="188"/>
        <v>31139.763000000006</v>
      </c>
      <c r="U1193">
        <f t="shared" si="189"/>
        <v>2336.0569999999934</v>
      </c>
    </row>
    <row r="1194" spans="1:21" x14ac:dyDescent="0.3">
      <c r="A1194">
        <v>1193</v>
      </c>
      <c r="B1194">
        <v>47</v>
      </c>
      <c r="C1194" t="s">
        <v>10</v>
      </c>
      <c r="D1194">
        <v>31.7</v>
      </c>
      <c r="E1194">
        <v>129</v>
      </c>
      <c r="F1194" t="s">
        <v>11</v>
      </c>
      <c r="G1194">
        <v>0</v>
      </c>
      <c r="H1194" t="s">
        <v>11</v>
      </c>
      <c r="I1194" t="s">
        <v>17</v>
      </c>
      <c r="J1194">
        <v>33732.69</v>
      </c>
      <c r="K1194" t="str">
        <f t="shared" si="180"/>
        <v>30-35</v>
      </c>
      <c r="L1194">
        <f t="shared" si="181"/>
        <v>31.7</v>
      </c>
      <c r="M1194">
        <f t="shared" si="182"/>
        <v>0</v>
      </c>
      <c r="N1194">
        <f t="shared" si="183"/>
        <v>0</v>
      </c>
      <c r="O1194">
        <f t="shared" si="184"/>
        <v>0</v>
      </c>
      <c r="P1194">
        <v>0.74579358534357132</v>
      </c>
      <c r="Q1194">
        <f t="shared" si="185"/>
        <v>1</v>
      </c>
      <c r="R1194">
        <f t="shared" si="186"/>
        <v>1</v>
      </c>
      <c r="S1194">
        <f t="shared" si="187"/>
        <v>0</v>
      </c>
      <c r="T1194">
        <f t="shared" si="188"/>
        <v>37978.003000000004</v>
      </c>
      <c r="U1194">
        <f t="shared" si="189"/>
        <v>-4245.3130000000019</v>
      </c>
    </row>
    <row r="1195" spans="1:21" x14ac:dyDescent="0.3">
      <c r="A1195">
        <v>1194</v>
      </c>
      <c r="B1195">
        <v>46</v>
      </c>
      <c r="C1195" t="s">
        <v>10</v>
      </c>
      <c r="D1195">
        <v>31.9</v>
      </c>
      <c r="E1195">
        <v>82</v>
      </c>
      <c r="F1195" t="s">
        <v>11</v>
      </c>
      <c r="G1195">
        <v>0</v>
      </c>
      <c r="H1195" t="s">
        <v>11</v>
      </c>
      <c r="I1195" t="s">
        <v>14</v>
      </c>
      <c r="J1195">
        <v>33750.29</v>
      </c>
      <c r="K1195" t="str">
        <f t="shared" si="180"/>
        <v>30-35</v>
      </c>
      <c r="L1195">
        <f t="shared" si="181"/>
        <v>31.9</v>
      </c>
      <c r="M1195">
        <f t="shared" si="182"/>
        <v>0</v>
      </c>
      <c r="N1195">
        <f t="shared" si="183"/>
        <v>0</v>
      </c>
      <c r="O1195">
        <f t="shared" si="184"/>
        <v>1</v>
      </c>
      <c r="P1195">
        <v>1.1240828778269818E-2</v>
      </c>
      <c r="Q1195">
        <f t="shared" si="185"/>
        <v>1</v>
      </c>
      <c r="R1195">
        <f t="shared" si="186"/>
        <v>1</v>
      </c>
      <c r="S1195">
        <f t="shared" si="187"/>
        <v>0</v>
      </c>
      <c r="T1195">
        <f t="shared" si="188"/>
        <v>27799.450999999997</v>
      </c>
      <c r="U1195">
        <f t="shared" si="189"/>
        <v>5950.8390000000036</v>
      </c>
    </row>
    <row r="1196" spans="1:21" x14ac:dyDescent="0.3">
      <c r="A1196">
        <v>1195</v>
      </c>
      <c r="B1196">
        <v>48</v>
      </c>
      <c r="C1196" t="s">
        <v>16</v>
      </c>
      <c r="D1196">
        <v>30.2</v>
      </c>
      <c r="E1196">
        <v>129</v>
      </c>
      <c r="F1196" t="s">
        <v>11</v>
      </c>
      <c r="G1196">
        <v>0</v>
      </c>
      <c r="H1196" t="s">
        <v>11</v>
      </c>
      <c r="I1196" t="s">
        <v>15</v>
      </c>
      <c r="J1196">
        <v>33900.65</v>
      </c>
      <c r="K1196" t="str">
        <f t="shared" si="180"/>
        <v>30-35</v>
      </c>
      <c r="L1196">
        <f t="shared" si="181"/>
        <v>30.2</v>
      </c>
      <c r="M1196">
        <f t="shared" si="182"/>
        <v>0</v>
      </c>
      <c r="N1196">
        <f t="shared" si="183"/>
        <v>1</v>
      </c>
      <c r="O1196">
        <f t="shared" si="184"/>
        <v>0</v>
      </c>
      <c r="P1196">
        <v>2.4572738582000264E-2</v>
      </c>
      <c r="Q1196">
        <f t="shared" si="185"/>
        <v>1</v>
      </c>
      <c r="R1196">
        <f t="shared" si="186"/>
        <v>1</v>
      </c>
      <c r="S1196">
        <f t="shared" si="187"/>
        <v>1</v>
      </c>
      <c r="T1196">
        <f t="shared" si="188"/>
        <v>33448.527999999998</v>
      </c>
      <c r="U1196">
        <f t="shared" si="189"/>
        <v>452.12200000000303</v>
      </c>
    </row>
    <row r="1197" spans="1:21" x14ac:dyDescent="0.3">
      <c r="A1197">
        <v>1196</v>
      </c>
      <c r="B1197">
        <v>59</v>
      </c>
      <c r="C1197" t="s">
        <v>16</v>
      </c>
      <c r="D1197">
        <v>30.4</v>
      </c>
      <c r="E1197">
        <v>80</v>
      </c>
      <c r="F1197" t="s">
        <v>12</v>
      </c>
      <c r="G1197">
        <v>0</v>
      </c>
      <c r="H1197" t="s">
        <v>11</v>
      </c>
      <c r="I1197" t="s">
        <v>14</v>
      </c>
      <c r="J1197">
        <v>33907.550000000003</v>
      </c>
      <c r="K1197" t="str">
        <f t="shared" si="180"/>
        <v>30-35</v>
      </c>
      <c r="L1197">
        <f t="shared" si="181"/>
        <v>30.4</v>
      </c>
      <c r="M1197">
        <f t="shared" si="182"/>
        <v>0</v>
      </c>
      <c r="N1197">
        <f t="shared" si="183"/>
        <v>0</v>
      </c>
      <c r="O1197">
        <f t="shared" si="184"/>
        <v>1</v>
      </c>
      <c r="P1197">
        <v>0.42790332856076196</v>
      </c>
      <c r="Q1197">
        <f t="shared" si="185"/>
        <v>1</v>
      </c>
      <c r="R1197">
        <f t="shared" si="186"/>
        <v>0</v>
      </c>
      <c r="S1197">
        <f t="shared" si="187"/>
        <v>1</v>
      </c>
      <c r="T1197">
        <f t="shared" si="188"/>
        <v>25960.605999999996</v>
      </c>
      <c r="U1197">
        <f t="shared" si="189"/>
        <v>7946.9440000000068</v>
      </c>
    </row>
    <row r="1198" spans="1:21" x14ac:dyDescent="0.3">
      <c r="A1198">
        <v>1197</v>
      </c>
      <c r="B1198">
        <v>36</v>
      </c>
      <c r="C1198" t="s">
        <v>16</v>
      </c>
      <c r="D1198">
        <v>31.4</v>
      </c>
      <c r="E1198">
        <v>136</v>
      </c>
      <c r="F1198" t="s">
        <v>11</v>
      </c>
      <c r="G1198">
        <v>0</v>
      </c>
      <c r="H1198" t="s">
        <v>11</v>
      </c>
      <c r="I1198" t="s">
        <v>15</v>
      </c>
      <c r="J1198">
        <v>34166.269999999997</v>
      </c>
      <c r="K1198" t="str">
        <f t="shared" si="180"/>
        <v>30-35</v>
      </c>
      <c r="L1198">
        <f t="shared" si="181"/>
        <v>31.4</v>
      </c>
      <c r="M1198">
        <f t="shared" si="182"/>
        <v>0</v>
      </c>
      <c r="N1198">
        <f t="shared" si="183"/>
        <v>1</v>
      </c>
      <c r="O1198">
        <f t="shared" si="184"/>
        <v>0</v>
      </c>
      <c r="P1198">
        <v>0.93999149853601005</v>
      </c>
      <c r="Q1198">
        <f t="shared" si="185"/>
        <v>1</v>
      </c>
      <c r="R1198">
        <f t="shared" si="186"/>
        <v>1</v>
      </c>
      <c r="S1198">
        <f t="shared" si="187"/>
        <v>1</v>
      </c>
      <c r="T1198">
        <f t="shared" si="188"/>
        <v>36194.646000000001</v>
      </c>
      <c r="U1198">
        <f t="shared" si="189"/>
        <v>-2028.3760000000038</v>
      </c>
    </row>
    <row r="1199" spans="1:21" x14ac:dyDescent="0.3">
      <c r="A1199">
        <v>1198</v>
      </c>
      <c r="B1199">
        <v>30</v>
      </c>
      <c r="C1199" t="s">
        <v>10</v>
      </c>
      <c r="D1199">
        <v>31.1</v>
      </c>
      <c r="E1199">
        <v>136</v>
      </c>
      <c r="F1199" t="s">
        <v>12</v>
      </c>
      <c r="G1199">
        <v>0</v>
      </c>
      <c r="H1199" t="s">
        <v>11</v>
      </c>
      <c r="I1199" t="s">
        <v>17</v>
      </c>
      <c r="J1199">
        <v>34254.050000000003</v>
      </c>
      <c r="K1199" t="str">
        <f t="shared" si="180"/>
        <v>30-35</v>
      </c>
      <c r="L1199">
        <f t="shared" si="181"/>
        <v>31.1</v>
      </c>
      <c r="M1199">
        <f t="shared" si="182"/>
        <v>0</v>
      </c>
      <c r="N1199">
        <f t="shared" si="183"/>
        <v>0</v>
      </c>
      <c r="O1199">
        <f t="shared" si="184"/>
        <v>0</v>
      </c>
      <c r="P1199">
        <v>6.9921473457879024E-2</v>
      </c>
      <c r="Q1199">
        <f t="shared" si="185"/>
        <v>1</v>
      </c>
      <c r="R1199">
        <f t="shared" si="186"/>
        <v>0</v>
      </c>
      <c r="S1199">
        <f t="shared" si="187"/>
        <v>0</v>
      </c>
      <c r="T1199">
        <f t="shared" si="188"/>
        <v>38379.139000000003</v>
      </c>
      <c r="U1199">
        <f t="shared" si="189"/>
        <v>-4125.0889999999999</v>
      </c>
    </row>
    <row r="1200" spans="1:21" x14ac:dyDescent="0.3">
      <c r="A1200">
        <v>1199</v>
      </c>
      <c r="B1200">
        <v>22</v>
      </c>
      <c r="C1200" t="s">
        <v>10</v>
      </c>
      <c r="D1200">
        <v>31.7</v>
      </c>
      <c r="E1200">
        <v>115</v>
      </c>
      <c r="F1200" t="s">
        <v>12</v>
      </c>
      <c r="G1200">
        <v>2</v>
      </c>
      <c r="H1200" t="s">
        <v>11</v>
      </c>
      <c r="I1200" t="s">
        <v>13</v>
      </c>
      <c r="J1200">
        <v>34303.17</v>
      </c>
      <c r="K1200" t="str">
        <f t="shared" si="180"/>
        <v>30-35</v>
      </c>
      <c r="L1200">
        <f t="shared" si="181"/>
        <v>31.7</v>
      </c>
      <c r="M1200">
        <f t="shared" si="182"/>
        <v>1</v>
      </c>
      <c r="N1200">
        <f t="shared" si="183"/>
        <v>0</v>
      </c>
      <c r="O1200">
        <f t="shared" si="184"/>
        <v>0</v>
      </c>
      <c r="P1200">
        <v>9.6355264907172056E-2</v>
      </c>
      <c r="Q1200">
        <f t="shared" si="185"/>
        <v>1</v>
      </c>
      <c r="R1200">
        <f t="shared" si="186"/>
        <v>0</v>
      </c>
      <c r="S1200">
        <f t="shared" si="187"/>
        <v>0</v>
      </c>
      <c r="T1200">
        <f t="shared" si="188"/>
        <v>33676.553</v>
      </c>
      <c r="U1200">
        <f t="shared" si="189"/>
        <v>626.61699999999837</v>
      </c>
    </row>
    <row r="1201" spans="1:21" x14ac:dyDescent="0.3">
      <c r="A1201">
        <v>1200</v>
      </c>
      <c r="B1201">
        <v>30</v>
      </c>
      <c r="C1201" t="s">
        <v>16</v>
      </c>
      <c r="D1201">
        <v>33.1</v>
      </c>
      <c r="E1201">
        <v>93</v>
      </c>
      <c r="F1201" t="s">
        <v>11</v>
      </c>
      <c r="G1201">
        <v>0</v>
      </c>
      <c r="H1201" t="s">
        <v>11</v>
      </c>
      <c r="I1201" t="s">
        <v>13</v>
      </c>
      <c r="J1201">
        <v>34439.86</v>
      </c>
      <c r="K1201" t="str">
        <f t="shared" si="180"/>
        <v>30-35</v>
      </c>
      <c r="L1201">
        <f t="shared" si="181"/>
        <v>33.1</v>
      </c>
      <c r="M1201">
        <f t="shared" si="182"/>
        <v>1</v>
      </c>
      <c r="N1201">
        <f t="shared" si="183"/>
        <v>0</v>
      </c>
      <c r="O1201">
        <f t="shared" si="184"/>
        <v>0</v>
      </c>
      <c r="P1201">
        <v>0.89671940042354714</v>
      </c>
      <c r="Q1201">
        <f t="shared" si="185"/>
        <v>1</v>
      </c>
      <c r="R1201">
        <f t="shared" si="186"/>
        <v>1</v>
      </c>
      <c r="S1201">
        <f t="shared" si="187"/>
        <v>1</v>
      </c>
      <c r="T1201">
        <f t="shared" si="188"/>
        <v>30937.309000000008</v>
      </c>
      <c r="U1201">
        <f t="shared" si="189"/>
        <v>3502.5509999999922</v>
      </c>
    </row>
    <row r="1202" spans="1:21" x14ac:dyDescent="0.3">
      <c r="A1202">
        <v>1201</v>
      </c>
      <c r="B1202">
        <v>40</v>
      </c>
      <c r="C1202" t="s">
        <v>10</v>
      </c>
      <c r="D1202">
        <v>32.700000000000003</v>
      </c>
      <c r="E1202">
        <v>98</v>
      </c>
      <c r="F1202" t="s">
        <v>12</v>
      </c>
      <c r="G1202">
        <v>0</v>
      </c>
      <c r="H1202" t="s">
        <v>11</v>
      </c>
      <c r="I1202" t="s">
        <v>15</v>
      </c>
      <c r="J1202">
        <v>34472.839999999997</v>
      </c>
      <c r="K1202" t="str">
        <f t="shared" si="180"/>
        <v>30-35</v>
      </c>
      <c r="L1202">
        <f t="shared" si="181"/>
        <v>32.700000000000003</v>
      </c>
      <c r="M1202">
        <f t="shared" si="182"/>
        <v>0</v>
      </c>
      <c r="N1202">
        <f t="shared" si="183"/>
        <v>1</v>
      </c>
      <c r="O1202">
        <f t="shared" si="184"/>
        <v>0</v>
      </c>
      <c r="P1202">
        <v>7.8256048423335889E-2</v>
      </c>
      <c r="Q1202">
        <f t="shared" si="185"/>
        <v>1</v>
      </c>
      <c r="R1202">
        <f t="shared" si="186"/>
        <v>0</v>
      </c>
      <c r="S1202">
        <f t="shared" si="187"/>
        <v>0</v>
      </c>
      <c r="T1202">
        <f t="shared" si="188"/>
        <v>31497.313000000009</v>
      </c>
      <c r="U1202">
        <f t="shared" si="189"/>
        <v>2975.5269999999873</v>
      </c>
    </row>
    <row r="1203" spans="1:21" x14ac:dyDescent="0.3">
      <c r="A1203">
        <v>1202</v>
      </c>
      <c r="B1203">
        <v>45</v>
      </c>
      <c r="C1203" t="s">
        <v>10</v>
      </c>
      <c r="D1203">
        <v>33.5</v>
      </c>
      <c r="E1203">
        <v>81</v>
      </c>
      <c r="F1203" t="s">
        <v>12</v>
      </c>
      <c r="G1203">
        <v>0</v>
      </c>
      <c r="H1203" t="s">
        <v>11</v>
      </c>
      <c r="I1203" t="s">
        <v>17</v>
      </c>
      <c r="J1203">
        <v>34617.839999999997</v>
      </c>
      <c r="K1203" t="str">
        <f t="shared" si="180"/>
        <v>30-35</v>
      </c>
      <c r="L1203">
        <f t="shared" si="181"/>
        <v>33.5</v>
      </c>
      <c r="M1203">
        <f t="shared" si="182"/>
        <v>0</v>
      </c>
      <c r="N1203">
        <f t="shared" si="183"/>
        <v>0</v>
      </c>
      <c r="O1203">
        <f t="shared" si="184"/>
        <v>0</v>
      </c>
      <c r="P1203">
        <v>0.58646942743911379</v>
      </c>
      <c r="Q1203">
        <f t="shared" si="185"/>
        <v>1</v>
      </c>
      <c r="R1203">
        <f t="shared" si="186"/>
        <v>0</v>
      </c>
      <c r="S1203">
        <f t="shared" si="187"/>
        <v>0</v>
      </c>
      <c r="T1203">
        <f t="shared" si="188"/>
        <v>32809.745000000003</v>
      </c>
      <c r="U1203">
        <f t="shared" si="189"/>
        <v>1808.0949999999939</v>
      </c>
    </row>
    <row r="1204" spans="1:21" x14ac:dyDescent="0.3">
      <c r="A1204">
        <v>1203</v>
      </c>
      <c r="B1204">
        <v>32</v>
      </c>
      <c r="C1204" t="s">
        <v>10</v>
      </c>
      <c r="D1204">
        <v>31.7</v>
      </c>
      <c r="E1204">
        <v>125</v>
      </c>
      <c r="F1204" t="s">
        <v>12</v>
      </c>
      <c r="G1204">
        <v>0</v>
      </c>
      <c r="H1204" t="s">
        <v>11</v>
      </c>
      <c r="I1204" t="s">
        <v>13</v>
      </c>
      <c r="J1204">
        <v>34672.15</v>
      </c>
      <c r="K1204" t="str">
        <f t="shared" si="180"/>
        <v>30-35</v>
      </c>
      <c r="L1204">
        <f t="shared" si="181"/>
        <v>31.7</v>
      </c>
      <c r="M1204">
        <f t="shared" si="182"/>
        <v>1</v>
      </c>
      <c r="N1204">
        <f t="shared" si="183"/>
        <v>0</v>
      </c>
      <c r="O1204">
        <f t="shared" si="184"/>
        <v>0</v>
      </c>
      <c r="P1204">
        <v>0.8567277593944872</v>
      </c>
      <c r="Q1204">
        <f t="shared" si="185"/>
        <v>1</v>
      </c>
      <c r="R1204">
        <f t="shared" si="186"/>
        <v>0</v>
      </c>
      <c r="S1204">
        <f t="shared" si="187"/>
        <v>0</v>
      </c>
      <c r="T1204">
        <f t="shared" si="188"/>
        <v>33783.173000000003</v>
      </c>
      <c r="U1204">
        <f t="shared" si="189"/>
        <v>888.97699999999895</v>
      </c>
    </row>
    <row r="1205" spans="1:21" x14ac:dyDescent="0.3">
      <c r="A1205">
        <v>1204</v>
      </c>
      <c r="B1205">
        <v>26</v>
      </c>
      <c r="C1205" t="s">
        <v>10</v>
      </c>
      <c r="D1205">
        <v>34.799999999999997</v>
      </c>
      <c r="E1205">
        <v>94</v>
      </c>
      <c r="F1205" t="s">
        <v>11</v>
      </c>
      <c r="G1205">
        <v>0</v>
      </c>
      <c r="H1205" t="s">
        <v>11</v>
      </c>
      <c r="I1205" t="s">
        <v>15</v>
      </c>
      <c r="J1205">
        <v>34779.620000000003</v>
      </c>
      <c r="K1205" t="str">
        <f t="shared" si="180"/>
        <v>30-35</v>
      </c>
      <c r="L1205">
        <f t="shared" si="181"/>
        <v>34.799999999999997</v>
      </c>
      <c r="M1205">
        <f t="shared" si="182"/>
        <v>0</v>
      </c>
      <c r="N1205">
        <f t="shared" si="183"/>
        <v>1</v>
      </c>
      <c r="O1205">
        <f t="shared" si="184"/>
        <v>0</v>
      </c>
      <c r="P1205">
        <v>0.58874404801675051</v>
      </c>
      <c r="Q1205">
        <f t="shared" si="185"/>
        <v>1</v>
      </c>
      <c r="R1205">
        <f t="shared" si="186"/>
        <v>1</v>
      </c>
      <c r="S1205">
        <f t="shared" si="187"/>
        <v>0</v>
      </c>
      <c r="T1205">
        <f t="shared" si="188"/>
        <v>33631.662000000004</v>
      </c>
      <c r="U1205">
        <f t="shared" si="189"/>
        <v>1147.9579999999987</v>
      </c>
    </row>
    <row r="1206" spans="1:21" x14ac:dyDescent="0.3">
      <c r="A1206">
        <v>1205</v>
      </c>
      <c r="B1206">
        <v>32</v>
      </c>
      <c r="C1206" t="s">
        <v>10</v>
      </c>
      <c r="D1206">
        <v>31.1</v>
      </c>
      <c r="E1206">
        <v>114</v>
      </c>
      <c r="F1206" t="s">
        <v>11</v>
      </c>
      <c r="G1206">
        <v>1</v>
      </c>
      <c r="H1206" t="s">
        <v>11</v>
      </c>
      <c r="I1206" t="s">
        <v>13</v>
      </c>
      <c r="J1206">
        <v>34806.47</v>
      </c>
      <c r="K1206" t="str">
        <f t="shared" si="180"/>
        <v>30-35</v>
      </c>
      <c r="L1206">
        <f t="shared" si="181"/>
        <v>31.1</v>
      </c>
      <c r="M1206">
        <f t="shared" si="182"/>
        <v>1</v>
      </c>
      <c r="N1206">
        <f t="shared" si="183"/>
        <v>0</v>
      </c>
      <c r="O1206">
        <f t="shared" si="184"/>
        <v>0</v>
      </c>
      <c r="P1206">
        <v>7.2673761316253138E-3</v>
      </c>
      <c r="Q1206">
        <f t="shared" si="185"/>
        <v>1</v>
      </c>
      <c r="R1206">
        <f t="shared" si="186"/>
        <v>1</v>
      </c>
      <c r="S1206">
        <f t="shared" si="187"/>
        <v>0</v>
      </c>
      <c r="T1206">
        <f t="shared" si="188"/>
        <v>31890.048999999995</v>
      </c>
      <c r="U1206">
        <f t="shared" si="189"/>
        <v>2916.4210000000057</v>
      </c>
    </row>
    <row r="1207" spans="1:21" x14ac:dyDescent="0.3">
      <c r="A1207">
        <v>1206</v>
      </c>
      <c r="B1207">
        <v>20</v>
      </c>
      <c r="C1207" t="s">
        <v>10</v>
      </c>
      <c r="D1207">
        <v>34.9</v>
      </c>
      <c r="E1207">
        <v>124</v>
      </c>
      <c r="F1207" t="s">
        <v>11</v>
      </c>
      <c r="G1207">
        <v>0</v>
      </c>
      <c r="H1207" t="s">
        <v>11</v>
      </c>
      <c r="I1207" t="s">
        <v>15</v>
      </c>
      <c r="J1207">
        <v>34828.65</v>
      </c>
      <c r="K1207" t="str">
        <f t="shared" si="180"/>
        <v>30-35</v>
      </c>
      <c r="L1207">
        <f t="shared" si="181"/>
        <v>34.9</v>
      </c>
      <c r="M1207">
        <f t="shared" si="182"/>
        <v>0</v>
      </c>
      <c r="N1207">
        <f t="shared" si="183"/>
        <v>1</v>
      </c>
      <c r="O1207">
        <f t="shared" si="184"/>
        <v>0</v>
      </c>
      <c r="P1207">
        <v>0.33818212239035395</v>
      </c>
      <c r="Q1207">
        <f t="shared" si="185"/>
        <v>1</v>
      </c>
      <c r="R1207">
        <f t="shared" si="186"/>
        <v>1</v>
      </c>
      <c r="S1207">
        <f t="shared" si="187"/>
        <v>0</v>
      </c>
      <c r="T1207">
        <f t="shared" si="188"/>
        <v>38561.511000000006</v>
      </c>
      <c r="U1207">
        <f t="shared" si="189"/>
        <v>-3732.8610000000044</v>
      </c>
    </row>
    <row r="1208" spans="1:21" x14ac:dyDescent="0.3">
      <c r="A1208">
        <v>1207</v>
      </c>
      <c r="B1208">
        <v>46</v>
      </c>
      <c r="C1208" t="s">
        <v>16</v>
      </c>
      <c r="D1208">
        <v>31.4</v>
      </c>
      <c r="E1208">
        <v>111</v>
      </c>
      <c r="F1208" t="s">
        <v>12</v>
      </c>
      <c r="G1208">
        <v>0</v>
      </c>
      <c r="H1208" t="s">
        <v>11</v>
      </c>
      <c r="I1208" t="s">
        <v>15</v>
      </c>
      <c r="J1208">
        <v>34838.870000000003</v>
      </c>
      <c r="K1208" t="str">
        <f t="shared" si="180"/>
        <v>30-35</v>
      </c>
      <c r="L1208">
        <f t="shared" si="181"/>
        <v>31.4</v>
      </c>
      <c r="M1208">
        <f t="shared" si="182"/>
        <v>0</v>
      </c>
      <c r="N1208">
        <f t="shared" si="183"/>
        <v>1</v>
      </c>
      <c r="O1208">
        <f t="shared" si="184"/>
        <v>0</v>
      </c>
      <c r="P1208">
        <v>0.90176202646725023</v>
      </c>
      <c r="Q1208">
        <f t="shared" si="185"/>
        <v>1</v>
      </c>
      <c r="R1208">
        <f t="shared" si="186"/>
        <v>0</v>
      </c>
      <c r="S1208">
        <f t="shared" si="187"/>
        <v>1</v>
      </c>
      <c r="T1208">
        <f t="shared" si="188"/>
        <v>32261.155999999999</v>
      </c>
      <c r="U1208">
        <f t="shared" si="189"/>
        <v>2577.7140000000036</v>
      </c>
    </row>
    <row r="1209" spans="1:21" x14ac:dyDescent="0.3">
      <c r="A1209">
        <v>1208</v>
      </c>
      <c r="B1209">
        <v>22</v>
      </c>
      <c r="C1209" t="s">
        <v>10</v>
      </c>
      <c r="D1209">
        <v>22.9</v>
      </c>
      <c r="E1209">
        <v>80</v>
      </c>
      <c r="F1209" t="s">
        <v>12</v>
      </c>
      <c r="G1209">
        <v>0</v>
      </c>
      <c r="H1209" t="s">
        <v>11</v>
      </c>
      <c r="I1209" t="s">
        <v>17</v>
      </c>
      <c r="J1209">
        <v>35069.370000000003</v>
      </c>
      <c r="K1209" t="str">
        <f t="shared" si="180"/>
        <v>20-25</v>
      </c>
      <c r="L1209">
        <f t="shared" si="181"/>
        <v>22.9</v>
      </c>
      <c r="M1209">
        <f t="shared" si="182"/>
        <v>0</v>
      </c>
      <c r="N1209">
        <f t="shared" si="183"/>
        <v>0</v>
      </c>
      <c r="O1209">
        <f t="shared" si="184"/>
        <v>0</v>
      </c>
      <c r="P1209">
        <v>7.9375388834506344E-2</v>
      </c>
      <c r="Q1209">
        <f t="shared" si="185"/>
        <v>1</v>
      </c>
      <c r="R1209">
        <f t="shared" si="186"/>
        <v>0</v>
      </c>
      <c r="S1209">
        <f t="shared" si="187"/>
        <v>0</v>
      </c>
      <c r="T1209">
        <f t="shared" si="188"/>
        <v>18425.881000000001</v>
      </c>
      <c r="U1209">
        <f t="shared" si="189"/>
        <v>16643.489000000001</v>
      </c>
    </row>
    <row r="1210" spans="1:21" x14ac:dyDescent="0.3">
      <c r="A1210">
        <v>1209</v>
      </c>
      <c r="B1210">
        <v>23</v>
      </c>
      <c r="C1210" t="s">
        <v>10</v>
      </c>
      <c r="D1210">
        <v>28.5</v>
      </c>
      <c r="E1210">
        <v>106</v>
      </c>
      <c r="F1210" t="s">
        <v>12</v>
      </c>
      <c r="G1210">
        <v>0</v>
      </c>
      <c r="H1210" t="s">
        <v>11</v>
      </c>
      <c r="I1210" t="s">
        <v>17</v>
      </c>
      <c r="J1210">
        <v>35147.53</v>
      </c>
      <c r="K1210" t="str">
        <f t="shared" si="180"/>
        <v>25-30</v>
      </c>
      <c r="L1210">
        <f t="shared" si="181"/>
        <v>28.5</v>
      </c>
      <c r="M1210">
        <f t="shared" si="182"/>
        <v>0</v>
      </c>
      <c r="N1210">
        <f t="shared" si="183"/>
        <v>0</v>
      </c>
      <c r="O1210">
        <f t="shared" si="184"/>
        <v>0</v>
      </c>
      <c r="P1210">
        <v>0.35871606298524783</v>
      </c>
      <c r="Q1210">
        <f t="shared" si="185"/>
        <v>1</v>
      </c>
      <c r="R1210">
        <f t="shared" si="186"/>
        <v>0</v>
      </c>
      <c r="S1210">
        <f t="shared" si="187"/>
        <v>0</v>
      </c>
      <c r="T1210">
        <f t="shared" si="188"/>
        <v>30104.205000000002</v>
      </c>
      <c r="U1210">
        <f t="shared" si="189"/>
        <v>5043.3249999999971</v>
      </c>
    </row>
    <row r="1211" spans="1:21" x14ac:dyDescent="0.3">
      <c r="A1211">
        <v>1210</v>
      </c>
      <c r="B1211">
        <v>32</v>
      </c>
      <c r="C1211" t="s">
        <v>16</v>
      </c>
      <c r="D1211">
        <v>26.8</v>
      </c>
      <c r="E1211">
        <v>107</v>
      </c>
      <c r="F1211" t="s">
        <v>12</v>
      </c>
      <c r="G1211">
        <v>1</v>
      </c>
      <c r="H1211" t="s">
        <v>12</v>
      </c>
      <c r="I1211" t="s">
        <v>15</v>
      </c>
      <c r="J1211">
        <v>35160.129999999997</v>
      </c>
      <c r="K1211" t="str">
        <f t="shared" si="180"/>
        <v>25-30</v>
      </c>
      <c r="L1211">
        <f t="shared" si="181"/>
        <v>0</v>
      </c>
      <c r="M1211">
        <f t="shared" si="182"/>
        <v>0</v>
      </c>
      <c r="N1211">
        <f t="shared" si="183"/>
        <v>1</v>
      </c>
      <c r="O1211">
        <f t="shared" si="184"/>
        <v>0</v>
      </c>
      <c r="P1211">
        <v>0.87025801175825002</v>
      </c>
      <c r="Q1211">
        <f t="shared" si="185"/>
        <v>0</v>
      </c>
      <c r="R1211">
        <f t="shared" si="186"/>
        <v>0</v>
      </c>
      <c r="S1211">
        <f t="shared" si="187"/>
        <v>1</v>
      </c>
      <c r="T1211">
        <f t="shared" si="188"/>
        <v>10275.94</v>
      </c>
      <c r="U1211">
        <f t="shared" si="189"/>
        <v>24884.189999999995</v>
      </c>
    </row>
    <row r="1212" spans="1:21" x14ac:dyDescent="0.3">
      <c r="A1212">
        <v>1211</v>
      </c>
      <c r="B1212">
        <v>25</v>
      </c>
      <c r="C1212" t="s">
        <v>10</v>
      </c>
      <c r="D1212">
        <v>30.8</v>
      </c>
      <c r="E1212">
        <v>140</v>
      </c>
      <c r="F1212" t="s">
        <v>11</v>
      </c>
      <c r="G1212">
        <v>0</v>
      </c>
      <c r="H1212" t="s">
        <v>11</v>
      </c>
      <c r="I1212" t="s">
        <v>15</v>
      </c>
      <c r="J1212">
        <v>35491.64</v>
      </c>
      <c r="K1212" t="str">
        <f t="shared" si="180"/>
        <v>30-35</v>
      </c>
      <c r="L1212">
        <f t="shared" si="181"/>
        <v>30.8</v>
      </c>
      <c r="M1212">
        <f t="shared" si="182"/>
        <v>0</v>
      </c>
      <c r="N1212">
        <f t="shared" si="183"/>
        <v>1</v>
      </c>
      <c r="O1212">
        <f t="shared" si="184"/>
        <v>0</v>
      </c>
      <c r="P1212">
        <v>0.55680948091669136</v>
      </c>
      <c r="Q1212">
        <f t="shared" si="185"/>
        <v>1</v>
      </c>
      <c r="R1212">
        <f t="shared" si="186"/>
        <v>1</v>
      </c>
      <c r="S1212">
        <f t="shared" si="187"/>
        <v>0</v>
      </c>
      <c r="T1212">
        <f t="shared" si="188"/>
        <v>35595.322000000007</v>
      </c>
      <c r="U1212">
        <f t="shared" si="189"/>
        <v>-103.68200000000797</v>
      </c>
    </row>
    <row r="1213" spans="1:21" x14ac:dyDescent="0.3">
      <c r="A1213">
        <v>1212</v>
      </c>
      <c r="B1213">
        <v>22</v>
      </c>
      <c r="C1213" t="s">
        <v>10</v>
      </c>
      <c r="D1213">
        <v>35.6</v>
      </c>
      <c r="E1213">
        <v>97</v>
      </c>
      <c r="F1213" t="s">
        <v>11</v>
      </c>
      <c r="G1213">
        <v>0</v>
      </c>
      <c r="H1213" t="s">
        <v>11</v>
      </c>
      <c r="I1213" t="s">
        <v>15</v>
      </c>
      <c r="J1213">
        <v>35585.58</v>
      </c>
      <c r="K1213" t="str">
        <f t="shared" si="180"/>
        <v>35+</v>
      </c>
      <c r="L1213">
        <f t="shared" si="181"/>
        <v>35.6</v>
      </c>
      <c r="M1213">
        <f t="shared" si="182"/>
        <v>0</v>
      </c>
      <c r="N1213">
        <f t="shared" si="183"/>
        <v>1</v>
      </c>
      <c r="O1213">
        <f t="shared" si="184"/>
        <v>0</v>
      </c>
      <c r="P1213">
        <v>0.71713154851378269</v>
      </c>
      <c r="Q1213">
        <f t="shared" si="185"/>
        <v>1</v>
      </c>
      <c r="R1213">
        <f t="shared" si="186"/>
        <v>1</v>
      </c>
      <c r="S1213">
        <f t="shared" si="187"/>
        <v>0</v>
      </c>
      <c r="T1213">
        <f t="shared" si="188"/>
        <v>35191.304000000011</v>
      </c>
      <c r="U1213">
        <f t="shared" si="189"/>
        <v>394.27599999999074</v>
      </c>
    </row>
    <row r="1214" spans="1:21" x14ac:dyDescent="0.3">
      <c r="A1214">
        <v>1213</v>
      </c>
      <c r="B1214">
        <v>56</v>
      </c>
      <c r="C1214" t="s">
        <v>16</v>
      </c>
      <c r="D1214">
        <v>31</v>
      </c>
      <c r="E1214">
        <v>129</v>
      </c>
      <c r="F1214" t="s">
        <v>11</v>
      </c>
      <c r="G1214">
        <v>3</v>
      </c>
      <c r="H1214" t="s">
        <v>11</v>
      </c>
      <c r="I1214" t="s">
        <v>13</v>
      </c>
      <c r="J1214">
        <v>35595.589999999997</v>
      </c>
      <c r="K1214" t="str">
        <f t="shared" si="180"/>
        <v>30-35</v>
      </c>
      <c r="L1214">
        <f t="shared" si="181"/>
        <v>31</v>
      </c>
      <c r="M1214">
        <f t="shared" si="182"/>
        <v>1</v>
      </c>
      <c r="N1214">
        <f t="shared" si="183"/>
        <v>0</v>
      </c>
      <c r="O1214">
        <f t="shared" si="184"/>
        <v>0</v>
      </c>
      <c r="P1214">
        <v>7.3824173508189039E-3</v>
      </c>
      <c r="Q1214">
        <f t="shared" si="185"/>
        <v>1</v>
      </c>
      <c r="R1214">
        <f t="shared" si="186"/>
        <v>1</v>
      </c>
      <c r="S1214">
        <f t="shared" si="187"/>
        <v>1</v>
      </c>
      <c r="T1214">
        <f t="shared" si="188"/>
        <v>36040.14</v>
      </c>
      <c r="U1214">
        <f t="shared" si="189"/>
        <v>-444.55000000000291</v>
      </c>
    </row>
    <row r="1215" spans="1:21" x14ac:dyDescent="0.3">
      <c r="A1215">
        <v>1214</v>
      </c>
      <c r="B1215">
        <v>30</v>
      </c>
      <c r="C1215" t="s">
        <v>16</v>
      </c>
      <c r="D1215">
        <v>32.799999999999997</v>
      </c>
      <c r="E1215">
        <v>98</v>
      </c>
      <c r="F1215" t="s">
        <v>12</v>
      </c>
      <c r="G1215">
        <v>2</v>
      </c>
      <c r="H1215" t="s">
        <v>11</v>
      </c>
      <c r="I1215" t="s">
        <v>13</v>
      </c>
      <c r="J1215">
        <v>36021.01</v>
      </c>
      <c r="K1215" t="str">
        <f t="shared" si="180"/>
        <v>30-35</v>
      </c>
      <c r="L1215">
        <f t="shared" si="181"/>
        <v>32.799999999999997</v>
      </c>
      <c r="M1215">
        <f t="shared" si="182"/>
        <v>1</v>
      </c>
      <c r="N1215">
        <f t="shared" si="183"/>
        <v>0</v>
      </c>
      <c r="O1215">
        <f t="shared" si="184"/>
        <v>0</v>
      </c>
      <c r="P1215">
        <v>0.82847207551094826</v>
      </c>
      <c r="Q1215">
        <f t="shared" si="185"/>
        <v>1</v>
      </c>
      <c r="R1215">
        <f t="shared" si="186"/>
        <v>0</v>
      </c>
      <c r="S1215">
        <f t="shared" si="187"/>
        <v>1</v>
      </c>
      <c r="T1215">
        <f t="shared" si="188"/>
        <v>32877.391999999993</v>
      </c>
      <c r="U1215">
        <f t="shared" si="189"/>
        <v>3143.6180000000095</v>
      </c>
    </row>
    <row r="1216" spans="1:21" x14ac:dyDescent="0.3">
      <c r="A1216">
        <v>1215</v>
      </c>
      <c r="B1216">
        <v>40</v>
      </c>
      <c r="C1216" t="s">
        <v>10</v>
      </c>
      <c r="D1216">
        <v>32.9</v>
      </c>
      <c r="E1216">
        <v>87</v>
      </c>
      <c r="F1216" t="s">
        <v>11</v>
      </c>
      <c r="G1216">
        <v>2</v>
      </c>
      <c r="H1216" t="s">
        <v>11</v>
      </c>
      <c r="I1216" t="s">
        <v>15</v>
      </c>
      <c r="J1216">
        <v>36085.22</v>
      </c>
      <c r="K1216" t="str">
        <f t="shared" si="180"/>
        <v>30-35</v>
      </c>
      <c r="L1216">
        <f t="shared" si="181"/>
        <v>32.9</v>
      </c>
      <c r="M1216">
        <f t="shared" si="182"/>
        <v>0</v>
      </c>
      <c r="N1216">
        <f t="shared" si="183"/>
        <v>1</v>
      </c>
      <c r="O1216">
        <f t="shared" si="184"/>
        <v>0</v>
      </c>
      <c r="P1216">
        <v>0.89660558425092296</v>
      </c>
      <c r="Q1216">
        <f t="shared" si="185"/>
        <v>1</v>
      </c>
      <c r="R1216">
        <f t="shared" si="186"/>
        <v>1</v>
      </c>
      <c r="S1216">
        <f t="shared" si="187"/>
        <v>0</v>
      </c>
      <c r="T1216">
        <f t="shared" si="188"/>
        <v>31418.181</v>
      </c>
      <c r="U1216">
        <f t="shared" si="189"/>
        <v>4667.0390000000007</v>
      </c>
    </row>
    <row r="1217" spans="1:21" x14ac:dyDescent="0.3">
      <c r="A1217">
        <v>1216</v>
      </c>
      <c r="B1217">
        <v>22</v>
      </c>
      <c r="C1217" t="s">
        <v>10</v>
      </c>
      <c r="D1217">
        <v>33.299999999999997</v>
      </c>
      <c r="E1217">
        <v>117</v>
      </c>
      <c r="F1217" t="s">
        <v>12</v>
      </c>
      <c r="G1217">
        <v>2</v>
      </c>
      <c r="H1217" t="s">
        <v>11</v>
      </c>
      <c r="I1217" t="s">
        <v>13</v>
      </c>
      <c r="J1217">
        <v>36124.57</v>
      </c>
      <c r="K1217" t="str">
        <f t="shared" si="180"/>
        <v>30-35</v>
      </c>
      <c r="L1217">
        <f t="shared" si="181"/>
        <v>33.299999999999997</v>
      </c>
      <c r="M1217">
        <f t="shared" si="182"/>
        <v>1</v>
      </c>
      <c r="N1217">
        <f t="shared" si="183"/>
        <v>0</v>
      </c>
      <c r="O1217">
        <f t="shared" si="184"/>
        <v>0</v>
      </c>
      <c r="P1217">
        <v>6.7527201395505165E-2</v>
      </c>
      <c r="Q1217">
        <f t="shared" si="185"/>
        <v>1</v>
      </c>
      <c r="R1217">
        <f t="shared" si="186"/>
        <v>0</v>
      </c>
      <c r="S1217">
        <f t="shared" si="187"/>
        <v>0</v>
      </c>
      <c r="T1217">
        <f t="shared" si="188"/>
        <v>36147.237000000001</v>
      </c>
      <c r="U1217">
        <f t="shared" si="189"/>
        <v>-22.667000000001281</v>
      </c>
    </row>
    <row r="1218" spans="1:21" x14ac:dyDescent="0.3">
      <c r="A1218">
        <v>1217</v>
      </c>
      <c r="B1218">
        <v>34</v>
      </c>
      <c r="C1218" t="s">
        <v>16</v>
      </c>
      <c r="D1218">
        <v>36.9</v>
      </c>
      <c r="E1218">
        <v>131</v>
      </c>
      <c r="F1218" t="s">
        <v>12</v>
      </c>
      <c r="G1218">
        <v>0</v>
      </c>
      <c r="H1218" t="s">
        <v>11</v>
      </c>
      <c r="I1218" t="s">
        <v>13</v>
      </c>
      <c r="J1218">
        <v>36149.480000000003</v>
      </c>
      <c r="K1218" t="str">
        <f t="shared" si="180"/>
        <v>35+</v>
      </c>
      <c r="L1218">
        <f t="shared" si="181"/>
        <v>36.9</v>
      </c>
      <c r="M1218">
        <f t="shared" si="182"/>
        <v>1</v>
      </c>
      <c r="N1218">
        <f t="shared" si="183"/>
        <v>0</v>
      </c>
      <c r="O1218">
        <f t="shared" si="184"/>
        <v>0</v>
      </c>
      <c r="P1218">
        <v>0.63377951688827106</v>
      </c>
      <c r="Q1218">
        <f t="shared" si="185"/>
        <v>1</v>
      </c>
      <c r="R1218">
        <f t="shared" si="186"/>
        <v>0</v>
      </c>
      <c r="S1218">
        <f t="shared" si="187"/>
        <v>1</v>
      </c>
      <c r="T1218">
        <f t="shared" si="188"/>
        <v>42175.490999999995</v>
      </c>
      <c r="U1218">
        <f t="shared" si="189"/>
        <v>-6026.0109999999913</v>
      </c>
    </row>
    <row r="1219" spans="1:21" x14ac:dyDescent="0.3">
      <c r="A1219">
        <v>1218</v>
      </c>
      <c r="B1219">
        <v>28</v>
      </c>
      <c r="C1219" t="s">
        <v>10</v>
      </c>
      <c r="D1219">
        <v>31.7</v>
      </c>
      <c r="E1219">
        <v>105</v>
      </c>
      <c r="F1219" t="s">
        <v>11</v>
      </c>
      <c r="G1219">
        <v>3</v>
      </c>
      <c r="H1219" t="s">
        <v>11</v>
      </c>
      <c r="I1219" t="s">
        <v>17</v>
      </c>
      <c r="J1219">
        <v>36189.1</v>
      </c>
      <c r="K1219" t="str">
        <f t="shared" ref="K1219:K1282" si="190">IF(D1219&lt;20, "&lt;20", IF(D1219&lt;25, "20-25", IF(D1219&lt;30, "25-30", IF(D1219&lt;35, "30-35", "35+"))))</f>
        <v>30-35</v>
      </c>
      <c r="L1219">
        <f t="shared" ref="L1219:L1282" si="191">D1219*Q1219</f>
        <v>31.7</v>
      </c>
      <c r="M1219">
        <f t="shared" ref="M1219:M1282" si="192">IF(I1219="southeast", 1, 0)</f>
        <v>0</v>
      </c>
      <c r="N1219">
        <f t="shared" ref="N1219:N1282" si="193">IF(I1219="southwest", 1, 0)</f>
        <v>0</v>
      </c>
      <c r="O1219">
        <f t="shared" ref="O1219:O1282" si="194">IF(I1219="northwest", 1, 0)</f>
        <v>0</v>
      </c>
      <c r="P1219">
        <v>0.47696678956634442</v>
      </c>
      <c r="Q1219">
        <f t="shared" ref="Q1219:Q1282" si="195">IF(H1219="Yes", 1, 0)</f>
        <v>1</v>
      </c>
      <c r="R1219">
        <f t="shared" ref="R1219:R1282" si="196">IF(F1219="yes", 1, 0)</f>
        <v>1</v>
      </c>
      <c r="S1219">
        <f t="shared" ref="S1219:S1282" si="197">IF(C1219="female", 1, 0)</f>
        <v>0</v>
      </c>
      <c r="T1219">
        <f t="shared" ref="T1219:T1282" si="198">-7277.71 + (-1.28*B1219) + (85.5*D1219) + (738.24*G1219) + (159.59*E1219) + (1259.19*L1219) + (-3644.73*M1219) + (-2956.11*N1219) + (-2948.04*O1219) + (-17828.85*Q1219) + (-69.06*R1219) + (444.95*S1219)</f>
        <v>36386.883000000009</v>
      </c>
      <c r="U1219">
        <f t="shared" ref="U1219:U1282" si="199">J1219-T1219</f>
        <v>-197.78300000001036</v>
      </c>
    </row>
    <row r="1220" spans="1:21" x14ac:dyDescent="0.3">
      <c r="A1220">
        <v>1219</v>
      </c>
      <c r="B1220">
        <v>37</v>
      </c>
      <c r="C1220" t="s">
        <v>10</v>
      </c>
      <c r="D1220">
        <v>34.4</v>
      </c>
      <c r="E1220">
        <v>126</v>
      </c>
      <c r="F1220" t="s">
        <v>12</v>
      </c>
      <c r="G1220">
        <v>0</v>
      </c>
      <c r="H1220" t="s">
        <v>11</v>
      </c>
      <c r="I1220" t="s">
        <v>15</v>
      </c>
      <c r="J1220">
        <v>36197.699999999997</v>
      </c>
      <c r="K1220" t="str">
        <f t="shared" si="190"/>
        <v>30-35</v>
      </c>
      <c r="L1220">
        <f t="shared" si="191"/>
        <v>34.4</v>
      </c>
      <c r="M1220">
        <f t="shared" si="192"/>
        <v>0</v>
      </c>
      <c r="N1220">
        <f t="shared" si="193"/>
        <v>1</v>
      </c>
      <c r="O1220">
        <f t="shared" si="194"/>
        <v>0</v>
      </c>
      <c r="P1220">
        <v>0.534025077397971</v>
      </c>
      <c r="Q1220">
        <f t="shared" si="195"/>
        <v>1</v>
      </c>
      <c r="R1220">
        <f t="shared" si="196"/>
        <v>0</v>
      </c>
      <c r="S1220">
        <f t="shared" si="197"/>
        <v>0</v>
      </c>
      <c r="T1220">
        <f t="shared" si="198"/>
        <v>38255.646000000001</v>
      </c>
      <c r="U1220">
        <f t="shared" si="199"/>
        <v>-2057.9460000000036</v>
      </c>
    </row>
    <row r="1221" spans="1:21" x14ac:dyDescent="0.3">
      <c r="A1221">
        <v>1220</v>
      </c>
      <c r="B1221">
        <v>35</v>
      </c>
      <c r="C1221" t="s">
        <v>10</v>
      </c>
      <c r="D1221">
        <v>37</v>
      </c>
      <c r="E1221">
        <v>108</v>
      </c>
      <c r="F1221" t="s">
        <v>11</v>
      </c>
      <c r="G1221">
        <v>0</v>
      </c>
      <c r="H1221" t="s">
        <v>11</v>
      </c>
      <c r="I1221" t="s">
        <v>14</v>
      </c>
      <c r="J1221">
        <v>36219.410000000003</v>
      </c>
      <c r="K1221" t="str">
        <f t="shared" si="190"/>
        <v>35+</v>
      </c>
      <c r="L1221">
        <f t="shared" si="191"/>
        <v>37</v>
      </c>
      <c r="M1221">
        <f t="shared" si="192"/>
        <v>0</v>
      </c>
      <c r="N1221">
        <f t="shared" si="193"/>
        <v>0</v>
      </c>
      <c r="O1221">
        <f t="shared" si="194"/>
        <v>1</v>
      </c>
      <c r="P1221">
        <v>0.61896904512302231</v>
      </c>
      <c r="Q1221">
        <f t="shared" si="195"/>
        <v>1</v>
      </c>
      <c r="R1221">
        <f t="shared" si="196"/>
        <v>1</v>
      </c>
      <c r="S1221">
        <f t="shared" si="197"/>
        <v>0</v>
      </c>
      <c r="T1221">
        <f t="shared" si="198"/>
        <v>38820.79</v>
      </c>
      <c r="U1221">
        <f t="shared" si="199"/>
        <v>-2601.3799999999974</v>
      </c>
    </row>
    <row r="1222" spans="1:21" x14ac:dyDescent="0.3">
      <c r="A1222">
        <v>1221</v>
      </c>
      <c r="B1222">
        <v>32</v>
      </c>
      <c r="C1222" t="s">
        <v>10</v>
      </c>
      <c r="D1222">
        <v>38.200000000000003</v>
      </c>
      <c r="E1222">
        <v>135</v>
      </c>
      <c r="F1222" t="s">
        <v>11</v>
      </c>
      <c r="G1222">
        <v>0</v>
      </c>
      <c r="H1222" t="s">
        <v>11</v>
      </c>
      <c r="I1222" t="s">
        <v>13</v>
      </c>
      <c r="J1222">
        <v>36307.800000000003</v>
      </c>
      <c r="K1222" t="str">
        <f t="shared" si="190"/>
        <v>35+</v>
      </c>
      <c r="L1222">
        <f t="shared" si="191"/>
        <v>38.200000000000003</v>
      </c>
      <c r="M1222">
        <f t="shared" si="192"/>
        <v>1</v>
      </c>
      <c r="N1222">
        <f t="shared" si="193"/>
        <v>0</v>
      </c>
      <c r="O1222">
        <f t="shared" si="194"/>
        <v>0</v>
      </c>
      <c r="P1222">
        <v>0.41246856366838203</v>
      </c>
      <c r="Q1222">
        <f t="shared" si="195"/>
        <v>1</v>
      </c>
      <c r="R1222">
        <f t="shared" si="196"/>
        <v>1</v>
      </c>
      <c r="S1222">
        <f t="shared" si="197"/>
        <v>0</v>
      </c>
      <c r="T1222">
        <f t="shared" si="198"/>
        <v>44050.498000000007</v>
      </c>
      <c r="U1222">
        <f t="shared" si="199"/>
        <v>-7742.698000000004</v>
      </c>
    </row>
    <row r="1223" spans="1:21" x14ac:dyDescent="0.3">
      <c r="A1223">
        <v>1222</v>
      </c>
      <c r="B1223">
        <v>31</v>
      </c>
      <c r="C1223" t="s">
        <v>16</v>
      </c>
      <c r="D1223">
        <v>34.700000000000003</v>
      </c>
      <c r="E1223">
        <v>96</v>
      </c>
      <c r="F1223" t="s">
        <v>12</v>
      </c>
      <c r="G1223">
        <v>2</v>
      </c>
      <c r="H1223" t="s">
        <v>11</v>
      </c>
      <c r="I1223" t="s">
        <v>15</v>
      </c>
      <c r="J1223">
        <v>36397.58</v>
      </c>
      <c r="K1223" t="str">
        <f t="shared" si="190"/>
        <v>30-35</v>
      </c>
      <c r="L1223">
        <f t="shared" si="191"/>
        <v>34.700000000000003</v>
      </c>
      <c r="M1223">
        <f t="shared" si="192"/>
        <v>0</v>
      </c>
      <c r="N1223">
        <f t="shared" si="193"/>
        <v>1</v>
      </c>
      <c r="O1223">
        <f t="shared" si="194"/>
        <v>0</v>
      </c>
      <c r="P1223">
        <v>0.97851785468043062</v>
      </c>
      <c r="Q1223">
        <f t="shared" si="195"/>
        <v>1</v>
      </c>
      <c r="R1223">
        <f t="shared" si="196"/>
        <v>0</v>
      </c>
      <c r="S1223">
        <f t="shared" si="197"/>
        <v>1</v>
      </c>
      <c r="T1223">
        <f t="shared" si="198"/>
        <v>35800.463000000003</v>
      </c>
      <c r="U1223">
        <f t="shared" si="199"/>
        <v>597.11699999999837</v>
      </c>
    </row>
    <row r="1224" spans="1:21" x14ac:dyDescent="0.3">
      <c r="A1224">
        <v>1223</v>
      </c>
      <c r="B1224">
        <v>55</v>
      </c>
      <c r="C1224" t="s">
        <v>16</v>
      </c>
      <c r="D1224">
        <v>33.299999999999997</v>
      </c>
      <c r="E1224">
        <v>86</v>
      </c>
      <c r="F1224" t="s">
        <v>12</v>
      </c>
      <c r="G1224">
        <v>4</v>
      </c>
      <c r="H1224" t="s">
        <v>12</v>
      </c>
      <c r="I1224" t="s">
        <v>13</v>
      </c>
      <c r="J1224">
        <v>36580.28</v>
      </c>
      <c r="K1224" t="str">
        <f t="shared" si="190"/>
        <v>30-35</v>
      </c>
      <c r="L1224">
        <f t="shared" si="191"/>
        <v>0</v>
      </c>
      <c r="M1224">
        <f t="shared" si="192"/>
        <v>1</v>
      </c>
      <c r="N1224">
        <f t="shared" si="193"/>
        <v>0</v>
      </c>
      <c r="O1224">
        <f t="shared" si="194"/>
        <v>0</v>
      </c>
      <c r="P1224">
        <v>0.45514250025384906</v>
      </c>
      <c r="Q1224">
        <f t="shared" si="195"/>
        <v>0</v>
      </c>
      <c r="R1224">
        <f t="shared" si="196"/>
        <v>0</v>
      </c>
      <c r="S1224">
        <f t="shared" si="197"/>
        <v>1</v>
      </c>
      <c r="T1224">
        <f t="shared" si="198"/>
        <v>8976.9600000000009</v>
      </c>
      <c r="U1224">
        <f t="shared" si="199"/>
        <v>27603.32</v>
      </c>
    </row>
    <row r="1225" spans="1:21" x14ac:dyDescent="0.3">
      <c r="A1225">
        <v>1224</v>
      </c>
      <c r="B1225">
        <v>20</v>
      </c>
      <c r="C1225" t="s">
        <v>10</v>
      </c>
      <c r="D1225">
        <v>35.299999999999997</v>
      </c>
      <c r="E1225">
        <v>86</v>
      </c>
      <c r="F1225" t="s">
        <v>12</v>
      </c>
      <c r="G1225">
        <v>0</v>
      </c>
      <c r="H1225" t="s">
        <v>11</v>
      </c>
      <c r="I1225" t="s">
        <v>15</v>
      </c>
      <c r="J1225">
        <v>36837.47</v>
      </c>
      <c r="K1225" t="str">
        <f t="shared" si="190"/>
        <v>35+</v>
      </c>
      <c r="L1225">
        <f t="shared" si="191"/>
        <v>35.299999999999997</v>
      </c>
      <c r="M1225">
        <f t="shared" si="192"/>
        <v>0</v>
      </c>
      <c r="N1225">
        <f t="shared" si="193"/>
        <v>1</v>
      </c>
      <c r="O1225">
        <f t="shared" si="194"/>
        <v>0</v>
      </c>
      <c r="P1225">
        <v>0.53191961742040417</v>
      </c>
      <c r="Q1225">
        <f t="shared" si="195"/>
        <v>1</v>
      </c>
      <c r="R1225">
        <f t="shared" si="196"/>
        <v>0</v>
      </c>
      <c r="S1225">
        <f t="shared" si="197"/>
        <v>0</v>
      </c>
      <c r="T1225">
        <f t="shared" si="198"/>
        <v>33104.026999999995</v>
      </c>
      <c r="U1225">
        <f t="shared" si="199"/>
        <v>3733.4430000000066</v>
      </c>
    </row>
    <row r="1226" spans="1:21" x14ac:dyDescent="0.3">
      <c r="A1226">
        <v>1225</v>
      </c>
      <c r="B1226">
        <v>60</v>
      </c>
      <c r="C1226" t="s">
        <v>16</v>
      </c>
      <c r="D1226">
        <v>32.5</v>
      </c>
      <c r="E1226">
        <v>97</v>
      </c>
      <c r="F1226" t="s">
        <v>12</v>
      </c>
      <c r="G1226">
        <v>0</v>
      </c>
      <c r="H1226" t="s">
        <v>11</v>
      </c>
      <c r="I1226" t="s">
        <v>14</v>
      </c>
      <c r="J1226">
        <v>36898.730000000003</v>
      </c>
      <c r="K1226" t="str">
        <f t="shared" si="190"/>
        <v>30-35</v>
      </c>
      <c r="L1226">
        <f t="shared" si="191"/>
        <v>32.5</v>
      </c>
      <c r="M1226">
        <f t="shared" si="192"/>
        <v>0</v>
      </c>
      <c r="N1226">
        <f t="shared" si="193"/>
        <v>0</v>
      </c>
      <c r="O1226">
        <f t="shared" si="194"/>
        <v>1</v>
      </c>
      <c r="P1226">
        <v>0.24261995740139164</v>
      </c>
      <c r="Q1226">
        <f t="shared" si="195"/>
        <v>1</v>
      </c>
      <c r="R1226">
        <f t="shared" si="196"/>
        <v>0</v>
      </c>
      <c r="S1226">
        <f t="shared" si="197"/>
        <v>1</v>
      </c>
      <c r="T1226">
        <f t="shared" si="198"/>
        <v>31496.205000000005</v>
      </c>
      <c r="U1226">
        <f t="shared" si="199"/>
        <v>5402.5249999999978</v>
      </c>
    </row>
    <row r="1227" spans="1:21" x14ac:dyDescent="0.3">
      <c r="A1227">
        <v>1226</v>
      </c>
      <c r="B1227">
        <v>50</v>
      </c>
      <c r="C1227" t="s">
        <v>16</v>
      </c>
      <c r="D1227">
        <v>34.799999999999997</v>
      </c>
      <c r="E1227">
        <v>140</v>
      </c>
      <c r="F1227" t="s">
        <v>11</v>
      </c>
      <c r="G1227">
        <v>2</v>
      </c>
      <c r="H1227" t="s">
        <v>12</v>
      </c>
      <c r="I1227" t="s">
        <v>15</v>
      </c>
      <c r="J1227">
        <v>36910.61</v>
      </c>
      <c r="K1227" t="str">
        <f t="shared" si="190"/>
        <v>30-35</v>
      </c>
      <c r="L1227">
        <f t="shared" si="191"/>
        <v>0</v>
      </c>
      <c r="M1227">
        <f t="shared" si="192"/>
        <v>0</v>
      </c>
      <c r="N1227">
        <f t="shared" si="193"/>
        <v>1</v>
      </c>
      <c r="O1227">
        <f t="shared" si="194"/>
        <v>0</v>
      </c>
      <c r="P1227">
        <v>0.38934980168075239</v>
      </c>
      <c r="Q1227">
        <f t="shared" si="195"/>
        <v>0</v>
      </c>
      <c r="R1227">
        <f t="shared" si="196"/>
        <v>1</v>
      </c>
      <c r="S1227">
        <f t="shared" si="197"/>
        <v>1</v>
      </c>
      <c r="T1227">
        <f t="shared" si="198"/>
        <v>16872.55</v>
      </c>
      <c r="U1227">
        <f t="shared" si="199"/>
        <v>20038.060000000001</v>
      </c>
    </row>
    <row r="1228" spans="1:21" x14ac:dyDescent="0.3">
      <c r="A1228">
        <v>1227</v>
      </c>
      <c r="B1228">
        <v>46</v>
      </c>
      <c r="C1228" t="s">
        <v>10</v>
      </c>
      <c r="D1228">
        <v>35.5</v>
      </c>
      <c r="E1228">
        <v>140</v>
      </c>
      <c r="F1228" t="s">
        <v>11</v>
      </c>
      <c r="G1228">
        <v>0</v>
      </c>
      <c r="H1228" t="s">
        <v>11</v>
      </c>
      <c r="I1228" t="s">
        <v>13</v>
      </c>
      <c r="J1228">
        <v>36950.26</v>
      </c>
      <c r="K1228" t="str">
        <f t="shared" si="190"/>
        <v>35+</v>
      </c>
      <c r="L1228">
        <f t="shared" si="191"/>
        <v>35.5</v>
      </c>
      <c r="M1228">
        <f t="shared" si="192"/>
        <v>1</v>
      </c>
      <c r="N1228">
        <f t="shared" si="193"/>
        <v>0</v>
      </c>
      <c r="O1228">
        <f t="shared" si="194"/>
        <v>0</v>
      </c>
      <c r="P1228">
        <v>0.85552111504252526</v>
      </c>
      <c r="Q1228">
        <f t="shared" si="195"/>
        <v>1</v>
      </c>
      <c r="R1228">
        <f t="shared" si="196"/>
        <v>1</v>
      </c>
      <c r="S1228">
        <f t="shared" si="197"/>
        <v>0</v>
      </c>
      <c r="T1228">
        <f t="shared" si="198"/>
        <v>41199.865000000005</v>
      </c>
      <c r="U1228">
        <f t="shared" si="199"/>
        <v>-4249.6050000000032</v>
      </c>
    </row>
    <row r="1229" spans="1:21" x14ac:dyDescent="0.3">
      <c r="A1229">
        <v>1228</v>
      </c>
      <c r="B1229">
        <v>48</v>
      </c>
      <c r="C1229" t="s">
        <v>16</v>
      </c>
      <c r="D1229">
        <v>33.5</v>
      </c>
      <c r="E1229">
        <v>124</v>
      </c>
      <c r="F1229" t="s">
        <v>12</v>
      </c>
      <c r="G1229">
        <v>0</v>
      </c>
      <c r="H1229" t="s">
        <v>11</v>
      </c>
      <c r="I1229" t="s">
        <v>15</v>
      </c>
      <c r="J1229">
        <v>37079.370000000003</v>
      </c>
      <c r="K1229" t="str">
        <f t="shared" si="190"/>
        <v>30-35</v>
      </c>
      <c r="L1229">
        <f t="shared" si="191"/>
        <v>33.5</v>
      </c>
      <c r="M1229">
        <f t="shared" si="192"/>
        <v>0</v>
      </c>
      <c r="N1229">
        <f t="shared" si="193"/>
        <v>1</v>
      </c>
      <c r="O1229">
        <f t="shared" si="194"/>
        <v>0</v>
      </c>
      <c r="P1229">
        <v>0.68853317899560051</v>
      </c>
      <c r="Q1229">
        <f t="shared" si="195"/>
        <v>1</v>
      </c>
      <c r="R1229">
        <f t="shared" si="196"/>
        <v>0</v>
      </c>
      <c r="S1229">
        <f t="shared" si="197"/>
        <v>1</v>
      </c>
      <c r="T1229">
        <f t="shared" si="198"/>
        <v>37157.115000000005</v>
      </c>
      <c r="U1229">
        <f t="shared" si="199"/>
        <v>-77.745000000002619</v>
      </c>
    </row>
    <row r="1230" spans="1:21" x14ac:dyDescent="0.3">
      <c r="A1230">
        <v>1229</v>
      </c>
      <c r="B1230">
        <v>32</v>
      </c>
      <c r="C1230" t="s">
        <v>16</v>
      </c>
      <c r="D1230">
        <v>36.1</v>
      </c>
      <c r="E1230">
        <v>97</v>
      </c>
      <c r="F1230" t="s">
        <v>11</v>
      </c>
      <c r="G1230">
        <v>0</v>
      </c>
      <c r="H1230" t="s">
        <v>11</v>
      </c>
      <c r="I1230" t="s">
        <v>13</v>
      </c>
      <c r="J1230">
        <v>37133.9</v>
      </c>
      <c r="K1230" t="str">
        <f t="shared" si="190"/>
        <v>35+</v>
      </c>
      <c r="L1230">
        <f t="shared" si="191"/>
        <v>36.1</v>
      </c>
      <c r="M1230">
        <f t="shared" si="192"/>
        <v>1</v>
      </c>
      <c r="N1230">
        <f t="shared" si="193"/>
        <v>0</v>
      </c>
      <c r="O1230">
        <f t="shared" si="194"/>
        <v>0</v>
      </c>
      <c r="P1230">
        <v>0.20390448224137159</v>
      </c>
      <c r="Q1230">
        <f t="shared" si="195"/>
        <v>1</v>
      </c>
      <c r="R1230">
        <f t="shared" si="196"/>
        <v>1</v>
      </c>
      <c r="S1230">
        <f t="shared" si="197"/>
        <v>1</v>
      </c>
      <c r="T1230">
        <f t="shared" si="198"/>
        <v>35607.179000000004</v>
      </c>
      <c r="U1230">
        <f t="shared" si="199"/>
        <v>1526.7209999999977</v>
      </c>
    </row>
    <row r="1231" spans="1:21" x14ac:dyDescent="0.3">
      <c r="A1231">
        <v>1230</v>
      </c>
      <c r="B1231">
        <v>41</v>
      </c>
      <c r="C1231" t="s">
        <v>10</v>
      </c>
      <c r="D1231">
        <v>37.6</v>
      </c>
      <c r="E1231">
        <v>127</v>
      </c>
      <c r="F1231" t="s">
        <v>11</v>
      </c>
      <c r="G1231">
        <v>1</v>
      </c>
      <c r="H1231" t="s">
        <v>11</v>
      </c>
      <c r="I1231" t="s">
        <v>13</v>
      </c>
      <c r="J1231">
        <v>37165.160000000003</v>
      </c>
      <c r="K1231" t="str">
        <f t="shared" si="190"/>
        <v>35+</v>
      </c>
      <c r="L1231">
        <f t="shared" si="191"/>
        <v>37.6</v>
      </c>
      <c r="M1231">
        <f t="shared" si="192"/>
        <v>1</v>
      </c>
      <c r="N1231">
        <f t="shared" si="193"/>
        <v>0</v>
      </c>
      <c r="O1231">
        <f t="shared" si="194"/>
        <v>0</v>
      </c>
      <c r="P1231">
        <v>7.4595920669398907E-2</v>
      </c>
      <c r="Q1231">
        <f t="shared" si="195"/>
        <v>1</v>
      </c>
      <c r="R1231">
        <f t="shared" si="196"/>
        <v>1</v>
      </c>
      <c r="S1231">
        <f t="shared" si="197"/>
        <v>0</v>
      </c>
      <c r="T1231">
        <f t="shared" si="198"/>
        <v>42693.684000000001</v>
      </c>
      <c r="U1231">
        <f t="shared" si="199"/>
        <v>-5528.5239999999976</v>
      </c>
    </row>
    <row r="1232" spans="1:21" x14ac:dyDescent="0.3">
      <c r="A1232">
        <v>1231</v>
      </c>
      <c r="B1232">
        <v>58</v>
      </c>
      <c r="C1232" t="s">
        <v>16</v>
      </c>
      <c r="D1232">
        <v>30.8</v>
      </c>
      <c r="E1232">
        <v>139</v>
      </c>
      <c r="F1232" t="s">
        <v>12</v>
      </c>
      <c r="G1232">
        <v>0</v>
      </c>
      <c r="H1232" t="s">
        <v>11</v>
      </c>
      <c r="I1232" t="s">
        <v>17</v>
      </c>
      <c r="J1232">
        <v>37270.15</v>
      </c>
      <c r="K1232" t="str">
        <f t="shared" si="190"/>
        <v>30-35</v>
      </c>
      <c r="L1232">
        <f t="shared" si="191"/>
        <v>30.8</v>
      </c>
      <c r="M1232">
        <f t="shared" si="192"/>
        <v>0</v>
      </c>
      <c r="N1232">
        <f t="shared" si="193"/>
        <v>0</v>
      </c>
      <c r="O1232">
        <f t="shared" si="194"/>
        <v>0</v>
      </c>
      <c r="P1232">
        <v>0.46702615920441892</v>
      </c>
      <c r="Q1232">
        <f t="shared" si="195"/>
        <v>1</v>
      </c>
      <c r="R1232">
        <f t="shared" si="196"/>
        <v>0</v>
      </c>
      <c r="S1232">
        <f t="shared" si="197"/>
        <v>1</v>
      </c>
      <c r="T1232">
        <f t="shared" si="198"/>
        <v>38863.612000000001</v>
      </c>
      <c r="U1232">
        <f t="shared" si="199"/>
        <v>-1593.4619999999995</v>
      </c>
    </row>
    <row r="1233" spans="1:21" x14ac:dyDescent="0.3">
      <c r="A1233">
        <v>1232</v>
      </c>
      <c r="B1233">
        <v>31</v>
      </c>
      <c r="C1233" t="s">
        <v>10</v>
      </c>
      <c r="D1233">
        <v>35.6</v>
      </c>
      <c r="E1233">
        <v>106</v>
      </c>
      <c r="F1233" t="s">
        <v>12</v>
      </c>
      <c r="G1233">
        <v>3</v>
      </c>
      <c r="H1233" t="s">
        <v>11</v>
      </c>
      <c r="I1233" t="s">
        <v>14</v>
      </c>
      <c r="J1233">
        <v>37465.339999999997</v>
      </c>
      <c r="K1233" t="str">
        <f t="shared" si="190"/>
        <v>35+</v>
      </c>
      <c r="L1233">
        <f t="shared" si="191"/>
        <v>35.6</v>
      </c>
      <c r="M1233">
        <f t="shared" si="192"/>
        <v>0</v>
      </c>
      <c r="N1233">
        <f t="shared" si="193"/>
        <v>0</v>
      </c>
      <c r="O1233">
        <f t="shared" si="194"/>
        <v>1</v>
      </c>
      <c r="P1233">
        <v>0.61910852805470618</v>
      </c>
      <c r="Q1233">
        <f t="shared" si="195"/>
        <v>1</v>
      </c>
      <c r="R1233">
        <f t="shared" si="196"/>
        <v>0</v>
      </c>
      <c r="S1233">
        <f t="shared" si="197"/>
        <v>0</v>
      </c>
      <c r="T1233">
        <f t="shared" si="198"/>
        <v>38907.944000000003</v>
      </c>
      <c r="U1233">
        <f t="shared" si="199"/>
        <v>-1442.6040000000066</v>
      </c>
    </row>
    <row r="1234" spans="1:21" x14ac:dyDescent="0.3">
      <c r="A1234">
        <v>1233</v>
      </c>
      <c r="B1234">
        <v>40</v>
      </c>
      <c r="C1234" t="s">
        <v>10</v>
      </c>
      <c r="D1234">
        <v>37.1</v>
      </c>
      <c r="E1234">
        <v>119</v>
      </c>
      <c r="F1234" t="s">
        <v>12</v>
      </c>
      <c r="G1234">
        <v>2</v>
      </c>
      <c r="H1234" t="s">
        <v>11</v>
      </c>
      <c r="I1234" t="s">
        <v>13</v>
      </c>
      <c r="J1234">
        <v>37484.449999999997</v>
      </c>
      <c r="K1234" t="str">
        <f t="shared" si="190"/>
        <v>35+</v>
      </c>
      <c r="L1234">
        <f t="shared" si="191"/>
        <v>37.1</v>
      </c>
      <c r="M1234">
        <f t="shared" si="192"/>
        <v>1</v>
      </c>
      <c r="N1234">
        <f t="shared" si="193"/>
        <v>0</v>
      </c>
      <c r="O1234">
        <f t="shared" si="194"/>
        <v>0</v>
      </c>
      <c r="P1234">
        <v>0.60540578503735787</v>
      </c>
      <c r="Q1234">
        <f t="shared" si="195"/>
        <v>1</v>
      </c>
      <c r="R1234">
        <f t="shared" si="196"/>
        <v>0</v>
      </c>
      <c r="S1234">
        <f t="shared" si="197"/>
        <v>0</v>
      </c>
      <c r="T1234">
        <f t="shared" si="198"/>
        <v>41553.199000000001</v>
      </c>
      <c r="U1234">
        <f t="shared" si="199"/>
        <v>-4068.7490000000034</v>
      </c>
    </row>
    <row r="1235" spans="1:21" x14ac:dyDescent="0.3">
      <c r="A1235">
        <v>1234</v>
      </c>
      <c r="B1235">
        <v>20</v>
      </c>
      <c r="C1235" t="s">
        <v>10</v>
      </c>
      <c r="D1235">
        <v>33.6</v>
      </c>
      <c r="E1235">
        <v>103</v>
      </c>
      <c r="F1235" t="s">
        <v>12</v>
      </c>
      <c r="G1235">
        <v>1</v>
      </c>
      <c r="H1235" t="s">
        <v>11</v>
      </c>
      <c r="I1235" t="s">
        <v>17</v>
      </c>
      <c r="J1235">
        <v>37607.53</v>
      </c>
      <c r="K1235" t="str">
        <f t="shared" si="190"/>
        <v>30-35</v>
      </c>
      <c r="L1235">
        <f t="shared" si="191"/>
        <v>33.6</v>
      </c>
      <c r="M1235">
        <f t="shared" si="192"/>
        <v>0</v>
      </c>
      <c r="N1235">
        <f t="shared" si="193"/>
        <v>0</v>
      </c>
      <c r="O1235">
        <f t="shared" si="194"/>
        <v>0</v>
      </c>
      <c r="P1235">
        <v>0.35254288809200451</v>
      </c>
      <c r="Q1235">
        <f t="shared" si="195"/>
        <v>1</v>
      </c>
      <c r="R1235">
        <f t="shared" si="196"/>
        <v>0</v>
      </c>
      <c r="S1235">
        <f t="shared" si="197"/>
        <v>0</v>
      </c>
      <c r="T1235">
        <f t="shared" si="198"/>
        <v>37225.434000000008</v>
      </c>
      <c r="U1235">
        <f t="shared" si="199"/>
        <v>382.09599999999045</v>
      </c>
    </row>
    <row r="1236" spans="1:21" x14ac:dyDescent="0.3">
      <c r="A1236">
        <v>1235</v>
      </c>
      <c r="B1236">
        <v>47</v>
      </c>
      <c r="C1236" t="s">
        <v>16</v>
      </c>
      <c r="D1236">
        <v>31.9</v>
      </c>
      <c r="E1236">
        <v>89</v>
      </c>
      <c r="F1236" t="s">
        <v>11</v>
      </c>
      <c r="G1236">
        <v>1</v>
      </c>
      <c r="H1236" t="s">
        <v>11</v>
      </c>
      <c r="I1236" t="s">
        <v>17</v>
      </c>
      <c r="J1236">
        <v>37701.879999999997</v>
      </c>
      <c r="K1236" t="str">
        <f t="shared" si="190"/>
        <v>30-35</v>
      </c>
      <c r="L1236">
        <f t="shared" si="191"/>
        <v>31.9</v>
      </c>
      <c r="M1236">
        <f t="shared" si="192"/>
        <v>0</v>
      </c>
      <c r="N1236">
        <f t="shared" si="193"/>
        <v>0</v>
      </c>
      <c r="O1236">
        <f t="shared" si="194"/>
        <v>0</v>
      </c>
      <c r="P1236">
        <v>0.25546890856152338</v>
      </c>
      <c r="Q1236">
        <f t="shared" si="195"/>
        <v>1</v>
      </c>
      <c r="R1236">
        <f t="shared" si="196"/>
        <v>1</v>
      </c>
      <c r="S1236">
        <f t="shared" si="197"/>
        <v>1</v>
      </c>
      <c r="T1236">
        <f t="shared" si="198"/>
        <v>33046.531000000003</v>
      </c>
      <c r="U1236">
        <f t="shared" si="199"/>
        <v>4655.3489999999947</v>
      </c>
    </row>
    <row r="1237" spans="1:21" x14ac:dyDescent="0.3">
      <c r="A1237">
        <v>1236</v>
      </c>
      <c r="B1237">
        <v>19</v>
      </c>
      <c r="C1237" t="s">
        <v>10</v>
      </c>
      <c r="D1237">
        <v>34.4</v>
      </c>
      <c r="E1237">
        <v>106</v>
      </c>
      <c r="F1237" t="s">
        <v>12</v>
      </c>
      <c r="G1237">
        <v>0</v>
      </c>
      <c r="H1237" t="s">
        <v>11</v>
      </c>
      <c r="I1237" t="s">
        <v>13</v>
      </c>
      <c r="J1237">
        <v>37742.58</v>
      </c>
      <c r="K1237" t="str">
        <f t="shared" si="190"/>
        <v>30-35</v>
      </c>
      <c r="L1237">
        <f t="shared" si="191"/>
        <v>34.4</v>
      </c>
      <c r="M1237">
        <f t="shared" si="192"/>
        <v>1</v>
      </c>
      <c r="N1237">
        <f t="shared" si="193"/>
        <v>0</v>
      </c>
      <c r="O1237">
        <f t="shared" si="194"/>
        <v>0</v>
      </c>
      <c r="P1237">
        <v>6.6580283887039404E-2</v>
      </c>
      <c r="Q1237">
        <f t="shared" si="195"/>
        <v>1</v>
      </c>
      <c r="R1237">
        <f t="shared" si="196"/>
        <v>0</v>
      </c>
      <c r="S1237">
        <f t="shared" si="197"/>
        <v>0</v>
      </c>
      <c r="T1237">
        <f t="shared" si="198"/>
        <v>34398.265999999996</v>
      </c>
      <c r="U1237">
        <f t="shared" si="199"/>
        <v>3344.3140000000058</v>
      </c>
    </row>
    <row r="1238" spans="1:21" x14ac:dyDescent="0.3">
      <c r="A1238">
        <v>1237</v>
      </c>
      <c r="B1238">
        <v>48</v>
      </c>
      <c r="C1238" t="s">
        <v>10</v>
      </c>
      <c r="D1238">
        <v>27.8</v>
      </c>
      <c r="E1238">
        <v>81</v>
      </c>
      <c r="F1238" t="s">
        <v>11</v>
      </c>
      <c r="G1238">
        <v>0</v>
      </c>
      <c r="H1238" t="s">
        <v>11</v>
      </c>
      <c r="I1238" t="s">
        <v>15</v>
      </c>
      <c r="J1238">
        <v>37829.72</v>
      </c>
      <c r="K1238" t="str">
        <f t="shared" si="190"/>
        <v>25-30</v>
      </c>
      <c r="L1238">
        <f t="shared" si="191"/>
        <v>27.8</v>
      </c>
      <c r="M1238">
        <f t="shared" si="192"/>
        <v>0</v>
      </c>
      <c r="N1238">
        <f t="shared" si="193"/>
        <v>1</v>
      </c>
      <c r="O1238">
        <f t="shared" si="194"/>
        <v>0</v>
      </c>
      <c r="P1238">
        <v>0.17274779916584038</v>
      </c>
      <c r="Q1238">
        <f t="shared" si="195"/>
        <v>1</v>
      </c>
      <c r="R1238">
        <f t="shared" si="196"/>
        <v>1</v>
      </c>
      <c r="S1238">
        <f t="shared" si="197"/>
        <v>0</v>
      </c>
      <c r="T1238">
        <f t="shared" si="198"/>
        <v>22116.002000000004</v>
      </c>
      <c r="U1238">
        <f t="shared" si="199"/>
        <v>15713.717999999997</v>
      </c>
    </row>
    <row r="1239" spans="1:21" x14ac:dyDescent="0.3">
      <c r="A1239">
        <v>1238</v>
      </c>
      <c r="B1239">
        <v>46</v>
      </c>
      <c r="C1239" t="s">
        <v>10</v>
      </c>
      <c r="D1239">
        <v>40.200000000000003</v>
      </c>
      <c r="E1239">
        <v>89</v>
      </c>
      <c r="F1239" t="s">
        <v>12</v>
      </c>
      <c r="G1239">
        <v>0</v>
      </c>
      <c r="H1239" t="s">
        <v>11</v>
      </c>
      <c r="I1239" t="s">
        <v>13</v>
      </c>
      <c r="J1239">
        <v>38126.25</v>
      </c>
      <c r="K1239" t="str">
        <f t="shared" si="190"/>
        <v>35+</v>
      </c>
      <c r="L1239">
        <f t="shared" si="191"/>
        <v>40.200000000000003</v>
      </c>
      <c r="M1239">
        <f t="shared" si="192"/>
        <v>1</v>
      </c>
      <c r="N1239">
        <f t="shared" si="193"/>
        <v>0</v>
      </c>
      <c r="O1239">
        <f t="shared" si="194"/>
        <v>0</v>
      </c>
      <c r="P1239">
        <v>0.6203722525762112</v>
      </c>
      <c r="Q1239">
        <f t="shared" si="195"/>
        <v>1</v>
      </c>
      <c r="R1239">
        <f t="shared" si="196"/>
        <v>0</v>
      </c>
      <c r="S1239">
        <f t="shared" si="197"/>
        <v>0</v>
      </c>
      <c r="T1239">
        <f t="shared" si="198"/>
        <v>39449.878000000012</v>
      </c>
      <c r="U1239">
        <f t="shared" si="199"/>
        <v>-1323.6280000000115</v>
      </c>
    </row>
    <row r="1240" spans="1:21" x14ac:dyDescent="0.3">
      <c r="A1240">
        <v>1239</v>
      </c>
      <c r="B1240">
        <v>42</v>
      </c>
      <c r="C1240" t="s">
        <v>10</v>
      </c>
      <c r="D1240">
        <v>26.1</v>
      </c>
      <c r="E1240">
        <v>131</v>
      </c>
      <c r="F1240" t="s">
        <v>11</v>
      </c>
      <c r="G1240">
        <v>1</v>
      </c>
      <c r="H1240" t="s">
        <v>11</v>
      </c>
      <c r="I1240" t="s">
        <v>13</v>
      </c>
      <c r="J1240">
        <v>38245.589999999997</v>
      </c>
      <c r="K1240" t="str">
        <f t="shared" si="190"/>
        <v>25-30</v>
      </c>
      <c r="L1240">
        <f t="shared" si="191"/>
        <v>26.1</v>
      </c>
      <c r="M1240">
        <f t="shared" si="192"/>
        <v>1</v>
      </c>
      <c r="N1240">
        <f t="shared" si="193"/>
        <v>0</v>
      </c>
      <c r="O1240">
        <f t="shared" si="194"/>
        <v>0</v>
      </c>
      <c r="P1240">
        <v>0.37357127596459772</v>
      </c>
      <c r="Q1240">
        <f t="shared" si="195"/>
        <v>1</v>
      </c>
      <c r="R1240">
        <f t="shared" si="196"/>
        <v>1</v>
      </c>
      <c r="S1240">
        <f t="shared" si="197"/>
        <v>0</v>
      </c>
      <c r="T1240">
        <f t="shared" si="198"/>
        <v>27866.829000000002</v>
      </c>
      <c r="U1240">
        <f t="shared" si="199"/>
        <v>10378.760999999995</v>
      </c>
    </row>
    <row r="1241" spans="1:21" x14ac:dyDescent="0.3">
      <c r="A1241">
        <v>1240</v>
      </c>
      <c r="B1241">
        <v>29</v>
      </c>
      <c r="C1241" t="s">
        <v>10</v>
      </c>
      <c r="D1241">
        <v>35.799999999999997</v>
      </c>
      <c r="E1241">
        <v>124</v>
      </c>
      <c r="F1241" t="s">
        <v>12</v>
      </c>
      <c r="G1241">
        <v>1</v>
      </c>
      <c r="H1241" t="s">
        <v>11</v>
      </c>
      <c r="I1241" t="s">
        <v>13</v>
      </c>
      <c r="J1241">
        <v>38282.75</v>
      </c>
      <c r="K1241" t="str">
        <f t="shared" si="190"/>
        <v>35+</v>
      </c>
      <c r="L1241">
        <f t="shared" si="191"/>
        <v>35.799999999999997</v>
      </c>
      <c r="M1241">
        <f t="shared" si="192"/>
        <v>1</v>
      </c>
      <c r="N1241">
        <f t="shared" si="193"/>
        <v>0</v>
      </c>
      <c r="O1241">
        <f t="shared" si="194"/>
        <v>0</v>
      </c>
      <c r="P1241">
        <v>0.10229165628330794</v>
      </c>
      <c r="Q1241">
        <f t="shared" si="195"/>
        <v>1</v>
      </c>
      <c r="R1241">
        <f t="shared" si="196"/>
        <v>0</v>
      </c>
      <c r="S1241">
        <f t="shared" si="197"/>
        <v>0</v>
      </c>
      <c r="T1241">
        <f t="shared" si="198"/>
        <v>39878.892</v>
      </c>
      <c r="U1241">
        <f t="shared" si="199"/>
        <v>-1596.1419999999998</v>
      </c>
    </row>
    <row r="1242" spans="1:21" x14ac:dyDescent="0.3">
      <c r="A1242">
        <v>1241</v>
      </c>
      <c r="B1242">
        <v>34</v>
      </c>
      <c r="C1242" t="s">
        <v>10</v>
      </c>
      <c r="D1242">
        <v>39.4</v>
      </c>
      <c r="E1242">
        <v>85</v>
      </c>
      <c r="F1242" t="s">
        <v>12</v>
      </c>
      <c r="G1242">
        <v>2</v>
      </c>
      <c r="H1242" t="s">
        <v>11</v>
      </c>
      <c r="I1242" t="s">
        <v>15</v>
      </c>
      <c r="J1242">
        <v>38344.57</v>
      </c>
      <c r="K1242" t="str">
        <f t="shared" si="190"/>
        <v>35+</v>
      </c>
      <c r="L1242">
        <f t="shared" si="191"/>
        <v>39.4</v>
      </c>
      <c r="M1242">
        <f t="shared" si="192"/>
        <v>0</v>
      </c>
      <c r="N1242">
        <f t="shared" si="193"/>
        <v>1</v>
      </c>
      <c r="O1242">
        <f t="shared" si="194"/>
        <v>0</v>
      </c>
      <c r="P1242">
        <v>0.42139669322272122</v>
      </c>
      <c r="Q1242">
        <f t="shared" si="195"/>
        <v>1</v>
      </c>
      <c r="R1242">
        <f t="shared" si="196"/>
        <v>0</v>
      </c>
      <c r="S1242">
        <f t="shared" si="197"/>
        <v>0</v>
      </c>
      <c r="T1242">
        <f t="shared" si="198"/>
        <v>39916.226000000002</v>
      </c>
      <c r="U1242">
        <f t="shared" si="199"/>
        <v>-1571.6560000000027</v>
      </c>
    </row>
    <row r="1243" spans="1:21" x14ac:dyDescent="0.3">
      <c r="A1243">
        <v>1242</v>
      </c>
      <c r="B1243">
        <v>32</v>
      </c>
      <c r="C1243" t="s">
        <v>10</v>
      </c>
      <c r="D1243">
        <v>33.4</v>
      </c>
      <c r="E1243">
        <v>112</v>
      </c>
      <c r="F1243" t="s">
        <v>11</v>
      </c>
      <c r="G1243">
        <v>2</v>
      </c>
      <c r="H1243" t="s">
        <v>11</v>
      </c>
      <c r="I1243" t="s">
        <v>15</v>
      </c>
      <c r="J1243">
        <v>38415.47</v>
      </c>
      <c r="K1243" t="str">
        <f t="shared" si="190"/>
        <v>30-35</v>
      </c>
      <c r="L1243">
        <f t="shared" si="191"/>
        <v>33.4</v>
      </c>
      <c r="M1243">
        <f t="shared" si="192"/>
        <v>0</v>
      </c>
      <c r="N1243">
        <f t="shared" si="193"/>
        <v>1</v>
      </c>
      <c r="O1243">
        <f t="shared" si="194"/>
        <v>0</v>
      </c>
      <c r="P1243">
        <v>0.84039219047504676</v>
      </c>
      <c r="Q1243">
        <f t="shared" si="195"/>
        <v>1</v>
      </c>
      <c r="R1243">
        <f t="shared" si="196"/>
        <v>1</v>
      </c>
      <c r="S1243">
        <f t="shared" si="197"/>
        <v>0</v>
      </c>
      <c r="T1243">
        <f t="shared" si="198"/>
        <v>36090.516000000011</v>
      </c>
      <c r="U1243">
        <f t="shared" si="199"/>
        <v>2324.9539999999906</v>
      </c>
    </row>
    <row r="1244" spans="1:21" x14ac:dyDescent="0.3">
      <c r="A1244">
        <v>1243</v>
      </c>
      <c r="B1244">
        <v>27</v>
      </c>
      <c r="C1244" t="s">
        <v>16</v>
      </c>
      <c r="D1244">
        <v>36.700000000000003</v>
      </c>
      <c r="E1244">
        <v>140</v>
      </c>
      <c r="F1244" t="s">
        <v>12</v>
      </c>
      <c r="G1244">
        <v>2</v>
      </c>
      <c r="H1244" t="s">
        <v>11</v>
      </c>
      <c r="I1244" t="s">
        <v>17</v>
      </c>
      <c r="J1244">
        <v>38511.629999999997</v>
      </c>
      <c r="K1244" t="str">
        <f t="shared" si="190"/>
        <v>35+</v>
      </c>
      <c r="L1244">
        <f t="shared" si="191"/>
        <v>36.700000000000003</v>
      </c>
      <c r="M1244">
        <f t="shared" si="192"/>
        <v>0</v>
      </c>
      <c r="N1244">
        <f t="shared" si="193"/>
        <v>0</v>
      </c>
      <c r="O1244">
        <f t="shared" si="194"/>
        <v>0</v>
      </c>
      <c r="P1244">
        <v>0.5628526702862463</v>
      </c>
      <c r="Q1244">
        <f t="shared" si="195"/>
        <v>1</v>
      </c>
      <c r="R1244">
        <f t="shared" si="196"/>
        <v>0</v>
      </c>
      <c r="S1244">
        <f t="shared" si="197"/>
        <v>1</v>
      </c>
      <c r="T1244">
        <f t="shared" si="198"/>
        <v>48473.033000000018</v>
      </c>
      <c r="U1244">
        <f t="shared" si="199"/>
        <v>-9961.4030000000203</v>
      </c>
    </row>
    <row r="1245" spans="1:21" x14ac:dyDescent="0.3">
      <c r="A1245">
        <v>1244</v>
      </c>
      <c r="B1245">
        <v>29</v>
      </c>
      <c r="C1245" t="s">
        <v>10</v>
      </c>
      <c r="D1245">
        <v>35.200000000000003</v>
      </c>
      <c r="E1245">
        <v>85</v>
      </c>
      <c r="F1245" t="s">
        <v>12</v>
      </c>
      <c r="G1245">
        <v>1</v>
      </c>
      <c r="H1245" t="s">
        <v>11</v>
      </c>
      <c r="I1245" t="s">
        <v>13</v>
      </c>
      <c r="J1245">
        <v>38709.18</v>
      </c>
      <c r="K1245" t="str">
        <f t="shared" si="190"/>
        <v>35+</v>
      </c>
      <c r="L1245">
        <f t="shared" si="191"/>
        <v>35.200000000000003</v>
      </c>
      <c r="M1245">
        <f t="shared" si="192"/>
        <v>1</v>
      </c>
      <c r="N1245">
        <f t="shared" si="193"/>
        <v>0</v>
      </c>
      <c r="O1245">
        <f t="shared" si="194"/>
        <v>0</v>
      </c>
      <c r="P1245">
        <v>2.3900099027360233E-2</v>
      </c>
      <c r="Q1245">
        <f t="shared" si="195"/>
        <v>1</v>
      </c>
      <c r="R1245">
        <f t="shared" si="196"/>
        <v>0</v>
      </c>
      <c r="S1245">
        <f t="shared" si="197"/>
        <v>0</v>
      </c>
      <c r="T1245">
        <f t="shared" si="198"/>
        <v>32848.067999999999</v>
      </c>
      <c r="U1245">
        <f t="shared" si="199"/>
        <v>5861.112000000001</v>
      </c>
    </row>
    <row r="1246" spans="1:21" x14ac:dyDescent="0.3">
      <c r="A1246">
        <v>1245</v>
      </c>
      <c r="B1246">
        <v>22</v>
      </c>
      <c r="C1246" t="s">
        <v>10</v>
      </c>
      <c r="D1246">
        <v>36.299999999999997</v>
      </c>
      <c r="E1246">
        <v>123</v>
      </c>
      <c r="F1246" t="s">
        <v>12</v>
      </c>
      <c r="G1246">
        <v>2</v>
      </c>
      <c r="H1246" t="s">
        <v>11</v>
      </c>
      <c r="I1246" t="s">
        <v>15</v>
      </c>
      <c r="J1246">
        <v>38711</v>
      </c>
      <c r="K1246" t="str">
        <f t="shared" si="190"/>
        <v>35+</v>
      </c>
      <c r="L1246">
        <f t="shared" si="191"/>
        <v>36.299999999999997</v>
      </c>
      <c r="M1246">
        <f t="shared" si="192"/>
        <v>0</v>
      </c>
      <c r="N1246">
        <f t="shared" si="193"/>
        <v>1</v>
      </c>
      <c r="O1246">
        <f t="shared" si="194"/>
        <v>0</v>
      </c>
      <c r="P1246">
        <v>0.92810959328475384</v>
      </c>
      <c r="Q1246">
        <f t="shared" si="195"/>
        <v>1</v>
      </c>
      <c r="R1246">
        <f t="shared" si="196"/>
        <v>0</v>
      </c>
      <c r="S1246">
        <f t="shared" si="197"/>
        <v>0</v>
      </c>
      <c r="T1246">
        <f t="shared" si="198"/>
        <v>41827.466999999997</v>
      </c>
      <c r="U1246">
        <f t="shared" si="199"/>
        <v>-3116.4669999999969</v>
      </c>
    </row>
    <row r="1247" spans="1:21" x14ac:dyDescent="0.3">
      <c r="A1247">
        <v>1246</v>
      </c>
      <c r="B1247">
        <v>28</v>
      </c>
      <c r="C1247" t="s">
        <v>10</v>
      </c>
      <c r="D1247">
        <v>34.4</v>
      </c>
      <c r="E1247">
        <v>137</v>
      </c>
      <c r="F1247" t="s">
        <v>12</v>
      </c>
      <c r="G1247">
        <v>3</v>
      </c>
      <c r="H1247" t="s">
        <v>11</v>
      </c>
      <c r="I1247" t="s">
        <v>14</v>
      </c>
      <c r="J1247">
        <v>38746.36</v>
      </c>
      <c r="K1247" t="str">
        <f t="shared" si="190"/>
        <v>30-35</v>
      </c>
      <c r="L1247">
        <f t="shared" si="191"/>
        <v>34.4</v>
      </c>
      <c r="M1247">
        <f t="shared" si="192"/>
        <v>0</v>
      </c>
      <c r="N1247">
        <f t="shared" si="193"/>
        <v>0</v>
      </c>
      <c r="O1247">
        <f t="shared" si="194"/>
        <v>1</v>
      </c>
      <c r="P1247">
        <v>0.16715928086328513</v>
      </c>
      <c r="Q1247">
        <f t="shared" si="195"/>
        <v>1</v>
      </c>
      <c r="R1247">
        <f t="shared" si="196"/>
        <v>0</v>
      </c>
      <c r="S1247">
        <f t="shared" si="197"/>
        <v>0</v>
      </c>
      <c r="T1247">
        <f t="shared" si="198"/>
        <v>42245.445999999996</v>
      </c>
      <c r="U1247">
        <f t="shared" si="199"/>
        <v>-3499.0859999999957</v>
      </c>
    </row>
    <row r="1248" spans="1:21" x14ac:dyDescent="0.3">
      <c r="A1248">
        <v>1247</v>
      </c>
      <c r="B1248">
        <v>25</v>
      </c>
      <c r="C1248" t="s">
        <v>16</v>
      </c>
      <c r="D1248">
        <v>42.2</v>
      </c>
      <c r="E1248">
        <v>131</v>
      </c>
      <c r="F1248" t="s">
        <v>11</v>
      </c>
      <c r="G1248">
        <v>0</v>
      </c>
      <c r="H1248" t="s">
        <v>11</v>
      </c>
      <c r="I1248" t="s">
        <v>13</v>
      </c>
      <c r="J1248">
        <v>38792.69</v>
      </c>
      <c r="K1248" t="str">
        <f t="shared" si="190"/>
        <v>35+</v>
      </c>
      <c r="L1248">
        <f t="shared" si="191"/>
        <v>42.2</v>
      </c>
      <c r="M1248">
        <f t="shared" si="192"/>
        <v>1</v>
      </c>
      <c r="N1248">
        <f t="shared" si="193"/>
        <v>0</v>
      </c>
      <c r="O1248">
        <f t="shared" si="194"/>
        <v>0</v>
      </c>
      <c r="P1248">
        <v>0.90949230414042537</v>
      </c>
      <c r="Q1248">
        <f t="shared" si="195"/>
        <v>1</v>
      </c>
      <c r="R1248">
        <f t="shared" si="196"/>
        <v>1</v>
      </c>
      <c r="S1248">
        <f t="shared" si="197"/>
        <v>1</v>
      </c>
      <c r="T1248">
        <f t="shared" si="198"/>
        <v>49244.808000000012</v>
      </c>
      <c r="U1248">
        <f t="shared" si="199"/>
        <v>-10452.118000000009</v>
      </c>
    </row>
    <row r="1249" spans="1:21" x14ac:dyDescent="0.3">
      <c r="A1249">
        <v>1248</v>
      </c>
      <c r="B1249">
        <v>26</v>
      </c>
      <c r="C1249" t="s">
        <v>10</v>
      </c>
      <c r="D1249">
        <v>30.2</v>
      </c>
      <c r="E1249">
        <v>88</v>
      </c>
      <c r="F1249" t="s">
        <v>12</v>
      </c>
      <c r="G1249">
        <v>2</v>
      </c>
      <c r="H1249" t="s">
        <v>11</v>
      </c>
      <c r="I1249" t="s">
        <v>15</v>
      </c>
      <c r="J1249">
        <v>38998.550000000003</v>
      </c>
      <c r="K1249" t="str">
        <f t="shared" si="190"/>
        <v>30-35</v>
      </c>
      <c r="L1249">
        <f t="shared" si="191"/>
        <v>30.2</v>
      </c>
      <c r="M1249">
        <f t="shared" si="192"/>
        <v>0</v>
      </c>
      <c r="N1249">
        <f t="shared" si="193"/>
        <v>1</v>
      </c>
      <c r="O1249">
        <f t="shared" si="194"/>
        <v>0</v>
      </c>
      <c r="P1249">
        <v>0.9647721609364619</v>
      </c>
      <c r="Q1249">
        <f t="shared" si="195"/>
        <v>1</v>
      </c>
      <c r="R1249">
        <f t="shared" si="196"/>
        <v>0</v>
      </c>
      <c r="S1249">
        <f t="shared" si="197"/>
        <v>0</v>
      </c>
      <c r="T1249">
        <f t="shared" si="198"/>
        <v>28034.088000000003</v>
      </c>
      <c r="U1249">
        <f t="shared" si="199"/>
        <v>10964.462</v>
      </c>
    </row>
    <row r="1250" spans="1:21" x14ac:dyDescent="0.3">
      <c r="A1250">
        <v>1249</v>
      </c>
      <c r="B1250">
        <v>29</v>
      </c>
      <c r="C1250" t="s">
        <v>10</v>
      </c>
      <c r="D1250">
        <v>34.200000000000003</v>
      </c>
      <c r="E1250">
        <v>101</v>
      </c>
      <c r="F1250" t="s">
        <v>11</v>
      </c>
      <c r="G1250">
        <v>1</v>
      </c>
      <c r="H1250" t="s">
        <v>11</v>
      </c>
      <c r="I1250" t="s">
        <v>17</v>
      </c>
      <c r="J1250">
        <v>39047.29</v>
      </c>
      <c r="K1250" t="str">
        <f t="shared" si="190"/>
        <v>30-35</v>
      </c>
      <c r="L1250">
        <f t="shared" si="191"/>
        <v>34.200000000000003</v>
      </c>
      <c r="M1250">
        <f t="shared" si="192"/>
        <v>0</v>
      </c>
      <c r="N1250">
        <f t="shared" si="193"/>
        <v>0</v>
      </c>
      <c r="O1250">
        <f t="shared" si="194"/>
        <v>0</v>
      </c>
      <c r="P1250">
        <v>9.1928983973162848E-2</v>
      </c>
      <c r="Q1250">
        <f t="shared" si="195"/>
        <v>1</v>
      </c>
      <c r="R1250">
        <f t="shared" si="196"/>
        <v>1</v>
      </c>
      <c r="S1250">
        <f t="shared" si="197"/>
        <v>0</v>
      </c>
      <c r="T1250">
        <f t="shared" si="198"/>
        <v>37632.488000000005</v>
      </c>
      <c r="U1250">
        <f t="shared" si="199"/>
        <v>1414.801999999996</v>
      </c>
    </row>
    <row r="1251" spans="1:21" x14ac:dyDescent="0.3">
      <c r="A1251">
        <v>1250</v>
      </c>
      <c r="B1251">
        <v>20</v>
      </c>
      <c r="C1251" t="s">
        <v>10</v>
      </c>
      <c r="D1251">
        <v>32.799999999999997</v>
      </c>
      <c r="E1251">
        <v>99</v>
      </c>
      <c r="F1251" t="s">
        <v>11</v>
      </c>
      <c r="G1251">
        <v>1</v>
      </c>
      <c r="H1251" t="s">
        <v>11</v>
      </c>
      <c r="I1251" t="s">
        <v>17</v>
      </c>
      <c r="J1251">
        <v>39125.33</v>
      </c>
      <c r="K1251" t="str">
        <f t="shared" si="190"/>
        <v>30-35</v>
      </c>
      <c r="L1251">
        <f t="shared" si="191"/>
        <v>32.799999999999997</v>
      </c>
      <c r="M1251">
        <f t="shared" si="192"/>
        <v>0</v>
      </c>
      <c r="N1251">
        <f t="shared" si="193"/>
        <v>0</v>
      </c>
      <c r="O1251">
        <f t="shared" si="194"/>
        <v>0</v>
      </c>
      <c r="P1251">
        <v>0.90408443009185047</v>
      </c>
      <c r="Q1251">
        <f t="shared" si="195"/>
        <v>1</v>
      </c>
      <c r="R1251">
        <f t="shared" si="196"/>
        <v>1</v>
      </c>
      <c r="S1251">
        <f t="shared" si="197"/>
        <v>0</v>
      </c>
      <c r="T1251">
        <f t="shared" si="198"/>
        <v>35442.262000000002</v>
      </c>
      <c r="U1251">
        <f t="shared" si="199"/>
        <v>3683.0679999999993</v>
      </c>
    </row>
    <row r="1252" spans="1:21" x14ac:dyDescent="0.3">
      <c r="A1252">
        <v>1251</v>
      </c>
      <c r="B1252">
        <v>42</v>
      </c>
      <c r="C1252" t="s">
        <v>10</v>
      </c>
      <c r="D1252">
        <v>37.799999999999997</v>
      </c>
      <c r="E1252">
        <v>106</v>
      </c>
      <c r="F1252" t="s">
        <v>12</v>
      </c>
      <c r="G1252">
        <v>2</v>
      </c>
      <c r="H1252" t="s">
        <v>11</v>
      </c>
      <c r="I1252" t="s">
        <v>15</v>
      </c>
      <c r="J1252">
        <v>39241.440000000002</v>
      </c>
      <c r="K1252" t="str">
        <f t="shared" si="190"/>
        <v>35+</v>
      </c>
      <c r="L1252">
        <f t="shared" si="191"/>
        <v>37.799999999999997</v>
      </c>
      <c r="M1252">
        <f t="shared" si="192"/>
        <v>0</v>
      </c>
      <c r="N1252">
        <f t="shared" si="193"/>
        <v>1</v>
      </c>
      <c r="O1252">
        <f t="shared" si="194"/>
        <v>0</v>
      </c>
      <c r="P1252">
        <v>0.82396403556484143</v>
      </c>
      <c r="Q1252">
        <f t="shared" si="195"/>
        <v>1</v>
      </c>
      <c r="R1252">
        <f t="shared" si="196"/>
        <v>0</v>
      </c>
      <c r="S1252">
        <f t="shared" si="197"/>
        <v>0</v>
      </c>
      <c r="T1252">
        <f t="shared" si="198"/>
        <v>41105.871999999996</v>
      </c>
      <c r="U1252">
        <f t="shared" si="199"/>
        <v>-1864.4319999999934</v>
      </c>
    </row>
    <row r="1253" spans="1:21" x14ac:dyDescent="0.3">
      <c r="A1253">
        <v>1252</v>
      </c>
      <c r="B1253">
        <v>21</v>
      </c>
      <c r="C1253" t="s">
        <v>10</v>
      </c>
      <c r="D1253">
        <v>31.4</v>
      </c>
      <c r="E1253">
        <v>89</v>
      </c>
      <c r="F1253" t="s">
        <v>11</v>
      </c>
      <c r="G1253">
        <v>1</v>
      </c>
      <c r="H1253" t="s">
        <v>11</v>
      </c>
      <c r="I1253" t="s">
        <v>17</v>
      </c>
      <c r="J1253">
        <v>39556.49</v>
      </c>
      <c r="K1253" t="str">
        <f t="shared" si="190"/>
        <v>30-35</v>
      </c>
      <c r="L1253">
        <f t="shared" si="191"/>
        <v>31.4</v>
      </c>
      <c r="M1253">
        <f t="shared" si="192"/>
        <v>0</v>
      </c>
      <c r="N1253">
        <f t="shared" si="193"/>
        <v>0</v>
      </c>
      <c r="O1253">
        <f t="shared" si="194"/>
        <v>0</v>
      </c>
      <c r="P1253">
        <v>0.53634879102844046</v>
      </c>
      <c r="Q1253">
        <f t="shared" si="195"/>
        <v>1</v>
      </c>
      <c r="R1253">
        <f t="shared" si="196"/>
        <v>1</v>
      </c>
      <c r="S1253">
        <f t="shared" si="197"/>
        <v>0</v>
      </c>
      <c r="T1253">
        <f t="shared" si="198"/>
        <v>31962.516</v>
      </c>
      <c r="U1253">
        <f t="shared" si="199"/>
        <v>7593.9739999999983</v>
      </c>
    </row>
    <row r="1254" spans="1:21" x14ac:dyDescent="0.3">
      <c r="A1254">
        <v>1253</v>
      </c>
      <c r="B1254">
        <v>37</v>
      </c>
      <c r="C1254" t="s">
        <v>10</v>
      </c>
      <c r="D1254">
        <v>30.8</v>
      </c>
      <c r="E1254">
        <v>125</v>
      </c>
      <c r="F1254" t="s">
        <v>11</v>
      </c>
      <c r="G1254">
        <v>3</v>
      </c>
      <c r="H1254" t="s">
        <v>11</v>
      </c>
      <c r="I1254" t="s">
        <v>17</v>
      </c>
      <c r="J1254">
        <v>39597.410000000003</v>
      </c>
      <c r="K1254" t="str">
        <f t="shared" si="190"/>
        <v>30-35</v>
      </c>
      <c r="L1254">
        <f t="shared" si="191"/>
        <v>30.8</v>
      </c>
      <c r="M1254">
        <f t="shared" si="192"/>
        <v>0</v>
      </c>
      <c r="N1254">
        <f t="shared" si="193"/>
        <v>0</v>
      </c>
      <c r="O1254">
        <f t="shared" si="194"/>
        <v>0</v>
      </c>
      <c r="P1254">
        <v>0.28686996804202869</v>
      </c>
      <c r="Q1254">
        <f t="shared" si="195"/>
        <v>1</v>
      </c>
      <c r="R1254">
        <f t="shared" si="196"/>
        <v>1</v>
      </c>
      <c r="S1254">
        <f t="shared" si="197"/>
        <v>0</v>
      </c>
      <c r="T1254">
        <f t="shared" si="198"/>
        <v>38356.942000000003</v>
      </c>
      <c r="U1254">
        <f t="shared" si="199"/>
        <v>1240.4680000000008</v>
      </c>
    </row>
    <row r="1255" spans="1:21" x14ac:dyDescent="0.3">
      <c r="A1255">
        <v>1254</v>
      </c>
      <c r="B1255">
        <v>22</v>
      </c>
      <c r="C1255" t="s">
        <v>10</v>
      </c>
      <c r="D1255">
        <v>42.1</v>
      </c>
      <c r="E1255">
        <v>119</v>
      </c>
      <c r="F1255" t="s">
        <v>12</v>
      </c>
      <c r="G1255">
        <v>0</v>
      </c>
      <c r="H1255" t="s">
        <v>11</v>
      </c>
      <c r="I1255" t="s">
        <v>13</v>
      </c>
      <c r="J1255">
        <v>39611.760000000002</v>
      </c>
      <c r="K1255" t="str">
        <f t="shared" si="190"/>
        <v>35+</v>
      </c>
      <c r="L1255">
        <f t="shared" si="191"/>
        <v>42.1</v>
      </c>
      <c r="M1255">
        <f t="shared" si="192"/>
        <v>1</v>
      </c>
      <c r="N1255">
        <f t="shared" si="193"/>
        <v>0</v>
      </c>
      <c r="O1255">
        <f t="shared" si="194"/>
        <v>0</v>
      </c>
      <c r="P1255">
        <v>0.20570155753025821</v>
      </c>
      <c r="Q1255">
        <f t="shared" si="195"/>
        <v>1</v>
      </c>
      <c r="R1255">
        <f t="shared" si="196"/>
        <v>0</v>
      </c>
      <c r="S1255">
        <f t="shared" si="197"/>
        <v>0</v>
      </c>
      <c r="T1255">
        <f t="shared" si="198"/>
        <v>46823.209000000003</v>
      </c>
      <c r="U1255">
        <f t="shared" si="199"/>
        <v>-7211.4490000000005</v>
      </c>
    </row>
    <row r="1256" spans="1:21" x14ac:dyDescent="0.3">
      <c r="A1256">
        <v>1255</v>
      </c>
      <c r="B1256">
        <v>46</v>
      </c>
      <c r="C1256" t="s">
        <v>10</v>
      </c>
      <c r="D1256">
        <v>44.9</v>
      </c>
      <c r="E1256">
        <v>138</v>
      </c>
      <c r="F1256" t="s">
        <v>11</v>
      </c>
      <c r="G1256">
        <v>0</v>
      </c>
      <c r="H1256" t="s">
        <v>11</v>
      </c>
      <c r="I1256" t="s">
        <v>13</v>
      </c>
      <c r="J1256">
        <v>39722.75</v>
      </c>
      <c r="K1256" t="str">
        <f t="shared" si="190"/>
        <v>35+</v>
      </c>
      <c r="L1256">
        <f t="shared" si="191"/>
        <v>44.9</v>
      </c>
      <c r="M1256">
        <f t="shared" si="192"/>
        <v>1</v>
      </c>
      <c r="N1256">
        <f t="shared" si="193"/>
        <v>0</v>
      </c>
      <c r="O1256">
        <f t="shared" si="194"/>
        <v>0</v>
      </c>
      <c r="P1256">
        <v>0.74929742137797295</v>
      </c>
      <c r="Q1256">
        <f t="shared" si="195"/>
        <v>1</v>
      </c>
      <c r="R1256">
        <f t="shared" si="196"/>
        <v>1</v>
      </c>
      <c r="S1256">
        <f t="shared" si="197"/>
        <v>0</v>
      </c>
      <c r="T1256">
        <f t="shared" si="198"/>
        <v>53520.771000000015</v>
      </c>
      <c r="U1256">
        <f t="shared" si="199"/>
        <v>-13798.021000000015</v>
      </c>
    </row>
    <row r="1257" spans="1:21" x14ac:dyDescent="0.3">
      <c r="A1257">
        <v>1256</v>
      </c>
      <c r="B1257">
        <v>40</v>
      </c>
      <c r="C1257" t="s">
        <v>16</v>
      </c>
      <c r="D1257">
        <v>30.5</v>
      </c>
      <c r="E1257">
        <v>93</v>
      </c>
      <c r="F1257" t="s">
        <v>11</v>
      </c>
      <c r="G1257">
        <v>1</v>
      </c>
      <c r="H1257" t="s">
        <v>11</v>
      </c>
      <c r="I1257" t="s">
        <v>14</v>
      </c>
      <c r="J1257">
        <v>39725.519999999997</v>
      </c>
      <c r="K1257" t="str">
        <f t="shared" si="190"/>
        <v>30-35</v>
      </c>
      <c r="L1257">
        <f t="shared" si="191"/>
        <v>30.5</v>
      </c>
      <c r="M1257">
        <f t="shared" si="192"/>
        <v>0</v>
      </c>
      <c r="N1257">
        <f t="shared" si="193"/>
        <v>0</v>
      </c>
      <c r="O1257">
        <f t="shared" si="194"/>
        <v>1</v>
      </c>
      <c r="P1257">
        <v>0.89415738869506012</v>
      </c>
      <c r="Q1257">
        <f t="shared" si="195"/>
        <v>1</v>
      </c>
      <c r="R1257">
        <f t="shared" si="196"/>
        <v>1</v>
      </c>
      <c r="S1257">
        <f t="shared" si="197"/>
        <v>1</v>
      </c>
      <c r="T1257">
        <f t="shared" si="198"/>
        <v>28863.244999999995</v>
      </c>
      <c r="U1257">
        <f t="shared" si="199"/>
        <v>10862.275000000001</v>
      </c>
    </row>
    <row r="1258" spans="1:21" x14ac:dyDescent="0.3">
      <c r="A1258">
        <v>1257</v>
      </c>
      <c r="B1258">
        <v>27</v>
      </c>
      <c r="C1258" t="s">
        <v>10</v>
      </c>
      <c r="D1258">
        <v>30.9</v>
      </c>
      <c r="E1258">
        <v>139</v>
      </c>
      <c r="F1258" t="s">
        <v>12</v>
      </c>
      <c r="G1258">
        <v>0</v>
      </c>
      <c r="H1258" t="s">
        <v>11</v>
      </c>
      <c r="I1258" t="s">
        <v>15</v>
      </c>
      <c r="J1258">
        <v>39727.61</v>
      </c>
      <c r="K1258" t="str">
        <f t="shared" si="190"/>
        <v>30-35</v>
      </c>
      <c r="L1258">
        <f t="shared" si="191"/>
        <v>30.9</v>
      </c>
      <c r="M1258">
        <f t="shared" si="192"/>
        <v>0</v>
      </c>
      <c r="N1258">
        <f t="shared" si="193"/>
        <v>1</v>
      </c>
      <c r="O1258">
        <f t="shared" si="194"/>
        <v>0</v>
      </c>
      <c r="P1258">
        <v>0.13944166778148515</v>
      </c>
      <c r="Q1258">
        <f t="shared" si="195"/>
        <v>1</v>
      </c>
      <c r="R1258">
        <f t="shared" si="196"/>
        <v>0</v>
      </c>
      <c r="S1258">
        <f t="shared" si="197"/>
        <v>0</v>
      </c>
      <c r="T1258">
        <f t="shared" si="198"/>
        <v>35636.701000000001</v>
      </c>
      <c r="U1258">
        <f t="shared" si="199"/>
        <v>4090.9089999999997</v>
      </c>
    </row>
    <row r="1259" spans="1:21" x14ac:dyDescent="0.3">
      <c r="A1259">
        <v>1258</v>
      </c>
      <c r="B1259">
        <v>43</v>
      </c>
      <c r="C1259" t="s">
        <v>10</v>
      </c>
      <c r="D1259">
        <v>36.700000000000003</v>
      </c>
      <c r="E1259">
        <v>139</v>
      </c>
      <c r="F1259" t="s">
        <v>11</v>
      </c>
      <c r="G1259">
        <v>1</v>
      </c>
      <c r="H1259" t="s">
        <v>11</v>
      </c>
      <c r="I1259" t="s">
        <v>17</v>
      </c>
      <c r="J1259">
        <v>39774.28</v>
      </c>
      <c r="K1259" t="str">
        <f t="shared" si="190"/>
        <v>35+</v>
      </c>
      <c r="L1259">
        <f t="shared" si="191"/>
        <v>36.700000000000003</v>
      </c>
      <c r="M1259">
        <f t="shared" si="192"/>
        <v>0</v>
      </c>
      <c r="N1259">
        <f t="shared" si="193"/>
        <v>0</v>
      </c>
      <c r="O1259">
        <f t="shared" si="194"/>
        <v>0</v>
      </c>
      <c r="P1259">
        <v>0.18493746492151386</v>
      </c>
      <c r="Q1259">
        <f t="shared" si="195"/>
        <v>1</v>
      </c>
      <c r="R1259">
        <f t="shared" si="196"/>
        <v>1</v>
      </c>
      <c r="S1259">
        <f t="shared" si="197"/>
        <v>0</v>
      </c>
      <c r="T1259">
        <f t="shared" si="198"/>
        <v>47040.713000000011</v>
      </c>
      <c r="U1259">
        <f t="shared" si="199"/>
        <v>-7266.4330000000118</v>
      </c>
    </row>
    <row r="1260" spans="1:21" x14ac:dyDescent="0.3">
      <c r="A1260">
        <v>1259</v>
      </c>
      <c r="B1260">
        <v>38</v>
      </c>
      <c r="C1260" t="s">
        <v>16</v>
      </c>
      <c r="D1260">
        <v>34.799999999999997</v>
      </c>
      <c r="E1260">
        <v>132</v>
      </c>
      <c r="F1260" t="s">
        <v>12</v>
      </c>
      <c r="G1260">
        <v>2</v>
      </c>
      <c r="H1260" t="s">
        <v>11</v>
      </c>
      <c r="I1260" t="s">
        <v>15</v>
      </c>
      <c r="J1260">
        <v>39836.519999999997</v>
      </c>
      <c r="K1260" t="str">
        <f t="shared" si="190"/>
        <v>30-35</v>
      </c>
      <c r="L1260">
        <f t="shared" si="191"/>
        <v>34.799999999999997</v>
      </c>
      <c r="M1260">
        <f t="shared" si="192"/>
        <v>0</v>
      </c>
      <c r="N1260">
        <f t="shared" si="193"/>
        <v>1</v>
      </c>
      <c r="O1260">
        <f t="shared" si="194"/>
        <v>0</v>
      </c>
      <c r="P1260">
        <v>0.41686745604172726</v>
      </c>
      <c r="Q1260">
        <f t="shared" si="195"/>
        <v>1</v>
      </c>
      <c r="R1260">
        <f t="shared" si="196"/>
        <v>0</v>
      </c>
      <c r="S1260">
        <f t="shared" si="197"/>
        <v>1</v>
      </c>
      <c r="T1260">
        <f t="shared" si="198"/>
        <v>41671.211999999992</v>
      </c>
      <c r="U1260">
        <f t="shared" si="199"/>
        <v>-1834.6919999999955</v>
      </c>
    </row>
    <row r="1261" spans="1:21" x14ac:dyDescent="0.3">
      <c r="A1261">
        <v>1260</v>
      </c>
      <c r="B1261">
        <v>47</v>
      </c>
      <c r="C1261" t="s">
        <v>10</v>
      </c>
      <c r="D1261">
        <v>37.1</v>
      </c>
      <c r="E1261">
        <v>114</v>
      </c>
      <c r="F1261" t="s">
        <v>11</v>
      </c>
      <c r="G1261">
        <v>1</v>
      </c>
      <c r="H1261" t="s">
        <v>11</v>
      </c>
      <c r="I1261" t="s">
        <v>13</v>
      </c>
      <c r="J1261">
        <v>39871.699999999997</v>
      </c>
      <c r="K1261" t="str">
        <f t="shared" si="190"/>
        <v>35+</v>
      </c>
      <c r="L1261">
        <f t="shared" si="191"/>
        <v>37.1</v>
      </c>
      <c r="M1261">
        <f t="shared" si="192"/>
        <v>1</v>
      </c>
      <c r="N1261">
        <f t="shared" si="193"/>
        <v>0</v>
      </c>
      <c r="O1261">
        <f t="shared" si="194"/>
        <v>0</v>
      </c>
      <c r="P1261">
        <v>0.38772609872503239</v>
      </c>
      <c r="Q1261">
        <f t="shared" si="195"/>
        <v>1</v>
      </c>
      <c r="R1261">
        <f t="shared" si="196"/>
        <v>1</v>
      </c>
      <c r="S1261">
        <f t="shared" si="197"/>
        <v>0</v>
      </c>
      <c r="T1261">
        <f t="shared" si="198"/>
        <v>39938.989000000001</v>
      </c>
      <c r="U1261">
        <f t="shared" si="199"/>
        <v>-67.289000000004307</v>
      </c>
    </row>
    <row r="1262" spans="1:21" x14ac:dyDescent="0.3">
      <c r="A1262">
        <v>1261</v>
      </c>
      <c r="B1262">
        <v>50</v>
      </c>
      <c r="C1262" t="s">
        <v>16</v>
      </c>
      <c r="D1262">
        <v>34.1</v>
      </c>
      <c r="E1262">
        <v>82</v>
      </c>
      <c r="F1262" t="s">
        <v>11</v>
      </c>
      <c r="G1262">
        <v>3</v>
      </c>
      <c r="H1262" t="s">
        <v>11</v>
      </c>
      <c r="I1262" t="s">
        <v>14</v>
      </c>
      <c r="J1262">
        <v>39983.43</v>
      </c>
      <c r="K1262" t="str">
        <f t="shared" si="190"/>
        <v>30-35</v>
      </c>
      <c r="L1262">
        <f t="shared" si="191"/>
        <v>34.1</v>
      </c>
      <c r="M1262">
        <f t="shared" si="192"/>
        <v>0</v>
      </c>
      <c r="N1262">
        <f t="shared" si="193"/>
        <v>0</v>
      </c>
      <c r="O1262">
        <f t="shared" si="194"/>
        <v>1</v>
      </c>
      <c r="P1262">
        <v>0.89800251979434231</v>
      </c>
      <c r="Q1262">
        <f t="shared" si="195"/>
        <v>1</v>
      </c>
      <c r="R1262">
        <f t="shared" si="196"/>
        <v>1</v>
      </c>
      <c r="S1262">
        <f t="shared" si="197"/>
        <v>1</v>
      </c>
      <c r="T1262">
        <f t="shared" si="198"/>
        <v>33412.319000000003</v>
      </c>
      <c r="U1262">
        <f t="shared" si="199"/>
        <v>6571.1109999999971</v>
      </c>
    </row>
    <row r="1263" spans="1:21" x14ac:dyDescent="0.3">
      <c r="A1263">
        <v>1262</v>
      </c>
      <c r="B1263">
        <v>40</v>
      </c>
      <c r="C1263" t="s">
        <v>16</v>
      </c>
      <c r="D1263">
        <v>32.799999999999997</v>
      </c>
      <c r="E1263">
        <v>107</v>
      </c>
      <c r="F1263" t="s">
        <v>11</v>
      </c>
      <c r="G1263">
        <v>2</v>
      </c>
      <c r="H1263" t="s">
        <v>11</v>
      </c>
      <c r="I1263" t="s">
        <v>14</v>
      </c>
      <c r="J1263">
        <v>40003.33</v>
      </c>
      <c r="K1263" t="str">
        <f t="shared" si="190"/>
        <v>30-35</v>
      </c>
      <c r="L1263">
        <f t="shared" si="191"/>
        <v>32.799999999999997</v>
      </c>
      <c r="M1263">
        <f t="shared" si="192"/>
        <v>0</v>
      </c>
      <c r="N1263">
        <f t="shared" si="193"/>
        <v>0</v>
      </c>
      <c r="O1263">
        <f t="shared" si="194"/>
        <v>1</v>
      </c>
      <c r="P1263">
        <v>1.4187797315304507E-2</v>
      </c>
      <c r="Q1263">
        <f t="shared" si="195"/>
        <v>1</v>
      </c>
      <c r="R1263">
        <f t="shared" si="196"/>
        <v>1</v>
      </c>
      <c r="S1263">
        <f t="shared" si="197"/>
        <v>1</v>
      </c>
      <c r="T1263">
        <f t="shared" si="198"/>
        <v>34928.531999999999</v>
      </c>
      <c r="U1263">
        <f t="shared" si="199"/>
        <v>5074.7980000000025</v>
      </c>
    </row>
    <row r="1264" spans="1:21" x14ac:dyDescent="0.3">
      <c r="A1264">
        <v>1263</v>
      </c>
      <c r="B1264">
        <v>30</v>
      </c>
      <c r="C1264" t="s">
        <v>10</v>
      </c>
      <c r="D1264">
        <v>35.299999999999997</v>
      </c>
      <c r="E1264">
        <v>89</v>
      </c>
      <c r="F1264" t="s">
        <v>12</v>
      </c>
      <c r="G1264">
        <v>2</v>
      </c>
      <c r="H1264" t="s">
        <v>11</v>
      </c>
      <c r="I1264" t="s">
        <v>15</v>
      </c>
      <c r="J1264">
        <v>40103.89</v>
      </c>
      <c r="K1264" t="str">
        <f t="shared" si="190"/>
        <v>35+</v>
      </c>
      <c r="L1264">
        <f t="shared" si="191"/>
        <v>35.299999999999997</v>
      </c>
      <c r="M1264">
        <f t="shared" si="192"/>
        <v>0</v>
      </c>
      <c r="N1264">
        <f t="shared" si="193"/>
        <v>1</v>
      </c>
      <c r="O1264">
        <f t="shared" si="194"/>
        <v>0</v>
      </c>
      <c r="P1264">
        <v>0.10475188085973564</v>
      </c>
      <c r="Q1264">
        <f t="shared" si="195"/>
        <v>1</v>
      </c>
      <c r="R1264">
        <f t="shared" si="196"/>
        <v>0</v>
      </c>
      <c r="S1264">
        <f t="shared" si="197"/>
        <v>0</v>
      </c>
      <c r="T1264">
        <f t="shared" si="198"/>
        <v>35046.476999999999</v>
      </c>
      <c r="U1264">
        <f t="shared" si="199"/>
        <v>5057.4130000000005</v>
      </c>
    </row>
    <row r="1265" spans="1:21" x14ac:dyDescent="0.3">
      <c r="A1265">
        <v>1264</v>
      </c>
      <c r="B1265">
        <v>50</v>
      </c>
      <c r="C1265" t="s">
        <v>10</v>
      </c>
      <c r="D1265">
        <v>34.1</v>
      </c>
      <c r="E1265">
        <v>86</v>
      </c>
      <c r="F1265" t="s">
        <v>12</v>
      </c>
      <c r="G1265">
        <v>4</v>
      </c>
      <c r="H1265" t="s">
        <v>11</v>
      </c>
      <c r="I1265" t="s">
        <v>15</v>
      </c>
      <c r="J1265">
        <v>40182.25</v>
      </c>
      <c r="K1265" t="str">
        <f t="shared" si="190"/>
        <v>30-35</v>
      </c>
      <c r="L1265">
        <f t="shared" si="191"/>
        <v>34.1</v>
      </c>
      <c r="M1265">
        <f t="shared" si="192"/>
        <v>0</v>
      </c>
      <c r="N1265">
        <f t="shared" si="193"/>
        <v>1</v>
      </c>
      <c r="O1265">
        <f t="shared" si="194"/>
        <v>0</v>
      </c>
      <c r="P1265">
        <v>0.64828414376967436</v>
      </c>
      <c r="Q1265">
        <f t="shared" si="195"/>
        <v>1</v>
      </c>
      <c r="R1265">
        <f t="shared" si="196"/>
        <v>0</v>
      </c>
      <c r="S1265">
        <f t="shared" si="197"/>
        <v>0</v>
      </c>
      <c r="T1265">
        <f t="shared" si="198"/>
        <v>34404.959000000003</v>
      </c>
      <c r="U1265">
        <f t="shared" si="199"/>
        <v>5777.2909999999974</v>
      </c>
    </row>
    <row r="1266" spans="1:21" x14ac:dyDescent="0.3">
      <c r="A1266">
        <v>1265</v>
      </c>
      <c r="B1266">
        <v>21</v>
      </c>
      <c r="C1266" t="s">
        <v>10</v>
      </c>
      <c r="D1266">
        <v>35.799999999999997</v>
      </c>
      <c r="E1266">
        <v>116</v>
      </c>
      <c r="F1266" t="s">
        <v>12</v>
      </c>
      <c r="G1266">
        <v>1</v>
      </c>
      <c r="H1266" t="s">
        <v>11</v>
      </c>
      <c r="I1266" t="s">
        <v>13</v>
      </c>
      <c r="J1266">
        <v>40273.65</v>
      </c>
      <c r="K1266" t="str">
        <f t="shared" si="190"/>
        <v>35+</v>
      </c>
      <c r="L1266">
        <f t="shared" si="191"/>
        <v>35.799999999999997</v>
      </c>
      <c r="M1266">
        <f t="shared" si="192"/>
        <v>1</v>
      </c>
      <c r="N1266">
        <f t="shared" si="193"/>
        <v>0</v>
      </c>
      <c r="O1266">
        <f t="shared" si="194"/>
        <v>0</v>
      </c>
      <c r="P1266">
        <v>0.19995628118102271</v>
      </c>
      <c r="Q1266">
        <f t="shared" si="195"/>
        <v>1</v>
      </c>
      <c r="R1266">
        <f t="shared" si="196"/>
        <v>0</v>
      </c>
      <c r="S1266">
        <f t="shared" si="197"/>
        <v>0</v>
      </c>
      <c r="T1266">
        <f t="shared" si="198"/>
        <v>38612.411999999997</v>
      </c>
      <c r="U1266">
        <f t="shared" si="199"/>
        <v>1661.2380000000048</v>
      </c>
    </row>
    <row r="1267" spans="1:21" x14ac:dyDescent="0.3">
      <c r="A1267">
        <v>1266</v>
      </c>
      <c r="B1267">
        <v>54</v>
      </c>
      <c r="C1267" t="s">
        <v>16</v>
      </c>
      <c r="D1267">
        <v>38.4</v>
      </c>
      <c r="E1267">
        <v>85</v>
      </c>
      <c r="F1267" t="s">
        <v>11</v>
      </c>
      <c r="G1267">
        <v>0</v>
      </c>
      <c r="H1267" t="s">
        <v>11</v>
      </c>
      <c r="I1267" t="s">
        <v>13</v>
      </c>
      <c r="J1267">
        <v>40419.019999999997</v>
      </c>
      <c r="K1267" t="str">
        <f t="shared" si="190"/>
        <v>35+</v>
      </c>
      <c r="L1267">
        <f t="shared" si="191"/>
        <v>38.4</v>
      </c>
      <c r="M1267">
        <f t="shared" si="192"/>
        <v>1</v>
      </c>
      <c r="N1267">
        <f t="shared" si="193"/>
        <v>0</v>
      </c>
      <c r="O1267">
        <f t="shared" si="194"/>
        <v>0</v>
      </c>
      <c r="P1267">
        <v>0.12607317193215017</v>
      </c>
      <c r="Q1267">
        <f t="shared" si="195"/>
        <v>1</v>
      </c>
      <c r="R1267">
        <f t="shared" si="196"/>
        <v>1</v>
      </c>
      <c r="S1267">
        <f t="shared" si="197"/>
        <v>1</v>
      </c>
      <c r="T1267">
        <f t="shared" si="198"/>
        <v>36756.725999999995</v>
      </c>
      <c r="U1267">
        <f t="shared" si="199"/>
        <v>3662.2940000000017</v>
      </c>
    </row>
    <row r="1268" spans="1:21" x14ac:dyDescent="0.3">
      <c r="A1268">
        <v>1267</v>
      </c>
      <c r="B1268">
        <v>43</v>
      </c>
      <c r="C1268" t="s">
        <v>10</v>
      </c>
      <c r="D1268">
        <v>30.5</v>
      </c>
      <c r="E1268">
        <v>96</v>
      </c>
      <c r="F1268" t="s">
        <v>11</v>
      </c>
      <c r="G1268">
        <v>3</v>
      </c>
      <c r="H1268" t="s">
        <v>11</v>
      </c>
      <c r="I1268" t="s">
        <v>14</v>
      </c>
      <c r="J1268">
        <v>40720.550000000003</v>
      </c>
      <c r="K1268" t="str">
        <f t="shared" si="190"/>
        <v>30-35</v>
      </c>
      <c r="L1268">
        <f t="shared" si="191"/>
        <v>30.5</v>
      </c>
      <c r="M1268">
        <f t="shared" si="192"/>
        <v>0</v>
      </c>
      <c r="N1268">
        <f t="shared" si="193"/>
        <v>0</v>
      </c>
      <c r="O1268">
        <f t="shared" si="194"/>
        <v>1</v>
      </c>
      <c r="P1268">
        <v>0.5004933046822625</v>
      </c>
      <c r="Q1268">
        <f t="shared" si="195"/>
        <v>1</v>
      </c>
      <c r="R1268">
        <f t="shared" si="196"/>
        <v>1</v>
      </c>
      <c r="S1268">
        <f t="shared" si="197"/>
        <v>0</v>
      </c>
      <c r="T1268">
        <f t="shared" si="198"/>
        <v>30369.704999999998</v>
      </c>
      <c r="U1268">
        <f t="shared" si="199"/>
        <v>10350.845000000005</v>
      </c>
    </row>
    <row r="1269" spans="1:21" x14ac:dyDescent="0.3">
      <c r="A1269">
        <v>1268</v>
      </c>
      <c r="B1269">
        <v>43</v>
      </c>
      <c r="C1269" t="s">
        <v>16</v>
      </c>
      <c r="D1269">
        <v>42.8</v>
      </c>
      <c r="E1269">
        <v>105</v>
      </c>
      <c r="F1269" t="s">
        <v>11</v>
      </c>
      <c r="G1269">
        <v>1</v>
      </c>
      <c r="H1269" t="s">
        <v>11</v>
      </c>
      <c r="I1269" t="s">
        <v>17</v>
      </c>
      <c r="J1269">
        <v>40904.199999999997</v>
      </c>
      <c r="K1269" t="str">
        <f t="shared" si="190"/>
        <v>35+</v>
      </c>
      <c r="L1269">
        <f t="shared" si="191"/>
        <v>42.8</v>
      </c>
      <c r="M1269">
        <f t="shared" si="192"/>
        <v>0</v>
      </c>
      <c r="N1269">
        <f t="shared" si="193"/>
        <v>0</v>
      </c>
      <c r="O1269">
        <f t="shared" si="194"/>
        <v>0</v>
      </c>
      <c r="P1269">
        <v>0.74924037413959954</v>
      </c>
      <c r="Q1269">
        <f t="shared" si="195"/>
        <v>1</v>
      </c>
      <c r="R1269">
        <f t="shared" si="196"/>
        <v>1</v>
      </c>
      <c r="S1269">
        <f t="shared" si="197"/>
        <v>1</v>
      </c>
      <c r="T1269">
        <f t="shared" si="198"/>
        <v>50262.212000000007</v>
      </c>
      <c r="U1269">
        <f t="shared" si="199"/>
        <v>-9358.0120000000097</v>
      </c>
    </row>
    <row r="1270" spans="1:21" x14ac:dyDescent="0.3">
      <c r="A1270">
        <v>1269</v>
      </c>
      <c r="B1270">
        <v>42</v>
      </c>
      <c r="C1270" t="s">
        <v>16</v>
      </c>
      <c r="D1270">
        <v>39.1</v>
      </c>
      <c r="E1270">
        <v>131</v>
      </c>
      <c r="F1270" t="s">
        <v>11</v>
      </c>
      <c r="G1270">
        <v>3</v>
      </c>
      <c r="H1270" t="s">
        <v>11</v>
      </c>
      <c r="I1270" t="s">
        <v>13</v>
      </c>
      <c r="J1270">
        <v>40932.43</v>
      </c>
      <c r="K1270" t="str">
        <f t="shared" si="190"/>
        <v>35+</v>
      </c>
      <c r="L1270">
        <f t="shared" si="191"/>
        <v>39.1</v>
      </c>
      <c r="M1270">
        <f t="shared" si="192"/>
        <v>1</v>
      </c>
      <c r="N1270">
        <f t="shared" si="193"/>
        <v>0</v>
      </c>
      <c r="O1270">
        <f t="shared" si="194"/>
        <v>0</v>
      </c>
      <c r="P1270">
        <v>0.55133262393829263</v>
      </c>
      <c r="Q1270">
        <f t="shared" si="195"/>
        <v>1</v>
      </c>
      <c r="R1270">
        <f t="shared" si="196"/>
        <v>1</v>
      </c>
      <c r="S1270">
        <f t="shared" si="197"/>
        <v>1</v>
      </c>
      <c r="T1270">
        <f t="shared" si="198"/>
        <v>47269.229000000007</v>
      </c>
      <c r="U1270">
        <f t="shared" si="199"/>
        <v>-6336.7990000000063</v>
      </c>
    </row>
    <row r="1271" spans="1:21" x14ac:dyDescent="0.3">
      <c r="A1271">
        <v>1270</v>
      </c>
      <c r="B1271">
        <v>45</v>
      </c>
      <c r="C1271" t="s">
        <v>16</v>
      </c>
      <c r="D1271">
        <v>32.6</v>
      </c>
      <c r="E1271">
        <v>108</v>
      </c>
      <c r="F1271" t="s">
        <v>11</v>
      </c>
      <c r="G1271">
        <v>3</v>
      </c>
      <c r="H1271" t="s">
        <v>11</v>
      </c>
      <c r="I1271" t="s">
        <v>13</v>
      </c>
      <c r="J1271">
        <v>40941.29</v>
      </c>
      <c r="K1271" t="str">
        <f t="shared" si="190"/>
        <v>30-35</v>
      </c>
      <c r="L1271">
        <f t="shared" si="191"/>
        <v>32.6</v>
      </c>
      <c r="M1271">
        <f t="shared" si="192"/>
        <v>1</v>
      </c>
      <c r="N1271">
        <f t="shared" si="193"/>
        <v>0</v>
      </c>
      <c r="O1271">
        <f t="shared" si="194"/>
        <v>0</v>
      </c>
      <c r="P1271">
        <v>0.9993259703627424</v>
      </c>
      <c r="Q1271">
        <f t="shared" si="195"/>
        <v>1</v>
      </c>
      <c r="R1271">
        <f t="shared" si="196"/>
        <v>1</v>
      </c>
      <c r="S1271">
        <f t="shared" si="197"/>
        <v>1</v>
      </c>
      <c r="T1271">
        <f t="shared" si="198"/>
        <v>34854.334000000003</v>
      </c>
      <c r="U1271">
        <f t="shared" si="199"/>
        <v>6086.9559999999983</v>
      </c>
    </row>
    <row r="1272" spans="1:21" x14ac:dyDescent="0.3">
      <c r="A1272">
        <v>1271</v>
      </c>
      <c r="B1272">
        <v>27</v>
      </c>
      <c r="C1272" t="s">
        <v>16</v>
      </c>
      <c r="D1272">
        <v>33.1</v>
      </c>
      <c r="E1272">
        <v>128</v>
      </c>
      <c r="F1272" t="s">
        <v>12</v>
      </c>
      <c r="G1272">
        <v>0</v>
      </c>
      <c r="H1272" t="s">
        <v>11</v>
      </c>
      <c r="I1272" t="s">
        <v>13</v>
      </c>
      <c r="J1272">
        <v>40974.160000000003</v>
      </c>
      <c r="K1272" t="str">
        <f t="shared" si="190"/>
        <v>30-35</v>
      </c>
      <c r="L1272">
        <f t="shared" si="191"/>
        <v>33.1</v>
      </c>
      <c r="M1272">
        <f t="shared" si="192"/>
        <v>1</v>
      </c>
      <c r="N1272">
        <f t="shared" si="193"/>
        <v>0</v>
      </c>
      <c r="O1272">
        <f t="shared" si="194"/>
        <v>0</v>
      </c>
      <c r="P1272">
        <v>0.61990512114964402</v>
      </c>
      <c r="Q1272">
        <f t="shared" si="195"/>
        <v>1</v>
      </c>
      <c r="R1272">
        <f t="shared" si="196"/>
        <v>0</v>
      </c>
      <c r="S1272">
        <f t="shared" si="197"/>
        <v>1</v>
      </c>
      <c r="T1272">
        <f t="shared" si="198"/>
        <v>36595.858999999997</v>
      </c>
      <c r="U1272">
        <f t="shared" si="199"/>
        <v>4378.3010000000068</v>
      </c>
    </row>
    <row r="1273" spans="1:21" x14ac:dyDescent="0.3">
      <c r="A1273">
        <v>1272</v>
      </c>
      <c r="B1273">
        <v>35</v>
      </c>
      <c r="C1273" t="s">
        <v>10</v>
      </c>
      <c r="D1273">
        <v>35</v>
      </c>
      <c r="E1273">
        <v>109</v>
      </c>
      <c r="F1273" t="s">
        <v>12</v>
      </c>
      <c r="G1273">
        <v>1</v>
      </c>
      <c r="H1273" t="s">
        <v>11</v>
      </c>
      <c r="I1273" t="s">
        <v>17</v>
      </c>
      <c r="J1273">
        <v>41034.22</v>
      </c>
      <c r="K1273" t="str">
        <f t="shared" si="190"/>
        <v>35+</v>
      </c>
      <c r="L1273">
        <f t="shared" si="191"/>
        <v>35</v>
      </c>
      <c r="M1273">
        <f t="shared" si="192"/>
        <v>0</v>
      </c>
      <c r="N1273">
        <f t="shared" si="193"/>
        <v>0</v>
      </c>
      <c r="O1273">
        <f t="shared" si="194"/>
        <v>0</v>
      </c>
      <c r="P1273">
        <v>0.66387084434810795</v>
      </c>
      <c r="Q1273">
        <f t="shared" si="195"/>
        <v>1</v>
      </c>
      <c r="R1273">
        <f t="shared" si="196"/>
        <v>0</v>
      </c>
      <c r="S1273">
        <f t="shared" si="197"/>
        <v>0</v>
      </c>
      <c r="T1273">
        <f t="shared" si="198"/>
        <v>40046.340000000004</v>
      </c>
      <c r="U1273">
        <f t="shared" si="199"/>
        <v>987.87999999999738</v>
      </c>
    </row>
    <row r="1274" spans="1:21" x14ac:dyDescent="0.3">
      <c r="A1274">
        <v>1273</v>
      </c>
      <c r="B1274">
        <v>31</v>
      </c>
      <c r="C1274" t="s">
        <v>10</v>
      </c>
      <c r="D1274">
        <v>31.8</v>
      </c>
      <c r="E1274">
        <v>95</v>
      </c>
      <c r="F1274" t="s">
        <v>12</v>
      </c>
      <c r="G1274">
        <v>0</v>
      </c>
      <c r="H1274" t="s">
        <v>11</v>
      </c>
      <c r="I1274" t="s">
        <v>17</v>
      </c>
      <c r="J1274">
        <v>41097.160000000003</v>
      </c>
      <c r="K1274" t="str">
        <f t="shared" si="190"/>
        <v>30-35</v>
      </c>
      <c r="L1274">
        <f t="shared" si="191"/>
        <v>31.8</v>
      </c>
      <c r="M1274">
        <f t="shared" si="192"/>
        <v>0</v>
      </c>
      <c r="N1274">
        <f t="shared" si="193"/>
        <v>0</v>
      </c>
      <c r="O1274">
        <f t="shared" si="194"/>
        <v>0</v>
      </c>
      <c r="P1274">
        <v>9.7146278579671841E-2</v>
      </c>
      <c r="Q1274">
        <f t="shared" si="195"/>
        <v>1</v>
      </c>
      <c r="R1274">
        <f t="shared" si="196"/>
        <v>0</v>
      </c>
      <c r="S1274">
        <f t="shared" si="197"/>
        <v>0</v>
      </c>
      <c r="T1274">
        <f t="shared" si="198"/>
        <v>32775.952000000012</v>
      </c>
      <c r="U1274">
        <f t="shared" si="199"/>
        <v>8321.2079999999914</v>
      </c>
    </row>
    <row r="1275" spans="1:21" x14ac:dyDescent="0.3">
      <c r="A1275">
        <v>1274</v>
      </c>
      <c r="B1275">
        <v>51</v>
      </c>
      <c r="C1275" t="s">
        <v>16</v>
      </c>
      <c r="D1275">
        <v>34.6</v>
      </c>
      <c r="E1275">
        <v>86</v>
      </c>
      <c r="F1275" t="s">
        <v>12</v>
      </c>
      <c r="G1275">
        <v>1</v>
      </c>
      <c r="H1275" t="s">
        <v>11</v>
      </c>
      <c r="I1275" t="s">
        <v>15</v>
      </c>
      <c r="J1275">
        <v>41661.599999999999</v>
      </c>
      <c r="K1275" t="str">
        <f t="shared" si="190"/>
        <v>30-35</v>
      </c>
      <c r="L1275">
        <f t="shared" si="191"/>
        <v>34.6</v>
      </c>
      <c r="M1275">
        <f t="shared" si="192"/>
        <v>0</v>
      </c>
      <c r="N1275">
        <f t="shared" si="193"/>
        <v>1</v>
      </c>
      <c r="O1275">
        <f t="shared" si="194"/>
        <v>0</v>
      </c>
      <c r="P1275">
        <v>0.53980372030994628</v>
      </c>
      <c r="Q1275">
        <f t="shared" si="195"/>
        <v>1</v>
      </c>
      <c r="R1275">
        <f t="shared" si="196"/>
        <v>0</v>
      </c>
      <c r="S1275">
        <f t="shared" si="197"/>
        <v>1</v>
      </c>
      <c r="T1275">
        <f t="shared" si="198"/>
        <v>33306.254000000001</v>
      </c>
      <c r="U1275">
        <f t="shared" si="199"/>
        <v>8355.3459999999977</v>
      </c>
    </row>
    <row r="1276" spans="1:21" x14ac:dyDescent="0.3">
      <c r="A1276">
        <v>1275</v>
      </c>
      <c r="B1276">
        <v>27</v>
      </c>
      <c r="C1276" t="s">
        <v>10</v>
      </c>
      <c r="D1276">
        <v>36.200000000000003</v>
      </c>
      <c r="E1276">
        <v>98</v>
      </c>
      <c r="F1276" t="s">
        <v>12</v>
      </c>
      <c r="G1276">
        <v>0</v>
      </c>
      <c r="H1276" t="s">
        <v>11</v>
      </c>
      <c r="I1276" t="s">
        <v>13</v>
      </c>
      <c r="J1276">
        <v>41676.080000000002</v>
      </c>
      <c r="K1276" t="str">
        <f t="shared" si="190"/>
        <v>35+</v>
      </c>
      <c r="L1276">
        <f t="shared" si="191"/>
        <v>36.200000000000003</v>
      </c>
      <c r="M1276">
        <f t="shared" si="192"/>
        <v>1</v>
      </c>
      <c r="N1276">
        <f t="shared" si="193"/>
        <v>0</v>
      </c>
      <c r="O1276">
        <f t="shared" si="194"/>
        <v>0</v>
      </c>
      <c r="P1276">
        <v>0.46675156597038181</v>
      </c>
      <c r="Q1276">
        <f t="shared" si="195"/>
        <v>1</v>
      </c>
      <c r="R1276">
        <f t="shared" si="196"/>
        <v>0</v>
      </c>
      <c r="S1276">
        <f t="shared" si="197"/>
        <v>0</v>
      </c>
      <c r="T1276">
        <f t="shared" si="198"/>
        <v>35531.748000000007</v>
      </c>
      <c r="U1276">
        <f t="shared" si="199"/>
        <v>6144.3319999999949</v>
      </c>
    </row>
    <row r="1277" spans="1:21" x14ac:dyDescent="0.3">
      <c r="A1277">
        <v>1276</v>
      </c>
      <c r="B1277">
        <v>37</v>
      </c>
      <c r="C1277" t="s">
        <v>10</v>
      </c>
      <c r="D1277">
        <v>32.299999999999997</v>
      </c>
      <c r="E1277">
        <v>115</v>
      </c>
      <c r="F1277" t="s">
        <v>12</v>
      </c>
      <c r="G1277">
        <v>1</v>
      </c>
      <c r="H1277" t="s">
        <v>11</v>
      </c>
      <c r="I1277" t="s">
        <v>17</v>
      </c>
      <c r="J1277">
        <v>41919.1</v>
      </c>
      <c r="K1277" t="str">
        <f t="shared" si="190"/>
        <v>30-35</v>
      </c>
      <c r="L1277">
        <f t="shared" si="191"/>
        <v>32.299999999999997</v>
      </c>
      <c r="M1277">
        <f t="shared" si="192"/>
        <v>0</v>
      </c>
      <c r="N1277">
        <f t="shared" si="193"/>
        <v>0</v>
      </c>
      <c r="O1277">
        <f t="shared" si="194"/>
        <v>0</v>
      </c>
      <c r="P1277">
        <v>0.4049195113844839</v>
      </c>
      <c r="Q1277">
        <f t="shared" si="195"/>
        <v>1</v>
      </c>
      <c r="R1277">
        <f t="shared" si="196"/>
        <v>0</v>
      </c>
      <c r="S1277">
        <f t="shared" si="197"/>
        <v>0</v>
      </c>
      <c r="T1277">
        <f t="shared" si="198"/>
        <v>37370.656999999999</v>
      </c>
      <c r="U1277">
        <f t="shared" si="199"/>
        <v>4548.4429999999993</v>
      </c>
    </row>
    <row r="1278" spans="1:21" x14ac:dyDescent="0.3">
      <c r="A1278">
        <v>1277</v>
      </c>
      <c r="B1278">
        <v>20</v>
      </c>
      <c r="C1278" t="s">
        <v>10</v>
      </c>
      <c r="D1278">
        <v>38.4</v>
      </c>
      <c r="E1278">
        <v>124</v>
      </c>
      <c r="F1278" t="s">
        <v>11</v>
      </c>
      <c r="G1278">
        <v>3</v>
      </c>
      <c r="H1278" t="s">
        <v>11</v>
      </c>
      <c r="I1278" t="s">
        <v>13</v>
      </c>
      <c r="J1278">
        <v>41949.24</v>
      </c>
      <c r="K1278" t="str">
        <f t="shared" si="190"/>
        <v>35+</v>
      </c>
      <c r="L1278">
        <f t="shared" si="191"/>
        <v>38.4</v>
      </c>
      <c r="M1278">
        <f t="shared" si="192"/>
        <v>1</v>
      </c>
      <c r="N1278">
        <f t="shared" si="193"/>
        <v>0</v>
      </c>
      <c r="O1278">
        <f t="shared" si="194"/>
        <v>0</v>
      </c>
      <c r="P1278">
        <v>0.23084193082592275</v>
      </c>
      <c r="Q1278">
        <f t="shared" si="195"/>
        <v>1</v>
      </c>
      <c r="R1278">
        <f t="shared" si="196"/>
        <v>1</v>
      </c>
      <c r="S1278">
        <f t="shared" si="197"/>
        <v>0</v>
      </c>
      <c r="T1278">
        <f t="shared" si="198"/>
        <v>44794.025999999998</v>
      </c>
      <c r="U1278">
        <f t="shared" si="199"/>
        <v>-2844.7860000000001</v>
      </c>
    </row>
    <row r="1279" spans="1:21" x14ac:dyDescent="0.3">
      <c r="A1279">
        <v>1278</v>
      </c>
      <c r="B1279">
        <v>46</v>
      </c>
      <c r="C1279" t="s">
        <v>10</v>
      </c>
      <c r="D1279">
        <v>30.8</v>
      </c>
      <c r="E1279">
        <v>120</v>
      </c>
      <c r="F1279" t="s">
        <v>12</v>
      </c>
      <c r="G1279">
        <v>1</v>
      </c>
      <c r="H1279" t="s">
        <v>11</v>
      </c>
      <c r="I1279" t="s">
        <v>13</v>
      </c>
      <c r="J1279">
        <v>41999.519999999997</v>
      </c>
      <c r="K1279" t="str">
        <f t="shared" si="190"/>
        <v>30-35</v>
      </c>
      <c r="L1279">
        <f t="shared" si="191"/>
        <v>30.8</v>
      </c>
      <c r="M1279">
        <f t="shared" si="192"/>
        <v>1</v>
      </c>
      <c r="N1279">
        <f t="shared" si="193"/>
        <v>0</v>
      </c>
      <c r="O1279">
        <f t="shared" si="194"/>
        <v>0</v>
      </c>
      <c r="P1279">
        <v>0.74354887171957751</v>
      </c>
      <c r="Q1279">
        <f t="shared" si="195"/>
        <v>1</v>
      </c>
      <c r="R1279">
        <f t="shared" si="196"/>
        <v>0</v>
      </c>
      <c r="S1279">
        <f t="shared" si="197"/>
        <v>0</v>
      </c>
      <c r="T1279">
        <f t="shared" si="198"/>
        <v>32495.322</v>
      </c>
      <c r="U1279">
        <f t="shared" si="199"/>
        <v>9504.1979999999967</v>
      </c>
    </row>
    <row r="1280" spans="1:21" x14ac:dyDescent="0.3">
      <c r="A1280">
        <v>1279</v>
      </c>
      <c r="B1280">
        <v>35</v>
      </c>
      <c r="C1280" t="s">
        <v>16</v>
      </c>
      <c r="D1280">
        <v>35.5</v>
      </c>
      <c r="E1280">
        <v>135</v>
      </c>
      <c r="F1280" t="s">
        <v>12</v>
      </c>
      <c r="G1280">
        <v>0</v>
      </c>
      <c r="H1280" t="s">
        <v>11</v>
      </c>
      <c r="I1280" t="s">
        <v>17</v>
      </c>
      <c r="J1280">
        <v>42111.66</v>
      </c>
      <c r="K1280" t="str">
        <f t="shared" si="190"/>
        <v>35+</v>
      </c>
      <c r="L1280">
        <f t="shared" si="191"/>
        <v>35.5</v>
      </c>
      <c r="M1280">
        <f t="shared" si="192"/>
        <v>0</v>
      </c>
      <c r="N1280">
        <f t="shared" si="193"/>
        <v>0</v>
      </c>
      <c r="O1280">
        <f t="shared" si="194"/>
        <v>0</v>
      </c>
      <c r="P1280">
        <v>0.27578371854228534</v>
      </c>
      <c r="Q1280">
        <f t="shared" si="195"/>
        <v>1</v>
      </c>
      <c r="R1280">
        <f t="shared" si="196"/>
        <v>0</v>
      </c>
      <c r="S1280">
        <f t="shared" si="197"/>
        <v>1</v>
      </c>
      <c r="T1280">
        <f t="shared" si="198"/>
        <v>44574.735000000001</v>
      </c>
      <c r="U1280">
        <f t="shared" si="199"/>
        <v>-2463.0749999999971</v>
      </c>
    </row>
    <row r="1281" spans="1:21" x14ac:dyDescent="0.3">
      <c r="A1281">
        <v>1280</v>
      </c>
      <c r="B1281">
        <v>37</v>
      </c>
      <c r="C1281" t="s">
        <v>10</v>
      </c>
      <c r="D1281">
        <v>45.5</v>
      </c>
      <c r="E1281">
        <v>124</v>
      </c>
      <c r="F1281" t="s">
        <v>11</v>
      </c>
      <c r="G1281">
        <v>2</v>
      </c>
      <c r="H1281" t="s">
        <v>11</v>
      </c>
      <c r="I1281" t="s">
        <v>13</v>
      </c>
      <c r="J1281">
        <v>42112.24</v>
      </c>
      <c r="K1281" t="str">
        <f t="shared" si="190"/>
        <v>35+</v>
      </c>
      <c r="L1281">
        <f t="shared" si="191"/>
        <v>45.5</v>
      </c>
      <c r="M1281">
        <f t="shared" si="192"/>
        <v>1</v>
      </c>
      <c r="N1281">
        <f t="shared" si="193"/>
        <v>0</v>
      </c>
      <c r="O1281">
        <f t="shared" si="194"/>
        <v>0</v>
      </c>
      <c r="P1281">
        <v>0.42524106316572907</v>
      </c>
      <c r="Q1281">
        <f t="shared" si="195"/>
        <v>1</v>
      </c>
      <c r="R1281">
        <f t="shared" si="196"/>
        <v>1</v>
      </c>
      <c r="S1281">
        <f t="shared" si="197"/>
        <v>0</v>
      </c>
      <c r="T1281">
        <f t="shared" si="198"/>
        <v>53581.325000000004</v>
      </c>
      <c r="U1281">
        <f t="shared" si="199"/>
        <v>-11469.085000000006</v>
      </c>
    </row>
    <row r="1282" spans="1:21" x14ac:dyDescent="0.3">
      <c r="A1282">
        <v>1281</v>
      </c>
      <c r="B1282">
        <v>39</v>
      </c>
      <c r="C1282" t="s">
        <v>10</v>
      </c>
      <c r="D1282">
        <v>36</v>
      </c>
      <c r="E1282">
        <v>98</v>
      </c>
      <c r="F1282" t="s">
        <v>11</v>
      </c>
      <c r="G1282">
        <v>3</v>
      </c>
      <c r="H1282" t="s">
        <v>11</v>
      </c>
      <c r="I1282" t="s">
        <v>13</v>
      </c>
      <c r="J1282">
        <v>42124.52</v>
      </c>
      <c r="K1282" t="str">
        <f t="shared" si="190"/>
        <v>35+</v>
      </c>
      <c r="L1282">
        <f t="shared" si="191"/>
        <v>36</v>
      </c>
      <c r="M1282">
        <f t="shared" si="192"/>
        <v>1</v>
      </c>
      <c r="N1282">
        <f t="shared" si="193"/>
        <v>0</v>
      </c>
      <c r="O1282">
        <f t="shared" si="194"/>
        <v>0</v>
      </c>
      <c r="P1282">
        <v>0.60909961188885708</v>
      </c>
      <c r="Q1282">
        <f t="shared" si="195"/>
        <v>1</v>
      </c>
      <c r="R1282">
        <f t="shared" si="196"/>
        <v>1</v>
      </c>
      <c r="S1282">
        <f t="shared" si="197"/>
        <v>0</v>
      </c>
      <c r="T1282">
        <f t="shared" si="198"/>
        <v>37393.11</v>
      </c>
      <c r="U1282">
        <f t="shared" si="199"/>
        <v>4731.4099999999962</v>
      </c>
    </row>
    <row r="1283" spans="1:21" x14ac:dyDescent="0.3">
      <c r="A1283">
        <v>1282</v>
      </c>
      <c r="B1283">
        <v>39</v>
      </c>
      <c r="C1283" t="s">
        <v>10</v>
      </c>
      <c r="D1283">
        <v>36.1</v>
      </c>
      <c r="E1283">
        <v>109</v>
      </c>
      <c r="F1283" t="s">
        <v>11</v>
      </c>
      <c r="G1283">
        <v>1</v>
      </c>
      <c r="H1283" t="s">
        <v>11</v>
      </c>
      <c r="I1283" t="s">
        <v>13</v>
      </c>
      <c r="J1283">
        <v>42211.14</v>
      </c>
      <c r="K1283" t="str">
        <f t="shared" ref="K1283:K1341" si="200">IF(D1283&lt;20, "&lt;20", IF(D1283&lt;25, "20-25", IF(D1283&lt;30, "25-30", IF(D1283&lt;35, "30-35", "35+"))))</f>
        <v>35+</v>
      </c>
      <c r="L1283">
        <f t="shared" ref="L1283:L1341" si="201">D1283*Q1283</f>
        <v>36.1</v>
      </c>
      <c r="M1283">
        <f t="shared" ref="M1283:M1341" si="202">IF(I1283="southeast", 1, 0)</f>
        <v>1</v>
      </c>
      <c r="N1283">
        <f t="shared" ref="N1283:N1341" si="203">IF(I1283="southwest", 1, 0)</f>
        <v>0</v>
      </c>
      <c r="O1283">
        <f t="shared" ref="O1283:O1341" si="204">IF(I1283="northwest", 1, 0)</f>
        <v>0</v>
      </c>
      <c r="P1283">
        <v>0.90435138207808763</v>
      </c>
      <c r="Q1283">
        <f t="shared" ref="Q1283:Q1341" si="205">IF(H1283="Yes", 1, 0)</f>
        <v>1</v>
      </c>
      <c r="R1283">
        <f t="shared" ref="R1283:R1341" si="206">IF(F1283="yes", 1, 0)</f>
        <v>1</v>
      </c>
      <c r="S1283">
        <f t="shared" ref="S1283:S1341" si="207">IF(C1283="female", 1, 0)</f>
        <v>0</v>
      </c>
      <c r="T1283">
        <f t="shared" ref="T1283:T1341" si="208">-7277.71 + (-1.28*B1283) + (85.5*D1283) + (738.24*G1283) + (159.59*E1283) + (1259.19*L1283) + (-3644.73*M1283) + (-2956.11*N1283) + (-2948.04*O1283) + (-17828.85*Q1283) + (-69.06*R1283) + (444.95*S1283)</f>
        <v>37806.589000000007</v>
      </c>
      <c r="U1283">
        <f t="shared" ref="U1283:U1341" si="209">J1283-T1283</f>
        <v>4404.5509999999922</v>
      </c>
    </row>
    <row r="1284" spans="1:21" x14ac:dyDescent="0.3">
      <c r="A1284">
        <v>1283</v>
      </c>
      <c r="B1284">
        <v>42</v>
      </c>
      <c r="C1284" t="s">
        <v>10</v>
      </c>
      <c r="D1284">
        <v>30.7</v>
      </c>
      <c r="E1284">
        <v>117</v>
      </c>
      <c r="F1284" t="s">
        <v>11</v>
      </c>
      <c r="G1284">
        <v>0</v>
      </c>
      <c r="H1284" t="s">
        <v>11</v>
      </c>
      <c r="I1284" t="s">
        <v>17</v>
      </c>
      <c r="J1284">
        <v>42303.69</v>
      </c>
      <c r="K1284" t="str">
        <f t="shared" si="200"/>
        <v>30-35</v>
      </c>
      <c r="L1284">
        <f t="shared" si="201"/>
        <v>30.7</v>
      </c>
      <c r="M1284">
        <f t="shared" si="202"/>
        <v>0</v>
      </c>
      <c r="N1284">
        <f t="shared" si="203"/>
        <v>0</v>
      </c>
      <c r="O1284">
        <f t="shared" si="204"/>
        <v>0</v>
      </c>
      <c r="P1284">
        <v>0.28450907543512993</v>
      </c>
      <c r="Q1284">
        <f t="shared" si="205"/>
        <v>1</v>
      </c>
      <c r="R1284">
        <f t="shared" si="206"/>
        <v>1</v>
      </c>
      <c r="S1284">
        <f t="shared" si="207"/>
        <v>0</v>
      </c>
      <c r="T1284">
        <f t="shared" si="208"/>
        <v>34724.633000000002</v>
      </c>
      <c r="U1284">
        <f t="shared" si="209"/>
        <v>7579.0570000000007</v>
      </c>
    </row>
    <row r="1285" spans="1:21" x14ac:dyDescent="0.3">
      <c r="A1285">
        <v>1284</v>
      </c>
      <c r="B1285">
        <v>28</v>
      </c>
      <c r="C1285" t="s">
        <v>10</v>
      </c>
      <c r="D1285">
        <v>38.1</v>
      </c>
      <c r="E1285">
        <v>125</v>
      </c>
      <c r="F1285" t="s">
        <v>11</v>
      </c>
      <c r="G1285">
        <v>2</v>
      </c>
      <c r="H1285" t="s">
        <v>11</v>
      </c>
      <c r="I1285" t="s">
        <v>13</v>
      </c>
      <c r="J1285">
        <v>42560.43</v>
      </c>
      <c r="K1285" t="str">
        <f t="shared" si="200"/>
        <v>35+</v>
      </c>
      <c r="L1285">
        <f t="shared" si="201"/>
        <v>38.1</v>
      </c>
      <c r="M1285">
        <f t="shared" si="202"/>
        <v>1</v>
      </c>
      <c r="N1285">
        <f t="shared" si="203"/>
        <v>0</v>
      </c>
      <c r="O1285">
        <f t="shared" si="204"/>
        <v>0</v>
      </c>
      <c r="P1285">
        <v>0.25100581418828338</v>
      </c>
      <c r="Q1285">
        <f t="shared" si="205"/>
        <v>1</v>
      </c>
      <c r="R1285">
        <f t="shared" si="206"/>
        <v>1</v>
      </c>
      <c r="S1285">
        <f t="shared" si="207"/>
        <v>0</v>
      </c>
      <c r="T1285">
        <f t="shared" si="208"/>
        <v>43801.729000000007</v>
      </c>
      <c r="U1285">
        <f t="shared" si="209"/>
        <v>-1241.2990000000063</v>
      </c>
    </row>
    <row r="1286" spans="1:21" x14ac:dyDescent="0.3">
      <c r="A1286">
        <v>1285</v>
      </c>
      <c r="B1286">
        <v>25</v>
      </c>
      <c r="C1286" t="s">
        <v>10</v>
      </c>
      <c r="D1286">
        <v>36.5</v>
      </c>
      <c r="E1286">
        <v>104</v>
      </c>
      <c r="F1286" t="s">
        <v>11</v>
      </c>
      <c r="G1286">
        <v>2</v>
      </c>
      <c r="H1286" t="s">
        <v>11</v>
      </c>
      <c r="I1286" t="s">
        <v>14</v>
      </c>
      <c r="J1286">
        <v>42760.5</v>
      </c>
      <c r="K1286" t="str">
        <f t="shared" si="200"/>
        <v>35+</v>
      </c>
      <c r="L1286">
        <f t="shared" si="201"/>
        <v>36.5</v>
      </c>
      <c r="M1286">
        <f t="shared" si="202"/>
        <v>0</v>
      </c>
      <c r="N1286">
        <f t="shared" si="203"/>
        <v>0</v>
      </c>
      <c r="O1286">
        <f t="shared" si="204"/>
        <v>1</v>
      </c>
      <c r="P1286">
        <v>4.3375235112026678E-2</v>
      </c>
      <c r="Q1286">
        <f t="shared" si="205"/>
        <v>1</v>
      </c>
      <c r="R1286">
        <f t="shared" si="206"/>
        <v>1</v>
      </c>
      <c r="S1286">
        <f t="shared" si="207"/>
        <v>0</v>
      </c>
      <c r="T1286">
        <f t="shared" si="208"/>
        <v>38999.365000000005</v>
      </c>
      <c r="U1286">
        <f t="shared" si="209"/>
        <v>3761.1349999999948</v>
      </c>
    </row>
    <row r="1287" spans="1:21" x14ac:dyDescent="0.3">
      <c r="A1287">
        <v>1286</v>
      </c>
      <c r="B1287">
        <v>49</v>
      </c>
      <c r="C1287" t="s">
        <v>10</v>
      </c>
      <c r="D1287">
        <v>34.200000000000003</v>
      </c>
      <c r="E1287">
        <v>98</v>
      </c>
      <c r="F1287" t="s">
        <v>11</v>
      </c>
      <c r="G1287">
        <v>2</v>
      </c>
      <c r="H1287" t="s">
        <v>11</v>
      </c>
      <c r="I1287" t="s">
        <v>15</v>
      </c>
      <c r="J1287">
        <v>42856.84</v>
      </c>
      <c r="K1287" t="str">
        <f t="shared" si="200"/>
        <v>30-35</v>
      </c>
      <c r="L1287">
        <f t="shared" si="201"/>
        <v>34.200000000000003</v>
      </c>
      <c r="M1287">
        <f t="shared" si="202"/>
        <v>0</v>
      </c>
      <c r="N1287">
        <f t="shared" si="203"/>
        <v>1</v>
      </c>
      <c r="O1287">
        <f t="shared" si="204"/>
        <v>0</v>
      </c>
      <c r="P1287">
        <v>0.60494442624753519</v>
      </c>
      <c r="Q1287">
        <f t="shared" si="205"/>
        <v>1</v>
      </c>
      <c r="R1287">
        <f t="shared" si="206"/>
        <v>1</v>
      </c>
      <c r="S1287">
        <f t="shared" si="207"/>
        <v>0</v>
      </c>
      <c r="T1287">
        <f t="shared" si="208"/>
        <v>34910.248000000007</v>
      </c>
      <c r="U1287">
        <f t="shared" si="209"/>
        <v>7946.5919999999896</v>
      </c>
    </row>
    <row r="1288" spans="1:21" x14ac:dyDescent="0.3">
      <c r="A1288">
        <v>1287</v>
      </c>
      <c r="B1288">
        <v>55</v>
      </c>
      <c r="C1288" t="s">
        <v>16</v>
      </c>
      <c r="D1288">
        <v>36.6</v>
      </c>
      <c r="E1288">
        <v>120</v>
      </c>
      <c r="F1288" t="s">
        <v>12</v>
      </c>
      <c r="G1288">
        <v>1</v>
      </c>
      <c r="H1288" t="s">
        <v>11</v>
      </c>
      <c r="I1288" t="s">
        <v>13</v>
      </c>
      <c r="J1288">
        <v>42969.85</v>
      </c>
      <c r="K1288" t="str">
        <f t="shared" si="200"/>
        <v>35+</v>
      </c>
      <c r="L1288">
        <f t="shared" si="201"/>
        <v>36.6</v>
      </c>
      <c r="M1288">
        <f t="shared" si="202"/>
        <v>1</v>
      </c>
      <c r="N1288">
        <f t="shared" si="203"/>
        <v>0</v>
      </c>
      <c r="O1288">
        <f t="shared" si="204"/>
        <v>0</v>
      </c>
      <c r="P1288">
        <v>0.18040577299048566</v>
      </c>
      <c r="Q1288">
        <f t="shared" si="205"/>
        <v>1</v>
      </c>
      <c r="R1288">
        <f t="shared" si="206"/>
        <v>0</v>
      </c>
      <c r="S1288">
        <f t="shared" si="207"/>
        <v>1</v>
      </c>
      <c r="T1288">
        <f t="shared" si="208"/>
        <v>40727.953999999998</v>
      </c>
      <c r="U1288">
        <f t="shared" si="209"/>
        <v>2241.8960000000006</v>
      </c>
    </row>
    <row r="1289" spans="1:21" x14ac:dyDescent="0.3">
      <c r="A1289">
        <v>1288</v>
      </c>
      <c r="B1289">
        <v>32</v>
      </c>
      <c r="C1289" t="s">
        <v>16</v>
      </c>
      <c r="D1289">
        <v>39</v>
      </c>
      <c r="E1289">
        <v>96</v>
      </c>
      <c r="F1289" t="s">
        <v>11</v>
      </c>
      <c r="G1289">
        <v>0</v>
      </c>
      <c r="H1289" t="s">
        <v>11</v>
      </c>
      <c r="I1289" t="s">
        <v>14</v>
      </c>
      <c r="J1289">
        <v>42983.46</v>
      </c>
      <c r="K1289" t="str">
        <f t="shared" si="200"/>
        <v>35+</v>
      </c>
      <c r="L1289">
        <f t="shared" si="201"/>
        <v>39</v>
      </c>
      <c r="M1289">
        <f t="shared" si="202"/>
        <v>0</v>
      </c>
      <c r="N1289">
        <f t="shared" si="203"/>
        <v>0</v>
      </c>
      <c r="O1289">
        <f t="shared" si="204"/>
        <v>1</v>
      </c>
      <c r="P1289">
        <v>0.4796492765490149</v>
      </c>
      <c r="Q1289">
        <f t="shared" si="205"/>
        <v>1</v>
      </c>
      <c r="R1289">
        <f t="shared" si="206"/>
        <v>1</v>
      </c>
      <c r="S1289">
        <f t="shared" si="207"/>
        <v>1</v>
      </c>
      <c r="T1289">
        <f t="shared" si="208"/>
        <v>40043.880000000005</v>
      </c>
      <c r="U1289">
        <f t="shared" si="209"/>
        <v>2939.5799999999945</v>
      </c>
    </row>
    <row r="1290" spans="1:21" x14ac:dyDescent="0.3">
      <c r="A1290">
        <v>1289</v>
      </c>
      <c r="B1290">
        <v>22</v>
      </c>
      <c r="C1290" t="s">
        <v>10</v>
      </c>
      <c r="D1290">
        <v>34.1</v>
      </c>
      <c r="E1290">
        <v>108</v>
      </c>
      <c r="F1290" t="s">
        <v>12</v>
      </c>
      <c r="G1290">
        <v>0</v>
      </c>
      <c r="H1290" t="s">
        <v>11</v>
      </c>
      <c r="I1290" t="s">
        <v>17</v>
      </c>
      <c r="J1290">
        <v>43254.42</v>
      </c>
      <c r="K1290" t="str">
        <f t="shared" si="200"/>
        <v>30-35</v>
      </c>
      <c r="L1290">
        <f t="shared" si="201"/>
        <v>34.1</v>
      </c>
      <c r="M1290">
        <f t="shared" si="202"/>
        <v>0</v>
      </c>
      <c r="N1290">
        <f t="shared" si="203"/>
        <v>0</v>
      </c>
      <c r="O1290">
        <f t="shared" si="204"/>
        <v>0</v>
      </c>
      <c r="P1290">
        <v>0.77575213403931742</v>
      </c>
      <c r="Q1290">
        <f t="shared" si="205"/>
        <v>1</v>
      </c>
      <c r="R1290">
        <f t="shared" si="206"/>
        <v>0</v>
      </c>
      <c r="S1290">
        <f t="shared" si="207"/>
        <v>0</v>
      </c>
      <c r="T1290">
        <f t="shared" si="208"/>
        <v>37954.929000000004</v>
      </c>
      <c r="U1290">
        <f t="shared" si="209"/>
        <v>5299.4909999999945</v>
      </c>
    </row>
    <row r="1291" spans="1:21" x14ac:dyDescent="0.3">
      <c r="A1291">
        <v>1290</v>
      </c>
      <c r="B1291">
        <v>52</v>
      </c>
      <c r="C1291" t="s">
        <v>16</v>
      </c>
      <c r="D1291">
        <v>31.2</v>
      </c>
      <c r="E1291">
        <v>127</v>
      </c>
      <c r="F1291" t="s">
        <v>12</v>
      </c>
      <c r="G1291">
        <v>0</v>
      </c>
      <c r="H1291" t="s">
        <v>11</v>
      </c>
      <c r="I1291" t="s">
        <v>14</v>
      </c>
      <c r="J1291">
        <v>43578.94</v>
      </c>
      <c r="K1291" t="str">
        <f t="shared" si="200"/>
        <v>30-35</v>
      </c>
      <c r="L1291">
        <f t="shared" si="201"/>
        <v>31.2</v>
      </c>
      <c r="M1291">
        <f t="shared" si="202"/>
        <v>0</v>
      </c>
      <c r="N1291">
        <f t="shared" si="203"/>
        <v>0</v>
      </c>
      <c r="O1291">
        <f t="shared" si="204"/>
        <v>1</v>
      </c>
      <c r="P1291">
        <v>0.96979755968401049</v>
      </c>
      <c r="Q1291">
        <f t="shared" si="205"/>
        <v>1</v>
      </c>
      <c r="R1291">
        <f t="shared" si="206"/>
        <v>0</v>
      </c>
      <c r="S1291">
        <f t="shared" si="207"/>
        <v>1</v>
      </c>
      <c r="T1291">
        <f t="shared" si="208"/>
        <v>34546.048000000003</v>
      </c>
      <c r="U1291">
        <f t="shared" si="209"/>
        <v>9032.8919999999998</v>
      </c>
    </row>
    <row r="1292" spans="1:21" x14ac:dyDescent="0.3">
      <c r="A1292">
        <v>1291</v>
      </c>
      <c r="B1292">
        <v>47</v>
      </c>
      <c r="C1292" t="s">
        <v>10</v>
      </c>
      <c r="D1292">
        <v>41.9</v>
      </c>
      <c r="E1292">
        <v>140</v>
      </c>
      <c r="F1292" t="s">
        <v>11</v>
      </c>
      <c r="G1292">
        <v>3</v>
      </c>
      <c r="H1292" t="s">
        <v>11</v>
      </c>
      <c r="I1292" t="s">
        <v>17</v>
      </c>
      <c r="J1292">
        <v>43753.34</v>
      </c>
      <c r="K1292" t="str">
        <f t="shared" si="200"/>
        <v>35+</v>
      </c>
      <c r="L1292">
        <f t="shared" si="201"/>
        <v>41.9</v>
      </c>
      <c r="M1292">
        <f t="shared" si="202"/>
        <v>0</v>
      </c>
      <c r="N1292">
        <f t="shared" si="203"/>
        <v>0</v>
      </c>
      <c r="O1292">
        <f t="shared" si="204"/>
        <v>0</v>
      </c>
      <c r="P1292">
        <v>0.67742361729609901</v>
      </c>
      <c r="Q1292">
        <f t="shared" si="205"/>
        <v>1</v>
      </c>
      <c r="R1292">
        <f t="shared" si="206"/>
        <v>1</v>
      </c>
      <c r="S1292">
        <f t="shared" si="207"/>
        <v>0</v>
      </c>
      <c r="T1292">
        <f t="shared" si="208"/>
        <v>55664.051000000014</v>
      </c>
      <c r="U1292">
        <f t="shared" si="209"/>
        <v>-11910.711000000018</v>
      </c>
    </row>
    <row r="1293" spans="1:21" x14ac:dyDescent="0.3">
      <c r="A1293">
        <v>1292</v>
      </c>
      <c r="B1293">
        <v>36</v>
      </c>
      <c r="C1293" t="s">
        <v>10</v>
      </c>
      <c r="D1293">
        <v>31.8</v>
      </c>
      <c r="E1293">
        <v>94</v>
      </c>
      <c r="F1293" t="s">
        <v>11</v>
      </c>
      <c r="G1293">
        <v>2</v>
      </c>
      <c r="H1293" t="s">
        <v>11</v>
      </c>
      <c r="I1293" t="s">
        <v>13</v>
      </c>
      <c r="J1293">
        <v>43813.87</v>
      </c>
      <c r="K1293" t="str">
        <f t="shared" si="200"/>
        <v>30-35</v>
      </c>
      <c r="L1293">
        <f t="shared" si="201"/>
        <v>31.8</v>
      </c>
      <c r="M1293">
        <f t="shared" si="202"/>
        <v>1</v>
      </c>
      <c r="N1293">
        <f t="shared" si="203"/>
        <v>0</v>
      </c>
      <c r="O1293">
        <f t="shared" si="204"/>
        <v>0</v>
      </c>
      <c r="P1293">
        <v>0.3627357682288832</v>
      </c>
      <c r="Q1293">
        <f t="shared" si="205"/>
        <v>1</v>
      </c>
      <c r="R1293">
        <f t="shared" si="206"/>
        <v>1</v>
      </c>
      <c r="S1293">
        <f t="shared" si="207"/>
        <v>0</v>
      </c>
      <c r="T1293">
        <f t="shared" si="208"/>
        <v>30372.652000000006</v>
      </c>
      <c r="U1293">
        <f t="shared" si="209"/>
        <v>13441.217999999997</v>
      </c>
    </row>
    <row r="1294" spans="1:21" x14ac:dyDescent="0.3">
      <c r="A1294">
        <v>1293</v>
      </c>
      <c r="B1294">
        <v>45</v>
      </c>
      <c r="C1294" t="s">
        <v>16</v>
      </c>
      <c r="D1294">
        <v>40.4</v>
      </c>
      <c r="E1294">
        <v>123</v>
      </c>
      <c r="F1294" t="s">
        <v>12</v>
      </c>
      <c r="G1294">
        <v>2</v>
      </c>
      <c r="H1294" t="s">
        <v>11</v>
      </c>
      <c r="I1294" t="s">
        <v>13</v>
      </c>
      <c r="J1294">
        <v>43896.38</v>
      </c>
      <c r="K1294" t="str">
        <f t="shared" si="200"/>
        <v>35+</v>
      </c>
      <c r="L1294">
        <f t="shared" si="201"/>
        <v>40.4</v>
      </c>
      <c r="M1294">
        <f t="shared" si="202"/>
        <v>1</v>
      </c>
      <c r="N1294">
        <f t="shared" si="203"/>
        <v>0</v>
      </c>
      <c r="O1294">
        <f t="shared" si="204"/>
        <v>0</v>
      </c>
      <c r="P1294">
        <v>0.53270178472886176</v>
      </c>
      <c r="Q1294">
        <f t="shared" si="205"/>
        <v>1</v>
      </c>
      <c r="R1294">
        <f t="shared" si="206"/>
        <v>0</v>
      </c>
      <c r="S1294">
        <f t="shared" si="207"/>
        <v>1</v>
      </c>
      <c r="T1294">
        <f t="shared" si="208"/>
        <v>47067.585999999996</v>
      </c>
      <c r="U1294">
        <f t="shared" si="209"/>
        <v>-3171.2059999999983</v>
      </c>
    </row>
    <row r="1295" spans="1:21" x14ac:dyDescent="0.3">
      <c r="A1295">
        <v>1294</v>
      </c>
      <c r="B1295">
        <v>28</v>
      </c>
      <c r="C1295" t="s">
        <v>10</v>
      </c>
      <c r="D1295">
        <v>33.6</v>
      </c>
      <c r="E1295">
        <v>101</v>
      </c>
      <c r="F1295" t="s">
        <v>11</v>
      </c>
      <c r="G1295">
        <v>0</v>
      </c>
      <c r="H1295" t="s">
        <v>11</v>
      </c>
      <c r="I1295" t="s">
        <v>14</v>
      </c>
      <c r="J1295">
        <v>43921.18</v>
      </c>
      <c r="K1295" t="str">
        <f t="shared" si="200"/>
        <v>30-35</v>
      </c>
      <c r="L1295">
        <f t="shared" si="201"/>
        <v>33.6</v>
      </c>
      <c r="M1295">
        <f t="shared" si="202"/>
        <v>0</v>
      </c>
      <c r="N1295">
        <f t="shared" si="203"/>
        <v>0</v>
      </c>
      <c r="O1295">
        <f t="shared" si="204"/>
        <v>1</v>
      </c>
      <c r="P1295">
        <v>0.7199022148262143</v>
      </c>
      <c r="Q1295">
        <f t="shared" si="205"/>
        <v>1</v>
      </c>
      <c r="R1295">
        <f t="shared" si="206"/>
        <v>1</v>
      </c>
      <c r="S1295">
        <f t="shared" si="207"/>
        <v>0</v>
      </c>
      <c r="T1295">
        <f t="shared" si="208"/>
        <v>33140.674000000014</v>
      </c>
      <c r="U1295">
        <f t="shared" si="209"/>
        <v>10780.505999999987</v>
      </c>
    </row>
    <row r="1296" spans="1:21" x14ac:dyDescent="0.3">
      <c r="A1296">
        <v>1295</v>
      </c>
      <c r="B1296">
        <v>36</v>
      </c>
      <c r="C1296" t="s">
        <v>16</v>
      </c>
      <c r="D1296">
        <v>30.2</v>
      </c>
      <c r="E1296">
        <v>130</v>
      </c>
      <c r="F1296" t="s">
        <v>12</v>
      </c>
      <c r="G1296">
        <v>1</v>
      </c>
      <c r="H1296" t="s">
        <v>11</v>
      </c>
      <c r="I1296" t="s">
        <v>14</v>
      </c>
      <c r="J1296">
        <v>43943.88</v>
      </c>
      <c r="K1296" t="str">
        <f t="shared" si="200"/>
        <v>30-35</v>
      </c>
      <c r="L1296">
        <f t="shared" si="201"/>
        <v>30.2</v>
      </c>
      <c r="M1296">
        <f t="shared" si="202"/>
        <v>0</v>
      </c>
      <c r="N1296">
        <f t="shared" si="203"/>
        <v>0</v>
      </c>
      <c r="O1296">
        <f t="shared" si="204"/>
        <v>1</v>
      </c>
      <c r="P1296">
        <v>0.79549543714783399</v>
      </c>
      <c r="Q1296">
        <f t="shared" si="205"/>
        <v>1</v>
      </c>
      <c r="R1296">
        <f t="shared" si="206"/>
        <v>0</v>
      </c>
      <c r="S1296">
        <f t="shared" si="207"/>
        <v>1</v>
      </c>
      <c r="T1296">
        <f t="shared" si="208"/>
        <v>34438.847999999998</v>
      </c>
      <c r="U1296">
        <f t="shared" si="209"/>
        <v>9505.0319999999992</v>
      </c>
    </row>
    <row r="1297" spans="1:21" x14ac:dyDescent="0.3">
      <c r="A1297">
        <v>1296</v>
      </c>
      <c r="B1297">
        <v>50</v>
      </c>
      <c r="C1297" t="s">
        <v>10</v>
      </c>
      <c r="D1297">
        <v>38.9</v>
      </c>
      <c r="E1297">
        <v>102</v>
      </c>
      <c r="F1297" t="s">
        <v>11</v>
      </c>
      <c r="G1297">
        <v>2</v>
      </c>
      <c r="H1297" t="s">
        <v>11</v>
      </c>
      <c r="I1297" t="s">
        <v>13</v>
      </c>
      <c r="J1297">
        <v>44202.65</v>
      </c>
      <c r="K1297" t="str">
        <f t="shared" si="200"/>
        <v>35+</v>
      </c>
      <c r="L1297">
        <f t="shared" si="201"/>
        <v>38.9</v>
      </c>
      <c r="M1297">
        <f t="shared" si="202"/>
        <v>1</v>
      </c>
      <c r="N1297">
        <f t="shared" si="203"/>
        <v>0</v>
      </c>
      <c r="O1297">
        <f t="shared" si="204"/>
        <v>0</v>
      </c>
      <c r="P1297">
        <v>0.58444330270570077</v>
      </c>
      <c r="Q1297">
        <f t="shared" si="205"/>
        <v>1</v>
      </c>
      <c r="R1297">
        <f t="shared" si="206"/>
        <v>1</v>
      </c>
      <c r="S1297">
        <f t="shared" si="207"/>
        <v>0</v>
      </c>
      <c r="T1297">
        <f t="shared" si="208"/>
        <v>41178.751000000004</v>
      </c>
      <c r="U1297">
        <f t="shared" si="209"/>
        <v>3023.8989999999976</v>
      </c>
    </row>
    <row r="1298" spans="1:21" x14ac:dyDescent="0.3">
      <c r="A1298">
        <v>1297</v>
      </c>
      <c r="B1298">
        <v>26</v>
      </c>
      <c r="C1298" t="s">
        <v>10</v>
      </c>
      <c r="D1298">
        <v>34.200000000000003</v>
      </c>
      <c r="E1298">
        <v>99</v>
      </c>
      <c r="F1298" t="s">
        <v>12</v>
      </c>
      <c r="G1298">
        <v>2</v>
      </c>
      <c r="H1298" t="s">
        <v>11</v>
      </c>
      <c r="I1298" t="s">
        <v>13</v>
      </c>
      <c r="J1298">
        <v>44260.75</v>
      </c>
      <c r="K1298" t="str">
        <f t="shared" si="200"/>
        <v>30-35</v>
      </c>
      <c r="L1298">
        <f t="shared" si="201"/>
        <v>34.200000000000003</v>
      </c>
      <c r="M1298">
        <f t="shared" si="202"/>
        <v>1</v>
      </c>
      <c r="N1298">
        <f t="shared" si="203"/>
        <v>0</v>
      </c>
      <c r="O1298">
        <f t="shared" si="204"/>
        <v>0</v>
      </c>
      <c r="P1298">
        <v>0.6394179825629559</v>
      </c>
      <c r="Q1298">
        <f t="shared" si="205"/>
        <v>1</v>
      </c>
      <c r="R1298">
        <f t="shared" si="206"/>
        <v>0</v>
      </c>
      <c r="S1298">
        <f t="shared" si="207"/>
        <v>0</v>
      </c>
      <c r="T1298">
        <f t="shared" si="208"/>
        <v>34479.718000000001</v>
      </c>
      <c r="U1298">
        <f t="shared" si="209"/>
        <v>9781.0319999999992</v>
      </c>
    </row>
    <row r="1299" spans="1:21" x14ac:dyDescent="0.3">
      <c r="A1299">
        <v>1298</v>
      </c>
      <c r="B1299">
        <v>45</v>
      </c>
      <c r="C1299" t="s">
        <v>16</v>
      </c>
      <c r="D1299">
        <v>38.1</v>
      </c>
      <c r="E1299">
        <v>115</v>
      </c>
      <c r="F1299" t="s">
        <v>11</v>
      </c>
      <c r="G1299">
        <v>0</v>
      </c>
      <c r="H1299" t="s">
        <v>11</v>
      </c>
      <c r="I1299" t="s">
        <v>13</v>
      </c>
      <c r="J1299">
        <v>44400.41</v>
      </c>
      <c r="K1299" t="str">
        <f t="shared" si="200"/>
        <v>35+</v>
      </c>
      <c r="L1299">
        <f t="shared" si="201"/>
        <v>38.1</v>
      </c>
      <c r="M1299">
        <f t="shared" si="202"/>
        <v>1</v>
      </c>
      <c r="N1299">
        <f t="shared" si="203"/>
        <v>0</v>
      </c>
      <c r="O1299">
        <f t="shared" si="204"/>
        <v>0</v>
      </c>
      <c r="P1299">
        <v>9.504587344281501E-2</v>
      </c>
      <c r="Q1299">
        <f t="shared" si="205"/>
        <v>1</v>
      </c>
      <c r="R1299">
        <f t="shared" si="206"/>
        <v>1</v>
      </c>
      <c r="S1299">
        <f t="shared" si="207"/>
        <v>1</v>
      </c>
      <c r="T1299">
        <f t="shared" si="208"/>
        <v>41152.539000000004</v>
      </c>
      <c r="U1299">
        <f t="shared" si="209"/>
        <v>3247.8709999999992</v>
      </c>
    </row>
    <row r="1300" spans="1:21" x14ac:dyDescent="0.3">
      <c r="A1300">
        <v>1299</v>
      </c>
      <c r="B1300">
        <v>30</v>
      </c>
      <c r="C1300" t="s">
        <v>16</v>
      </c>
      <c r="D1300">
        <v>35.200000000000003</v>
      </c>
      <c r="E1300">
        <v>95</v>
      </c>
      <c r="F1300" t="s">
        <v>11</v>
      </c>
      <c r="G1300">
        <v>0</v>
      </c>
      <c r="H1300" t="s">
        <v>11</v>
      </c>
      <c r="I1300" t="s">
        <v>13</v>
      </c>
      <c r="J1300">
        <v>44423.8</v>
      </c>
      <c r="K1300" t="str">
        <f t="shared" si="200"/>
        <v>35+</v>
      </c>
      <c r="L1300">
        <f t="shared" si="201"/>
        <v>35.200000000000003</v>
      </c>
      <c r="M1300">
        <f t="shared" si="202"/>
        <v>1</v>
      </c>
      <c r="N1300">
        <f t="shared" si="203"/>
        <v>0</v>
      </c>
      <c r="O1300">
        <f t="shared" si="204"/>
        <v>0</v>
      </c>
      <c r="P1300">
        <v>0.8856991850727518</v>
      </c>
      <c r="Q1300">
        <f t="shared" si="205"/>
        <v>1</v>
      </c>
      <c r="R1300">
        <f t="shared" si="206"/>
        <v>1</v>
      </c>
      <c r="S1300">
        <f t="shared" si="207"/>
        <v>1</v>
      </c>
      <c r="T1300">
        <f t="shared" si="208"/>
        <v>34080.338000000003</v>
      </c>
      <c r="U1300">
        <f t="shared" si="209"/>
        <v>10343.462</v>
      </c>
    </row>
    <row r="1301" spans="1:21" x14ac:dyDescent="0.3">
      <c r="A1301">
        <v>1300</v>
      </c>
      <c r="B1301">
        <v>50</v>
      </c>
      <c r="C1301" t="s">
        <v>10</v>
      </c>
      <c r="D1301">
        <v>52.6</v>
      </c>
      <c r="E1301">
        <v>110</v>
      </c>
      <c r="F1301" t="s">
        <v>12</v>
      </c>
      <c r="G1301">
        <v>1</v>
      </c>
      <c r="H1301" t="s">
        <v>11</v>
      </c>
      <c r="I1301" t="s">
        <v>13</v>
      </c>
      <c r="J1301">
        <v>44501.4</v>
      </c>
      <c r="K1301" t="str">
        <f t="shared" si="200"/>
        <v>35+</v>
      </c>
      <c r="L1301">
        <f t="shared" si="201"/>
        <v>52.6</v>
      </c>
      <c r="M1301">
        <f t="shared" si="202"/>
        <v>1</v>
      </c>
      <c r="N1301">
        <f t="shared" si="203"/>
        <v>0</v>
      </c>
      <c r="O1301">
        <f t="shared" si="204"/>
        <v>0</v>
      </c>
      <c r="P1301">
        <v>0.51974774793329903</v>
      </c>
      <c r="Q1301">
        <f t="shared" si="205"/>
        <v>1</v>
      </c>
      <c r="R1301">
        <f t="shared" si="206"/>
        <v>0</v>
      </c>
      <c r="S1301">
        <f t="shared" si="207"/>
        <v>0</v>
      </c>
      <c r="T1301">
        <f t="shared" si="208"/>
        <v>60208.544000000002</v>
      </c>
      <c r="U1301">
        <f t="shared" si="209"/>
        <v>-15707.144</v>
      </c>
    </row>
    <row r="1302" spans="1:21" x14ac:dyDescent="0.3">
      <c r="A1302">
        <v>1301</v>
      </c>
      <c r="B1302">
        <v>29</v>
      </c>
      <c r="C1302" t="s">
        <v>10</v>
      </c>
      <c r="D1302">
        <v>35.5</v>
      </c>
      <c r="E1302">
        <v>98</v>
      </c>
      <c r="F1302" t="s">
        <v>12</v>
      </c>
      <c r="G1302">
        <v>2</v>
      </c>
      <c r="H1302" t="s">
        <v>11</v>
      </c>
      <c r="I1302" t="s">
        <v>15</v>
      </c>
      <c r="J1302">
        <v>44585.46</v>
      </c>
      <c r="K1302" t="str">
        <f t="shared" si="200"/>
        <v>35+</v>
      </c>
      <c r="L1302">
        <f t="shared" si="201"/>
        <v>35.5</v>
      </c>
      <c r="M1302">
        <f t="shared" si="202"/>
        <v>0</v>
      </c>
      <c r="N1302">
        <f t="shared" si="203"/>
        <v>1</v>
      </c>
      <c r="O1302">
        <f t="shared" si="204"/>
        <v>0</v>
      </c>
      <c r="P1302">
        <v>0.59567645200093189</v>
      </c>
      <c r="Q1302">
        <f t="shared" si="205"/>
        <v>1</v>
      </c>
      <c r="R1302">
        <f t="shared" si="206"/>
        <v>0</v>
      </c>
      <c r="S1302">
        <f t="shared" si="207"/>
        <v>0</v>
      </c>
      <c r="T1302">
        <f t="shared" si="208"/>
        <v>36753.005000000005</v>
      </c>
      <c r="U1302">
        <f t="shared" si="209"/>
        <v>7832.4549999999945</v>
      </c>
    </row>
    <row r="1303" spans="1:21" x14ac:dyDescent="0.3">
      <c r="A1303">
        <v>1302</v>
      </c>
      <c r="B1303">
        <v>60</v>
      </c>
      <c r="C1303" t="s">
        <v>16</v>
      </c>
      <c r="D1303">
        <v>35</v>
      </c>
      <c r="E1303">
        <v>92</v>
      </c>
      <c r="F1303" t="s">
        <v>11</v>
      </c>
      <c r="G1303">
        <v>2</v>
      </c>
      <c r="H1303" t="s">
        <v>11</v>
      </c>
      <c r="I1303" t="s">
        <v>17</v>
      </c>
      <c r="J1303">
        <v>44641.2</v>
      </c>
      <c r="K1303" t="str">
        <f t="shared" si="200"/>
        <v>35+</v>
      </c>
      <c r="L1303">
        <f t="shared" si="201"/>
        <v>35</v>
      </c>
      <c r="M1303">
        <f t="shared" si="202"/>
        <v>0</v>
      </c>
      <c r="N1303">
        <f t="shared" si="203"/>
        <v>0</v>
      </c>
      <c r="O1303">
        <f t="shared" si="204"/>
        <v>0</v>
      </c>
      <c r="P1303">
        <v>0.61815990967263168</v>
      </c>
      <c r="Q1303">
        <f t="shared" si="205"/>
        <v>1</v>
      </c>
      <c r="R1303">
        <f t="shared" si="206"/>
        <v>1</v>
      </c>
      <c r="S1303">
        <f t="shared" si="207"/>
        <v>1</v>
      </c>
      <c r="T1303">
        <f t="shared" si="208"/>
        <v>38415.440000000002</v>
      </c>
      <c r="U1303">
        <f t="shared" si="209"/>
        <v>6225.7599999999948</v>
      </c>
    </row>
    <row r="1304" spans="1:21" x14ac:dyDescent="0.3">
      <c r="A1304">
        <v>1303</v>
      </c>
      <c r="B1304">
        <v>35</v>
      </c>
      <c r="C1304" t="s">
        <v>16</v>
      </c>
      <c r="D1304">
        <v>32.5</v>
      </c>
      <c r="E1304">
        <v>134</v>
      </c>
      <c r="F1304" t="s">
        <v>11</v>
      </c>
      <c r="G1304">
        <v>0</v>
      </c>
      <c r="H1304" t="s">
        <v>11</v>
      </c>
      <c r="I1304" t="s">
        <v>13</v>
      </c>
      <c r="J1304">
        <v>45008.959999999999</v>
      </c>
      <c r="K1304" t="str">
        <f t="shared" si="200"/>
        <v>30-35</v>
      </c>
      <c r="L1304">
        <f t="shared" si="201"/>
        <v>32.5</v>
      </c>
      <c r="M1304">
        <f t="shared" si="202"/>
        <v>1</v>
      </c>
      <c r="N1304">
        <f t="shared" si="203"/>
        <v>0</v>
      </c>
      <c r="O1304">
        <f t="shared" si="204"/>
        <v>0</v>
      </c>
      <c r="P1304">
        <v>0.90465318466594513</v>
      </c>
      <c r="Q1304">
        <f t="shared" si="205"/>
        <v>1</v>
      </c>
      <c r="R1304">
        <f t="shared" si="206"/>
        <v>1</v>
      </c>
      <c r="S1304">
        <f t="shared" si="207"/>
        <v>1</v>
      </c>
      <c r="T1304">
        <f t="shared" si="208"/>
        <v>36667.285000000003</v>
      </c>
      <c r="U1304">
        <f t="shared" si="209"/>
        <v>8341.6749999999956</v>
      </c>
    </row>
    <row r="1305" spans="1:21" x14ac:dyDescent="0.3">
      <c r="A1305">
        <v>1304</v>
      </c>
      <c r="B1305">
        <v>43</v>
      </c>
      <c r="C1305" t="s">
        <v>10</v>
      </c>
      <c r="D1305">
        <v>40.6</v>
      </c>
      <c r="E1305">
        <v>93</v>
      </c>
      <c r="F1305" t="s">
        <v>12</v>
      </c>
      <c r="G1305">
        <v>2</v>
      </c>
      <c r="H1305" t="s">
        <v>11</v>
      </c>
      <c r="I1305" t="s">
        <v>14</v>
      </c>
      <c r="J1305">
        <v>45702.02</v>
      </c>
      <c r="K1305" t="str">
        <f t="shared" si="200"/>
        <v>35+</v>
      </c>
      <c r="L1305">
        <f t="shared" si="201"/>
        <v>40.6</v>
      </c>
      <c r="M1305">
        <f t="shared" si="202"/>
        <v>0</v>
      </c>
      <c r="N1305">
        <f t="shared" si="203"/>
        <v>0</v>
      </c>
      <c r="O1305">
        <f t="shared" si="204"/>
        <v>1</v>
      </c>
      <c r="P1305">
        <v>0.44576141350309562</v>
      </c>
      <c r="Q1305">
        <f t="shared" si="205"/>
        <v>1</v>
      </c>
      <c r="R1305">
        <f t="shared" si="206"/>
        <v>0</v>
      </c>
      <c r="S1305">
        <f t="shared" si="207"/>
        <v>0</v>
      </c>
      <c r="T1305">
        <f t="shared" si="208"/>
        <v>42803.124000000003</v>
      </c>
      <c r="U1305">
        <f t="shared" si="209"/>
        <v>2898.8959999999934</v>
      </c>
    </row>
    <row r="1306" spans="1:21" x14ac:dyDescent="0.3">
      <c r="A1306">
        <v>1305</v>
      </c>
      <c r="B1306">
        <v>42</v>
      </c>
      <c r="C1306" t="s">
        <v>10</v>
      </c>
      <c r="D1306">
        <v>32</v>
      </c>
      <c r="E1306">
        <v>83</v>
      </c>
      <c r="F1306" t="s">
        <v>11</v>
      </c>
      <c r="G1306">
        <v>0</v>
      </c>
      <c r="H1306" t="s">
        <v>11</v>
      </c>
      <c r="I1306" t="s">
        <v>17</v>
      </c>
      <c r="J1306">
        <v>45710.21</v>
      </c>
      <c r="K1306" t="str">
        <f t="shared" si="200"/>
        <v>30-35</v>
      </c>
      <c r="L1306">
        <f t="shared" si="201"/>
        <v>32</v>
      </c>
      <c r="M1306">
        <f t="shared" si="202"/>
        <v>0</v>
      </c>
      <c r="N1306">
        <f t="shared" si="203"/>
        <v>0</v>
      </c>
      <c r="O1306">
        <f t="shared" si="204"/>
        <v>0</v>
      </c>
      <c r="P1306">
        <v>0.79714984949763712</v>
      </c>
      <c r="Q1306">
        <f t="shared" si="205"/>
        <v>1</v>
      </c>
      <c r="R1306">
        <f t="shared" si="206"/>
        <v>1</v>
      </c>
      <c r="S1306">
        <f t="shared" si="207"/>
        <v>0</v>
      </c>
      <c r="T1306">
        <f t="shared" si="208"/>
        <v>31046.670000000002</v>
      </c>
      <c r="U1306">
        <f t="shared" si="209"/>
        <v>14663.539999999997</v>
      </c>
    </row>
    <row r="1307" spans="1:21" x14ac:dyDescent="0.3">
      <c r="A1307">
        <v>1306</v>
      </c>
      <c r="B1307">
        <v>57</v>
      </c>
      <c r="C1307" t="s">
        <v>16</v>
      </c>
      <c r="D1307">
        <v>46.2</v>
      </c>
      <c r="E1307">
        <v>96</v>
      </c>
      <c r="F1307" t="s">
        <v>12</v>
      </c>
      <c r="G1307">
        <v>0</v>
      </c>
      <c r="H1307" t="s">
        <v>11</v>
      </c>
      <c r="I1307" t="s">
        <v>13</v>
      </c>
      <c r="J1307">
        <v>45863.21</v>
      </c>
      <c r="K1307" t="str">
        <f t="shared" si="200"/>
        <v>35+</v>
      </c>
      <c r="L1307">
        <f t="shared" si="201"/>
        <v>46.2</v>
      </c>
      <c r="M1307">
        <f t="shared" si="202"/>
        <v>1</v>
      </c>
      <c r="N1307">
        <f t="shared" si="203"/>
        <v>0</v>
      </c>
      <c r="O1307">
        <f t="shared" si="204"/>
        <v>0</v>
      </c>
      <c r="P1307">
        <v>0.99628503260239787</v>
      </c>
      <c r="Q1307">
        <f t="shared" si="205"/>
        <v>1</v>
      </c>
      <c r="R1307">
        <f t="shared" si="206"/>
        <v>0</v>
      </c>
      <c r="S1307">
        <f t="shared" si="207"/>
        <v>1</v>
      </c>
      <c r="T1307">
        <f t="shared" si="208"/>
        <v>49066.018000000018</v>
      </c>
      <c r="U1307">
        <f t="shared" si="209"/>
        <v>-3202.8080000000191</v>
      </c>
    </row>
    <row r="1308" spans="1:21" x14ac:dyDescent="0.3">
      <c r="A1308">
        <v>1307</v>
      </c>
      <c r="B1308">
        <v>43</v>
      </c>
      <c r="C1308" t="s">
        <v>16</v>
      </c>
      <c r="D1308">
        <v>47.6</v>
      </c>
      <c r="E1308">
        <v>112</v>
      </c>
      <c r="F1308" t="s">
        <v>11</v>
      </c>
      <c r="G1308">
        <v>2</v>
      </c>
      <c r="H1308" t="s">
        <v>11</v>
      </c>
      <c r="I1308" t="s">
        <v>15</v>
      </c>
      <c r="J1308">
        <v>46113.51</v>
      </c>
      <c r="K1308" t="str">
        <f t="shared" si="200"/>
        <v>35+</v>
      </c>
      <c r="L1308">
        <f t="shared" si="201"/>
        <v>47.6</v>
      </c>
      <c r="M1308">
        <f t="shared" si="202"/>
        <v>0</v>
      </c>
      <c r="N1308">
        <f t="shared" si="203"/>
        <v>1</v>
      </c>
      <c r="O1308">
        <f t="shared" si="204"/>
        <v>0</v>
      </c>
      <c r="P1308">
        <v>0.46446313775528825</v>
      </c>
      <c r="Q1308">
        <f t="shared" si="205"/>
        <v>1</v>
      </c>
      <c r="R1308">
        <f t="shared" si="206"/>
        <v>1</v>
      </c>
      <c r="S1308">
        <f t="shared" si="207"/>
        <v>1</v>
      </c>
      <c r="T1308">
        <f t="shared" si="208"/>
        <v>55615.984000000004</v>
      </c>
      <c r="U1308">
        <f t="shared" si="209"/>
        <v>-9502.474000000002</v>
      </c>
    </row>
    <row r="1309" spans="1:21" x14ac:dyDescent="0.3">
      <c r="A1309">
        <v>1308</v>
      </c>
      <c r="B1309">
        <v>47</v>
      </c>
      <c r="C1309" t="s">
        <v>10</v>
      </c>
      <c r="D1309">
        <v>31.4</v>
      </c>
      <c r="E1309">
        <v>137</v>
      </c>
      <c r="F1309" t="s">
        <v>12</v>
      </c>
      <c r="G1309">
        <v>3</v>
      </c>
      <c r="H1309" t="s">
        <v>11</v>
      </c>
      <c r="I1309" t="s">
        <v>14</v>
      </c>
      <c r="J1309">
        <v>46130.53</v>
      </c>
      <c r="K1309" t="str">
        <f t="shared" si="200"/>
        <v>30-35</v>
      </c>
      <c r="L1309">
        <f t="shared" si="201"/>
        <v>31.4</v>
      </c>
      <c r="M1309">
        <f t="shared" si="202"/>
        <v>0</v>
      </c>
      <c r="N1309">
        <f t="shared" si="203"/>
        <v>0</v>
      </c>
      <c r="O1309">
        <f t="shared" si="204"/>
        <v>1</v>
      </c>
      <c r="P1309">
        <v>0.17850533226356025</v>
      </c>
      <c r="Q1309">
        <f t="shared" si="205"/>
        <v>1</v>
      </c>
      <c r="R1309">
        <f t="shared" si="206"/>
        <v>0</v>
      </c>
      <c r="S1309">
        <f t="shared" si="207"/>
        <v>0</v>
      </c>
      <c r="T1309">
        <f t="shared" si="208"/>
        <v>38187.055999999997</v>
      </c>
      <c r="U1309">
        <f t="shared" si="209"/>
        <v>7943.474000000002</v>
      </c>
    </row>
    <row r="1310" spans="1:21" x14ac:dyDescent="0.3">
      <c r="A1310">
        <v>1309</v>
      </c>
      <c r="B1310">
        <v>20</v>
      </c>
      <c r="C1310" t="s">
        <v>10</v>
      </c>
      <c r="D1310">
        <v>42.4</v>
      </c>
      <c r="E1310">
        <v>104</v>
      </c>
      <c r="F1310" t="s">
        <v>12</v>
      </c>
      <c r="G1310">
        <v>3</v>
      </c>
      <c r="H1310" t="s">
        <v>11</v>
      </c>
      <c r="I1310" t="s">
        <v>13</v>
      </c>
      <c r="J1310">
        <v>46151.12</v>
      </c>
      <c r="K1310" t="str">
        <f t="shared" si="200"/>
        <v>35+</v>
      </c>
      <c r="L1310">
        <f t="shared" si="201"/>
        <v>42.4</v>
      </c>
      <c r="M1310">
        <f t="shared" si="202"/>
        <v>1</v>
      </c>
      <c r="N1310">
        <f t="shared" si="203"/>
        <v>0</v>
      </c>
      <c r="O1310">
        <f t="shared" si="204"/>
        <v>0</v>
      </c>
      <c r="P1310">
        <v>0.49781033208048897</v>
      </c>
      <c r="Q1310">
        <f t="shared" si="205"/>
        <v>1</v>
      </c>
      <c r="R1310">
        <f t="shared" si="206"/>
        <v>0</v>
      </c>
      <c r="S1310">
        <f t="shared" si="207"/>
        <v>0</v>
      </c>
      <c r="T1310">
        <f t="shared" si="208"/>
        <v>47050.046000000002</v>
      </c>
      <c r="U1310">
        <f t="shared" si="209"/>
        <v>-898.92599999999948</v>
      </c>
    </row>
    <row r="1311" spans="1:21" x14ac:dyDescent="0.3">
      <c r="A1311">
        <v>1310</v>
      </c>
      <c r="B1311">
        <v>47</v>
      </c>
      <c r="C1311" t="s">
        <v>16</v>
      </c>
      <c r="D1311">
        <v>43.9</v>
      </c>
      <c r="E1311">
        <v>104</v>
      </c>
      <c r="F1311" t="s">
        <v>12</v>
      </c>
      <c r="G1311">
        <v>2</v>
      </c>
      <c r="H1311" t="s">
        <v>11</v>
      </c>
      <c r="I1311" t="s">
        <v>13</v>
      </c>
      <c r="J1311">
        <v>46200.99</v>
      </c>
      <c r="K1311" t="str">
        <f t="shared" si="200"/>
        <v>35+</v>
      </c>
      <c r="L1311">
        <f t="shared" si="201"/>
        <v>43.9</v>
      </c>
      <c r="M1311">
        <f t="shared" si="202"/>
        <v>1</v>
      </c>
      <c r="N1311">
        <f t="shared" si="203"/>
        <v>0</v>
      </c>
      <c r="O1311">
        <f t="shared" si="204"/>
        <v>0</v>
      </c>
      <c r="P1311">
        <v>0.41382310201649974</v>
      </c>
      <c r="Q1311">
        <f t="shared" si="205"/>
        <v>1</v>
      </c>
      <c r="R1311">
        <f t="shared" si="206"/>
        <v>0</v>
      </c>
      <c r="S1311">
        <f t="shared" si="207"/>
        <v>1</v>
      </c>
      <c r="T1311">
        <f t="shared" si="208"/>
        <v>48739.231000000007</v>
      </c>
      <c r="U1311">
        <f t="shared" si="209"/>
        <v>-2538.2410000000091</v>
      </c>
    </row>
    <row r="1312" spans="1:21" x14ac:dyDescent="0.3">
      <c r="A1312">
        <v>1311</v>
      </c>
      <c r="B1312">
        <v>26</v>
      </c>
      <c r="C1312" t="s">
        <v>16</v>
      </c>
      <c r="D1312">
        <v>37.1</v>
      </c>
      <c r="E1312">
        <v>95</v>
      </c>
      <c r="F1312" t="s">
        <v>12</v>
      </c>
      <c r="G1312">
        <v>3</v>
      </c>
      <c r="H1312" t="s">
        <v>11</v>
      </c>
      <c r="I1312" t="s">
        <v>17</v>
      </c>
      <c r="J1312">
        <v>46255.11</v>
      </c>
      <c r="K1312" t="str">
        <f t="shared" si="200"/>
        <v>35+</v>
      </c>
      <c r="L1312">
        <f t="shared" si="201"/>
        <v>37.1</v>
      </c>
      <c r="M1312">
        <f t="shared" si="202"/>
        <v>0</v>
      </c>
      <c r="N1312">
        <f t="shared" si="203"/>
        <v>0</v>
      </c>
      <c r="O1312">
        <f t="shared" si="204"/>
        <v>0</v>
      </c>
      <c r="P1312">
        <v>0.87647307759208515</v>
      </c>
      <c r="Q1312">
        <f t="shared" si="205"/>
        <v>1</v>
      </c>
      <c r="R1312">
        <f t="shared" si="206"/>
        <v>0</v>
      </c>
      <c r="S1312">
        <f t="shared" si="207"/>
        <v>1</v>
      </c>
      <c r="T1312">
        <f t="shared" si="208"/>
        <v>42568.879000000001</v>
      </c>
      <c r="U1312">
        <f t="shared" si="209"/>
        <v>3686.2309999999998</v>
      </c>
    </row>
    <row r="1313" spans="1:21" x14ac:dyDescent="0.3">
      <c r="A1313">
        <v>1312</v>
      </c>
      <c r="B1313">
        <v>38</v>
      </c>
      <c r="C1313" t="s">
        <v>10</v>
      </c>
      <c r="D1313">
        <v>35.9</v>
      </c>
      <c r="E1313">
        <v>117</v>
      </c>
      <c r="F1313" t="s">
        <v>11</v>
      </c>
      <c r="G1313">
        <v>0</v>
      </c>
      <c r="H1313" t="s">
        <v>11</v>
      </c>
      <c r="I1313" t="s">
        <v>13</v>
      </c>
      <c r="J1313">
        <v>46599.11</v>
      </c>
      <c r="K1313" t="str">
        <f t="shared" si="200"/>
        <v>35+</v>
      </c>
      <c r="L1313">
        <f t="shared" si="201"/>
        <v>35.9</v>
      </c>
      <c r="M1313">
        <f t="shared" si="202"/>
        <v>1</v>
      </c>
      <c r="N1313">
        <f t="shared" si="203"/>
        <v>0</v>
      </c>
      <c r="O1313">
        <f t="shared" si="204"/>
        <v>0</v>
      </c>
      <c r="P1313">
        <v>0.72723681885527403</v>
      </c>
      <c r="Q1313">
        <f t="shared" si="205"/>
        <v>1</v>
      </c>
      <c r="R1313">
        <f t="shared" si="206"/>
        <v>1</v>
      </c>
      <c r="S1313">
        <f t="shared" si="207"/>
        <v>0</v>
      </c>
      <c r="T1313">
        <f t="shared" si="208"/>
        <v>38077.411</v>
      </c>
      <c r="U1313">
        <f t="shared" si="209"/>
        <v>8521.6990000000005</v>
      </c>
    </row>
    <row r="1314" spans="1:21" x14ac:dyDescent="0.3">
      <c r="A1314">
        <v>1313</v>
      </c>
      <c r="B1314">
        <v>56</v>
      </c>
      <c r="C1314" t="s">
        <v>16</v>
      </c>
      <c r="D1314">
        <v>36.9</v>
      </c>
      <c r="E1314">
        <v>110</v>
      </c>
      <c r="F1314" t="s">
        <v>12</v>
      </c>
      <c r="G1314">
        <v>3</v>
      </c>
      <c r="H1314" t="s">
        <v>11</v>
      </c>
      <c r="I1314" t="s">
        <v>14</v>
      </c>
      <c r="J1314">
        <v>46661.440000000002</v>
      </c>
      <c r="K1314" t="str">
        <f t="shared" si="200"/>
        <v>35+</v>
      </c>
      <c r="L1314">
        <f t="shared" si="201"/>
        <v>36.9</v>
      </c>
      <c r="M1314">
        <f t="shared" si="202"/>
        <v>0</v>
      </c>
      <c r="N1314">
        <f t="shared" si="203"/>
        <v>0</v>
      </c>
      <c r="O1314">
        <f t="shared" si="204"/>
        <v>1</v>
      </c>
      <c r="P1314">
        <v>0.99748460793880744</v>
      </c>
      <c r="Q1314">
        <f t="shared" si="205"/>
        <v>1</v>
      </c>
      <c r="R1314">
        <f t="shared" si="206"/>
        <v>0</v>
      </c>
      <c r="S1314">
        <f t="shared" si="207"/>
        <v>1</v>
      </c>
      <c r="T1314">
        <f t="shared" si="208"/>
        <v>41707.350999999995</v>
      </c>
      <c r="U1314">
        <f t="shared" si="209"/>
        <v>4954.0890000000072</v>
      </c>
    </row>
    <row r="1315" spans="1:21" x14ac:dyDescent="0.3">
      <c r="A1315">
        <v>1314</v>
      </c>
      <c r="B1315">
        <v>29</v>
      </c>
      <c r="C1315" t="s">
        <v>10</v>
      </c>
      <c r="D1315">
        <v>30.9</v>
      </c>
      <c r="E1315">
        <v>114</v>
      </c>
      <c r="F1315" t="s">
        <v>11</v>
      </c>
      <c r="G1315">
        <v>3</v>
      </c>
      <c r="H1315" t="s">
        <v>11</v>
      </c>
      <c r="I1315" t="s">
        <v>14</v>
      </c>
      <c r="J1315">
        <v>46718.16</v>
      </c>
      <c r="K1315" t="str">
        <f t="shared" si="200"/>
        <v>30-35</v>
      </c>
      <c r="L1315">
        <f t="shared" si="201"/>
        <v>30.9</v>
      </c>
      <c r="M1315">
        <f t="shared" si="202"/>
        <v>0</v>
      </c>
      <c r="N1315">
        <f t="shared" si="203"/>
        <v>0</v>
      </c>
      <c r="O1315">
        <f t="shared" si="204"/>
        <v>1</v>
      </c>
      <c r="P1315">
        <v>0.18636192954829789</v>
      </c>
      <c r="Q1315">
        <f t="shared" si="205"/>
        <v>1</v>
      </c>
      <c r="R1315">
        <f t="shared" si="206"/>
        <v>1</v>
      </c>
      <c r="S1315">
        <f t="shared" si="207"/>
        <v>0</v>
      </c>
      <c r="T1315">
        <f t="shared" si="208"/>
        <v>33798.120999999999</v>
      </c>
      <c r="U1315">
        <f t="shared" si="209"/>
        <v>12920.039000000004</v>
      </c>
    </row>
    <row r="1316" spans="1:21" x14ac:dyDescent="0.3">
      <c r="A1316">
        <v>1315</v>
      </c>
      <c r="B1316">
        <v>22</v>
      </c>
      <c r="C1316" t="s">
        <v>10</v>
      </c>
      <c r="D1316">
        <v>33.9</v>
      </c>
      <c r="E1316">
        <v>97</v>
      </c>
      <c r="F1316" t="s">
        <v>12</v>
      </c>
      <c r="G1316">
        <v>0</v>
      </c>
      <c r="H1316" t="s">
        <v>11</v>
      </c>
      <c r="I1316" t="s">
        <v>13</v>
      </c>
      <c r="J1316">
        <v>46889.26</v>
      </c>
      <c r="K1316" t="str">
        <f t="shared" si="200"/>
        <v>30-35</v>
      </c>
      <c r="L1316">
        <f t="shared" si="201"/>
        <v>33.9</v>
      </c>
      <c r="M1316">
        <f t="shared" si="202"/>
        <v>1</v>
      </c>
      <c r="N1316">
        <f t="shared" si="203"/>
        <v>0</v>
      </c>
      <c r="O1316">
        <f t="shared" si="204"/>
        <v>0</v>
      </c>
      <c r="P1316">
        <v>0.38250589334140117</v>
      </c>
      <c r="Q1316">
        <f t="shared" si="205"/>
        <v>1</v>
      </c>
      <c r="R1316">
        <f t="shared" si="206"/>
        <v>0</v>
      </c>
      <c r="S1316">
        <f t="shared" si="207"/>
        <v>0</v>
      </c>
      <c r="T1316">
        <f t="shared" si="208"/>
        <v>32285.770999999993</v>
      </c>
      <c r="U1316">
        <f t="shared" si="209"/>
        <v>14603.489000000009</v>
      </c>
    </row>
    <row r="1317" spans="1:21" x14ac:dyDescent="0.3">
      <c r="A1317">
        <v>1316</v>
      </c>
      <c r="B1317">
        <v>23</v>
      </c>
      <c r="C1317" t="s">
        <v>10</v>
      </c>
      <c r="D1317">
        <v>35.1</v>
      </c>
      <c r="E1317">
        <v>121</v>
      </c>
      <c r="F1317" t="s">
        <v>12</v>
      </c>
      <c r="G1317">
        <v>0</v>
      </c>
      <c r="H1317" t="s">
        <v>11</v>
      </c>
      <c r="I1317" t="s">
        <v>13</v>
      </c>
      <c r="J1317">
        <v>47055.53</v>
      </c>
      <c r="K1317" t="str">
        <f t="shared" si="200"/>
        <v>35+</v>
      </c>
      <c r="L1317">
        <f t="shared" si="201"/>
        <v>35.1</v>
      </c>
      <c r="M1317">
        <f t="shared" si="202"/>
        <v>1</v>
      </c>
      <c r="N1317">
        <f t="shared" si="203"/>
        <v>0</v>
      </c>
      <c r="O1317">
        <f t="shared" si="204"/>
        <v>0</v>
      </c>
      <c r="P1317">
        <v>0.65036166111052907</v>
      </c>
      <c r="Q1317">
        <f t="shared" si="205"/>
        <v>1</v>
      </c>
      <c r="R1317">
        <f t="shared" si="206"/>
        <v>0</v>
      </c>
      <c r="S1317">
        <f t="shared" si="207"/>
        <v>0</v>
      </c>
      <c r="T1317">
        <f t="shared" si="208"/>
        <v>37728.279000000002</v>
      </c>
      <c r="U1317">
        <f t="shared" si="209"/>
        <v>9327.2509999999966</v>
      </c>
    </row>
    <row r="1318" spans="1:21" x14ac:dyDescent="0.3">
      <c r="A1318">
        <v>1317</v>
      </c>
      <c r="B1318">
        <v>41</v>
      </c>
      <c r="C1318" t="s">
        <v>10</v>
      </c>
      <c r="D1318">
        <v>41.8</v>
      </c>
      <c r="E1318">
        <v>109</v>
      </c>
      <c r="F1318" t="s">
        <v>11</v>
      </c>
      <c r="G1318">
        <v>2</v>
      </c>
      <c r="H1318" t="s">
        <v>11</v>
      </c>
      <c r="I1318" t="s">
        <v>13</v>
      </c>
      <c r="J1318">
        <v>47269.85</v>
      </c>
      <c r="K1318" t="str">
        <f t="shared" si="200"/>
        <v>35+</v>
      </c>
      <c r="L1318">
        <f t="shared" si="201"/>
        <v>41.8</v>
      </c>
      <c r="M1318">
        <f t="shared" si="202"/>
        <v>1</v>
      </c>
      <c r="N1318">
        <f t="shared" si="203"/>
        <v>0</v>
      </c>
      <c r="O1318">
        <f t="shared" si="204"/>
        <v>0</v>
      </c>
      <c r="P1318">
        <v>0.23903185805584271</v>
      </c>
      <c r="Q1318">
        <f t="shared" si="205"/>
        <v>1</v>
      </c>
      <c r="R1318">
        <f t="shared" si="206"/>
        <v>1</v>
      </c>
      <c r="S1318">
        <f t="shared" si="207"/>
        <v>0</v>
      </c>
      <c r="T1318">
        <f t="shared" si="208"/>
        <v>46207.002000000008</v>
      </c>
      <c r="U1318">
        <f t="shared" si="209"/>
        <v>1062.8479999999909</v>
      </c>
    </row>
    <row r="1319" spans="1:21" x14ac:dyDescent="0.3">
      <c r="A1319">
        <v>1318</v>
      </c>
      <c r="B1319">
        <v>49</v>
      </c>
      <c r="C1319" t="s">
        <v>16</v>
      </c>
      <c r="D1319">
        <v>31.3</v>
      </c>
      <c r="E1319">
        <v>111</v>
      </c>
      <c r="F1319" t="s">
        <v>12</v>
      </c>
      <c r="G1319">
        <v>2</v>
      </c>
      <c r="H1319" t="s">
        <v>11</v>
      </c>
      <c r="I1319" t="s">
        <v>15</v>
      </c>
      <c r="J1319">
        <v>47291.06</v>
      </c>
      <c r="K1319" t="str">
        <f t="shared" si="200"/>
        <v>30-35</v>
      </c>
      <c r="L1319">
        <f t="shared" si="201"/>
        <v>31.3</v>
      </c>
      <c r="M1319">
        <f t="shared" si="202"/>
        <v>0</v>
      </c>
      <c r="N1319">
        <f t="shared" si="203"/>
        <v>1</v>
      </c>
      <c r="O1319">
        <f t="shared" si="204"/>
        <v>0</v>
      </c>
      <c r="P1319">
        <v>0.70116534825026144</v>
      </c>
      <c r="Q1319">
        <f t="shared" si="205"/>
        <v>1</v>
      </c>
      <c r="R1319">
        <f t="shared" si="206"/>
        <v>0</v>
      </c>
      <c r="S1319">
        <f t="shared" si="207"/>
        <v>1</v>
      </c>
      <c r="T1319">
        <f t="shared" si="208"/>
        <v>33599.327000000005</v>
      </c>
      <c r="U1319">
        <f t="shared" si="209"/>
        <v>13691.732999999993</v>
      </c>
    </row>
    <row r="1320" spans="1:21" x14ac:dyDescent="0.3">
      <c r="A1320">
        <v>1319</v>
      </c>
      <c r="B1320">
        <v>27</v>
      </c>
      <c r="C1320" t="s">
        <v>16</v>
      </c>
      <c r="D1320">
        <v>32.200000000000003</v>
      </c>
      <c r="E1320">
        <v>115</v>
      </c>
      <c r="F1320" t="s">
        <v>11</v>
      </c>
      <c r="G1320">
        <v>2</v>
      </c>
      <c r="H1320" t="s">
        <v>11</v>
      </c>
      <c r="I1320" t="s">
        <v>15</v>
      </c>
      <c r="J1320">
        <v>47305.31</v>
      </c>
      <c r="K1320" t="str">
        <f t="shared" si="200"/>
        <v>30-35</v>
      </c>
      <c r="L1320">
        <f t="shared" si="201"/>
        <v>32.200000000000003</v>
      </c>
      <c r="M1320">
        <f t="shared" si="202"/>
        <v>0</v>
      </c>
      <c r="N1320">
        <f t="shared" si="203"/>
        <v>1</v>
      </c>
      <c r="O1320">
        <f t="shared" si="204"/>
        <v>0</v>
      </c>
      <c r="P1320">
        <v>0.5117721172685834</v>
      </c>
      <c r="Q1320">
        <f t="shared" si="205"/>
        <v>1</v>
      </c>
      <c r="R1320">
        <f t="shared" si="206"/>
        <v>1</v>
      </c>
      <c r="S1320">
        <f t="shared" si="207"/>
        <v>1</v>
      </c>
      <c r="T1320">
        <f t="shared" si="208"/>
        <v>35407.008000000009</v>
      </c>
      <c r="U1320">
        <f t="shared" si="209"/>
        <v>11898.301999999989</v>
      </c>
    </row>
    <row r="1321" spans="1:21" x14ac:dyDescent="0.3">
      <c r="A1321">
        <v>1320</v>
      </c>
      <c r="B1321">
        <v>40</v>
      </c>
      <c r="C1321" t="s">
        <v>10</v>
      </c>
      <c r="D1321">
        <v>36.299999999999997</v>
      </c>
      <c r="E1321">
        <v>94</v>
      </c>
      <c r="F1321" t="s">
        <v>11</v>
      </c>
      <c r="G1321">
        <v>1</v>
      </c>
      <c r="H1321" t="s">
        <v>11</v>
      </c>
      <c r="I1321" t="s">
        <v>15</v>
      </c>
      <c r="J1321">
        <v>47403.88</v>
      </c>
      <c r="K1321" t="str">
        <f t="shared" si="200"/>
        <v>35+</v>
      </c>
      <c r="L1321">
        <f t="shared" si="201"/>
        <v>36.299999999999997</v>
      </c>
      <c r="M1321">
        <f t="shared" si="202"/>
        <v>0</v>
      </c>
      <c r="N1321">
        <f t="shared" si="203"/>
        <v>1</v>
      </c>
      <c r="O1321">
        <f t="shared" si="204"/>
        <v>0</v>
      </c>
      <c r="P1321">
        <v>0.43525797382836107</v>
      </c>
      <c r="Q1321">
        <f t="shared" si="205"/>
        <v>1</v>
      </c>
      <c r="R1321">
        <f t="shared" si="206"/>
        <v>1</v>
      </c>
      <c r="S1321">
        <f t="shared" si="207"/>
        <v>0</v>
      </c>
      <c r="T1321">
        <f t="shared" si="208"/>
        <v>36369.017000000007</v>
      </c>
      <c r="U1321">
        <f t="shared" si="209"/>
        <v>11034.86299999999</v>
      </c>
    </row>
    <row r="1322" spans="1:21" x14ac:dyDescent="0.3">
      <c r="A1322">
        <v>1321</v>
      </c>
      <c r="B1322">
        <v>19</v>
      </c>
      <c r="C1322" t="s">
        <v>10</v>
      </c>
      <c r="D1322">
        <v>42.9</v>
      </c>
      <c r="E1322">
        <v>104</v>
      </c>
      <c r="F1322" t="s">
        <v>11</v>
      </c>
      <c r="G1322">
        <v>2</v>
      </c>
      <c r="H1322" t="s">
        <v>11</v>
      </c>
      <c r="I1322" t="s">
        <v>13</v>
      </c>
      <c r="J1322">
        <v>47462.89</v>
      </c>
      <c r="K1322" t="str">
        <f t="shared" si="200"/>
        <v>35+</v>
      </c>
      <c r="L1322">
        <f t="shared" si="201"/>
        <v>42.9</v>
      </c>
      <c r="M1322">
        <f t="shared" si="202"/>
        <v>1</v>
      </c>
      <c r="N1322">
        <f t="shared" si="203"/>
        <v>0</v>
      </c>
      <c r="O1322">
        <f t="shared" si="204"/>
        <v>0</v>
      </c>
      <c r="P1322">
        <v>0.15355725583997715</v>
      </c>
      <c r="Q1322">
        <f t="shared" si="205"/>
        <v>1</v>
      </c>
      <c r="R1322">
        <f t="shared" si="206"/>
        <v>1</v>
      </c>
      <c r="S1322">
        <f t="shared" si="207"/>
        <v>0</v>
      </c>
      <c r="T1322">
        <f t="shared" si="208"/>
        <v>46916.370999999999</v>
      </c>
      <c r="U1322">
        <f t="shared" si="209"/>
        <v>546.51900000000023</v>
      </c>
    </row>
    <row r="1323" spans="1:21" x14ac:dyDescent="0.3">
      <c r="A1323">
        <v>1322</v>
      </c>
      <c r="B1323">
        <v>26</v>
      </c>
      <c r="C1323" t="s">
        <v>10</v>
      </c>
      <c r="D1323">
        <v>37</v>
      </c>
      <c r="E1323">
        <v>81</v>
      </c>
      <c r="F1323" t="s">
        <v>12</v>
      </c>
      <c r="G1323">
        <v>2</v>
      </c>
      <c r="H1323" t="s">
        <v>11</v>
      </c>
      <c r="I1323" t="s">
        <v>14</v>
      </c>
      <c r="J1323">
        <v>47496.49</v>
      </c>
      <c r="K1323" t="str">
        <f t="shared" si="200"/>
        <v>35+</v>
      </c>
      <c r="L1323">
        <f t="shared" si="201"/>
        <v>37</v>
      </c>
      <c r="M1323">
        <f t="shared" si="202"/>
        <v>0</v>
      </c>
      <c r="N1323">
        <f t="shared" si="203"/>
        <v>0</v>
      </c>
      <c r="O1323">
        <f t="shared" si="204"/>
        <v>1</v>
      </c>
      <c r="P1323">
        <v>0.82600924704245726</v>
      </c>
      <c r="Q1323">
        <f t="shared" si="205"/>
        <v>1</v>
      </c>
      <c r="R1323">
        <f t="shared" si="206"/>
        <v>0</v>
      </c>
      <c r="S1323">
        <f t="shared" si="207"/>
        <v>0</v>
      </c>
      <c r="T1323">
        <f t="shared" si="208"/>
        <v>36068.92</v>
      </c>
      <c r="U1323">
        <f t="shared" si="209"/>
        <v>11427.57</v>
      </c>
    </row>
    <row r="1324" spans="1:21" x14ac:dyDescent="0.3">
      <c r="A1324">
        <v>1323</v>
      </c>
      <c r="B1324">
        <v>33</v>
      </c>
      <c r="C1324" t="s">
        <v>16</v>
      </c>
      <c r="D1324">
        <v>36.799999999999997</v>
      </c>
      <c r="E1324">
        <v>117</v>
      </c>
      <c r="F1324" t="s">
        <v>11</v>
      </c>
      <c r="G1324">
        <v>1</v>
      </c>
      <c r="H1324" t="s">
        <v>11</v>
      </c>
      <c r="I1324" t="s">
        <v>17</v>
      </c>
      <c r="J1324">
        <v>47896.79</v>
      </c>
      <c r="K1324" t="str">
        <f t="shared" si="200"/>
        <v>35+</v>
      </c>
      <c r="L1324">
        <f t="shared" si="201"/>
        <v>36.799999999999997</v>
      </c>
      <c r="M1324">
        <f t="shared" si="202"/>
        <v>0</v>
      </c>
      <c r="N1324">
        <f t="shared" si="203"/>
        <v>0</v>
      </c>
      <c r="O1324">
        <f t="shared" si="204"/>
        <v>0</v>
      </c>
      <c r="P1324">
        <v>0.12410161462542912</v>
      </c>
      <c r="Q1324">
        <f t="shared" si="205"/>
        <v>1</v>
      </c>
      <c r="R1324">
        <f t="shared" si="206"/>
        <v>1</v>
      </c>
      <c r="S1324">
        <f t="shared" si="207"/>
        <v>1</v>
      </c>
      <c r="T1324">
        <f t="shared" si="208"/>
        <v>44121.951999999997</v>
      </c>
      <c r="U1324">
        <f t="shared" si="209"/>
        <v>3774.8380000000034</v>
      </c>
    </row>
    <row r="1325" spans="1:21" x14ac:dyDescent="0.3">
      <c r="A1325">
        <v>1324</v>
      </c>
      <c r="B1325">
        <v>49</v>
      </c>
      <c r="C1325" t="s">
        <v>16</v>
      </c>
      <c r="D1325">
        <v>33.799999999999997</v>
      </c>
      <c r="E1325">
        <v>107</v>
      </c>
      <c r="F1325" t="s">
        <v>12</v>
      </c>
      <c r="G1325">
        <v>1</v>
      </c>
      <c r="H1325" t="s">
        <v>11</v>
      </c>
      <c r="I1325" t="s">
        <v>15</v>
      </c>
      <c r="J1325">
        <v>47928.03</v>
      </c>
      <c r="K1325" t="str">
        <f t="shared" si="200"/>
        <v>30-35</v>
      </c>
      <c r="L1325">
        <f t="shared" si="201"/>
        <v>33.799999999999997</v>
      </c>
      <c r="M1325">
        <f t="shared" si="202"/>
        <v>0</v>
      </c>
      <c r="N1325">
        <f t="shared" si="203"/>
        <v>1</v>
      </c>
      <c r="O1325">
        <f t="shared" si="204"/>
        <v>0</v>
      </c>
      <c r="P1325">
        <v>9.5308057837017235E-2</v>
      </c>
      <c r="Q1325">
        <f t="shared" si="205"/>
        <v>1</v>
      </c>
      <c r="R1325">
        <f t="shared" si="206"/>
        <v>0</v>
      </c>
      <c r="S1325">
        <f t="shared" si="207"/>
        <v>1</v>
      </c>
      <c r="T1325">
        <f t="shared" si="208"/>
        <v>35584.451999999997</v>
      </c>
      <c r="U1325">
        <f t="shared" si="209"/>
        <v>12343.578000000001</v>
      </c>
    </row>
    <row r="1326" spans="1:21" x14ac:dyDescent="0.3">
      <c r="A1326">
        <v>1325</v>
      </c>
      <c r="B1326">
        <v>39</v>
      </c>
      <c r="C1326" t="s">
        <v>10</v>
      </c>
      <c r="D1326">
        <v>39.9</v>
      </c>
      <c r="E1326">
        <v>115</v>
      </c>
      <c r="F1326" t="s">
        <v>12</v>
      </c>
      <c r="G1326">
        <v>0</v>
      </c>
      <c r="H1326" t="s">
        <v>11</v>
      </c>
      <c r="I1326" t="s">
        <v>15</v>
      </c>
      <c r="J1326">
        <v>48173.36</v>
      </c>
      <c r="K1326" t="str">
        <f t="shared" si="200"/>
        <v>35+</v>
      </c>
      <c r="L1326">
        <f t="shared" si="201"/>
        <v>39.9</v>
      </c>
      <c r="M1326">
        <f t="shared" si="202"/>
        <v>0</v>
      </c>
      <c r="N1326">
        <f t="shared" si="203"/>
        <v>1</v>
      </c>
      <c r="O1326">
        <f t="shared" si="204"/>
        <v>0</v>
      </c>
      <c r="P1326">
        <v>0.42485586364593519</v>
      </c>
      <c r="Q1326">
        <f t="shared" si="205"/>
        <v>1</v>
      </c>
      <c r="R1326">
        <f t="shared" si="206"/>
        <v>0</v>
      </c>
      <c r="S1326">
        <f t="shared" si="207"/>
        <v>0</v>
      </c>
      <c r="T1326">
        <f t="shared" si="208"/>
        <v>43893.390999999996</v>
      </c>
      <c r="U1326">
        <f t="shared" si="209"/>
        <v>4279.9690000000046</v>
      </c>
    </row>
    <row r="1327" spans="1:21" x14ac:dyDescent="0.3">
      <c r="A1327">
        <v>1326</v>
      </c>
      <c r="B1327">
        <v>52</v>
      </c>
      <c r="C1327" t="s">
        <v>16</v>
      </c>
      <c r="D1327">
        <v>36.4</v>
      </c>
      <c r="E1327">
        <v>133</v>
      </c>
      <c r="F1327" t="s">
        <v>11</v>
      </c>
      <c r="G1327">
        <v>1</v>
      </c>
      <c r="H1327" t="s">
        <v>11</v>
      </c>
      <c r="I1327" t="s">
        <v>17</v>
      </c>
      <c r="J1327">
        <v>48517.56</v>
      </c>
      <c r="K1327" t="str">
        <f t="shared" si="200"/>
        <v>35+</v>
      </c>
      <c r="L1327">
        <f t="shared" si="201"/>
        <v>36.4</v>
      </c>
      <c r="M1327">
        <f t="shared" si="202"/>
        <v>0</v>
      </c>
      <c r="N1327">
        <f t="shared" si="203"/>
        <v>0</v>
      </c>
      <c r="O1327">
        <f t="shared" si="204"/>
        <v>0</v>
      </c>
      <c r="P1327">
        <v>0.98659974394471728</v>
      </c>
      <c r="Q1327">
        <f t="shared" si="205"/>
        <v>1</v>
      </c>
      <c r="R1327">
        <f t="shared" si="206"/>
        <v>1</v>
      </c>
      <c r="S1327">
        <f t="shared" si="207"/>
        <v>1</v>
      </c>
      <c r="T1327">
        <f t="shared" si="208"/>
        <v>46113.196000000004</v>
      </c>
      <c r="U1327">
        <f t="shared" si="209"/>
        <v>2404.3639999999941</v>
      </c>
    </row>
    <row r="1328" spans="1:21" x14ac:dyDescent="0.3">
      <c r="A1328">
        <v>1327</v>
      </c>
      <c r="B1328">
        <v>26</v>
      </c>
      <c r="C1328" t="s">
        <v>10</v>
      </c>
      <c r="D1328">
        <v>40.6</v>
      </c>
      <c r="E1328">
        <v>113</v>
      </c>
      <c r="F1328" t="s">
        <v>11</v>
      </c>
      <c r="G1328">
        <v>3</v>
      </c>
      <c r="H1328" t="s">
        <v>11</v>
      </c>
      <c r="I1328" t="s">
        <v>17</v>
      </c>
      <c r="J1328">
        <v>48549.18</v>
      </c>
      <c r="K1328" t="str">
        <f t="shared" si="200"/>
        <v>35+</v>
      </c>
      <c r="L1328">
        <f t="shared" si="201"/>
        <v>40.6</v>
      </c>
      <c r="M1328">
        <f t="shared" si="202"/>
        <v>0</v>
      </c>
      <c r="N1328">
        <f t="shared" si="203"/>
        <v>0</v>
      </c>
      <c r="O1328">
        <f t="shared" si="204"/>
        <v>0</v>
      </c>
      <c r="P1328">
        <v>0.39130731716649414</v>
      </c>
      <c r="Q1328">
        <f t="shared" si="205"/>
        <v>1</v>
      </c>
      <c r="R1328">
        <f t="shared" si="206"/>
        <v>1</v>
      </c>
      <c r="S1328">
        <f t="shared" si="207"/>
        <v>0</v>
      </c>
      <c r="T1328">
        <f t="shared" si="208"/>
        <v>49633.904000000017</v>
      </c>
      <c r="U1328">
        <f t="shared" si="209"/>
        <v>-1084.7240000000165</v>
      </c>
    </row>
    <row r="1329" spans="1:21" x14ac:dyDescent="0.3">
      <c r="A1329">
        <v>1328</v>
      </c>
      <c r="B1329">
        <v>49</v>
      </c>
      <c r="C1329" t="s">
        <v>10</v>
      </c>
      <c r="D1329">
        <v>40.9</v>
      </c>
      <c r="E1329">
        <v>107</v>
      </c>
      <c r="F1329" t="s">
        <v>12</v>
      </c>
      <c r="G1329">
        <v>0</v>
      </c>
      <c r="H1329" t="s">
        <v>11</v>
      </c>
      <c r="I1329" t="s">
        <v>13</v>
      </c>
      <c r="J1329">
        <v>48673.56</v>
      </c>
      <c r="K1329" t="str">
        <f t="shared" si="200"/>
        <v>35+</v>
      </c>
      <c r="L1329">
        <f t="shared" si="201"/>
        <v>40.9</v>
      </c>
      <c r="M1329">
        <f t="shared" si="202"/>
        <v>1</v>
      </c>
      <c r="N1329">
        <f t="shared" si="203"/>
        <v>0</v>
      </c>
      <c r="O1329">
        <f t="shared" si="204"/>
        <v>0</v>
      </c>
      <c r="P1329">
        <v>0.17391323550585303</v>
      </c>
      <c r="Q1329">
        <f t="shared" si="205"/>
        <v>1</v>
      </c>
      <c r="R1329">
        <f t="shared" si="206"/>
        <v>0</v>
      </c>
      <c r="S1329">
        <f t="shared" si="207"/>
        <v>0</v>
      </c>
      <c r="T1329">
        <f t="shared" si="208"/>
        <v>43259.940999999999</v>
      </c>
      <c r="U1329">
        <f t="shared" si="209"/>
        <v>5413.6189999999988</v>
      </c>
    </row>
    <row r="1330" spans="1:21" x14ac:dyDescent="0.3">
      <c r="A1330">
        <v>1329</v>
      </c>
      <c r="B1330">
        <v>45</v>
      </c>
      <c r="C1330" t="s">
        <v>10</v>
      </c>
      <c r="D1330">
        <v>42.1</v>
      </c>
      <c r="E1330">
        <v>117</v>
      </c>
      <c r="F1330" t="s">
        <v>12</v>
      </c>
      <c r="G1330">
        <v>1</v>
      </c>
      <c r="H1330" t="s">
        <v>11</v>
      </c>
      <c r="I1330" t="s">
        <v>13</v>
      </c>
      <c r="J1330">
        <v>48675.519999999997</v>
      </c>
      <c r="K1330" t="str">
        <f t="shared" si="200"/>
        <v>35+</v>
      </c>
      <c r="L1330">
        <f t="shared" si="201"/>
        <v>42.1</v>
      </c>
      <c r="M1330">
        <f t="shared" si="202"/>
        <v>1</v>
      </c>
      <c r="N1330">
        <f t="shared" si="203"/>
        <v>0</v>
      </c>
      <c r="O1330">
        <f t="shared" si="204"/>
        <v>0</v>
      </c>
      <c r="P1330">
        <v>6.5361729223361476E-2</v>
      </c>
      <c r="Q1330">
        <f t="shared" si="205"/>
        <v>1</v>
      </c>
      <c r="R1330">
        <f t="shared" si="206"/>
        <v>0</v>
      </c>
      <c r="S1330">
        <f t="shared" si="207"/>
        <v>0</v>
      </c>
      <c r="T1330">
        <f t="shared" si="208"/>
        <v>47212.828999999998</v>
      </c>
      <c r="U1330">
        <f t="shared" si="209"/>
        <v>1462.6909999999989</v>
      </c>
    </row>
    <row r="1331" spans="1:21" x14ac:dyDescent="0.3">
      <c r="A1331">
        <v>1330</v>
      </c>
      <c r="B1331">
        <v>52</v>
      </c>
      <c r="C1331" t="s">
        <v>16</v>
      </c>
      <c r="D1331">
        <v>37.700000000000003</v>
      </c>
      <c r="E1331">
        <v>109</v>
      </c>
      <c r="F1331" t="s">
        <v>11</v>
      </c>
      <c r="G1331">
        <v>0</v>
      </c>
      <c r="H1331" t="s">
        <v>11</v>
      </c>
      <c r="I1331" t="s">
        <v>15</v>
      </c>
      <c r="J1331">
        <v>48824.45</v>
      </c>
      <c r="K1331" t="str">
        <f t="shared" si="200"/>
        <v>35+</v>
      </c>
      <c r="L1331">
        <f t="shared" si="201"/>
        <v>37.700000000000003</v>
      </c>
      <c r="M1331">
        <f t="shared" si="202"/>
        <v>0</v>
      </c>
      <c r="N1331">
        <f t="shared" si="203"/>
        <v>1</v>
      </c>
      <c r="O1331">
        <f t="shared" si="204"/>
        <v>0</v>
      </c>
      <c r="P1331">
        <v>0.41762442429502145</v>
      </c>
      <c r="Q1331">
        <f t="shared" si="205"/>
        <v>1</v>
      </c>
      <c r="R1331">
        <f t="shared" si="206"/>
        <v>1</v>
      </c>
      <c r="S1331">
        <f t="shared" si="207"/>
        <v>1</v>
      </c>
      <c r="T1331">
        <f t="shared" si="208"/>
        <v>40336.783000000003</v>
      </c>
      <c r="U1331">
        <f t="shared" si="209"/>
        <v>8487.666999999994</v>
      </c>
    </row>
    <row r="1332" spans="1:21" x14ac:dyDescent="0.3">
      <c r="A1332">
        <v>1331</v>
      </c>
      <c r="B1332">
        <v>25</v>
      </c>
      <c r="C1332" t="s">
        <v>16</v>
      </c>
      <c r="D1332">
        <v>38.1</v>
      </c>
      <c r="E1332">
        <v>111</v>
      </c>
      <c r="F1332" t="s">
        <v>12</v>
      </c>
      <c r="G1332">
        <v>0</v>
      </c>
      <c r="H1332" t="s">
        <v>11</v>
      </c>
      <c r="I1332" t="s">
        <v>13</v>
      </c>
      <c r="J1332">
        <v>48885.14</v>
      </c>
      <c r="K1332" t="str">
        <f t="shared" si="200"/>
        <v>35+</v>
      </c>
      <c r="L1332">
        <f t="shared" si="201"/>
        <v>38.1</v>
      </c>
      <c r="M1332">
        <f t="shared" si="202"/>
        <v>1</v>
      </c>
      <c r="N1332">
        <f t="shared" si="203"/>
        <v>0</v>
      </c>
      <c r="O1332">
        <f t="shared" si="204"/>
        <v>0</v>
      </c>
      <c r="P1332">
        <v>0.64055481676488846</v>
      </c>
      <c r="Q1332">
        <f t="shared" si="205"/>
        <v>1</v>
      </c>
      <c r="R1332">
        <f t="shared" si="206"/>
        <v>0</v>
      </c>
      <c r="S1332">
        <f t="shared" si="207"/>
        <v>1</v>
      </c>
      <c r="T1332">
        <f t="shared" si="208"/>
        <v>40608.839</v>
      </c>
      <c r="U1332">
        <f t="shared" si="209"/>
        <v>8276.3009999999995</v>
      </c>
    </row>
    <row r="1333" spans="1:21" x14ac:dyDescent="0.3">
      <c r="A1333">
        <v>1332</v>
      </c>
      <c r="B1333">
        <v>18</v>
      </c>
      <c r="C1333" t="s">
        <v>10</v>
      </c>
      <c r="D1333">
        <v>41.1</v>
      </c>
      <c r="E1333">
        <v>104</v>
      </c>
      <c r="F1333" t="s">
        <v>12</v>
      </c>
      <c r="G1333">
        <v>1</v>
      </c>
      <c r="H1333" t="s">
        <v>11</v>
      </c>
      <c r="I1333" t="s">
        <v>13</v>
      </c>
      <c r="J1333">
        <v>48970.25</v>
      </c>
      <c r="K1333" t="str">
        <f t="shared" si="200"/>
        <v>35+</v>
      </c>
      <c r="L1333">
        <f t="shared" si="201"/>
        <v>41.1</v>
      </c>
      <c r="M1333">
        <f t="shared" si="202"/>
        <v>1</v>
      </c>
      <c r="N1333">
        <f t="shared" si="203"/>
        <v>0</v>
      </c>
      <c r="O1333">
        <f t="shared" si="204"/>
        <v>0</v>
      </c>
      <c r="P1333">
        <v>0.96206263088499777</v>
      </c>
      <c r="Q1333">
        <f t="shared" si="205"/>
        <v>1</v>
      </c>
      <c r="R1333">
        <f t="shared" si="206"/>
        <v>0</v>
      </c>
      <c r="S1333">
        <f t="shared" si="207"/>
        <v>0</v>
      </c>
      <c r="T1333">
        <f t="shared" si="208"/>
        <v>43828.029000000002</v>
      </c>
      <c r="U1333">
        <f t="shared" si="209"/>
        <v>5142.2209999999977</v>
      </c>
    </row>
    <row r="1334" spans="1:21" x14ac:dyDescent="0.3">
      <c r="A1334">
        <v>1333</v>
      </c>
      <c r="B1334">
        <v>26</v>
      </c>
      <c r="C1334" t="s">
        <v>10</v>
      </c>
      <c r="D1334">
        <v>37</v>
      </c>
      <c r="E1334">
        <v>120</v>
      </c>
      <c r="F1334" t="s">
        <v>12</v>
      </c>
      <c r="G1334">
        <v>2</v>
      </c>
      <c r="H1334" t="s">
        <v>11</v>
      </c>
      <c r="I1334" t="s">
        <v>13</v>
      </c>
      <c r="J1334">
        <v>49577.66</v>
      </c>
      <c r="K1334" t="str">
        <f t="shared" si="200"/>
        <v>35+</v>
      </c>
      <c r="L1334">
        <f t="shared" si="201"/>
        <v>37</v>
      </c>
      <c r="M1334">
        <f t="shared" si="202"/>
        <v>1</v>
      </c>
      <c r="N1334">
        <f t="shared" si="203"/>
        <v>0</v>
      </c>
      <c r="O1334">
        <f t="shared" si="204"/>
        <v>0</v>
      </c>
      <c r="P1334">
        <v>0.61296192629740553</v>
      </c>
      <c r="Q1334">
        <f t="shared" si="205"/>
        <v>1</v>
      </c>
      <c r="R1334">
        <f t="shared" si="206"/>
        <v>0</v>
      </c>
      <c r="S1334">
        <f t="shared" si="207"/>
        <v>0</v>
      </c>
      <c r="T1334">
        <f t="shared" si="208"/>
        <v>41596.239999999998</v>
      </c>
      <c r="U1334">
        <f t="shared" si="209"/>
        <v>7981.4200000000055</v>
      </c>
    </row>
    <row r="1335" spans="1:21" x14ac:dyDescent="0.3">
      <c r="A1335">
        <v>1334</v>
      </c>
      <c r="B1335">
        <v>44</v>
      </c>
      <c r="C1335" t="s">
        <v>10</v>
      </c>
      <c r="D1335">
        <v>36.4</v>
      </c>
      <c r="E1335">
        <v>127</v>
      </c>
      <c r="F1335" t="s">
        <v>12</v>
      </c>
      <c r="G1335">
        <v>1</v>
      </c>
      <c r="H1335" t="s">
        <v>11</v>
      </c>
      <c r="I1335" t="s">
        <v>15</v>
      </c>
      <c r="J1335">
        <v>51194.559999999998</v>
      </c>
      <c r="K1335" t="str">
        <f t="shared" si="200"/>
        <v>35+</v>
      </c>
      <c r="L1335">
        <f t="shared" si="201"/>
        <v>36.4</v>
      </c>
      <c r="M1335">
        <f t="shared" si="202"/>
        <v>0</v>
      </c>
      <c r="N1335">
        <f t="shared" si="203"/>
        <v>1</v>
      </c>
      <c r="O1335">
        <f t="shared" si="204"/>
        <v>0</v>
      </c>
      <c r="P1335">
        <v>0.91514588486685544</v>
      </c>
      <c r="Q1335">
        <f t="shared" si="205"/>
        <v>1</v>
      </c>
      <c r="R1335">
        <f t="shared" si="206"/>
        <v>0</v>
      </c>
      <c r="S1335">
        <f t="shared" si="207"/>
        <v>0</v>
      </c>
      <c r="T1335">
        <f t="shared" si="208"/>
        <v>41833.896000000001</v>
      </c>
      <c r="U1335">
        <f t="shared" si="209"/>
        <v>9360.663999999997</v>
      </c>
    </row>
    <row r="1336" spans="1:21" x14ac:dyDescent="0.3">
      <c r="A1336">
        <v>1335</v>
      </c>
      <c r="B1336">
        <v>43</v>
      </c>
      <c r="C1336" t="s">
        <v>10</v>
      </c>
      <c r="D1336">
        <v>32.799999999999997</v>
      </c>
      <c r="E1336">
        <v>125</v>
      </c>
      <c r="F1336" t="s">
        <v>12</v>
      </c>
      <c r="G1336">
        <v>0</v>
      </c>
      <c r="H1336" t="s">
        <v>11</v>
      </c>
      <c r="I1336" t="s">
        <v>15</v>
      </c>
      <c r="J1336">
        <v>52590.83</v>
      </c>
      <c r="K1336" t="str">
        <f t="shared" si="200"/>
        <v>30-35</v>
      </c>
      <c r="L1336">
        <f t="shared" si="201"/>
        <v>32.799999999999997</v>
      </c>
      <c r="M1336">
        <f t="shared" si="202"/>
        <v>0</v>
      </c>
      <c r="N1336">
        <f t="shared" si="203"/>
        <v>1</v>
      </c>
      <c r="O1336">
        <f t="shared" si="204"/>
        <v>0</v>
      </c>
      <c r="P1336">
        <v>0.90352296462636061</v>
      </c>
      <c r="Q1336">
        <f t="shared" si="205"/>
        <v>1</v>
      </c>
      <c r="R1336">
        <f t="shared" si="206"/>
        <v>0</v>
      </c>
      <c r="S1336">
        <f t="shared" si="207"/>
        <v>0</v>
      </c>
      <c r="T1336">
        <f t="shared" si="208"/>
        <v>35936.872000000003</v>
      </c>
      <c r="U1336">
        <f t="shared" si="209"/>
        <v>16653.957999999999</v>
      </c>
    </row>
    <row r="1337" spans="1:21" x14ac:dyDescent="0.3">
      <c r="A1337">
        <v>1336</v>
      </c>
      <c r="B1337">
        <v>44</v>
      </c>
      <c r="C1337" t="s">
        <v>16</v>
      </c>
      <c r="D1337">
        <v>35.5</v>
      </c>
      <c r="E1337">
        <v>88</v>
      </c>
      <c r="F1337" t="s">
        <v>11</v>
      </c>
      <c r="G1337">
        <v>0</v>
      </c>
      <c r="H1337" t="s">
        <v>11</v>
      </c>
      <c r="I1337" t="s">
        <v>14</v>
      </c>
      <c r="J1337">
        <v>55135.4</v>
      </c>
      <c r="K1337" t="str">
        <f t="shared" si="200"/>
        <v>35+</v>
      </c>
      <c r="L1337">
        <f t="shared" si="201"/>
        <v>35.5</v>
      </c>
      <c r="M1337">
        <f t="shared" si="202"/>
        <v>0</v>
      </c>
      <c r="N1337">
        <f t="shared" si="203"/>
        <v>0</v>
      </c>
      <c r="O1337">
        <f t="shared" si="204"/>
        <v>1</v>
      </c>
      <c r="P1337">
        <v>0.82992949632847557</v>
      </c>
      <c r="Q1337">
        <f t="shared" si="205"/>
        <v>1</v>
      </c>
      <c r="R1337">
        <f t="shared" si="206"/>
        <v>1</v>
      </c>
      <c r="S1337">
        <f t="shared" si="207"/>
        <v>1</v>
      </c>
      <c r="T1337">
        <f t="shared" si="208"/>
        <v>34045.385000000002</v>
      </c>
      <c r="U1337">
        <f t="shared" si="209"/>
        <v>21090.014999999999</v>
      </c>
    </row>
    <row r="1338" spans="1:21" x14ac:dyDescent="0.3">
      <c r="A1338">
        <v>1337</v>
      </c>
      <c r="B1338">
        <v>59</v>
      </c>
      <c r="C1338" t="s">
        <v>16</v>
      </c>
      <c r="D1338">
        <v>38.1</v>
      </c>
      <c r="E1338">
        <v>120</v>
      </c>
      <c r="F1338" t="s">
        <v>12</v>
      </c>
      <c r="G1338">
        <v>1</v>
      </c>
      <c r="H1338" t="s">
        <v>11</v>
      </c>
      <c r="I1338" t="s">
        <v>17</v>
      </c>
      <c r="J1338">
        <v>58571.07</v>
      </c>
      <c r="K1338" t="str">
        <f t="shared" si="200"/>
        <v>35+</v>
      </c>
      <c r="L1338">
        <f t="shared" si="201"/>
        <v>38.1</v>
      </c>
      <c r="M1338">
        <f t="shared" si="202"/>
        <v>0</v>
      </c>
      <c r="N1338">
        <f t="shared" si="203"/>
        <v>0</v>
      </c>
      <c r="O1338">
        <f t="shared" si="204"/>
        <v>0</v>
      </c>
      <c r="P1338">
        <v>0.54524782170448638</v>
      </c>
      <c r="Q1338">
        <f t="shared" si="205"/>
        <v>1</v>
      </c>
      <c r="R1338">
        <f t="shared" si="206"/>
        <v>0</v>
      </c>
      <c r="S1338">
        <f t="shared" si="207"/>
        <v>1</v>
      </c>
      <c r="T1338">
        <f t="shared" si="208"/>
        <v>46384.599000000002</v>
      </c>
      <c r="U1338">
        <f t="shared" si="209"/>
        <v>12186.470999999998</v>
      </c>
    </row>
    <row r="1339" spans="1:21" x14ac:dyDescent="0.3">
      <c r="A1339">
        <v>1338</v>
      </c>
      <c r="B1339">
        <v>30</v>
      </c>
      <c r="C1339" t="s">
        <v>10</v>
      </c>
      <c r="D1339">
        <v>34.5</v>
      </c>
      <c r="E1339">
        <v>91</v>
      </c>
      <c r="F1339" t="s">
        <v>11</v>
      </c>
      <c r="G1339">
        <v>3</v>
      </c>
      <c r="H1339" t="s">
        <v>11</v>
      </c>
      <c r="I1339" t="s">
        <v>14</v>
      </c>
      <c r="J1339">
        <v>60021.4</v>
      </c>
      <c r="K1339" t="str">
        <f t="shared" si="200"/>
        <v>30-35</v>
      </c>
      <c r="L1339">
        <f t="shared" si="201"/>
        <v>34.5</v>
      </c>
      <c r="M1339">
        <f t="shared" si="202"/>
        <v>0</v>
      </c>
      <c r="N1339">
        <f t="shared" si="203"/>
        <v>0</v>
      </c>
      <c r="O1339">
        <f t="shared" si="204"/>
        <v>1</v>
      </c>
      <c r="P1339">
        <v>0.81120721250184002</v>
      </c>
      <c r="Q1339">
        <f t="shared" si="205"/>
        <v>1</v>
      </c>
      <c r="R1339">
        <f t="shared" si="206"/>
        <v>1</v>
      </c>
      <c r="S1339">
        <f t="shared" si="207"/>
        <v>0</v>
      </c>
      <c r="T1339">
        <f t="shared" si="208"/>
        <v>34967.155000000006</v>
      </c>
      <c r="U1339">
        <f t="shared" si="209"/>
        <v>25054.244999999995</v>
      </c>
    </row>
    <row r="1340" spans="1:21" x14ac:dyDescent="0.3">
      <c r="A1340">
        <v>1339</v>
      </c>
      <c r="B1340">
        <v>37</v>
      </c>
      <c r="C1340" t="s">
        <v>10</v>
      </c>
      <c r="D1340">
        <v>30.4</v>
      </c>
      <c r="E1340">
        <v>106</v>
      </c>
      <c r="F1340" t="s">
        <v>12</v>
      </c>
      <c r="G1340">
        <v>0</v>
      </c>
      <c r="H1340" t="s">
        <v>11</v>
      </c>
      <c r="I1340" t="s">
        <v>13</v>
      </c>
      <c r="J1340">
        <v>62592.87</v>
      </c>
      <c r="K1340" t="str">
        <f t="shared" si="200"/>
        <v>30-35</v>
      </c>
      <c r="L1340">
        <f t="shared" si="201"/>
        <v>30.4</v>
      </c>
      <c r="M1340">
        <f t="shared" si="202"/>
        <v>1</v>
      </c>
      <c r="N1340">
        <f t="shared" si="203"/>
        <v>0</v>
      </c>
      <c r="O1340">
        <f t="shared" si="204"/>
        <v>0</v>
      </c>
      <c r="P1340">
        <v>0.87891632455831514</v>
      </c>
      <c r="Q1340">
        <f t="shared" si="205"/>
        <v>1</v>
      </c>
      <c r="R1340">
        <f t="shared" si="206"/>
        <v>0</v>
      </c>
      <c r="S1340">
        <f t="shared" si="207"/>
        <v>0</v>
      </c>
      <c r="T1340">
        <f t="shared" si="208"/>
        <v>28996.466</v>
      </c>
      <c r="U1340">
        <f t="shared" si="209"/>
        <v>33596.404000000002</v>
      </c>
    </row>
    <row r="1341" spans="1:21" x14ac:dyDescent="0.3">
      <c r="A1341">
        <v>1340</v>
      </c>
      <c r="B1341">
        <v>30</v>
      </c>
      <c r="C1341" t="s">
        <v>16</v>
      </c>
      <c r="D1341">
        <v>47.4</v>
      </c>
      <c r="E1341">
        <v>101</v>
      </c>
      <c r="F1341" t="s">
        <v>12</v>
      </c>
      <c r="G1341">
        <v>0</v>
      </c>
      <c r="H1341" t="s">
        <v>11</v>
      </c>
      <c r="I1341" t="s">
        <v>13</v>
      </c>
      <c r="J1341">
        <v>63770.43</v>
      </c>
      <c r="K1341" t="str">
        <f t="shared" si="200"/>
        <v>35+</v>
      </c>
      <c r="L1341">
        <f t="shared" si="201"/>
        <v>47.4</v>
      </c>
      <c r="M1341">
        <f t="shared" si="202"/>
        <v>1</v>
      </c>
      <c r="N1341">
        <f t="shared" si="203"/>
        <v>0</v>
      </c>
      <c r="O1341">
        <f t="shared" si="204"/>
        <v>0</v>
      </c>
      <c r="P1341">
        <v>0.44307133850343128</v>
      </c>
      <c r="Q1341">
        <f t="shared" si="205"/>
        <v>1</v>
      </c>
      <c r="R1341">
        <f t="shared" si="206"/>
        <v>0</v>
      </c>
      <c r="S1341">
        <f t="shared" si="207"/>
        <v>1</v>
      </c>
      <c r="T1341">
        <f t="shared" si="208"/>
        <v>51512.155999999995</v>
      </c>
      <c r="U1341">
        <f t="shared" si="209"/>
        <v>12258.274000000005</v>
      </c>
    </row>
    <row r="1342" spans="1:21" x14ac:dyDescent="0.3">
      <c r="Q1342">
        <f>SUM(Q2:Q1341)</f>
        <v>274</v>
      </c>
      <c r="R1342">
        <f t="shared" ref="R1342:S1342" si="210">SUM(R2:R1341)</f>
        <v>642</v>
      </c>
      <c r="S1342">
        <f t="shared" si="210"/>
        <v>662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C8F96-B6D6-4248-AE2C-675786E14760}">
  <dimension ref="A1:S65"/>
  <sheetViews>
    <sheetView showGridLines="0" topLeftCell="A38" zoomScale="66" zoomScaleNormal="60" workbookViewId="0">
      <selection activeCell="A38" sqref="A38"/>
    </sheetView>
  </sheetViews>
  <sheetFormatPr defaultRowHeight="14.4" x14ac:dyDescent="0.3"/>
  <cols>
    <col min="1" max="1" width="21" customWidth="1"/>
    <col min="2" max="2" width="13.6640625" customWidth="1"/>
  </cols>
  <sheetData>
    <row r="1" spans="1:15" ht="25.8" x14ac:dyDescent="0.5">
      <c r="A1" s="8" t="s">
        <v>64</v>
      </c>
    </row>
    <row r="3" spans="1:15" ht="23.4" x14ac:dyDescent="0.45">
      <c r="A3" s="9" t="s">
        <v>57</v>
      </c>
      <c r="O3" s="9" t="s">
        <v>58</v>
      </c>
    </row>
    <row r="20" spans="1:19" ht="23.4" x14ac:dyDescent="0.45">
      <c r="A20" s="9" t="s">
        <v>59</v>
      </c>
      <c r="J20" s="9" t="s">
        <v>70</v>
      </c>
      <c r="S20" s="9" t="s">
        <v>73</v>
      </c>
    </row>
    <row r="39" spans="1:17" ht="23.4" x14ac:dyDescent="0.45">
      <c r="A39" s="9" t="s">
        <v>62</v>
      </c>
      <c r="Q39" s="9" t="s">
        <v>63</v>
      </c>
    </row>
    <row r="40" spans="1:17" x14ac:dyDescent="0.3">
      <c r="A40" s="10"/>
      <c r="B40" s="10"/>
      <c r="M40" t="s">
        <v>20</v>
      </c>
    </row>
    <row r="41" spans="1:17" x14ac:dyDescent="0.3">
      <c r="A41" s="10"/>
      <c r="B41" s="10"/>
    </row>
    <row r="42" spans="1:17" x14ac:dyDescent="0.3">
      <c r="A42" s="10"/>
      <c r="B42" s="10"/>
    </row>
    <row r="43" spans="1:17" x14ac:dyDescent="0.3">
      <c r="A43" s="10"/>
      <c r="B43" s="10"/>
    </row>
    <row r="44" spans="1:17" x14ac:dyDescent="0.3">
      <c r="A44" s="10"/>
      <c r="B44" s="10"/>
    </row>
    <row r="45" spans="1:17" x14ac:dyDescent="0.3">
      <c r="A45" s="10"/>
      <c r="B45" s="10"/>
    </row>
    <row r="58" spans="1:2" ht="21.6" thickBot="1" x14ac:dyDescent="0.45">
      <c r="A58" s="13" t="s">
        <v>74</v>
      </c>
    </row>
    <row r="59" spans="1:2" ht="55.8" thickBot="1" x14ac:dyDescent="0.35">
      <c r="A59" s="11" t="s">
        <v>74</v>
      </c>
      <c r="B59" s="11" t="s">
        <v>75</v>
      </c>
    </row>
    <row r="60" spans="1:2" ht="28.2" thickBot="1" x14ac:dyDescent="0.35">
      <c r="A60" s="12" t="s">
        <v>76</v>
      </c>
      <c r="B60" s="12">
        <v>17828</v>
      </c>
    </row>
    <row r="61" spans="1:2" ht="42" thickBot="1" x14ac:dyDescent="0.35">
      <c r="A61" s="12" t="s">
        <v>77</v>
      </c>
      <c r="B61" s="12">
        <v>3644</v>
      </c>
    </row>
    <row r="62" spans="1:2" ht="15" thickBot="1" x14ac:dyDescent="0.35">
      <c r="A62" s="12" t="s">
        <v>78</v>
      </c>
      <c r="B62" s="12">
        <v>1259</v>
      </c>
    </row>
    <row r="63" spans="1:2" ht="28.2" thickBot="1" x14ac:dyDescent="0.35">
      <c r="A63" s="12" t="s">
        <v>79</v>
      </c>
      <c r="B63" s="12">
        <v>738</v>
      </c>
    </row>
    <row r="64" spans="1:2" ht="42" thickBot="1" x14ac:dyDescent="0.35">
      <c r="A64" s="12" t="s">
        <v>80</v>
      </c>
      <c r="B64" s="12">
        <v>159</v>
      </c>
    </row>
    <row r="65" spans="1:2" ht="15" thickBot="1" x14ac:dyDescent="0.35">
      <c r="A65" s="12" t="s">
        <v>61</v>
      </c>
      <c r="B65" s="12">
        <v>85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E3C5C-B01B-4E13-B55E-F6598CE498B2}">
  <dimension ref="A3:B27"/>
  <sheetViews>
    <sheetView workbookViewId="0">
      <selection activeCell="K1" sqref="K1"/>
    </sheetView>
  </sheetViews>
  <sheetFormatPr defaultRowHeight="14.4" x14ac:dyDescent="0.3"/>
  <cols>
    <col min="1" max="1" width="12.6640625" bestFit="1" customWidth="1"/>
    <col min="2" max="2" width="14.6640625" bestFit="1" customWidth="1"/>
  </cols>
  <sheetData>
    <row r="3" spans="1:2" x14ac:dyDescent="0.3">
      <c r="A3" s="5" t="s">
        <v>49</v>
      </c>
      <c r="B3" t="s">
        <v>48</v>
      </c>
    </row>
    <row r="4" spans="1:2" x14ac:dyDescent="0.3">
      <c r="A4" s="6" t="s">
        <v>11</v>
      </c>
      <c r="B4" s="7">
        <v>32050.231970802903</v>
      </c>
    </row>
    <row r="5" spans="1:2" x14ac:dyDescent="0.3">
      <c r="A5" s="6" t="s">
        <v>12</v>
      </c>
      <c r="B5" s="7">
        <v>8421.1215759849892</v>
      </c>
    </row>
    <row r="6" spans="1:2" x14ac:dyDescent="0.3">
      <c r="A6" s="6" t="s">
        <v>47</v>
      </c>
      <c r="B6" s="7">
        <v>13252.74564179104</v>
      </c>
    </row>
    <row r="11" spans="1:2" x14ac:dyDescent="0.3">
      <c r="A11" s="5" t="s">
        <v>55</v>
      </c>
      <c r="B11" t="s">
        <v>48</v>
      </c>
    </row>
    <row r="12" spans="1:2" x14ac:dyDescent="0.3">
      <c r="A12" s="6" t="s">
        <v>50</v>
      </c>
      <c r="B12" s="7">
        <v>8802.4537142857153</v>
      </c>
    </row>
    <row r="13" spans="1:2" x14ac:dyDescent="0.3">
      <c r="A13" s="6" t="s">
        <v>51</v>
      </c>
      <c r="B13" s="7">
        <v>10456.306105769228</v>
      </c>
    </row>
    <row r="14" spans="1:2" x14ac:dyDescent="0.3">
      <c r="A14" s="6" t="s">
        <v>52</v>
      </c>
      <c r="B14" s="7">
        <v>11000.079305912595</v>
      </c>
    </row>
    <row r="15" spans="1:2" x14ac:dyDescent="0.3">
      <c r="A15" s="6" t="s">
        <v>53</v>
      </c>
      <c r="B15" s="7">
        <v>14298.842680412366</v>
      </c>
    </row>
    <row r="16" spans="1:2" x14ac:dyDescent="0.3">
      <c r="A16" s="6" t="s">
        <v>54</v>
      </c>
      <c r="B16" s="7">
        <v>17027.186875000007</v>
      </c>
    </row>
    <row r="17" spans="1:2" x14ac:dyDescent="0.3">
      <c r="A17" s="6" t="s">
        <v>47</v>
      </c>
      <c r="B17" s="7">
        <v>13252.745641791029</v>
      </c>
    </row>
    <row r="18" spans="1:2" x14ac:dyDescent="0.3">
      <c r="A18" s="6"/>
      <c r="B18" s="7"/>
    </row>
    <row r="20" spans="1:2" x14ac:dyDescent="0.3">
      <c r="A20" s="5" t="s">
        <v>56</v>
      </c>
      <c r="B20" t="s">
        <v>48</v>
      </c>
    </row>
    <row r="21" spans="1:2" x14ac:dyDescent="0.3">
      <c r="A21" s="6">
        <v>0</v>
      </c>
      <c r="B21" s="7">
        <v>12327.993159722228</v>
      </c>
    </row>
    <row r="22" spans="1:2" x14ac:dyDescent="0.3">
      <c r="A22" s="6">
        <v>1</v>
      </c>
      <c r="B22" s="7">
        <v>12731.171820987651</v>
      </c>
    </row>
    <row r="23" spans="1:2" x14ac:dyDescent="0.3">
      <c r="A23" s="6">
        <v>2</v>
      </c>
      <c r="B23" s="7">
        <v>15073.564000000004</v>
      </c>
    </row>
    <row r="24" spans="1:2" x14ac:dyDescent="0.3">
      <c r="A24" s="6">
        <v>3</v>
      </c>
      <c r="B24" s="7">
        <v>15355.318535031845</v>
      </c>
    </row>
    <row r="25" spans="1:2" x14ac:dyDescent="0.3">
      <c r="A25" s="6">
        <v>4</v>
      </c>
      <c r="B25" s="7">
        <v>13850.656799999997</v>
      </c>
    </row>
    <row r="26" spans="1:2" x14ac:dyDescent="0.3">
      <c r="A26" s="6">
        <v>5</v>
      </c>
      <c r="B26" s="7">
        <v>8786.0355555555543</v>
      </c>
    </row>
    <row r="27" spans="1:2" x14ac:dyDescent="0.3">
      <c r="A27" s="6" t="s">
        <v>47</v>
      </c>
      <c r="B27" s="7">
        <v>13252.745641791058</v>
      </c>
    </row>
  </sheetData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35AD5-3713-41D8-8CD0-B8707976FBDF}">
  <dimension ref="A1:I29"/>
  <sheetViews>
    <sheetView topLeftCell="A5" workbookViewId="0">
      <selection activeCell="B24" sqref="B24"/>
    </sheetView>
  </sheetViews>
  <sheetFormatPr defaultRowHeight="14.4" x14ac:dyDescent="0.3"/>
  <cols>
    <col min="1" max="1" width="16.44140625" bestFit="1" customWidth="1"/>
    <col min="2" max="2" width="12.6640625" bestFit="1" customWidth="1"/>
    <col min="3" max="3" width="13.21875" bestFit="1" customWidth="1"/>
    <col min="4" max="4" width="12.6640625" bestFit="1" customWidth="1"/>
    <col min="5" max="5" width="12" bestFit="1" customWidth="1"/>
    <col min="6" max="6" width="12.77734375" bestFit="1" customWidth="1"/>
    <col min="7" max="9" width="12.6640625" bestFit="1" customWidth="1"/>
  </cols>
  <sheetData>
    <row r="1" spans="1:9" x14ac:dyDescent="0.3">
      <c r="A1" t="s">
        <v>23</v>
      </c>
    </row>
    <row r="2" spans="1:9" ht="15" thickBot="1" x14ac:dyDescent="0.35"/>
    <row r="3" spans="1:9" x14ac:dyDescent="0.3">
      <c r="A3" s="4" t="s">
        <v>24</v>
      </c>
      <c r="B3" s="4"/>
    </row>
    <row r="4" spans="1:9" x14ac:dyDescent="0.3">
      <c r="A4" s="1" t="s">
        <v>25</v>
      </c>
      <c r="B4" s="1">
        <v>0.88372259260670283</v>
      </c>
    </row>
    <row r="5" spans="1:9" x14ac:dyDescent="0.3">
      <c r="A5" s="1" t="s">
        <v>26</v>
      </c>
      <c r="B5" s="1">
        <v>0.7809656206835125</v>
      </c>
    </row>
    <row r="6" spans="1:9" x14ac:dyDescent="0.3">
      <c r="A6" s="1" t="s">
        <v>27</v>
      </c>
      <c r="B6" s="1">
        <v>0.77848129880090589</v>
      </c>
    </row>
    <row r="7" spans="1:9" x14ac:dyDescent="0.3">
      <c r="A7" s="1" t="s">
        <v>28</v>
      </c>
      <c r="B7" s="1">
        <v>5560.3393380963498</v>
      </c>
    </row>
    <row r="8" spans="1:9" ht="15" thickBot="1" x14ac:dyDescent="0.35">
      <c r="A8" s="2" t="s">
        <v>29</v>
      </c>
      <c r="B8" s="2">
        <v>1071</v>
      </c>
    </row>
    <row r="10" spans="1:9" ht="15" thickBot="1" x14ac:dyDescent="0.35">
      <c r="A10" t="s">
        <v>30</v>
      </c>
    </row>
    <row r="11" spans="1:9" x14ac:dyDescent="0.3">
      <c r="A11" s="3"/>
      <c r="B11" s="3" t="s">
        <v>35</v>
      </c>
      <c r="C11" s="3" t="s">
        <v>36</v>
      </c>
      <c r="D11" s="3" t="s">
        <v>37</v>
      </c>
      <c r="E11" s="3" t="s">
        <v>38</v>
      </c>
      <c r="F11" s="3" t="s">
        <v>39</v>
      </c>
    </row>
    <row r="12" spans="1:9" x14ac:dyDescent="0.3">
      <c r="A12" s="1" t="s">
        <v>31</v>
      </c>
      <c r="B12" s="1">
        <v>12</v>
      </c>
      <c r="C12" s="1">
        <v>116629359490.79042</v>
      </c>
      <c r="D12" s="1">
        <v>9719113290.8992023</v>
      </c>
      <c r="E12" s="1">
        <v>314.35766280981591</v>
      </c>
      <c r="F12" s="1">
        <v>0</v>
      </c>
    </row>
    <row r="13" spans="1:9" x14ac:dyDescent="0.3">
      <c r="A13" s="1" t="s">
        <v>32</v>
      </c>
      <c r="B13" s="1">
        <v>1058</v>
      </c>
      <c r="C13" s="1">
        <v>32710581220.959095</v>
      </c>
      <c r="D13" s="1">
        <v>30917373.554781754</v>
      </c>
      <c r="E13" s="1"/>
      <c r="F13" s="1"/>
    </row>
    <row r="14" spans="1:9" ht="15" thickBot="1" x14ac:dyDescent="0.35">
      <c r="A14" s="2" t="s">
        <v>33</v>
      </c>
      <c r="B14" s="2">
        <v>1070</v>
      </c>
      <c r="C14" s="2">
        <v>149339940711.74951</v>
      </c>
      <c r="D14" s="2"/>
      <c r="E14" s="2"/>
      <c r="F14" s="2"/>
    </row>
    <row r="15" spans="1:9" ht="15" thickBot="1" x14ac:dyDescent="0.35"/>
    <row r="16" spans="1:9" x14ac:dyDescent="0.3">
      <c r="A16" s="3"/>
      <c r="B16" s="3" t="s">
        <v>40</v>
      </c>
      <c r="C16" s="3" t="s">
        <v>28</v>
      </c>
      <c r="D16" s="3" t="s">
        <v>41</v>
      </c>
      <c r="E16" s="3" t="s">
        <v>42</v>
      </c>
      <c r="F16" s="3" t="s">
        <v>43</v>
      </c>
      <c r="G16" s="3" t="s">
        <v>44</v>
      </c>
      <c r="H16" s="3" t="s">
        <v>45</v>
      </c>
      <c r="I16" s="3" t="s">
        <v>46</v>
      </c>
    </row>
    <row r="17" spans="1:9" x14ac:dyDescent="0.3">
      <c r="A17" s="1" t="s">
        <v>34</v>
      </c>
      <c r="B17" s="1">
        <v>-7277.7149926740567</v>
      </c>
      <c r="C17" s="1">
        <v>2047.1545641899497</v>
      </c>
      <c r="D17" s="1">
        <v>-3.5550393311673645</v>
      </c>
      <c r="E17" s="1">
        <v>3.9462245158714367E-4</v>
      </c>
      <c r="F17" s="1">
        <v>-11294.659551321609</v>
      </c>
      <c r="G17" s="1">
        <v>-3260.7704340265041</v>
      </c>
      <c r="H17" s="1">
        <v>-11294.659551321609</v>
      </c>
      <c r="I17" s="1">
        <v>-3260.7704340265041</v>
      </c>
    </row>
    <row r="18" spans="1:9" x14ac:dyDescent="0.3">
      <c r="A18" s="1" t="s">
        <v>1</v>
      </c>
      <c r="B18" s="1">
        <v>-1.2799913443170372</v>
      </c>
      <c r="C18" s="1">
        <v>16.821794626886859</v>
      </c>
      <c r="D18" s="1">
        <v>-7.6091247854802757E-2</v>
      </c>
      <c r="E18" s="1">
        <v>0.93936088874036261</v>
      </c>
      <c r="F18" s="1">
        <v>-34.287863624785437</v>
      </c>
      <c r="G18" s="1">
        <v>31.727880936151362</v>
      </c>
      <c r="H18" s="1">
        <v>-34.287863624785437</v>
      </c>
      <c r="I18" s="1">
        <v>31.727880936151362</v>
      </c>
    </row>
    <row r="19" spans="1:9" x14ac:dyDescent="0.3">
      <c r="A19" s="1" t="s">
        <v>3</v>
      </c>
      <c r="B19" s="1">
        <v>85.500060563210411</v>
      </c>
      <c r="C19" s="1">
        <v>32.048085907056596</v>
      </c>
      <c r="D19" s="1">
        <v>2.6678679285611984</v>
      </c>
      <c r="E19" s="1">
        <v>7.7500740965465876E-3</v>
      </c>
      <c r="F19" s="1">
        <v>22.615026598830518</v>
      </c>
      <c r="G19" s="1">
        <v>148.3850945275903</v>
      </c>
      <c r="H19" s="1">
        <v>22.615026598830518</v>
      </c>
      <c r="I19" s="1">
        <v>148.3850945275903</v>
      </c>
    </row>
    <row r="20" spans="1:9" x14ac:dyDescent="0.3">
      <c r="A20" s="1" t="s">
        <v>6</v>
      </c>
      <c r="B20" s="1">
        <v>738.23650105153274</v>
      </c>
      <c r="C20" s="1">
        <v>143.18671246401141</v>
      </c>
      <c r="D20" s="1">
        <v>5.1557612319444885</v>
      </c>
      <c r="E20" s="1">
        <v>3.013473649734937E-7</v>
      </c>
      <c r="F20" s="1">
        <v>457.27428375528484</v>
      </c>
      <c r="G20" s="1">
        <v>1019.1987183477806</v>
      </c>
      <c r="H20" s="1">
        <v>457.27428375528484</v>
      </c>
      <c r="I20" s="1">
        <v>1019.1987183477806</v>
      </c>
    </row>
    <row r="21" spans="1:9" x14ac:dyDescent="0.3">
      <c r="A21" s="1" t="s">
        <v>4</v>
      </c>
      <c r="B21" s="1">
        <v>159.58822640574837</v>
      </c>
      <c r="C21" s="1">
        <v>17.182503755298217</v>
      </c>
      <c r="D21" s="1">
        <v>9.2878330584702713</v>
      </c>
      <c r="E21" s="1">
        <v>8.6821501584789581E-20</v>
      </c>
      <c r="F21" s="1">
        <v>125.87256752432057</v>
      </c>
      <c r="G21" s="1">
        <v>193.30388528717617</v>
      </c>
      <c r="H21" s="1">
        <v>125.87256752432057</v>
      </c>
      <c r="I21" s="1">
        <v>193.30388528717617</v>
      </c>
    </row>
    <row r="22" spans="1:9" x14ac:dyDescent="0.3">
      <c r="A22" s="1" t="s">
        <v>65</v>
      </c>
      <c r="B22" s="1">
        <v>1259.1881317515717</v>
      </c>
      <c r="C22" s="1">
        <v>68.93794736486781</v>
      </c>
      <c r="D22" s="1">
        <v>18.265529797211222</v>
      </c>
      <c r="E22" s="1">
        <v>5.3375416237063631E-65</v>
      </c>
      <c r="F22" s="1">
        <v>1123.917489565737</v>
      </c>
      <c r="G22" s="1">
        <v>1394.4587739374065</v>
      </c>
      <c r="H22" s="1">
        <v>1123.917489565737</v>
      </c>
      <c r="I22" s="1">
        <v>1394.4587739374065</v>
      </c>
    </row>
    <row r="23" spans="1:9" x14ac:dyDescent="0.3">
      <c r="A23" s="1" t="s">
        <v>66</v>
      </c>
      <c r="B23" s="1">
        <v>-3644.7309775599902</v>
      </c>
      <c r="C23" s="1">
        <v>512.57004698183039</v>
      </c>
      <c r="D23" s="1">
        <v>-7.1106983309330767</v>
      </c>
      <c r="E23" s="1">
        <v>2.122040965475043E-12</v>
      </c>
      <c r="F23" s="1">
        <v>-4650.5003987683531</v>
      </c>
      <c r="G23" s="1">
        <v>-2638.9615563516272</v>
      </c>
      <c r="H23" s="1">
        <v>-4650.5003987683531</v>
      </c>
      <c r="I23" s="1">
        <v>-2638.9615563516272</v>
      </c>
    </row>
    <row r="24" spans="1:9" x14ac:dyDescent="0.3">
      <c r="A24" s="1" t="s">
        <v>67</v>
      </c>
      <c r="B24" s="1">
        <v>-2956.1141674239493</v>
      </c>
      <c r="C24" s="1">
        <v>549.95703517870595</v>
      </c>
      <c r="D24" s="1">
        <v>-5.3751729286695529</v>
      </c>
      <c r="E24" s="1">
        <v>9.4106945086386226E-8</v>
      </c>
      <c r="F24" s="1">
        <v>-4035.2446632813508</v>
      </c>
      <c r="G24" s="1">
        <v>-1876.9836715665476</v>
      </c>
      <c r="H24" s="1">
        <v>-4035.2446632813508</v>
      </c>
      <c r="I24" s="1">
        <v>-1876.9836715665476</v>
      </c>
    </row>
    <row r="25" spans="1:9" x14ac:dyDescent="0.3">
      <c r="A25" s="1" t="s">
        <v>68</v>
      </c>
      <c r="B25" s="1">
        <v>-2948.0359262914403</v>
      </c>
      <c r="C25" s="1">
        <v>526.1502200003132</v>
      </c>
      <c r="D25" s="1">
        <v>-5.6030308726083691</v>
      </c>
      <c r="E25" s="1">
        <v>2.685248630411384E-8</v>
      </c>
      <c r="F25" s="1">
        <v>-3980.4524815591076</v>
      </c>
      <c r="G25" s="1">
        <v>-1915.6193710237728</v>
      </c>
      <c r="H25" s="1">
        <v>-3980.4524815591076</v>
      </c>
      <c r="I25" s="1">
        <v>-1915.6193710237728</v>
      </c>
    </row>
    <row r="26" spans="1:9" x14ac:dyDescent="0.3">
      <c r="A26" s="1" t="s">
        <v>69</v>
      </c>
      <c r="B26" s="1">
        <v>601.56146475012679</v>
      </c>
      <c r="C26" s="1">
        <v>746.94986496875299</v>
      </c>
      <c r="D26" s="1">
        <v>0.80535721734857235</v>
      </c>
      <c r="E26" s="1">
        <v>0.42079452714533638</v>
      </c>
      <c r="F26" s="1">
        <v>-864.11008157789774</v>
      </c>
      <c r="G26" s="1">
        <v>2067.2330110781513</v>
      </c>
      <c r="H26" s="1">
        <v>-864.11008157789774</v>
      </c>
      <c r="I26" s="1">
        <v>2067.2330110781513</v>
      </c>
    </row>
    <row r="27" spans="1:9" x14ac:dyDescent="0.3">
      <c r="A27" s="1" t="s">
        <v>19</v>
      </c>
      <c r="B27" s="1">
        <v>-17828.852727499278</v>
      </c>
      <c r="C27" s="1">
        <v>2120.7781482310747</v>
      </c>
      <c r="D27" s="1">
        <v>-8.4067504856036877</v>
      </c>
      <c r="E27" s="1">
        <v>1.3477254383414698E-16</v>
      </c>
      <c r="F27" s="1">
        <v>-21990.262125527021</v>
      </c>
      <c r="G27" s="1">
        <v>-13667.443329471533</v>
      </c>
      <c r="H27" s="1">
        <v>-21990.262125527021</v>
      </c>
      <c r="I27" s="1">
        <v>-13667.443329471533</v>
      </c>
    </row>
    <row r="28" spans="1:9" x14ac:dyDescent="0.3">
      <c r="A28" s="1" t="s">
        <v>21</v>
      </c>
      <c r="B28" s="1">
        <v>-69.062500505428346</v>
      </c>
      <c r="C28" s="1">
        <v>341.97007154428871</v>
      </c>
      <c r="D28" s="1">
        <v>-0.20195480906721403</v>
      </c>
      <c r="E28" s="1">
        <v>0.83999087732710409</v>
      </c>
      <c r="F28" s="1">
        <v>-740.07916047790195</v>
      </c>
      <c r="G28" s="1">
        <v>601.9541594670452</v>
      </c>
      <c r="H28" s="1">
        <v>-740.07916047790195</v>
      </c>
      <c r="I28" s="1">
        <v>601.9541594670452</v>
      </c>
    </row>
    <row r="29" spans="1:9" ht="15" thickBot="1" x14ac:dyDescent="0.35">
      <c r="A29" s="2" t="s">
        <v>22</v>
      </c>
      <c r="B29" s="2">
        <v>444.95200743206738</v>
      </c>
      <c r="C29" s="2">
        <v>372.24259005830663</v>
      </c>
      <c r="D29" s="2">
        <v>1.1953280449783348</v>
      </c>
      <c r="E29" s="2">
        <v>0.23222674327178555</v>
      </c>
      <c r="F29" s="2">
        <v>-285.46565266447817</v>
      </c>
      <c r="G29" s="2">
        <v>1175.3696675286128</v>
      </c>
      <c r="H29" s="2">
        <v>-285.46565266447817</v>
      </c>
      <c r="I29" s="2">
        <v>1175.3696675286128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DCBC3-9040-4134-BF37-9A3FCDAC76F5}">
  <dimension ref="A1:M1341"/>
  <sheetViews>
    <sheetView workbookViewId="0">
      <selection activeCell="A2" sqref="A2"/>
    </sheetView>
  </sheetViews>
  <sheetFormatPr defaultRowHeight="14.4" x14ac:dyDescent="0.3"/>
  <sheetData>
    <row r="1" spans="1:13" x14ac:dyDescent="0.3">
      <c r="A1" t="str">
        <f>'insurance final cleaned'!J1</f>
        <v>claim</v>
      </c>
      <c r="B1" t="str">
        <f>'insurance final cleaned'!B1</f>
        <v>age</v>
      </c>
      <c r="C1" t="str">
        <f>'insurance final cleaned'!D1</f>
        <v>bmi</v>
      </c>
      <c r="D1" t="str">
        <f>'insurance final cleaned'!G1</f>
        <v>children</v>
      </c>
      <c r="E1" t="str">
        <f>'insurance final cleaned'!E1</f>
        <v>bloodpressure</v>
      </c>
      <c r="F1" t="str">
        <f>'insurance final cleaned'!L1</f>
        <v>BMI_Smoker</v>
      </c>
      <c r="G1" t="str">
        <f>'insurance final cleaned'!M1</f>
        <v>Is Southeast</v>
      </c>
      <c r="H1" t="str">
        <f>'insurance final cleaned'!N1</f>
        <v>Is Southwest</v>
      </c>
      <c r="I1" t="str">
        <f>'insurance final cleaned'!O1</f>
        <v>Is Northwest</v>
      </c>
      <c r="J1" t="str">
        <f>'insurance final cleaned'!P1</f>
        <v>Randomizer</v>
      </c>
      <c r="K1" t="str">
        <f>'insurance final cleaned'!Q1</f>
        <v>Is Smoker</v>
      </c>
      <c r="L1" t="str">
        <f>'insurance final cleaned'!R1</f>
        <v>Is Diabetic</v>
      </c>
      <c r="M1" t="str">
        <f>'insurance final cleaned'!S1</f>
        <v>Is Female</v>
      </c>
    </row>
    <row r="2" spans="1:13" x14ac:dyDescent="0.3">
      <c r="A2">
        <f>'insurance final cleaned'!J185</f>
        <v>2866.09</v>
      </c>
      <c r="B2">
        <f>'insurance final cleaned'!B185</f>
        <v>37</v>
      </c>
      <c r="C2">
        <f>'insurance final cleaned'!D185</f>
        <v>27.2</v>
      </c>
      <c r="D2">
        <f>'insurance final cleaned'!G185</f>
        <v>0</v>
      </c>
      <c r="E2">
        <f>'insurance final cleaned'!E185</f>
        <v>87</v>
      </c>
      <c r="F2">
        <f>'insurance final cleaned'!L185</f>
        <v>0</v>
      </c>
      <c r="G2">
        <f>'insurance final cleaned'!M185</f>
        <v>0</v>
      </c>
      <c r="H2">
        <f>'insurance final cleaned'!N185</f>
        <v>1</v>
      </c>
      <c r="I2">
        <f>'insurance final cleaned'!O185</f>
        <v>0</v>
      </c>
      <c r="J2">
        <f>'insurance final cleaned'!P185</f>
        <v>2.1653967290824472E-3</v>
      </c>
      <c r="K2">
        <f>'insurance final cleaned'!Q185</f>
        <v>0</v>
      </c>
      <c r="L2">
        <f>'insurance final cleaned'!R185</f>
        <v>1</v>
      </c>
      <c r="M2">
        <f>'insurance final cleaned'!S185</f>
        <v>0</v>
      </c>
    </row>
    <row r="3" spans="1:13" x14ac:dyDescent="0.3">
      <c r="A3">
        <f>'insurance final cleaned'!J621</f>
        <v>8582.2999999999993</v>
      </c>
      <c r="B3">
        <f>'insurance final cleaned'!B621</f>
        <v>46</v>
      </c>
      <c r="C3">
        <f>'insurance final cleaned'!D621</f>
        <v>23.9</v>
      </c>
      <c r="D3">
        <f>'insurance final cleaned'!G621</f>
        <v>5</v>
      </c>
      <c r="E3">
        <f>'insurance final cleaned'!E621</f>
        <v>96</v>
      </c>
      <c r="F3">
        <f>'insurance final cleaned'!L621</f>
        <v>0</v>
      </c>
      <c r="G3">
        <f>'insurance final cleaned'!M621</f>
        <v>1</v>
      </c>
      <c r="H3">
        <f>'insurance final cleaned'!N621</f>
        <v>0</v>
      </c>
      <c r="I3">
        <f>'insurance final cleaned'!O621</f>
        <v>0</v>
      </c>
      <c r="J3">
        <f>'insurance final cleaned'!P621</f>
        <v>3.2663433188898638E-3</v>
      </c>
      <c r="K3">
        <f>'insurance final cleaned'!Q621</f>
        <v>0</v>
      </c>
      <c r="L3">
        <f>'insurance final cleaned'!R621</f>
        <v>0</v>
      </c>
      <c r="M3">
        <f>'insurance final cleaned'!S621</f>
        <v>1</v>
      </c>
    </row>
    <row r="4" spans="1:13" x14ac:dyDescent="0.3">
      <c r="A4">
        <f>'insurance final cleaned'!J217</f>
        <v>3277.16</v>
      </c>
      <c r="B4">
        <f>'insurance final cleaned'!B217</f>
        <v>28</v>
      </c>
      <c r="C4">
        <f>'insurance final cleaned'!D217</f>
        <v>37.1</v>
      </c>
      <c r="D4">
        <f>'insurance final cleaned'!G217</f>
        <v>1</v>
      </c>
      <c r="E4">
        <f>'insurance final cleaned'!E217</f>
        <v>90</v>
      </c>
      <c r="F4">
        <f>'insurance final cleaned'!L217</f>
        <v>0</v>
      </c>
      <c r="G4">
        <f>'insurance final cleaned'!M217</f>
        <v>0</v>
      </c>
      <c r="H4">
        <f>'insurance final cleaned'!N217</f>
        <v>1</v>
      </c>
      <c r="I4">
        <f>'insurance final cleaned'!O217</f>
        <v>0</v>
      </c>
      <c r="J4">
        <f>'insurance final cleaned'!P217</f>
        <v>4.24252209731657E-3</v>
      </c>
      <c r="K4">
        <f>'insurance final cleaned'!Q217</f>
        <v>0</v>
      </c>
      <c r="L4">
        <f>'insurance final cleaned'!R217</f>
        <v>1</v>
      </c>
      <c r="M4">
        <f>'insurance final cleaned'!S217</f>
        <v>0</v>
      </c>
    </row>
    <row r="5" spans="1:13" x14ac:dyDescent="0.3">
      <c r="A5">
        <f>'insurance final cleaned'!J958</f>
        <v>14210.54</v>
      </c>
      <c r="B5">
        <f>'insurance final cleaned'!B958</f>
        <v>47</v>
      </c>
      <c r="C5">
        <f>'insurance final cleaned'!D958</f>
        <v>37.9</v>
      </c>
      <c r="D5">
        <f>'insurance final cleaned'!G958</f>
        <v>0</v>
      </c>
      <c r="E5">
        <f>'insurance final cleaned'!E958</f>
        <v>103</v>
      </c>
      <c r="F5">
        <f>'insurance final cleaned'!L958</f>
        <v>0</v>
      </c>
      <c r="G5">
        <f>'insurance final cleaned'!M958</f>
        <v>0</v>
      </c>
      <c r="H5">
        <f>'insurance final cleaned'!N958</f>
        <v>0</v>
      </c>
      <c r="I5">
        <f>'insurance final cleaned'!O958</f>
        <v>1</v>
      </c>
      <c r="J5">
        <f>'insurance final cleaned'!P958</f>
        <v>5.8230130808359926E-3</v>
      </c>
      <c r="K5">
        <f>'insurance final cleaned'!Q958</f>
        <v>0</v>
      </c>
      <c r="L5">
        <f>'insurance final cleaned'!R958</f>
        <v>0</v>
      </c>
      <c r="M5">
        <f>'insurance final cleaned'!S958</f>
        <v>0</v>
      </c>
    </row>
    <row r="6" spans="1:13" x14ac:dyDescent="0.3">
      <c r="A6">
        <f>'insurance final cleaned'!J298</f>
        <v>4349.46</v>
      </c>
      <c r="B6">
        <f>'insurance final cleaned'!B298</f>
        <v>25</v>
      </c>
      <c r="C6">
        <f>'insurance final cleaned'!D298</f>
        <v>33</v>
      </c>
      <c r="D6">
        <f>'insurance final cleaned'!G298</f>
        <v>2</v>
      </c>
      <c r="E6">
        <f>'insurance final cleaned'!E298</f>
        <v>89</v>
      </c>
      <c r="F6">
        <f>'insurance final cleaned'!L298</f>
        <v>0</v>
      </c>
      <c r="G6">
        <f>'insurance final cleaned'!M298</f>
        <v>1</v>
      </c>
      <c r="H6">
        <f>'insurance final cleaned'!N298</f>
        <v>0</v>
      </c>
      <c r="I6">
        <f>'insurance final cleaned'!O298</f>
        <v>0</v>
      </c>
      <c r="J6">
        <f>'insurance final cleaned'!P298</f>
        <v>6.1670940223647053E-3</v>
      </c>
      <c r="K6">
        <f>'insurance final cleaned'!Q298</f>
        <v>0</v>
      </c>
      <c r="L6">
        <f>'insurance final cleaned'!R298</f>
        <v>1</v>
      </c>
      <c r="M6">
        <f>'insurance final cleaned'!S298</f>
        <v>1</v>
      </c>
    </row>
    <row r="7" spans="1:13" x14ac:dyDescent="0.3">
      <c r="A7">
        <f>'insurance final cleaned'!J252</f>
        <v>3756.62</v>
      </c>
      <c r="B7">
        <f>'insurance final cleaned'!B252</f>
        <v>45</v>
      </c>
      <c r="C7">
        <f>'insurance final cleaned'!D252</f>
        <v>25.7</v>
      </c>
      <c r="D7">
        <f>'insurance final cleaned'!G252</f>
        <v>0</v>
      </c>
      <c r="E7">
        <f>'insurance final cleaned'!E252</f>
        <v>80</v>
      </c>
      <c r="F7">
        <f>'insurance final cleaned'!L252</f>
        <v>0</v>
      </c>
      <c r="G7">
        <f>'insurance final cleaned'!M252</f>
        <v>1</v>
      </c>
      <c r="H7">
        <f>'insurance final cleaned'!N252</f>
        <v>0</v>
      </c>
      <c r="I7">
        <f>'insurance final cleaned'!O252</f>
        <v>0</v>
      </c>
      <c r="J7">
        <f>'insurance final cleaned'!P252</f>
        <v>7.2101471671711659E-3</v>
      </c>
      <c r="K7">
        <f>'insurance final cleaned'!Q252</f>
        <v>0</v>
      </c>
      <c r="L7">
        <f>'insurance final cleaned'!R252</f>
        <v>0</v>
      </c>
      <c r="M7">
        <f>'insurance final cleaned'!S252</f>
        <v>1</v>
      </c>
    </row>
    <row r="8" spans="1:13" x14ac:dyDescent="0.3">
      <c r="A8">
        <f>'insurance final cleaned'!J1206</f>
        <v>34806.47</v>
      </c>
      <c r="B8">
        <f>'insurance final cleaned'!B1206</f>
        <v>32</v>
      </c>
      <c r="C8">
        <f>'insurance final cleaned'!D1206</f>
        <v>31.1</v>
      </c>
      <c r="D8">
        <f>'insurance final cleaned'!G1206</f>
        <v>1</v>
      </c>
      <c r="E8">
        <f>'insurance final cleaned'!E1206</f>
        <v>114</v>
      </c>
      <c r="F8">
        <f>'insurance final cleaned'!L1206</f>
        <v>31.1</v>
      </c>
      <c r="G8">
        <f>'insurance final cleaned'!M1206</f>
        <v>1</v>
      </c>
      <c r="H8">
        <f>'insurance final cleaned'!N1206</f>
        <v>0</v>
      </c>
      <c r="I8">
        <f>'insurance final cleaned'!O1206</f>
        <v>0</v>
      </c>
      <c r="J8">
        <f>'insurance final cleaned'!P1206</f>
        <v>7.2673761316253138E-3</v>
      </c>
      <c r="K8">
        <f>'insurance final cleaned'!Q1206</f>
        <v>1</v>
      </c>
      <c r="L8">
        <f>'insurance final cleaned'!R1206</f>
        <v>1</v>
      </c>
      <c r="M8">
        <f>'insurance final cleaned'!S1206</f>
        <v>0</v>
      </c>
    </row>
    <row r="9" spans="1:13" x14ac:dyDescent="0.3">
      <c r="A9">
        <f>'insurance final cleaned'!J1214</f>
        <v>35595.589999999997</v>
      </c>
      <c r="B9">
        <f>'insurance final cleaned'!B1214</f>
        <v>56</v>
      </c>
      <c r="C9">
        <f>'insurance final cleaned'!D1214</f>
        <v>31</v>
      </c>
      <c r="D9">
        <f>'insurance final cleaned'!G1214</f>
        <v>3</v>
      </c>
      <c r="E9">
        <f>'insurance final cleaned'!E1214</f>
        <v>129</v>
      </c>
      <c r="F9">
        <f>'insurance final cleaned'!L1214</f>
        <v>31</v>
      </c>
      <c r="G9">
        <f>'insurance final cleaned'!M1214</f>
        <v>1</v>
      </c>
      <c r="H9">
        <f>'insurance final cleaned'!N1214</f>
        <v>0</v>
      </c>
      <c r="I9">
        <f>'insurance final cleaned'!O1214</f>
        <v>0</v>
      </c>
      <c r="J9">
        <f>'insurance final cleaned'!P1214</f>
        <v>7.3824173508189039E-3</v>
      </c>
      <c r="K9">
        <f>'insurance final cleaned'!Q1214</f>
        <v>1</v>
      </c>
      <c r="L9">
        <f>'insurance final cleaned'!R1214</f>
        <v>1</v>
      </c>
      <c r="M9">
        <f>'insurance final cleaned'!S1214</f>
        <v>1</v>
      </c>
    </row>
    <row r="10" spans="1:13" x14ac:dyDescent="0.3">
      <c r="A10">
        <f>'insurance final cleaned'!J629</f>
        <v>8627.5400000000009</v>
      </c>
      <c r="B10">
        <f>'insurance final cleaned'!B629</f>
        <v>43</v>
      </c>
      <c r="C10">
        <f>'insurance final cleaned'!D629</f>
        <v>19.2</v>
      </c>
      <c r="D10">
        <f>'insurance final cleaned'!G629</f>
        <v>1</v>
      </c>
      <c r="E10">
        <f>'insurance final cleaned'!E629</f>
        <v>99</v>
      </c>
      <c r="F10">
        <f>'insurance final cleaned'!L629</f>
        <v>0</v>
      </c>
      <c r="G10">
        <f>'insurance final cleaned'!M629</f>
        <v>0</v>
      </c>
      <c r="H10">
        <f>'insurance final cleaned'!N629</f>
        <v>0</v>
      </c>
      <c r="I10">
        <f>'insurance final cleaned'!O629</f>
        <v>0</v>
      </c>
      <c r="J10">
        <f>'insurance final cleaned'!P629</f>
        <v>8.2772035655211962E-3</v>
      </c>
      <c r="K10">
        <f>'insurance final cleaned'!Q629</f>
        <v>0</v>
      </c>
      <c r="L10">
        <f>'insurance final cleaned'!R629</f>
        <v>1</v>
      </c>
      <c r="M10">
        <f>'insurance final cleaned'!S629</f>
        <v>0</v>
      </c>
    </row>
    <row r="11" spans="1:13" x14ac:dyDescent="0.3">
      <c r="A11">
        <f>'insurance final cleaned'!J616</f>
        <v>8539.67</v>
      </c>
      <c r="B11">
        <f>'insurance final cleaned'!B616</f>
        <v>26</v>
      </c>
      <c r="C11">
        <f>'insurance final cleaned'!D616</f>
        <v>23.6</v>
      </c>
      <c r="D11">
        <f>'insurance final cleaned'!G616</f>
        <v>1</v>
      </c>
      <c r="E11">
        <f>'insurance final cleaned'!E616</f>
        <v>92</v>
      </c>
      <c r="F11">
        <f>'insurance final cleaned'!L616</f>
        <v>0</v>
      </c>
      <c r="G11">
        <f>'insurance final cleaned'!M616</f>
        <v>0</v>
      </c>
      <c r="H11">
        <f>'insurance final cleaned'!N616</f>
        <v>1</v>
      </c>
      <c r="I11">
        <f>'insurance final cleaned'!O616</f>
        <v>0</v>
      </c>
      <c r="J11">
        <f>'insurance final cleaned'!P616</f>
        <v>9.7481890761236256E-3</v>
      </c>
      <c r="K11">
        <f>'insurance final cleaned'!Q616</f>
        <v>0</v>
      </c>
      <c r="L11">
        <f>'insurance final cleaned'!R616</f>
        <v>1</v>
      </c>
      <c r="M11">
        <f>'insurance final cleaned'!S616</f>
        <v>1</v>
      </c>
    </row>
    <row r="12" spans="1:13" x14ac:dyDescent="0.3">
      <c r="A12">
        <f>'insurance final cleaned'!J873</f>
        <v>12404.88</v>
      </c>
      <c r="B12">
        <f>'insurance final cleaned'!B873</f>
        <v>43</v>
      </c>
      <c r="C12">
        <f>'insurance final cleaned'!D873</f>
        <v>35.200000000000003</v>
      </c>
      <c r="D12">
        <f>'insurance final cleaned'!G873</f>
        <v>0</v>
      </c>
      <c r="E12">
        <f>'insurance final cleaned'!E873</f>
        <v>107</v>
      </c>
      <c r="F12">
        <f>'insurance final cleaned'!L873</f>
        <v>0</v>
      </c>
      <c r="G12">
        <f>'insurance final cleaned'!M873</f>
        <v>0</v>
      </c>
      <c r="H12">
        <f>'insurance final cleaned'!N873</f>
        <v>0</v>
      </c>
      <c r="I12">
        <f>'insurance final cleaned'!O873</f>
        <v>0</v>
      </c>
      <c r="J12">
        <f>'insurance final cleaned'!P873</f>
        <v>1.0232969757868471E-2</v>
      </c>
      <c r="K12">
        <f>'insurance final cleaned'!Q873</f>
        <v>0</v>
      </c>
      <c r="L12">
        <f>'insurance final cleaned'!R873</f>
        <v>1</v>
      </c>
      <c r="M12">
        <f>'insurance final cleaned'!S873</f>
        <v>0</v>
      </c>
    </row>
    <row r="13" spans="1:13" x14ac:dyDescent="0.3">
      <c r="A13">
        <f>'insurance final cleaned'!J600</f>
        <v>8334.59</v>
      </c>
      <c r="B13">
        <f>'insurance final cleaned'!B600</f>
        <v>40</v>
      </c>
      <c r="C13">
        <f>'insurance final cleaned'!D600</f>
        <v>33.4</v>
      </c>
      <c r="D13">
        <f>'insurance final cleaned'!G600</f>
        <v>1</v>
      </c>
      <c r="E13">
        <f>'insurance final cleaned'!E600</f>
        <v>94</v>
      </c>
      <c r="F13">
        <f>'insurance final cleaned'!L600</f>
        <v>0</v>
      </c>
      <c r="G13">
        <f>'insurance final cleaned'!M600</f>
        <v>0</v>
      </c>
      <c r="H13">
        <f>'insurance final cleaned'!N600</f>
        <v>0</v>
      </c>
      <c r="I13">
        <f>'insurance final cleaned'!O600</f>
        <v>0</v>
      </c>
      <c r="J13">
        <f>'insurance final cleaned'!P600</f>
        <v>1.0911074073535088E-2</v>
      </c>
      <c r="K13">
        <f>'insurance final cleaned'!Q600</f>
        <v>0</v>
      </c>
      <c r="L13">
        <f>'insurance final cleaned'!R600</f>
        <v>0</v>
      </c>
      <c r="M13">
        <f>'insurance final cleaned'!S600</f>
        <v>0</v>
      </c>
    </row>
    <row r="14" spans="1:13" x14ac:dyDescent="0.3">
      <c r="A14">
        <f>'insurance final cleaned'!J1195</f>
        <v>33750.29</v>
      </c>
      <c r="B14">
        <f>'insurance final cleaned'!B1195</f>
        <v>46</v>
      </c>
      <c r="C14">
        <f>'insurance final cleaned'!D1195</f>
        <v>31.9</v>
      </c>
      <c r="D14">
        <f>'insurance final cleaned'!G1195</f>
        <v>0</v>
      </c>
      <c r="E14">
        <f>'insurance final cleaned'!E1195</f>
        <v>82</v>
      </c>
      <c r="F14">
        <f>'insurance final cleaned'!L1195</f>
        <v>31.9</v>
      </c>
      <c r="G14">
        <f>'insurance final cleaned'!M1195</f>
        <v>0</v>
      </c>
      <c r="H14">
        <f>'insurance final cleaned'!N1195</f>
        <v>0</v>
      </c>
      <c r="I14">
        <f>'insurance final cleaned'!O1195</f>
        <v>1</v>
      </c>
      <c r="J14">
        <f>'insurance final cleaned'!P1195</f>
        <v>1.1240828778269818E-2</v>
      </c>
      <c r="K14">
        <f>'insurance final cleaned'!Q1195</f>
        <v>1</v>
      </c>
      <c r="L14">
        <f>'insurance final cleaned'!R1195</f>
        <v>1</v>
      </c>
      <c r="M14">
        <f>'insurance final cleaned'!S1195</f>
        <v>0</v>
      </c>
    </row>
    <row r="15" spans="1:13" x14ac:dyDescent="0.3">
      <c r="A15">
        <f>'insurance final cleaned'!J1157</f>
        <v>27000.98</v>
      </c>
      <c r="B15">
        <f>'insurance final cleaned'!B1157</f>
        <v>28</v>
      </c>
      <c r="C15">
        <f>'insurance final cleaned'!D1157</f>
        <v>31.5</v>
      </c>
      <c r="D15">
        <f>'insurance final cleaned'!G1157</f>
        <v>1</v>
      </c>
      <c r="E15">
        <f>'insurance final cleaned'!E1157</f>
        <v>94</v>
      </c>
      <c r="F15">
        <f>'insurance final cleaned'!L1157</f>
        <v>0</v>
      </c>
      <c r="G15">
        <f>'insurance final cleaned'!M1157</f>
        <v>1</v>
      </c>
      <c r="H15">
        <f>'insurance final cleaned'!N1157</f>
        <v>0</v>
      </c>
      <c r="I15">
        <f>'insurance final cleaned'!O1157</f>
        <v>0</v>
      </c>
      <c r="J15">
        <f>'insurance final cleaned'!P1157</f>
        <v>1.1857174612883492E-2</v>
      </c>
      <c r="K15">
        <f>'insurance final cleaned'!Q1157</f>
        <v>0</v>
      </c>
      <c r="L15">
        <f>'insurance final cleaned'!R1157</f>
        <v>1</v>
      </c>
      <c r="M15">
        <f>'insurance final cleaned'!S1157</f>
        <v>0</v>
      </c>
    </row>
    <row r="16" spans="1:13" x14ac:dyDescent="0.3">
      <c r="A16">
        <f>'insurance final cleaned'!J92</f>
        <v>1981.58</v>
      </c>
      <c r="B16">
        <f>'insurance final cleaned'!B92</f>
        <v>19</v>
      </c>
      <c r="C16">
        <f>'insurance final cleaned'!D92</f>
        <v>32</v>
      </c>
      <c r="D16">
        <f>'insurance final cleaned'!G92</f>
        <v>0</v>
      </c>
      <c r="E16">
        <f>'insurance final cleaned'!E92</f>
        <v>100</v>
      </c>
      <c r="F16">
        <f>'insurance final cleaned'!L92</f>
        <v>0</v>
      </c>
      <c r="G16">
        <f>'insurance final cleaned'!M92</f>
        <v>1</v>
      </c>
      <c r="H16">
        <f>'insurance final cleaned'!N92</f>
        <v>0</v>
      </c>
      <c r="I16">
        <f>'insurance final cleaned'!O92</f>
        <v>0</v>
      </c>
      <c r="J16">
        <f>'insurance final cleaned'!P92</f>
        <v>1.220371666127007E-2</v>
      </c>
      <c r="K16">
        <f>'insurance final cleaned'!Q92</f>
        <v>0</v>
      </c>
      <c r="L16">
        <f>'insurance final cleaned'!R92</f>
        <v>1</v>
      </c>
      <c r="M16">
        <f>'insurance final cleaned'!S92</f>
        <v>0</v>
      </c>
    </row>
    <row r="17" spans="1:13" x14ac:dyDescent="0.3">
      <c r="A17">
        <f>'insurance final cleaned'!J721</f>
        <v>10106.129999999999</v>
      </c>
      <c r="B17">
        <f>'insurance final cleaned'!B721</f>
        <v>27</v>
      </c>
      <c r="C17">
        <f>'insurance final cleaned'!D721</f>
        <v>27.1</v>
      </c>
      <c r="D17">
        <f>'insurance final cleaned'!G721</f>
        <v>1</v>
      </c>
      <c r="E17">
        <f>'insurance final cleaned'!E721</f>
        <v>103</v>
      </c>
      <c r="F17">
        <f>'insurance final cleaned'!L721</f>
        <v>0</v>
      </c>
      <c r="G17">
        <f>'insurance final cleaned'!M721</f>
        <v>0</v>
      </c>
      <c r="H17">
        <f>'insurance final cleaned'!N721</f>
        <v>0</v>
      </c>
      <c r="I17">
        <f>'insurance final cleaned'!O721</f>
        <v>0</v>
      </c>
      <c r="J17">
        <f>'insurance final cleaned'!P721</f>
        <v>1.2306170761926749E-2</v>
      </c>
      <c r="K17">
        <f>'insurance final cleaned'!Q721</f>
        <v>0</v>
      </c>
      <c r="L17">
        <f>'insurance final cleaned'!R721</f>
        <v>0</v>
      </c>
      <c r="M17">
        <f>'insurance final cleaned'!S721</f>
        <v>1</v>
      </c>
    </row>
    <row r="18" spans="1:13" x14ac:dyDescent="0.3">
      <c r="A18">
        <f>'insurance final cleaned'!J317</f>
        <v>4504.66</v>
      </c>
      <c r="B18">
        <f>'insurance final cleaned'!B317</f>
        <v>44</v>
      </c>
      <c r="C18">
        <f>'insurance final cleaned'!D317</f>
        <v>33.700000000000003</v>
      </c>
      <c r="D18">
        <f>'insurance final cleaned'!G317</f>
        <v>4</v>
      </c>
      <c r="E18">
        <f>'insurance final cleaned'!E317</f>
        <v>96</v>
      </c>
      <c r="F18">
        <f>'insurance final cleaned'!L317</f>
        <v>0</v>
      </c>
      <c r="G18">
        <f>'insurance final cleaned'!M317</f>
        <v>1</v>
      </c>
      <c r="H18">
        <f>'insurance final cleaned'!N317</f>
        <v>0</v>
      </c>
      <c r="I18">
        <f>'insurance final cleaned'!O317</f>
        <v>0</v>
      </c>
      <c r="J18">
        <f>'insurance final cleaned'!P317</f>
        <v>1.2629174748795213E-2</v>
      </c>
      <c r="K18">
        <f>'insurance final cleaned'!Q317</f>
        <v>0</v>
      </c>
      <c r="L18">
        <f>'insurance final cleaned'!R317</f>
        <v>0</v>
      </c>
      <c r="M18">
        <f>'insurance final cleaned'!S317</f>
        <v>0</v>
      </c>
    </row>
    <row r="19" spans="1:13" x14ac:dyDescent="0.3">
      <c r="A19">
        <f>'insurance final cleaned'!J700</f>
        <v>9788.8700000000008</v>
      </c>
      <c r="B19">
        <f>'insurance final cleaned'!B700</f>
        <v>25</v>
      </c>
      <c r="C19">
        <f>'insurance final cleaned'!D700</f>
        <v>24.3</v>
      </c>
      <c r="D19">
        <f>'insurance final cleaned'!G700</f>
        <v>5</v>
      </c>
      <c r="E19">
        <f>'insurance final cleaned'!E700</f>
        <v>89</v>
      </c>
      <c r="F19">
        <f>'insurance final cleaned'!L700</f>
        <v>0</v>
      </c>
      <c r="G19">
        <f>'insurance final cleaned'!M700</f>
        <v>1</v>
      </c>
      <c r="H19">
        <f>'insurance final cleaned'!N700</f>
        <v>0</v>
      </c>
      <c r="I19">
        <f>'insurance final cleaned'!O700</f>
        <v>0</v>
      </c>
      <c r="J19">
        <f>'insurance final cleaned'!P700</f>
        <v>1.3696809634826668E-2</v>
      </c>
      <c r="K19">
        <f>'insurance final cleaned'!Q700</f>
        <v>0</v>
      </c>
      <c r="L19">
        <f>'insurance final cleaned'!R700</f>
        <v>0</v>
      </c>
      <c r="M19">
        <f>'insurance final cleaned'!S700</f>
        <v>0</v>
      </c>
    </row>
    <row r="20" spans="1:13" x14ac:dyDescent="0.3">
      <c r="A20">
        <f>'insurance final cleaned'!J1263</f>
        <v>40003.33</v>
      </c>
      <c r="B20">
        <f>'insurance final cleaned'!B1263</f>
        <v>40</v>
      </c>
      <c r="C20">
        <f>'insurance final cleaned'!D1263</f>
        <v>32.799999999999997</v>
      </c>
      <c r="D20">
        <f>'insurance final cleaned'!G1263</f>
        <v>2</v>
      </c>
      <c r="E20">
        <f>'insurance final cleaned'!E1263</f>
        <v>107</v>
      </c>
      <c r="F20">
        <f>'insurance final cleaned'!L1263</f>
        <v>32.799999999999997</v>
      </c>
      <c r="G20">
        <f>'insurance final cleaned'!M1263</f>
        <v>0</v>
      </c>
      <c r="H20">
        <f>'insurance final cleaned'!N1263</f>
        <v>0</v>
      </c>
      <c r="I20">
        <f>'insurance final cleaned'!O1263</f>
        <v>1</v>
      </c>
      <c r="J20">
        <f>'insurance final cleaned'!P1263</f>
        <v>1.4187797315304507E-2</v>
      </c>
      <c r="K20">
        <f>'insurance final cleaned'!Q1263</f>
        <v>1</v>
      </c>
      <c r="L20">
        <f>'insurance final cleaned'!R1263</f>
        <v>1</v>
      </c>
      <c r="M20">
        <f>'insurance final cleaned'!S1263</f>
        <v>1</v>
      </c>
    </row>
    <row r="21" spans="1:13" x14ac:dyDescent="0.3">
      <c r="A21">
        <f>'insurance final cleaned'!J195</f>
        <v>3044.21</v>
      </c>
      <c r="B21">
        <f>'insurance final cleaned'!B195</f>
        <v>54</v>
      </c>
      <c r="C21">
        <f>'insurance final cleaned'!D195</f>
        <v>25.3</v>
      </c>
      <c r="D21">
        <f>'insurance final cleaned'!G195</f>
        <v>0</v>
      </c>
      <c r="E21">
        <f>'insurance final cleaned'!E195</f>
        <v>100</v>
      </c>
      <c r="F21">
        <f>'insurance final cleaned'!L195</f>
        <v>0</v>
      </c>
      <c r="G21">
        <f>'insurance final cleaned'!M195</f>
        <v>0</v>
      </c>
      <c r="H21">
        <f>'insurance final cleaned'!N195</f>
        <v>0</v>
      </c>
      <c r="I21">
        <f>'insurance final cleaned'!O195</f>
        <v>0</v>
      </c>
      <c r="J21">
        <f>'insurance final cleaned'!P195</f>
        <v>1.4418805632485765E-2</v>
      </c>
      <c r="K21">
        <f>'insurance final cleaned'!Q195</f>
        <v>0</v>
      </c>
      <c r="L21">
        <f>'insurance final cleaned'!R195</f>
        <v>0</v>
      </c>
      <c r="M21">
        <f>'insurance final cleaned'!S195</f>
        <v>1</v>
      </c>
    </row>
    <row r="22" spans="1:13" x14ac:dyDescent="0.3">
      <c r="A22">
        <f>'insurance final cleaned'!J424</f>
        <v>5926.85</v>
      </c>
      <c r="B22">
        <f>'insurance final cleaned'!B424</f>
        <v>27</v>
      </c>
      <c r="C22">
        <f>'insurance final cleaned'!D424</f>
        <v>28.9</v>
      </c>
      <c r="D22">
        <f>'insurance final cleaned'!G424</f>
        <v>3</v>
      </c>
      <c r="E22">
        <f>'insurance final cleaned'!E424</f>
        <v>94</v>
      </c>
      <c r="F22">
        <f>'insurance final cleaned'!L424</f>
        <v>0</v>
      </c>
      <c r="G22">
        <f>'insurance final cleaned'!M424</f>
        <v>0</v>
      </c>
      <c r="H22">
        <f>'insurance final cleaned'!N424</f>
        <v>1</v>
      </c>
      <c r="I22">
        <f>'insurance final cleaned'!O424</f>
        <v>0</v>
      </c>
      <c r="J22">
        <f>'insurance final cleaned'!P424</f>
        <v>1.5174240051458288E-2</v>
      </c>
      <c r="K22">
        <f>'insurance final cleaned'!Q424</f>
        <v>0</v>
      </c>
      <c r="L22">
        <f>'insurance final cleaned'!R424</f>
        <v>1</v>
      </c>
      <c r="M22">
        <f>'insurance final cleaned'!S424</f>
        <v>0</v>
      </c>
    </row>
    <row r="23" spans="1:13" x14ac:dyDescent="0.3">
      <c r="A23">
        <f>'insurance final cleaned'!J63</f>
        <v>1727.79</v>
      </c>
      <c r="B23">
        <f>'insurance final cleaned'!B63</f>
        <v>32</v>
      </c>
      <c r="C23">
        <f>'insurance final cleaned'!D63</f>
        <v>17.8</v>
      </c>
      <c r="D23">
        <f>'insurance final cleaned'!G63</f>
        <v>0</v>
      </c>
      <c r="E23">
        <f>'insurance final cleaned'!E63</f>
        <v>90</v>
      </c>
      <c r="F23">
        <f>'insurance final cleaned'!L63</f>
        <v>0</v>
      </c>
      <c r="G23">
        <f>'insurance final cleaned'!M63</f>
        <v>0</v>
      </c>
      <c r="H23">
        <f>'insurance final cleaned'!N63</f>
        <v>1</v>
      </c>
      <c r="I23">
        <f>'insurance final cleaned'!O63</f>
        <v>0</v>
      </c>
      <c r="J23">
        <f>'insurance final cleaned'!P63</f>
        <v>1.654842013884128E-2</v>
      </c>
      <c r="K23">
        <f>'insurance final cleaned'!Q63</f>
        <v>0</v>
      </c>
      <c r="L23">
        <f>'insurance final cleaned'!R63</f>
        <v>0</v>
      </c>
      <c r="M23">
        <f>'insurance final cleaned'!S63</f>
        <v>1</v>
      </c>
    </row>
    <row r="24" spans="1:13" x14ac:dyDescent="0.3">
      <c r="A24">
        <f>'insurance final cleaned'!J406</f>
        <v>5488.26</v>
      </c>
      <c r="B24">
        <f>'insurance final cleaned'!B406</f>
        <v>23</v>
      </c>
      <c r="C24">
        <f>'insurance final cleaned'!D406</f>
        <v>31</v>
      </c>
      <c r="D24">
        <f>'insurance final cleaned'!G406</f>
        <v>1</v>
      </c>
      <c r="E24">
        <f>'insurance final cleaned'!E406</f>
        <v>90</v>
      </c>
      <c r="F24">
        <f>'insurance final cleaned'!L406</f>
        <v>0</v>
      </c>
      <c r="G24">
        <f>'insurance final cleaned'!M406</f>
        <v>0</v>
      </c>
      <c r="H24">
        <f>'insurance final cleaned'!N406</f>
        <v>1</v>
      </c>
      <c r="I24">
        <f>'insurance final cleaned'!O406</f>
        <v>0</v>
      </c>
      <c r="J24">
        <f>'insurance final cleaned'!P406</f>
        <v>1.69081768793371E-2</v>
      </c>
      <c r="K24">
        <f>'insurance final cleaned'!Q406</f>
        <v>0</v>
      </c>
      <c r="L24">
        <f>'insurance final cleaned'!R406</f>
        <v>0</v>
      </c>
      <c r="M24">
        <f>'insurance final cleaned'!S406</f>
        <v>0</v>
      </c>
    </row>
    <row r="25" spans="1:13" x14ac:dyDescent="0.3">
      <c r="A25">
        <f>'insurance final cleaned'!J1160</f>
        <v>27218.44</v>
      </c>
      <c r="B25">
        <f>'insurance final cleaned'!B1160</f>
        <v>20</v>
      </c>
      <c r="C25">
        <f>'insurance final cleaned'!D1160</f>
        <v>29</v>
      </c>
      <c r="D25">
        <f>'insurance final cleaned'!G1160</f>
        <v>0</v>
      </c>
      <c r="E25">
        <f>'insurance final cleaned'!E1160</f>
        <v>101</v>
      </c>
      <c r="F25">
        <f>'insurance final cleaned'!L1160</f>
        <v>29</v>
      </c>
      <c r="G25">
        <f>'insurance final cleaned'!M1160</f>
        <v>0</v>
      </c>
      <c r="H25">
        <f>'insurance final cleaned'!N1160</f>
        <v>0</v>
      </c>
      <c r="I25">
        <f>'insurance final cleaned'!O1160</f>
        <v>0</v>
      </c>
      <c r="J25">
        <f>'insurance final cleaned'!P1160</f>
        <v>1.9518897780492428E-2</v>
      </c>
      <c r="K25">
        <f>'insurance final cleaned'!Q1160</f>
        <v>1</v>
      </c>
      <c r="L25">
        <f>'insurance final cleaned'!R1160</f>
        <v>0</v>
      </c>
      <c r="M25">
        <f>'insurance final cleaned'!S1160</f>
        <v>0</v>
      </c>
    </row>
    <row r="26" spans="1:13" x14ac:dyDescent="0.3">
      <c r="A26">
        <f>'insurance final cleaned'!J60</f>
        <v>1720.35</v>
      </c>
      <c r="B26">
        <f>'insurance final cleaned'!B60</f>
        <v>50</v>
      </c>
      <c r="C26">
        <f>'insurance final cleaned'!D60</f>
        <v>30</v>
      </c>
      <c r="D26">
        <f>'insurance final cleaned'!G60</f>
        <v>1</v>
      </c>
      <c r="E26">
        <f>'insurance final cleaned'!E60</f>
        <v>88</v>
      </c>
      <c r="F26">
        <f>'insurance final cleaned'!L60</f>
        <v>0</v>
      </c>
      <c r="G26">
        <f>'insurance final cleaned'!M60</f>
        <v>1</v>
      </c>
      <c r="H26">
        <f>'insurance final cleaned'!N60</f>
        <v>0</v>
      </c>
      <c r="I26">
        <f>'insurance final cleaned'!O60</f>
        <v>0</v>
      </c>
      <c r="J26">
        <f>'insurance final cleaned'!P60</f>
        <v>2.0688348861055195E-2</v>
      </c>
      <c r="K26">
        <f>'insurance final cleaned'!Q60</f>
        <v>0</v>
      </c>
      <c r="L26">
        <f>'insurance final cleaned'!R60</f>
        <v>0</v>
      </c>
      <c r="M26">
        <f>'insurance final cleaned'!S60</f>
        <v>0</v>
      </c>
    </row>
    <row r="27" spans="1:13" x14ac:dyDescent="0.3">
      <c r="A27">
        <f>'insurance final cleaned'!J1043</f>
        <v>18838.7</v>
      </c>
      <c r="B27">
        <f>'insurance final cleaned'!B1043</f>
        <v>30</v>
      </c>
      <c r="C27">
        <f>'insurance final cleaned'!D1043</f>
        <v>27.9</v>
      </c>
      <c r="D27">
        <f>'insurance final cleaned'!G1043</f>
        <v>3</v>
      </c>
      <c r="E27">
        <f>'insurance final cleaned'!E1043</f>
        <v>84</v>
      </c>
      <c r="F27">
        <f>'insurance final cleaned'!L1043</f>
        <v>0</v>
      </c>
      <c r="G27">
        <f>'insurance final cleaned'!M1043</f>
        <v>0</v>
      </c>
      <c r="H27">
        <f>'insurance final cleaned'!N1043</f>
        <v>0</v>
      </c>
      <c r="I27">
        <f>'insurance final cleaned'!O1043</f>
        <v>1</v>
      </c>
      <c r="J27">
        <f>'insurance final cleaned'!P1043</f>
        <v>2.0881426212516097E-2</v>
      </c>
      <c r="K27">
        <f>'insurance final cleaned'!Q1043</f>
        <v>0</v>
      </c>
      <c r="L27">
        <f>'insurance final cleaned'!R1043</f>
        <v>0</v>
      </c>
      <c r="M27">
        <f>'insurance final cleaned'!S1043</f>
        <v>1</v>
      </c>
    </row>
    <row r="28" spans="1:13" x14ac:dyDescent="0.3">
      <c r="A28">
        <f>'insurance final cleaned'!J411</f>
        <v>5649.72</v>
      </c>
      <c r="B28">
        <f>'insurance final cleaned'!B411</f>
        <v>54</v>
      </c>
      <c r="C28">
        <f>'insurance final cleaned'!D411</f>
        <v>32.799999999999997</v>
      </c>
      <c r="D28">
        <f>'insurance final cleaned'!G411</f>
        <v>0</v>
      </c>
      <c r="E28">
        <f>'insurance final cleaned'!E411</f>
        <v>86</v>
      </c>
      <c r="F28">
        <f>'insurance final cleaned'!L411</f>
        <v>0</v>
      </c>
      <c r="G28">
        <f>'insurance final cleaned'!M411</f>
        <v>0</v>
      </c>
      <c r="H28">
        <f>'insurance final cleaned'!N411</f>
        <v>1</v>
      </c>
      <c r="I28">
        <f>'insurance final cleaned'!O411</f>
        <v>0</v>
      </c>
      <c r="J28">
        <f>'insurance final cleaned'!P411</f>
        <v>2.1349953403279498E-2</v>
      </c>
      <c r="K28">
        <f>'insurance final cleaned'!Q411</f>
        <v>0</v>
      </c>
      <c r="L28">
        <f>'insurance final cleaned'!R411</f>
        <v>1</v>
      </c>
      <c r="M28">
        <f>'insurance final cleaned'!S411</f>
        <v>1</v>
      </c>
    </row>
    <row r="29" spans="1:13" x14ac:dyDescent="0.3">
      <c r="A29">
        <f>'insurance final cleaned'!J520</f>
        <v>7162.01</v>
      </c>
      <c r="B29">
        <f>'insurance final cleaned'!B520</f>
        <v>19</v>
      </c>
      <c r="C29">
        <f>'insurance final cleaned'!D520</f>
        <v>37.200000000000003</v>
      </c>
      <c r="D29">
        <f>'insurance final cleaned'!G520</f>
        <v>2</v>
      </c>
      <c r="E29">
        <f>'insurance final cleaned'!E520</f>
        <v>96</v>
      </c>
      <c r="F29">
        <f>'insurance final cleaned'!L520</f>
        <v>0</v>
      </c>
      <c r="G29">
        <f>'insurance final cleaned'!M520</f>
        <v>1</v>
      </c>
      <c r="H29">
        <f>'insurance final cleaned'!N520</f>
        <v>0</v>
      </c>
      <c r="I29">
        <f>'insurance final cleaned'!O520</f>
        <v>0</v>
      </c>
      <c r="J29">
        <f>'insurance final cleaned'!P520</f>
        <v>2.2179350299485701E-2</v>
      </c>
      <c r="K29">
        <f>'insurance final cleaned'!Q520</f>
        <v>0</v>
      </c>
      <c r="L29">
        <f>'insurance final cleaned'!R520</f>
        <v>1</v>
      </c>
      <c r="M29">
        <f>'insurance final cleaned'!S520</f>
        <v>0</v>
      </c>
    </row>
    <row r="30" spans="1:13" x14ac:dyDescent="0.3">
      <c r="A30">
        <f>'insurance final cleaned'!J38</f>
        <v>1632.04</v>
      </c>
      <c r="B30">
        <f>'insurance final cleaned'!B38</f>
        <v>48</v>
      </c>
      <c r="C30">
        <f>'insurance final cleaned'!D38</f>
        <v>25.2</v>
      </c>
      <c r="D30">
        <f>'insurance final cleaned'!G38</f>
        <v>0</v>
      </c>
      <c r="E30">
        <f>'insurance final cleaned'!E38</f>
        <v>98</v>
      </c>
      <c r="F30">
        <f>'insurance final cleaned'!L38</f>
        <v>0</v>
      </c>
      <c r="G30">
        <f>'insurance final cleaned'!M38</f>
        <v>0</v>
      </c>
      <c r="H30">
        <f>'insurance final cleaned'!N38</f>
        <v>0</v>
      </c>
      <c r="I30">
        <f>'insurance final cleaned'!O38</f>
        <v>1</v>
      </c>
      <c r="J30">
        <f>'insurance final cleaned'!P38</f>
        <v>2.3809640965968604E-2</v>
      </c>
      <c r="K30">
        <f>'insurance final cleaned'!Q38</f>
        <v>0</v>
      </c>
      <c r="L30">
        <f>'insurance final cleaned'!R38</f>
        <v>0</v>
      </c>
      <c r="M30">
        <f>'insurance final cleaned'!S38</f>
        <v>0</v>
      </c>
    </row>
    <row r="31" spans="1:13" x14ac:dyDescent="0.3">
      <c r="A31">
        <f>'insurance final cleaned'!J1245</f>
        <v>38709.18</v>
      </c>
      <c r="B31">
        <f>'insurance final cleaned'!B1245</f>
        <v>29</v>
      </c>
      <c r="C31">
        <f>'insurance final cleaned'!D1245</f>
        <v>35.200000000000003</v>
      </c>
      <c r="D31">
        <f>'insurance final cleaned'!G1245</f>
        <v>1</v>
      </c>
      <c r="E31">
        <f>'insurance final cleaned'!E1245</f>
        <v>85</v>
      </c>
      <c r="F31">
        <f>'insurance final cleaned'!L1245</f>
        <v>35.200000000000003</v>
      </c>
      <c r="G31">
        <f>'insurance final cleaned'!M1245</f>
        <v>1</v>
      </c>
      <c r="H31">
        <f>'insurance final cleaned'!N1245</f>
        <v>0</v>
      </c>
      <c r="I31">
        <f>'insurance final cleaned'!O1245</f>
        <v>0</v>
      </c>
      <c r="J31">
        <f>'insurance final cleaned'!P1245</f>
        <v>2.3900099027360233E-2</v>
      </c>
      <c r="K31">
        <f>'insurance final cleaned'!Q1245</f>
        <v>1</v>
      </c>
      <c r="L31">
        <f>'insurance final cleaned'!R1245</f>
        <v>0</v>
      </c>
      <c r="M31">
        <f>'insurance final cleaned'!S1245</f>
        <v>0</v>
      </c>
    </row>
    <row r="32" spans="1:13" x14ac:dyDescent="0.3">
      <c r="A32">
        <f>'insurance final cleaned'!J1196</f>
        <v>33900.65</v>
      </c>
      <c r="B32">
        <f>'insurance final cleaned'!B1196</f>
        <v>48</v>
      </c>
      <c r="C32">
        <f>'insurance final cleaned'!D1196</f>
        <v>30.2</v>
      </c>
      <c r="D32">
        <f>'insurance final cleaned'!G1196</f>
        <v>0</v>
      </c>
      <c r="E32">
        <f>'insurance final cleaned'!E1196</f>
        <v>129</v>
      </c>
      <c r="F32">
        <f>'insurance final cleaned'!L1196</f>
        <v>30.2</v>
      </c>
      <c r="G32">
        <f>'insurance final cleaned'!M1196</f>
        <v>0</v>
      </c>
      <c r="H32">
        <f>'insurance final cleaned'!N1196</f>
        <v>1</v>
      </c>
      <c r="I32">
        <f>'insurance final cleaned'!O1196</f>
        <v>0</v>
      </c>
      <c r="J32">
        <f>'insurance final cleaned'!P1196</f>
        <v>2.4572738582000264E-2</v>
      </c>
      <c r="K32">
        <f>'insurance final cleaned'!Q1196</f>
        <v>1</v>
      </c>
      <c r="L32">
        <f>'insurance final cleaned'!R1196</f>
        <v>1</v>
      </c>
      <c r="M32">
        <f>'insurance final cleaned'!S1196</f>
        <v>1</v>
      </c>
    </row>
    <row r="33" spans="1:13" x14ac:dyDescent="0.3">
      <c r="A33">
        <f>'insurance final cleaned'!J231</f>
        <v>3471.41</v>
      </c>
      <c r="B33">
        <f>'insurance final cleaned'!B231</f>
        <v>42</v>
      </c>
      <c r="C33">
        <f>'insurance final cleaned'!D231</f>
        <v>38.9</v>
      </c>
      <c r="D33">
        <f>'insurance final cleaned'!G231</f>
        <v>1</v>
      </c>
      <c r="E33">
        <f>'insurance final cleaned'!E231</f>
        <v>94</v>
      </c>
      <c r="F33">
        <f>'insurance final cleaned'!L231</f>
        <v>0</v>
      </c>
      <c r="G33">
        <f>'insurance final cleaned'!M231</f>
        <v>1</v>
      </c>
      <c r="H33">
        <f>'insurance final cleaned'!N231</f>
        <v>0</v>
      </c>
      <c r="I33">
        <f>'insurance final cleaned'!O231</f>
        <v>0</v>
      </c>
      <c r="J33">
        <f>'insurance final cleaned'!P231</f>
        <v>2.6428223088663216E-2</v>
      </c>
      <c r="K33">
        <f>'insurance final cleaned'!Q231</f>
        <v>0</v>
      </c>
      <c r="L33">
        <f>'insurance final cleaned'!R231</f>
        <v>0</v>
      </c>
      <c r="M33">
        <f>'insurance final cleaned'!S231</f>
        <v>0</v>
      </c>
    </row>
    <row r="34" spans="1:13" x14ac:dyDescent="0.3">
      <c r="A34">
        <f>'insurance final cleaned'!J78</f>
        <v>1842.52</v>
      </c>
      <c r="B34">
        <f>'insurance final cleaned'!B78</f>
        <v>38</v>
      </c>
      <c r="C34">
        <f>'insurance final cleaned'!D78</f>
        <v>28.4</v>
      </c>
      <c r="D34">
        <f>'insurance final cleaned'!G78</f>
        <v>1</v>
      </c>
      <c r="E34">
        <f>'insurance final cleaned'!E78</f>
        <v>87</v>
      </c>
      <c r="F34">
        <f>'insurance final cleaned'!L78</f>
        <v>0</v>
      </c>
      <c r="G34">
        <f>'insurance final cleaned'!M78</f>
        <v>0</v>
      </c>
      <c r="H34">
        <f>'insurance final cleaned'!N78</f>
        <v>1</v>
      </c>
      <c r="I34">
        <f>'insurance final cleaned'!O78</f>
        <v>0</v>
      </c>
      <c r="J34">
        <f>'insurance final cleaned'!P78</f>
        <v>2.7157038348454288E-2</v>
      </c>
      <c r="K34">
        <f>'insurance final cleaned'!Q78</f>
        <v>0</v>
      </c>
      <c r="L34">
        <f>'insurance final cleaned'!R78</f>
        <v>0</v>
      </c>
      <c r="M34">
        <f>'insurance final cleaned'!S78</f>
        <v>0</v>
      </c>
    </row>
    <row r="35" spans="1:13" x14ac:dyDescent="0.3">
      <c r="A35">
        <f>'insurance final cleaned'!J640</f>
        <v>8827.2099999999991</v>
      </c>
      <c r="B35">
        <f>'insurance final cleaned'!B640</f>
        <v>31</v>
      </c>
      <c r="C35">
        <f>'insurance final cleaned'!D640</f>
        <v>26.4</v>
      </c>
      <c r="D35">
        <f>'insurance final cleaned'!G640</f>
        <v>0</v>
      </c>
      <c r="E35">
        <f>'insurance final cleaned'!E640</f>
        <v>100</v>
      </c>
      <c r="F35">
        <f>'insurance final cleaned'!L640</f>
        <v>0</v>
      </c>
      <c r="G35">
        <f>'insurance final cleaned'!M640</f>
        <v>0</v>
      </c>
      <c r="H35">
        <f>'insurance final cleaned'!N640</f>
        <v>0</v>
      </c>
      <c r="I35">
        <f>'insurance final cleaned'!O640</f>
        <v>1</v>
      </c>
      <c r="J35">
        <f>'insurance final cleaned'!P640</f>
        <v>2.7181771742407879E-2</v>
      </c>
      <c r="K35">
        <f>'insurance final cleaned'!Q640</f>
        <v>0</v>
      </c>
      <c r="L35">
        <f>'insurance final cleaned'!R640</f>
        <v>1</v>
      </c>
      <c r="M35">
        <f>'insurance final cleaned'!S640</f>
        <v>0</v>
      </c>
    </row>
    <row r="36" spans="1:13" x14ac:dyDescent="0.3">
      <c r="A36">
        <f>'insurance final cleaned'!J74</f>
        <v>1826.84</v>
      </c>
      <c r="B36">
        <f>'insurance final cleaned'!B74</f>
        <v>22</v>
      </c>
      <c r="C36">
        <f>'insurance final cleaned'!D74</f>
        <v>34.4</v>
      </c>
      <c r="D36">
        <f>'insurance final cleaned'!G74</f>
        <v>0</v>
      </c>
      <c r="E36">
        <f>'insurance final cleaned'!E74</f>
        <v>98</v>
      </c>
      <c r="F36">
        <f>'insurance final cleaned'!L74</f>
        <v>0</v>
      </c>
      <c r="G36">
        <f>'insurance final cleaned'!M74</f>
        <v>0</v>
      </c>
      <c r="H36">
        <f>'insurance final cleaned'!N74</f>
        <v>1</v>
      </c>
      <c r="I36">
        <f>'insurance final cleaned'!O74</f>
        <v>0</v>
      </c>
      <c r="J36">
        <f>'insurance final cleaned'!P74</f>
        <v>2.7306245383220018E-2</v>
      </c>
      <c r="K36">
        <f>'insurance final cleaned'!Q74</f>
        <v>0</v>
      </c>
      <c r="L36">
        <f>'insurance final cleaned'!R74</f>
        <v>1</v>
      </c>
      <c r="M36">
        <f>'insurance final cleaned'!S74</f>
        <v>0</v>
      </c>
    </row>
    <row r="37" spans="1:13" x14ac:dyDescent="0.3">
      <c r="A37">
        <f>'insurance final cleaned'!J845</f>
        <v>11938.26</v>
      </c>
      <c r="B37">
        <f>'insurance final cleaned'!B845</f>
        <v>44</v>
      </c>
      <c r="C37">
        <f>'insurance final cleaned'!D845</f>
        <v>30.3</v>
      </c>
      <c r="D37">
        <f>'insurance final cleaned'!G845</f>
        <v>0</v>
      </c>
      <c r="E37">
        <f>'insurance final cleaned'!E845</f>
        <v>102</v>
      </c>
      <c r="F37">
        <f>'insurance final cleaned'!L845</f>
        <v>0</v>
      </c>
      <c r="G37">
        <f>'insurance final cleaned'!M845</f>
        <v>0</v>
      </c>
      <c r="H37">
        <f>'insurance final cleaned'!N845</f>
        <v>0</v>
      </c>
      <c r="I37">
        <f>'insurance final cleaned'!O845</f>
        <v>0</v>
      </c>
      <c r="J37">
        <f>'insurance final cleaned'!P845</f>
        <v>2.9130316921158861E-2</v>
      </c>
      <c r="K37">
        <f>'insurance final cleaned'!Q845</f>
        <v>0</v>
      </c>
      <c r="L37">
        <f>'insurance final cleaned'!R845</f>
        <v>1</v>
      </c>
      <c r="M37">
        <f>'insurance final cleaned'!S845</f>
        <v>0</v>
      </c>
    </row>
    <row r="38" spans="1:13" x14ac:dyDescent="0.3">
      <c r="A38">
        <f>'insurance final cleaned'!J105</f>
        <v>2128.4299999999998</v>
      </c>
      <c r="B38">
        <f>'insurance final cleaned'!B105</f>
        <v>42</v>
      </c>
      <c r="C38">
        <f>'insurance final cleaned'!D105</f>
        <v>30.5</v>
      </c>
      <c r="D38">
        <f>'insurance final cleaned'!G105</f>
        <v>0</v>
      </c>
      <c r="E38">
        <f>'insurance final cleaned'!E105</f>
        <v>99</v>
      </c>
      <c r="F38">
        <f>'insurance final cleaned'!L105</f>
        <v>0</v>
      </c>
      <c r="G38">
        <f>'insurance final cleaned'!M105</f>
        <v>0</v>
      </c>
      <c r="H38">
        <f>'insurance final cleaned'!N105</f>
        <v>0</v>
      </c>
      <c r="I38">
        <f>'insurance final cleaned'!O105</f>
        <v>1</v>
      </c>
      <c r="J38">
        <f>'insurance final cleaned'!P105</f>
        <v>3.0104459633108482E-2</v>
      </c>
      <c r="K38">
        <f>'insurance final cleaned'!Q105</f>
        <v>0</v>
      </c>
      <c r="L38">
        <f>'insurance final cleaned'!R105</f>
        <v>0</v>
      </c>
      <c r="M38">
        <f>'insurance final cleaned'!S105</f>
        <v>1</v>
      </c>
    </row>
    <row r="39" spans="1:13" x14ac:dyDescent="0.3">
      <c r="A39">
        <f>'insurance final cleaned'!J748</f>
        <v>10579.71</v>
      </c>
      <c r="B39">
        <f>'insurance final cleaned'!B748</f>
        <v>55</v>
      </c>
      <c r="C39">
        <f>'insurance final cleaned'!D748</f>
        <v>39.6</v>
      </c>
      <c r="D39">
        <f>'insurance final cleaned'!G748</f>
        <v>1</v>
      </c>
      <c r="E39">
        <f>'insurance final cleaned'!E748</f>
        <v>91</v>
      </c>
      <c r="F39">
        <f>'insurance final cleaned'!L748</f>
        <v>0</v>
      </c>
      <c r="G39">
        <f>'insurance final cleaned'!M748</f>
        <v>1</v>
      </c>
      <c r="H39">
        <f>'insurance final cleaned'!N748</f>
        <v>0</v>
      </c>
      <c r="I39">
        <f>'insurance final cleaned'!O748</f>
        <v>0</v>
      </c>
      <c r="J39">
        <f>'insurance final cleaned'!P748</f>
        <v>3.0128125380075033E-2</v>
      </c>
      <c r="K39">
        <f>'insurance final cleaned'!Q748</f>
        <v>0</v>
      </c>
      <c r="L39">
        <f>'insurance final cleaned'!R748</f>
        <v>0</v>
      </c>
      <c r="M39">
        <f>'insurance final cleaned'!S748</f>
        <v>1</v>
      </c>
    </row>
    <row r="40" spans="1:13" x14ac:dyDescent="0.3">
      <c r="A40">
        <f>'insurance final cleaned'!J484</f>
        <v>6664.69</v>
      </c>
      <c r="B40">
        <f>'insurance final cleaned'!B484</f>
        <v>29</v>
      </c>
      <c r="C40">
        <f>'insurance final cleaned'!D484</f>
        <v>28.4</v>
      </c>
      <c r="D40">
        <f>'insurance final cleaned'!G484</f>
        <v>1</v>
      </c>
      <c r="E40">
        <f>'insurance final cleaned'!E484</f>
        <v>87</v>
      </c>
      <c r="F40">
        <f>'insurance final cleaned'!L484</f>
        <v>0</v>
      </c>
      <c r="G40">
        <f>'insurance final cleaned'!M484</f>
        <v>0</v>
      </c>
      <c r="H40">
        <f>'insurance final cleaned'!N484</f>
        <v>0</v>
      </c>
      <c r="I40">
        <f>'insurance final cleaned'!O484</f>
        <v>1</v>
      </c>
      <c r="J40">
        <f>'insurance final cleaned'!P484</f>
        <v>3.0497679054314553E-2</v>
      </c>
      <c r="K40">
        <f>'insurance final cleaned'!Q484</f>
        <v>0</v>
      </c>
      <c r="L40">
        <f>'insurance final cleaned'!R484</f>
        <v>0</v>
      </c>
      <c r="M40">
        <f>'insurance final cleaned'!S484</f>
        <v>0</v>
      </c>
    </row>
    <row r="41" spans="1:13" x14ac:dyDescent="0.3">
      <c r="A41">
        <f>'insurance final cleaned'!J533</f>
        <v>7325.05</v>
      </c>
      <c r="B41">
        <f>'insurance final cleaned'!B533</f>
        <v>25</v>
      </c>
      <c r="C41">
        <f>'insurance final cleaned'!D533</f>
        <v>25.1</v>
      </c>
      <c r="D41">
        <f>'insurance final cleaned'!G533</f>
        <v>0</v>
      </c>
      <c r="E41">
        <f>'insurance final cleaned'!E533</f>
        <v>94</v>
      </c>
      <c r="F41">
        <f>'insurance final cleaned'!L533</f>
        <v>0</v>
      </c>
      <c r="G41">
        <f>'insurance final cleaned'!M533</f>
        <v>1</v>
      </c>
      <c r="H41">
        <f>'insurance final cleaned'!N533</f>
        <v>0</v>
      </c>
      <c r="I41">
        <f>'insurance final cleaned'!O533</f>
        <v>0</v>
      </c>
      <c r="J41">
        <f>'insurance final cleaned'!P533</f>
        <v>3.0791905266557951E-2</v>
      </c>
      <c r="K41">
        <f>'insurance final cleaned'!Q533</f>
        <v>0</v>
      </c>
      <c r="L41">
        <f>'insurance final cleaned'!R533</f>
        <v>1</v>
      </c>
      <c r="M41">
        <f>'insurance final cleaned'!S533</f>
        <v>1</v>
      </c>
    </row>
    <row r="42" spans="1:13" x14ac:dyDescent="0.3">
      <c r="A42">
        <f>'insurance final cleaned'!J1070</f>
        <v>20149.32</v>
      </c>
      <c r="B42">
        <f>'insurance final cleaned'!B1070</f>
        <v>19</v>
      </c>
      <c r="C42">
        <f>'insurance final cleaned'!D1070</f>
        <v>26.4</v>
      </c>
      <c r="D42">
        <f>'insurance final cleaned'!G1070</f>
        <v>0</v>
      </c>
      <c r="E42">
        <f>'insurance final cleaned'!E1070</f>
        <v>87</v>
      </c>
      <c r="F42">
        <f>'insurance final cleaned'!L1070</f>
        <v>26.4</v>
      </c>
      <c r="G42">
        <f>'insurance final cleaned'!M1070</f>
        <v>0</v>
      </c>
      <c r="H42">
        <f>'insurance final cleaned'!N1070</f>
        <v>0</v>
      </c>
      <c r="I42">
        <f>'insurance final cleaned'!O1070</f>
        <v>0</v>
      </c>
      <c r="J42">
        <f>'insurance final cleaned'!P1070</f>
        <v>3.1056391973740993E-2</v>
      </c>
      <c r="K42">
        <f>'insurance final cleaned'!Q1070</f>
        <v>1</v>
      </c>
      <c r="L42">
        <f>'insurance final cleaned'!R1070</f>
        <v>1</v>
      </c>
      <c r="M42">
        <f>'insurance final cleaned'!S1070</f>
        <v>0</v>
      </c>
    </row>
    <row r="43" spans="1:13" x14ac:dyDescent="0.3">
      <c r="A43">
        <f>'insurance final cleaned'!J120</f>
        <v>2203.4699999999998</v>
      </c>
      <c r="B43">
        <f>'insurance final cleaned'!B120</f>
        <v>58</v>
      </c>
      <c r="C43">
        <f>'insurance final cleaned'!D120</f>
        <v>30.1</v>
      </c>
      <c r="D43">
        <f>'insurance final cleaned'!G120</f>
        <v>0</v>
      </c>
      <c r="E43">
        <f>'insurance final cleaned'!E120</f>
        <v>81</v>
      </c>
      <c r="F43">
        <f>'insurance final cleaned'!L120</f>
        <v>0</v>
      </c>
      <c r="G43">
        <f>'insurance final cleaned'!M120</f>
        <v>1</v>
      </c>
      <c r="H43">
        <f>'insurance final cleaned'!N120</f>
        <v>0</v>
      </c>
      <c r="I43">
        <f>'insurance final cleaned'!O120</f>
        <v>0</v>
      </c>
      <c r="J43">
        <f>'insurance final cleaned'!P120</f>
        <v>3.2268799692133254E-2</v>
      </c>
      <c r="K43">
        <f>'insurance final cleaned'!Q120</f>
        <v>0</v>
      </c>
      <c r="L43">
        <f>'insurance final cleaned'!R120</f>
        <v>1</v>
      </c>
      <c r="M43">
        <f>'insurance final cleaned'!S120</f>
        <v>1</v>
      </c>
    </row>
    <row r="44" spans="1:13" x14ac:dyDescent="0.3">
      <c r="A44">
        <f>'insurance final cleaned'!J869</f>
        <v>12323.94</v>
      </c>
      <c r="B44">
        <f>'insurance final cleaned'!B869</f>
        <v>46</v>
      </c>
      <c r="C44">
        <f>'insurance final cleaned'!D869</f>
        <v>24.7</v>
      </c>
      <c r="D44">
        <f>'insurance final cleaned'!G869</f>
        <v>0</v>
      </c>
      <c r="E44">
        <f>'insurance final cleaned'!E869</f>
        <v>84</v>
      </c>
      <c r="F44">
        <f>'insurance final cleaned'!L869</f>
        <v>0</v>
      </c>
      <c r="G44">
        <f>'insurance final cleaned'!M869</f>
        <v>0</v>
      </c>
      <c r="H44">
        <f>'insurance final cleaned'!N869</f>
        <v>0</v>
      </c>
      <c r="I44">
        <f>'insurance final cleaned'!O869</f>
        <v>0</v>
      </c>
      <c r="J44">
        <f>'insurance final cleaned'!P869</f>
        <v>3.265508440635756E-2</v>
      </c>
      <c r="K44">
        <f>'insurance final cleaned'!Q869</f>
        <v>0</v>
      </c>
      <c r="L44">
        <f>'insurance final cleaned'!R869</f>
        <v>0</v>
      </c>
      <c r="M44">
        <f>'insurance final cleaned'!S869</f>
        <v>0</v>
      </c>
    </row>
    <row r="45" spans="1:13" x14ac:dyDescent="0.3">
      <c r="A45">
        <f>'insurance final cleaned'!J323</f>
        <v>4561.1899999999996</v>
      </c>
      <c r="B45">
        <f>'insurance final cleaned'!B323</f>
        <v>43</v>
      </c>
      <c r="C45">
        <f>'insurance final cleaned'!D323</f>
        <v>31.4</v>
      </c>
      <c r="D45">
        <f>'insurance final cleaned'!G323</f>
        <v>4</v>
      </c>
      <c r="E45">
        <f>'insurance final cleaned'!E323</f>
        <v>99</v>
      </c>
      <c r="F45">
        <f>'insurance final cleaned'!L323</f>
        <v>0</v>
      </c>
      <c r="G45">
        <f>'insurance final cleaned'!M323</f>
        <v>1</v>
      </c>
      <c r="H45">
        <f>'insurance final cleaned'!N323</f>
        <v>0</v>
      </c>
      <c r="I45">
        <f>'insurance final cleaned'!O323</f>
        <v>0</v>
      </c>
      <c r="J45">
        <f>'insurance final cleaned'!P323</f>
        <v>3.3149116472621754E-2</v>
      </c>
      <c r="K45">
        <f>'insurance final cleaned'!Q323</f>
        <v>0</v>
      </c>
      <c r="L45">
        <f>'insurance final cleaned'!R323</f>
        <v>0</v>
      </c>
      <c r="M45">
        <f>'insurance final cleaned'!S323</f>
        <v>1</v>
      </c>
    </row>
    <row r="46" spans="1:13" x14ac:dyDescent="0.3">
      <c r="A46">
        <f>'insurance final cleaned'!J1041</f>
        <v>18804.75</v>
      </c>
      <c r="B46">
        <f>'insurance final cleaned'!B1041</f>
        <v>39</v>
      </c>
      <c r="C46">
        <f>'insurance final cleaned'!D1041</f>
        <v>30.4</v>
      </c>
      <c r="D46">
        <f>'insurance final cleaned'!G1041</f>
        <v>3</v>
      </c>
      <c r="E46">
        <f>'insurance final cleaned'!E1041</f>
        <v>92</v>
      </c>
      <c r="F46">
        <f>'insurance final cleaned'!L1041</f>
        <v>0</v>
      </c>
      <c r="G46">
        <f>'insurance final cleaned'!M1041</f>
        <v>0</v>
      </c>
      <c r="H46">
        <f>'insurance final cleaned'!N1041</f>
        <v>0</v>
      </c>
      <c r="I46">
        <f>'insurance final cleaned'!O1041</f>
        <v>1</v>
      </c>
      <c r="J46">
        <f>'insurance final cleaned'!P1041</f>
        <v>3.5142118800743916E-2</v>
      </c>
      <c r="K46">
        <f>'insurance final cleaned'!Q1041</f>
        <v>0</v>
      </c>
      <c r="L46">
        <f>'insurance final cleaned'!R1041</f>
        <v>1</v>
      </c>
      <c r="M46">
        <f>'insurance final cleaned'!S1041</f>
        <v>1</v>
      </c>
    </row>
    <row r="47" spans="1:13" x14ac:dyDescent="0.3">
      <c r="A47">
        <f>'insurance final cleaned'!J847</f>
        <v>11945.13</v>
      </c>
      <c r="B47">
        <f>'insurance final cleaned'!B847</f>
        <v>48</v>
      </c>
      <c r="C47">
        <f>'insurance final cleaned'!D847</f>
        <v>33.6</v>
      </c>
      <c r="D47">
        <f>'insurance final cleaned'!G847</f>
        <v>1</v>
      </c>
      <c r="E47">
        <f>'insurance final cleaned'!E847</f>
        <v>97</v>
      </c>
      <c r="F47">
        <f>'insurance final cleaned'!L847</f>
        <v>0</v>
      </c>
      <c r="G47">
        <f>'insurance final cleaned'!M847</f>
        <v>0</v>
      </c>
      <c r="H47">
        <f>'insurance final cleaned'!N847</f>
        <v>0</v>
      </c>
      <c r="I47">
        <f>'insurance final cleaned'!O847</f>
        <v>1</v>
      </c>
      <c r="J47">
        <f>'insurance final cleaned'!P847</f>
        <v>3.5615093317259983E-2</v>
      </c>
      <c r="K47">
        <f>'insurance final cleaned'!Q847</f>
        <v>0</v>
      </c>
      <c r="L47">
        <f>'insurance final cleaned'!R847</f>
        <v>0</v>
      </c>
      <c r="M47">
        <f>'insurance final cleaned'!S847</f>
        <v>0</v>
      </c>
    </row>
    <row r="48" spans="1:13" x14ac:dyDescent="0.3">
      <c r="A48">
        <f>'insurance final cleaned'!J496</f>
        <v>6837.37</v>
      </c>
      <c r="B48">
        <f>'insurance final cleaned'!B496</f>
        <v>32</v>
      </c>
      <c r="C48">
        <f>'insurance final cleaned'!D496</f>
        <v>26</v>
      </c>
      <c r="D48">
        <f>'insurance final cleaned'!G496</f>
        <v>0</v>
      </c>
      <c r="E48">
        <f>'insurance final cleaned'!E496</f>
        <v>90</v>
      </c>
      <c r="F48">
        <f>'insurance final cleaned'!L496</f>
        <v>0</v>
      </c>
      <c r="G48">
        <f>'insurance final cleaned'!M496</f>
        <v>1</v>
      </c>
      <c r="H48">
        <f>'insurance final cleaned'!N496</f>
        <v>0</v>
      </c>
      <c r="I48">
        <f>'insurance final cleaned'!O496</f>
        <v>0</v>
      </c>
      <c r="J48">
        <f>'insurance final cleaned'!P496</f>
        <v>3.6796588372383088E-2</v>
      </c>
      <c r="K48">
        <f>'insurance final cleaned'!Q496</f>
        <v>0</v>
      </c>
      <c r="L48">
        <f>'insurance final cleaned'!R496</f>
        <v>0</v>
      </c>
      <c r="M48">
        <f>'insurance final cleaned'!S496</f>
        <v>0</v>
      </c>
    </row>
    <row r="49" spans="1:13" x14ac:dyDescent="0.3">
      <c r="A49">
        <f>'insurance final cleaned'!J117</f>
        <v>2198.19</v>
      </c>
      <c r="B49">
        <f>'insurance final cleaned'!B117</f>
        <v>26</v>
      </c>
      <c r="C49">
        <f>'insurance final cleaned'!D117</f>
        <v>26.3</v>
      </c>
      <c r="D49">
        <f>'insurance final cleaned'!G117</f>
        <v>0</v>
      </c>
      <c r="E49">
        <f>'insurance final cleaned'!E117</f>
        <v>87</v>
      </c>
      <c r="F49">
        <f>'insurance final cleaned'!L117</f>
        <v>0</v>
      </c>
      <c r="G49">
        <f>'insurance final cleaned'!M117</f>
        <v>1</v>
      </c>
      <c r="H49">
        <f>'insurance final cleaned'!N117</f>
        <v>0</v>
      </c>
      <c r="I49">
        <f>'insurance final cleaned'!O117</f>
        <v>0</v>
      </c>
      <c r="J49">
        <f>'insurance final cleaned'!P117</f>
        <v>3.7131384639720322E-2</v>
      </c>
      <c r="K49">
        <f>'insurance final cleaned'!Q117</f>
        <v>0</v>
      </c>
      <c r="L49">
        <f>'insurance final cleaned'!R117</f>
        <v>1</v>
      </c>
      <c r="M49">
        <f>'insurance final cleaned'!S117</f>
        <v>1</v>
      </c>
    </row>
    <row r="50" spans="1:13" x14ac:dyDescent="0.3">
      <c r="A50">
        <f>'insurance final cleaned'!J764</f>
        <v>10807.49</v>
      </c>
      <c r="B50">
        <f>'insurance final cleaned'!B764</f>
        <v>28</v>
      </c>
      <c r="C50">
        <f>'insurance final cleaned'!D764</f>
        <v>32.700000000000003</v>
      </c>
      <c r="D50">
        <f>'insurance final cleaned'!G764</f>
        <v>1</v>
      </c>
      <c r="E50">
        <f>'insurance final cleaned'!E764</f>
        <v>103</v>
      </c>
      <c r="F50">
        <f>'insurance final cleaned'!L764</f>
        <v>0</v>
      </c>
      <c r="G50">
        <f>'insurance final cleaned'!M764</f>
        <v>1</v>
      </c>
      <c r="H50">
        <f>'insurance final cleaned'!N764</f>
        <v>0</v>
      </c>
      <c r="I50">
        <f>'insurance final cleaned'!O764</f>
        <v>0</v>
      </c>
      <c r="J50">
        <f>'insurance final cleaned'!P764</f>
        <v>3.8676449222802001E-2</v>
      </c>
      <c r="K50">
        <f>'insurance final cleaned'!Q764</f>
        <v>0</v>
      </c>
      <c r="L50">
        <f>'insurance final cleaned'!R764</f>
        <v>0</v>
      </c>
      <c r="M50">
        <f>'insurance final cleaned'!S764</f>
        <v>0</v>
      </c>
    </row>
    <row r="51" spans="1:13" x14ac:dyDescent="0.3">
      <c r="A51">
        <f>'insurance final cleaned'!J1071</f>
        <v>20167.34</v>
      </c>
      <c r="B51">
        <f>'insurance final cleaned'!B1071</f>
        <v>28</v>
      </c>
      <c r="C51">
        <f>'insurance final cleaned'!D1071</f>
        <v>21.8</v>
      </c>
      <c r="D51">
        <f>'insurance final cleaned'!G1071</f>
        <v>0</v>
      </c>
      <c r="E51">
        <f>'insurance final cleaned'!E1071</f>
        <v>81</v>
      </c>
      <c r="F51">
        <f>'insurance final cleaned'!L1071</f>
        <v>21.8</v>
      </c>
      <c r="G51">
        <f>'insurance final cleaned'!M1071</f>
        <v>0</v>
      </c>
      <c r="H51">
        <f>'insurance final cleaned'!N1071</f>
        <v>1</v>
      </c>
      <c r="I51">
        <f>'insurance final cleaned'!O1071</f>
        <v>0</v>
      </c>
      <c r="J51">
        <f>'insurance final cleaned'!P1071</f>
        <v>3.9192775649272149E-2</v>
      </c>
      <c r="K51">
        <f>'insurance final cleaned'!Q1071</f>
        <v>1</v>
      </c>
      <c r="L51">
        <f>'insurance final cleaned'!R1071</f>
        <v>0</v>
      </c>
      <c r="M51">
        <f>'insurance final cleaned'!S1071</f>
        <v>1</v>
      </c>
    </row>
    <row r="52" spans="1:13" x14ac:dyDescent="0.3">
      <c r="A52">
        <f>'insurance final cleaned'!J951</f>
        <v>13981.85</v>
      </c>
      <c r="B52">
        <f>'insurance final cleaned'!B951</f>
        <v>43</v>
      </c>
      <c r="C52">
        <f>'insurance final cleaned'!D951</f>
        <v>36.799999999999997</v>
      </c>
      <c r="D52">
        <f>'insurance final cleaned'!G951</f>
        <v>0</v>
      </c>
      <c r="E52">
        <f>'insurance final cleaned'!E951</f>
        <v>85</v>
      </c>
      <c r="F52">
        <f>'insurance final cleaned'!L951</f>
        <v>0</v>
      </c>
      <c r="G52">
        <f>'insurance final cleaned'!M951</f>
        <v>0</v>
      </c>
      <c r="H52">
        <f>'insurance final cleaned'!N951</f>
        <v>0</v>
      </c>
      <c r="I52">
        <f>'insurance final cleaned'!O951</f>
        <v>0</v>
      </c>
      <c r="J52">
        <f>'insurance final cleaned'!P951</f>
        <v>3.9566532683810496E-2</v>
      </c>
      <c r="K52">
        <f>'insurance final cleaned'!Q951</f>
        <v>0</v>
      </c>
      <c r="L52">
        <f>'insurance final cleaned'!R951</f>
        <v>0</v>
      </c>
      <c r="M52">
        <f>'insurance final cleaned'!S951</f>
        <v>0</v>
      </c>
    </row>
    <row r="53" spans="1:13" x14ac:dyDescent="0.3">
      <c r="A53">
        <f>'insurance final cleaned'!J525</f>
        <v>7222.79</v>
      </c>
      <c r="B53">
        <f>'insurance final cleaned'!B525</f>
        <v>43</v>
      </c>
      <c r="C53">
        <f>'insurance final cleaned'!D525</f>
        <v>21.4</v>
      </c>
      <c r="D53">
        <f>'insurance final cleaned'!G525</f>
        <v>0</v>
      </c>
      <c r="E53">
        <f>'insurance final cleaned'!E525</f>
        <v>88</v>
      </c>
      <c r="F53">
        <f>'insurance final cleaned'!L525</f>
        <v>0</v>
      </c>
      <c r="G53">
        <f>'insurance final cleaned'!M525</f>
        <v>0</v>
      </c>
      <c r="H53">
        <f>'insurance final cleaned'!N525</f>
        <v>0</v>
      </c>
      <c r="I53">
        <f>'insurance final cleaned'!O525</f>
        <v>1</v>
      </c>
      <c r="J53">
        <f>'insurance final cleaned'!P525</f>
        <v>4.1294957663242426E-2</v>
      </c>
      <c r="K53">
        <f>'insurance final cleaned'!Q525</f>
        <v>0</v>
      </c>
      <c r="L53">
        <f>'insurance final cleaned'!R525</f>
        <v>0</v>
      </c>
      <c r="M53">
        <f>'insurance final cleaned'!S525</f>
        <v>0</v>
      </c>
    </row>
    <row r="54" spans="1:13" x14ac:dyDescent="0.3">
      <c r="A54">
        <f>'insurance final cleaned'!J928</f>
        <v>13430.27</v>
      </c>
      <c r="B54">
        <f>'insurance final cleaned'!B928</f>
        <v>51</v>
      </c>
      <c r="C54">
        <f>'insurance final cleaned'!D928</f>
        <v>32.299999999999997</v>
      </c>
      <c r="D54">
        <f>'insurance final cleaned'!G928</f>
        <v>3</v>
      </c>
      <c r="E54">
        <f>'insurance final cleaned'!E928</f>
        <v>83</v>
      </c>
      <c r="F54">
        <f>'insurance final cleaned'!L928</f>
        <v>0</v>
      </c>
      <c r="G54">
        <f>'insurance final cleaned'!M928</f>
        <v>0</v>
      </c>
      <c r="H54">
        <f>'insurance final cleaned'!N928</f>
        <v>0</v>
      </c>
      <c r="I54">
        <f>'insurance final cleaned'!O928</f>
        <v>0</v>
      </c>
      <c r="J54">
        <f>'insurance final cleaned'!P928</f>
        <v>4.267069599429052E-2</v>
      </c>
      <c r="K54">
        <f>'insurance final cleaned'!Q928</f>
        <v>0</v>
      </c>
      <c r="L54">
        <f>'insurance final cleaned'!R928</f>
        <v>1</v>
      </c>
      <c r="M54">
        <f>'insurance final cleaned'!S928</f>
        <v>1</v>
      </c>
    </row>
    <row r="55" spans="1:13" x14ac:dyDescent="0.3">
      <c r="A55">
        <f>'insurance final cleaned'!J1286</f>
        <v>42760.5</v>
      </c>
      <c r="B55">
        <f>'insurance final cleaned'!B1286</f>
        <v>25</v>
      </c>
      <c r="C55">
        <f>'insurance final cleaned'!D1286</f>
        <v>36.5</v>
      </c>
      <c r="D55">
        <f>'insurance final cleaned'!G1286</f>
        <v>2</v>
      </c>
      <c r="E55">
        <f>'insurance final cleaned'!E1286</f>
        <v>104</v>
      </c>
      <c r="F55">
        <f>'insurance final cleaned'!L1286</f>
        <v>36.5</v>
      </c>
      <c r="G55">
        <f>'insurance final cleaned'!M1286</f>
        <v>0</v>
      </c>
      <c r="H55">
        <f>'insurance final cleaned'!N1286</f>
        <v>0</v>
      </c>
      <c r="I55">
        <f>'insurance final cleaned'!O1286</f>
        <v>1</v>
      </c>
      <c r="J55">
        <f>'insurance final cleaned'!P1286</f>
        <v>4.3375235112026678E-2</v>
      </c>
      <c r="K55">
        <f>'insurance final cleaned'!Q1286</f>
        <v>1</v>
      </c>
      <c r="L55">
        <f>'insurance final cleaned'!R1286</f>
        <v>1</v>
      </c>
      <c r="M55">
        <f>'insurance final cleaned'!S1286</f>
        <v>0</v>
      </c>
    </row>
    <row r="56" spans="1:13" x14ac:dyDescent="0.3">
      <c r="A56">
        <f>'insurance final cleaned'!J992</f>
        <v>15612.19</v>
      </c>
      <c r="B56">
        <f>'insurance final cleaned'!B992</f>
        <v>36</v>
      </c>
      <c r="C56">
        <f>'insurance final cleaned'!D992</f>
        <v>33</v>
      </c>
      <c r="D56">
        <f>'insurance final cleaned'!G992</f>
        <v>3</v>
      </c>
      <c r="E56">
        <f>'insurance final cleaned'!E992</f>
        <v>94</v>
      </c>
      <c r="F56">
        <f>'insurance final cleaned'!L992</f>
        <v>0</v>
      </c>
      <c r="G56">
        <f>'insurance final cleaned'!M992</f>
        <v>0</v>
      </c>
      <c r="H56">
        <f>'insurance final cleaned'!N992</f>
        <v>0</v>
      </c>
      <c r="I56">
        <f>'insurance final cleaned'!O992</f>
        <v>1</v>
      </c>
      <c r="J56">
        <f>'insurance final cleaned'!P992</f>
        <v>4.3498079674023638E-2</v>
      </c>
      <c r="K56">
        <f>'insurance final cleaned'!Q992</f>
        <v>0</v>
      </c>
      <c r="L56">
        <f>'insurance final cleaned'!R992</f>
        <v>0</v>
      </c>
      <c r="M56">
        <f>'insurance final cleaned'!S992</f>
        <v>1</v>
      </c>
    </row>
    <row r="57" spans="1:13" x14ac:dyDescent="0.3">
      <c r="A57">
        <f>'insurance final cleaned'!J1143</f>
        <v>25333.33</v>
      </c>
      <c r="B57">
        <f>'insurance final cleaned'!B1143</f>
        <v>29</v>
      </c>
      <c r="C57">
        <f>'insurance final cleaned'!D1143</f>
        <v>32.1</v>
      </c>
      <c r="D57">
        <f>'insurance final cleaned'!G1143</f>
        <v>2</v>
      </c>
      <c r="E57">
        <f>'insurance final cleaned'!E1143</f>
        <v>85</v>
      </c>
      <c r="F57">
        <f>'insurance final cleaned'!L1143</f>
        <v>0</v>
      </c>
      <c r="G57">
        <f>'insurance final cleaned'!M1143</f>
        <v>0</v>
      </c>
      <c r="H57">
        <f>'insurance final cleaned'!N1143</f>
        <v>0</v>
      </c>
      <c r="I57">
        <f>'insurance final cleaned'!O1143</f>
        <v>0</v>
      </c>
      <c r="J57">
        <f>'insurance final cleaned'!P1143</f>
        <v>4.3806963102413166E-2</v>
      </c>
      <c r="K57">
        <f>'insurance final cleaned'!Q1143</f>
        <v>0</v>
      </c>
      <c r="L57">
        <f>'insurance final cleaned'!R1143</f>
        <v>0</v>
      </c>
      <c r="M57">
        <f>'insurance final cleaned'!S1143</f>
        <v>0</v>
      </c>
    </row>
    <row r="58" spans="1:13" x14ac:dyDescent="0.3">
      <c r="A58">
        <f>'insurance final cleaned'!J828</f>
        <v>11741.73</v>
      </c>
      <c r="B58">
        <f>'insurance final cleaned'!B828</f>
        <v>54</v>
      </c>
      <c r="C58">
        <f>'insurance final cleaned'!D828</f>
        <v>28.1</v>
      </c>
      <c r="D58">
        <f>'insurance final cleaned'!G828</f>
        <v>3</v>
      </c>
      <c r="E58">
        <f>'insurance final cleaned'!E828</f>
        <v>83</v>
      </c>
      <c r="F58">
        <f>'insurance final cleaned'!L828</f>
        <v>0</v>
      </c>
      <c r="G58">
        <f>'insurance final cleaned'!M828</f>
        <v>0</v>
      </c>
      <c r="H58">
        <f>'insurance final cleaned'!N828</f>
        <v>1</v>
      </c>
      <c r="I58">
        <f>'insurance final cleaned'!O828</f>
        <v>0</v>
      </c>
      <c r="J58">
        <f>'insurance final cleaned'!P828</f>
        <v>4.421839569185082E-2</v>
      </c>
      <c r="K58">
        <f>'insurance final cleaned'!Q828</f>
        <v>0</v>
      </c>
      <c r="L58">
        <f>'insurance final cleaned'!R828</f>
        <v>0</v>
      </c>
      <c r="M58">
        <f>'insurance final cleaned'!S828</f>
        <v>1</v>
      </c>
    </row>
    <row r="59" spans="1:13" x14ac:dyDescent="0.3">
      <c r="A59">
        <f>'insurance final cleaned'!J268</f>
        <v>3972.92</v>
      </c>
      <c r="B59">
        <f>'insurance final cleaned'!B268</f>
        <v>53</v>
      </c>
      <c r="C59">
        <f>'insurance final cleaned'!D268</f>
        <v>28.9</v>
      </c>
      <c r="D59">
        <f>'insurance final cleaned'!G268</f>
        <v>0</v>
      </c>
      <c r="E59">
        <f>'insurance final cleaned'!E268</f>
        <v>93</v>
      </c>
      <c r="F59">
        <f>'insurance final cleaned'!L268</f>
        <v>0</v>
      </c>
      <c r="G59">
        <f>'insurance final cleaned'!M268</f>
        <v>1</v>
      </c>
      <c r="H59">
        <f>'insurance final cleaned'!N268</f>
        <v>0</v>
      </c>
      <c r="I59">
        <f>'insurance final cleaned'!O268</f>
        <v>0</v>
      </c>
      <c r="J59">
        <f>'insurance final cleaned'!P268</f>
        <v>4.5426939734964256E-2</v>
      </c>
      <c r="K59">
        <f>'insurance final cleaned'!Q268</f>
        <v>0</v>
      </c>
      <c r="L59">
        <f>'insurance final cleaned'!R268</f>
        <v>0</v>
      </c>
      <c r="M59">
        <f>'insurance final cleaned'!S268</f>
        <v>1</v>
      </c>
    </row>
    <row r="60" spans="1:13" x14ac:dyDescent="0.3">
      <c r="A60">
        <f>'insurance final cleaned'!J329</f>
        <v>4661.29</v>
      </c>
      <c r="B60">
        <f>'insurance final cleaned'!B329</f>
        <v>47</v>
      </c>
      <c r="C60">
        <f>'insurance final cleaned'!D329</f>
        <v>27.3</v>
      </c>
      <c r="D60">
        <f>'insurance final cleaned'!G329</f>
        <v>3</v>
      </c>
      <c r="E60">
        <f>'insurance final cleaned'!E329</f>
        <v>85</v>
      </c>
      <c r="F60">
        <f>'insurance final cleaned'!L329</f>
        <v>0</v>
      </c>
      <c r="G60">
        <f>'insurance final cleaned'!M329</f>
        <v>1</v>
      </c>
      <c r="H60">
        <f>'insurance final cleaned'!N329</f>
        <v>0</v>
      </c>
      <c r="I60">
        <f>'insurance final cleaned'!O329</f>
        <v>0</v>
      </c>
      <c r="J60">
        <f>'insurance final cleaned'!P329</f>
        <v>4.5734502832292856E-2</v>
      </c>
      <c r="K60">
        <f>'insurance final cleaned'!Q329</f>
        <v>0</v>
      </c>
      <c r="L60">
        <f>'insurance final cleaned'!R329</f>
        <v>1</v>
      </c>
      <c r="M60">
        <f>'insurance final cleaned'!S329</f>
        <v>0</v>
      </c>
    </row>
    <row r="61" spans="1:13" x14ac:dyDescent="0.3">
      <c r="A61">
        <f>'insurance final cleaned'!J596</f>
        <v>8283.68</v>
      </c>
      <c r="B61">
        <f>'insurance final cleaned'!B596</f>
        <v>33</v>
      </c>
      <c r="C61">
        <f>'insurance final cleaned'!D596</f>
        <v>33.299999999999997</v>
      </c>
      <c r="D61">
        <f>'insurance final cleaned'!G596</f>
        <v>0</v>
      </c>
      <c r="E61">
        <f>'insurance final cleaned'!E596</f>
        <v>93</v>
      </c>
      <c r="F61">
        <f>'insurance final cleaned'!L596</f>
        <v>0</v>
      </c>
      <c r="G61">
        <f>'insurance final cleaned'!M596</f>
        <v>1</v>
      </c>
      <c r="H61">
        <f>'insurance final cleaned'!N596</f>
        <v>0</v>
      </c>
      <c r="I61">
        <f>'insurance final cleaned'!O596</f>
        <v>0</v>
      </c>
      <c r="J61">
        <f>'insurance final cleaned'!P596</f>
        <v>4.5932397742736275E-2</v>
      </c>
      <c r="K61">
        <f>'insurance final cleaned'!Q596</f>
        <v>0</v>
      </c>
      <c r="L61">
        <f>'insurance final cleaned'!R596</f>
        <v>1</v>
      </c>
      <c r="M61">
        <f>'insurance final cleaned'!S596</f>
        <v>1</v>
      </c>
    </row>
    <row r="62" spans="1:13" x14ac:dyDescent="0.3">
      <c r="A62">
        <f>'insurance final cleaned'!J432</f>
        <v>5989.52</v>
      </c>
      <c r="B62">
        <f>'insurance final cleaned'!B432</f>
        <v>33</v>
      </c>
      <c r="C62">
        <f>'insurance final cleaned'!D432</f>
        <v>37.299999999999997</v>
      </c>
      <c r="D62">
        <f>'insurance final cleaned'!G432</f>
        <v>2</v>
      </c>
      <c r="E62">
        <f>'insurance final cleaned'!E432</f>
        <v>95</v>
      </c>
      <c r="F62">
        <f>'insurance final cleaned'!L432</f>
        <v>0</v>
      </c>
      <c r="G62">
        <f>'insurance final cleaned'!M432</f>
        <v>0</v>
      </c>
      <c r="H62">
        <f>'insurance final cleaned'!N432</f>
        <v>0</v>
      </c>
      <c r="I62">
        <f>'insurance final cleaned'!O432</f>
        <v>1</v>
      </c>
      <c r="J62">
        <f>'insurance final cleaned'!P432</f>
        <v>4.7565718229589327E-2</v>
      </c>
      <c r="K62">
        <f>'insurance final cleaned'!Q432</f>
        <v>0</v>
      </c>
      <c r="L62">
        <f>'insurance final cleaned'!R432</f>
        <v>1</v>
      </c>
      <c r="M62">
        <f>'insurance final cleaned'!S432</f>
        <v>1</v>
      </c>
    </row>
    <row r="63" spans="1:13" x14ac:dyDescent="0.3">
      <c r="A63">
        <f>'insurance final cleaned'!J874</f>
        <v>12430.95</v>
      </c>
      <c r="B63">
        <f>'insurance final cleaned'!B874</f>
        <v>36</v>
      </c>
      <c r="C63">
        <f>'insurance final cleaned'!D874</f>
        <v>33</v>
      </c>
      <c r="D63">
        <f>'insurance final cleaned'!G874</f>
        <v>0</v>
      </c>
      <c r="E63">
        <f>'insurance final cleaned'!E874</f>
        <v>82</v>
      </c>
      <c r="F63">
        <f>'insurance final cleaned'!L874</f>
        <v>0</v>
      </c>
      <c r="G63">
        <f>'insurance final cleaned'!M874</f>
        <v>0</v>
      </c>
      <c r="H63">
        <f>'insurance final cleaned'!N874</f>
        <v>0</v>
      </c>
      <c r="I63">
        <f>'insurance final cleaned'!O874</f>
        <v>0</v>
      </c>
      <c r="J63">
        <f>'insurance final cleaned'!P874</f>
        <v>4.8256743821399328E-2</v>
      </c>
      <c r="K63">
        <f>'insurance final cleaned'!Q874</f>
        <v>0</v>
      </c>
      <c r="L63">
        <f>'insurance final cleaned'!R874</f>
        <v>1</v>
      </c>
      <c r="M63">
        <f>'insurance final cleaned'!S874</f>
        <v>1</v>
      </c>
    </row>
    <row r="64" spans="1:13" x14ac:dyDescent="0.3">
      <c r="A64">
        <f>'insurance final cleaned'!J1025</f>
        <v>17878.900000000001</v>
      </c>
      <c r="B64">
        <f>'insurance final cleaned'!B1025</f>
        <v>51</v>
      </c>
      <c r="C64">
        <f>'insurance final cleaned'!D1025</f>
        <v>41.3</v>
      </c>
      <c r="D64">
        <f>'insurance final cleaned'!G1025</f>
        <v>0</v>
      </c>
      <c r="E64">
        <f>'insurance final cleaned'!E1025</f>
        <v>98</v>
      </c>
      <c r="F64">
        <f>'insurance final cleaned'!L1025</f>
        <v>0</v>
      </c>
      <c r="G64">
        <f>'insurance final cleaned'!M1025</f>
        <v>0</v>
      </c>
      <c r="H64">
        <f>'insurance final cleaned'!N1025</f>
        <v>0</v>
      </c>
      <c r="I64">
        <f>'insurance final cleaned'!O1025</f>
        <v>0</v>
      </c>
      <c r="J64">
        <f>'insurance final cleaned'!P1025</f>
        <v>4.8574307215673573E-2</v>
      </c>
      <c r="K64">
        <f>'insurance final cleaned'!Q1025</f>
        <v>0</v>
      </c>
      <c r="L64">
        <f>'insurance final cleaned'!R1025</f>
        <v>0</v>
      </c>
      <c r="M64">
        <f>'insurance final cleaned'!S1025</f>
        <v>1</v>
      </c>
    </row>
    <row r="65" spans="1:13" x14ac:dyDescent="0.3">
      <c r="A65">
        <f>'insurance final cleaned'!J611</f>
        <v>8520.0300000000007</v>
      </c>
      <c r="B65">
        <f>'insurance final cleaned'!B611</f>
        <v>44</v>
      </c>
      <c r="C65">
        <f>'insurance final cleaned'!D611</f>
        <v>30.9</v>
      </c>
      <c r="D65">
        <f>'insurance final cleaned'!G611</f>
        <v>2</v>
      </c>
      <c r="E65">
        <f>'insurance final cleaned'!E611</f>
        <v>80</v>
      </c>
      <c r="F65">
        <f>'insurance final cleaned'!L611</f>
        <v>0</v>
      </c>
      <c r="G65">
        <f>'insurance final cleaned'!M611</f>
        <v>0</v>
      </c>
      <c r="H65">
        <f>'insurance final cleaned'!N611</f>
        <v>1</v>
      </c>
      <c r="I65">
        <f>'insurance final cleaned'!O611</f>
        <v>0</v>
      </c>
      <c r="J65">
        <f>'insurance final cleaned'!P611</f>
        <v>4.9067316157160978E-2</v>
      </c>
      <c r="K65">
        <f>'insurance final cleaned'!Q611</f>
        <v>0</v>
      </c>
      <c r="L65">
        <f>'insurance final cleaned'!R611</f>
        <v>1</v>
      </c>
      <c r="M65">
        <f>'insurance final cleaned'!S611</f>
        <v>1</v>
      </c>
    </row>
    <row r="66" spans="1:13" x14ac:dyDescent="0.3">
      <c r="A66">
        <f>'insurance final cleaned'!J606</f>
        <v>8442.67</v>
      </c>
      <c r="B66">
        <f>'insurance final cleaned'!B606</f>
        <v>34</v>
      </c>
      <c r="C66">
        <f>'insurance final cleaned'!D606</f>
        <v>25.3</v>
      </c>
      <c r="D66">
        <f>'insurance final cleaned'!G606</f>
        <v>0</v>
      </c>
      <c r="E66">
        <f>'insurance final cleaned'!E606</f>
        <v>100</v>
      </c>
      <c r="F66">
        <f>'insurance final cleaned'!L606</f>
        <v>0</v>
      </c>
      <c r="G66">
        <f>'insurance final cleaned'!M606</f>
        <v>1</v>
      </c>
      <c r="H66">
        <f>'insurance final cleaned'!N606</f>
        <v>0</v>
      </c>
      <c r="I66">
        <f>'insurance final cleaned'!O606</f>
        <v>0</v>
      </c>
      <c r="J66">
        <f>'insurance final cleaned'!P606</f>
        <v>5.0214013282908865E-2</v>
      </c>
      <c r="K66">
        <f>'insurance final cleaned'!Q606</f>
        <v>0</v>
      </c>
      <c r="L66">
        <f>'insurance final cleaned'!R606</f>
        <v>0</v>
      </c>
      <c r="M66">
        <f>'insurance final cleaned'!S606</f>
        <v>0</v>
      </c>
    </row>
    <row r="67" spans="1:13" x14ac:dyDescent="0.3">
      <c r="A67">
        <f>'insurance final cleaned'!J155</f>
        <v>2527.8200000000002</v>
      </c>
      <c r="B67">
        <f>'insurance final cleaned'!B155</f>
        <v>28</v>
      </c>
      <c r="C67">
        <f>'insurance final cleaned'!D155</f>
        <v>20.2</v>
      </c>
      <c r="D67">
        <f>'insurance final cleaned'!G155</f>
        <v>0</v>
      </c>
      <c r="E67">
        <f>'insurance final cleaned'!E155</f>
        <v>82</v>
      </c>
      <c r="F67">
        <f>'insurance final cleaned'!L155</f>
        <v>0</v>
      </c>
      <c r="G67">
        <f>'insurance final cleaned'!M155</f>
        <v>0</v>
      </c>
      <c r="H67">
        <f>'insurance final cleaned'!N155</f>
        <v>0</v>
      </c>
      <c r="I67">
        <f>'insurance final cleaned'!O155</f>
        <v>1</v>
      </c>
      <c r="J67">
        <f>'insurance final cleaned'!P155</f>
        <v>5.1603474680423256E-2</v>
      </c>
      <c r="K67">
        <f>'insurance final cleaned'!Q155</f>
        <v>0</v>
      </c>
      <c r="L67">
        <f>'insurance final cleaned'!R155</f>
        <v>0</v>
      </c>
      <c r="M67">
        <f>'insurance final cleaned'!S155</f>
        <v>1</v>
      </c>
    </row>
    <row r="68" spans="1:13" x14ac:dyDescent="0.3">
      <c r="A68">
        <f>'insurance final cleaned'!J137</f>
        <v>2352.9699999999998</v>
      </c>
      <c r="B68">
        <f>'insurance final cleaned'!B137</f>
        <v>29</v>
      </c>
      <c r="C68">
        <f>'insurance final cleaned'!D137</f>
        <v>23.7</v>
      </c>
      <c r="D68">
        <f>'insurance final cleaned'!G137</f>
        <v>0</v>
      </c>
      <c r="E68">
        <f>'insurance final cleaned'!E137</f>
        <v>89</v>
      </c>
      <c r="F68">
        <f>'insurance final cleaned'!L137</f>
        <v>0</v>
      </c>
      <c r="G68">
        <f>'insurance final cleaned'!M137</f>
        <v>0</v>
      </c>
      <c r="H68">
        <f>'insurance final cleaned'!N137</f>
        <v>0</v>
      </c>
      <c r="I68">
        <f>'insurance final cleaned'!O137</f>
        <v>1</v>
      </c>
      <c r="J68">
        <f>'insurance final cleaned'!P137</f>
        <v>5.1981070840706689E-2</v>
      </c>
      <c r="K68">
        <f>'insurance final cleaned'!Q137</f>
        <v>0</v>
      </c>
      <c r="L68">
        <f>'insurance final cleaned'!R137</f>
        <v>1</v>
      </c>
      <c r="M68">
        <f>'insurance final cleaned'!S137</f>
        <v>0</v>
      </c>
    </row>
    <row r="69" spans="1:13" x14ac:dyDescent="0.3">
      <c r="A69">
        <f>'insurance final cleaned'!J1142</f>
        <v>25309.49</v>
      </c>
      <c r="B69">
        <f>'insurance final cleaned'!B1142</f>
        <v>19</v>
      </c>
      <c r="C69">
        <f>'insurance final cleaned'!D1142</f>
        <v>29.8</v>
      </c>
      <c r="D69">
        <f>'insurance final cleaned'!G1142</f>
        <v>3</v>
      </c>
      <c r="E69">
        <f>'insurance final cleaned'!E1142</f>
        <v>89</v>
      </c>
      <c r="F69">
        <f>'insurance final cleaned'!L1142</f>
        <v>29.8</v>
      </c>
      <c r="G69">
        <f>'insurance final cleaned'!M1142</f>
        <v>0</v>
      </c>
      <c r="H69">
        <f>'insurance final cleaned'!N1142</f>
        <v>1</v>
      </c>
      <c r="I69">
        <f>'insurance final cleaned'!O1142</f>
        <v>0</v>
      </c>
      <c r="J69">
        <f>'insurance final cleaned'!P1142</f>
        <v>5.2697371111949387E-2</v>
      </c>
      <c r="K69">
        <f>'insurance final cleaned'!Q1142</f>
        <v>1</v>
      </c>
      <c r="L69">
        <f>'insurance final cleaned'!R1142</f>
        <v>0</v>
      </c>
      <c r="M69">
        <f>'insurance final cleaned'!S1142</f>
        <v>0</v>
      </c>
    </row>
    <row r="70" spans="1:13" x14ac:dyDescent="0.3">
      <c r="A70">
        <f>'insurance final cleaned'!J232</f>
        <v>3481.87</v>
      </c>
      <c r="B70">
        <f>'insurance final cleaned'!B232</f>
        <v>22</v>
      </c>
      <c r="C70">
        <f>'insurance final cleaned'!D232</f>
        <v>30.4</v>
      </c>
      <c r="D70">
        <f>'insurance final cleaned'!G232</f>
        <v>3</v>
      </c>
      <c r="E70">
        <f>'insurance final cleaned'!E232</f>
        <v>95</v>
      </c>
      <c r="F70">
        <f>'insurance final cleaned'!L232</f>
        <v>0</v>
      </c>
      <c r="G70">
        <f>'insurance final cleaned'!M232</f>
        <v>1</v>
      </c>
      <c r="H70">
        <f>'insurance final cleaned'!N232</f>
        <v>0</v>
      </c>
      <c r="I70">
        <f>'insurance final cleaned'!O232</f>
        <v>0</v>
      </c>
      <c r="J70">
        <f>'insurance final cleaned'!P232</f>
        <v>5.5329836077178118E-2</v>
      </c>
      <c r="K70">
        <f>'insurance final cleaned'!Q232</f>
        <v>0</v>
      </c>
      <c r="L70">
        <f>'insurance final cleaned'!R232</f>
        <v>1</v>
      </c>
      <c r="M70">
        <f>'insurance final cleaned'!S232</f>
        <v>0</v>
      </c>
    </row>
    <row r="71" spans="1:13" x14ac:dyDescent="0.3">
      <c r="A71">
        <f>'insurance final cleaned'!J750</f>
        <v>10594.5</v>
      </c>
      <c r="B71">
        <f>'insurance final cleaned'!B750</f>
        <v>25</v>
      </c>
      <c r="C71">
        <f>'insurance final cleaned'!D750</f>
        <v>27.6</v>
      </c>
      <c r="D71">
        <f>'insurance final cleaned'!G750</f>
        <v>0</v>
      </c>
      <c r="E71">
        <f>'insurance final cleaned'!E750</f>
        <v>110</v>
      </c>
      <c r="F71">
        <f>'insurance final cleaned'!L750</f>
        <v>0</v>
      </c>
      <c r="G71">
        <f>'insurance final cleaned'!M750</f>
        <v>0</v>
      </c>
      <c r="H71">
        <f>'insurance final cleaned'!N750</f>
        <v>0</v>
      </c>
      <c r="I71">
        <f>'insurance final cleaned'!O750</f>
        <v>1</v>
      </c>
      <c r="J71">
        <f>'insurance final cleaned'!P750</f>
        <v>5.6156448295787476E-2</v>
      </c>
      <c r="K71">
        <f>'insurance final cleaned'!Q750</f>
        <v>0</v>
      </c>
      <c r="L71">
        <f>'insurance final cleaned'!R750</f>
        <v>1</v>
      </c>
      <c r="M71">
        <f>'insurance final cleaned'!S750</f>
        <v>0</v>
      </c>
    </row>
    <row r="72" spans="1:13" x14ac:dyDescent="0.3">
      <c r="A72">
        <f>'insurance final cleaned'!J449</f>
        <v>6250.44</v>
      </c>
      <c r="B72">
        <f>'insurance final cleaned'!B449</f>
        <v>45</v>
      </c>
      <c r="C72">
        <f>'insurance final cleaned'!D449</f>
        <v>23.2</v>
      </c>
      <c r="D72">
        <f>'insurance final cleaned'!G449</f>
        <v>0</v>
      </c>
      <c r="E72">
        <f>'insurance final cleaned'!E449</f>
        <v>92</v>
      </c>
      <c r="F72">
        <f>'insurance final cleaned'!L449</f>
        <v>0</v>
      </c>
      <c r="G72">
        <f>'insurance final cleaned'!M449</f>
        <v>0</v>
      </c>
      <c r="H72">
        <f>'insurance final cleaned'!N449</f>
        <v>1</v>
      </c>
      <c r="I72">
        <f>'insurance final cleaned'!O449</f>
        <v>0</v>
      </c>
      <c r="J72">
        <f>'insurance final cleaned'!P449</f>
        <v>5.6537752639202687E-2</v>
      </c>
      <c r="K72">
        <f>'insurance final cleaned'!Q449</f>
        <v>0</v>
      </c>
      <c r="L72">
        <f>'insurance final cleaned'!R449</f>
        <v>0</v>
      </c>
      <c r="M72">
        <f>'insurance final cleaned'!S449</f>
        <v>0</v>
      </c>
    </row>
    <row r="73" spans="1:13" x14ac:dyDescent="0.3">
      <c r="A73">
        <f>'insurance final cleaned'!J471</f>
        <v>6500.24</v>
      </c>
      <c r="B73">
        <f>'insurance final cleaned'!B471</f>
        <v>53</v>
      </c>
      <c r="C73">
        <f>'insurance final cleaned'!D471</f>
        <v>29.8</v>
      </c>
      <c r="D73">
        <f>'insurance final cleaned'!G471</f>
        <v>1</v>
      </c>
      <c r="E73">
        <f>'insurance final cleaned'!E471</f>
        <v>99</v>
      </c>
      <c r="F73">
        <f>'insurance final cleaned'!L471</f>
        <v>0</v>
      </c>
      <c r="G73">
        <f>'insurance final cleaned'!M471</f>
        <v>1</v>
      </c>
      <c r="H73">
        <f>'insurance final cleaned'!N471</f>
        <v>0</v>
      </c>
      <c r="I73">
        <f>'insurance final cleaned'!O471</f>
        <v>0</v>
      </c>
      <c r="J73">
        <f>'insurance final cleaned'!P471</f>
        <v>5.7326483088550373E-2</v>
      </c>
      <c r="K73">
        <f>'insurance final cleaned'!Q471</f>
        <v>0</v>
      </c>
      <c r="L73">
        <f>'insurance final cleaned'!R471</f>
        <v>0</v>
      </c>
      <c r="M73">
        <f>'insurance final cleaned'!S471</f>
        <v>1</v>
      </c>
    </row>
    <row r="74" spans="1:13" x14ac:dyDescent="0.3">
      <c r="A74">
        <f>'insurance final cleaned'!J784</f>
        <v>11093.62</v>
      </c>
      <c r="B74">
        <f>'insurance final cleaned'!B784</f>
        <v>48</v>
      </c>
      <c r="C74">
        <f>'insurance final cleaned'!D784</f>
        <v>41.9</v>
      </c>
      <c r="D74">
        <f>'insurance final cleaned'!G784</f>
        <v>0</v>
      </c>
      <c r="E74">
        <f>'insurance final cleaned'!E784</f>
        <v>99</v>
      </c>
      <c r="F74">
        <f>'insurance final cleaned'!L784</f>
        <v>0</v>
      </c>
      <c r="G74">
        <f>'insurance final cleaned'!M784</f>
        <v>1</v>
      </c>
      <c r="H74">
        <f>'insurance final cleaned'!N784</f>
        <v>0</v>
      </c>
      <c r="I74">
        <f>'insurance final cleaned'!O784</f>
        <v>0</v>
      </c>
      <c r="J74">
        <f>'insurance final cleaned'!P784</f>
        <v>5.7405693639549726E-2</v>
      </c>
      <c r="K74">
        <f>'insurance final cleaned'!Q784</f>
        <v>0</v>
      </c>
      <c r="L74">
        <f>'insurance final cleaned'!R784</f>
        <v>1</v>
      </c>
      <c r="M74">
        <f>'insurance final cleaned'!S784</f>
        <v>1</v>
      </c>
    </row>
    <row r="75" spans="1:13" x14ac:dyDescent="0.3">
      <c r="A75">
        <f>'insurance final cleaned'!J1037</f>
        <v>18608.259999999998</v>
      </c>
      <c r="B75">
        <f>'insurance final cleaned'!B1037</f>
        <v>45</v>
      </c>
      <c r="C75">
        <f>'insurance final cleaned'!D1037</f>
        <v>22.6</v>
      </c>
      <c r="D75">
        <f>'insurance final cleaned'!G1037</f>
        <v>2</v>
      </c>
      <c r="E75">
        <f>'insurance final cleaned'!E1037</f>
        <v>96</v>
      </c>
      <c r="F75">
        <f>'insurance final cleaned'!L1037</f>
        <v>22.6</v>
      </c>
      <c r="G75">
        <f>'insurance final cleaned'!M1037</f>
        <v>0</v>
      </c>
      <c r="H75">
        <f>'insurance final cleaned'!N1037</f>
        <v>1</v>
      </c>
      <c r="I75">
        <f>'insurance final cleaned'!O1037</f>
        <v>0</v>
      </c>
      <c r="J75">
        <f>'insurance final cleaned'!P1037</f>
        <v>5.7830476094818728E-2</v>
      </c>
      <c r="K75">
        <f>'insurance final cleaned'!Q1037</f>
        <v>1</v>
      </c>
      <c r="L75">
        <f>'insurance final cleaned'!R1037</f>
        <v>0</v>
      </c>
      <c r="M75">
        <f>'insurance final cleaned'!S1037</f>
        <v>1</v>
      </c>
    </row>
    <row r="76" spans="1:13" x14ac:dyDescent="0.3">
      <c r="A76">
        <f>'insurance final cleaned'!J651</f>
        <v>8988.16</v>
      </c>
      <c r="B76">
        <f>'insurance final cleaned'!B651</f>
        <v>37</v>
      </c>
      <c r="C76">
        <f>'insurance final cleaned'!D651</f>
        <v>29.9</v>
      </c>
      <c r="D76">
        <f>'insurance final cleaned'!G651</f>
        <v>0</v>
      </c>
      <c r="E76">
        <f>'insurance final cleaned'!E651</f>
        <v>85</v>
      </c>
      <c r="F76">
        <f>'insurance final cleaned'!L651</f>
        <v>0</v>
      </c>
      <c r="G76">
        <f>'insurance final cleaned'!M651</f>
        <v>0</v>
      </c>
      <c r="H76">
        <f>'insurance final cleaned'!N651</f>
        <v>0</v>
      </c>
      <c r="I76">
        <f>'insurance final cleaned'!O651</f>
        <v>1</v>
      </c>
      <c r="J76">
        <f>'insurance final cleaned'!P651</f>
        <v>5.8329128937483654E-2</v>
      </c>
      <c r="K76">
        <f>'insurance final cleaned'!Q651</f>
        <v>0</v>
      </c>
      <c r="L76">
        <f>'insurance final cleaned'!R651</f>
        <v>0</v>
      </c>
      <c r="M76">
        <f>'insurance final cleaned'!S651</f>
        <v>1</v>
      </c>
    </row>
    <row r="77" spans="1:13" x14ac:dyDescent="0.3">
      <c r="A77">
        <f>'insurance final cleaned'!J1081</f>
        <v>20773.63</v>
      </c>
      <c r="B77">
        <f>'insurance final cleaned'!B1081</f>
        <v>49</v>
      </c>
      <c r="C77">
        <f>'insurance final cleaned'!D1081</f>
        <v>28</v>
      </c>
      <c r="D77">
        <f>'insurance final cleaned'!G1081</f>
        <v>1</v>
      </c>
      <c r="E77">
        <f>'insurance final cleaned'!E1081</f>
        <v>106</v>
      </c>
      <c r="F77">
        <f>'insurance final cleaned'!L1081</f>
        <v>28</v>
      </c>
      <c r="G77">
        <f>'insurance final cleaned'!M1081</f>
        <v>0</v>
      </c>
      <c r="H77">
        <f>'insurance final cleaned'!N1081</f>
        <v>0</v>
      </c>
      <c r="I77">
        <f>'insurance final cleaned'!O1081</f>
        <v>0</v>
      </c>
      <c r="J77">
        <f>'insurance final cleaned'!P1081</f>
        <v>5.8449863531573887E-2</v>
      </c>
      <c r="K77">
        <f>'insurance final cleaned'!Q1081</f>
        <v>1</v>
      </c>
      <c r="L77">
        <f>'insurance final cleaned'!R1081</f>
        <v>0</v>
      </c>
      <c r="M77">
        <f>'insurance final cleaned'!S1081</f>
        <v>0</v>
      </c>
    </row>
    <row r="78" spans="1:13" x14ac:dyDescent="0.3">
      <c r="A78">
        <f>'insurance final cleaned'!J46</f>
        <v>1646.43</v>
      </c>
      <c r="B78">
        <f>'insurance final cleaned'!B46</f>
        <v>37</v>
      </c>
      <c r="C78">
        <f>'insurance final cleaned'!D46</f>
        <v>35.5</v>
      </c>
      <c r="D78">
        <f>'insurance final cleaned'!G46</f>
        <v>0</v>
      </c>
      <c r="E78">
        <f>'insurance final cleaned'!E46</f>
        <v>91</v>
      </c>
      <c r="F78">
        <f>'insurance final cleaned'!L46</f>
        <v>0</v>
      </c>
      <c r="G78">
        <f>'insurance final cleaned'!M46</f>
        <v>0</v>
      </c>
      <c r="H78">
        <f>'insurance final cleaned'!N46</f>
        <v>0</v>
      </c>
      <c r="I78">
        <f>'insurance final cleaned'!O46</f>
        <v>1</v>
      </c>
      <c r="J78">
        <f>'insurance final cleaned'!P46</f>
        <v>5.9356092489473045E-2</v>
      </c>
      <c r="K78">
        <f>'insurance final cleaned'!Q46</f>
        <v>0</v>
      </c>
      <c r="L78">
        <f>'insurance final cleaned'!R46</f>
        <v>0</v>
      </c>
      <c r="M78">
        <f>'insurance final cleaned'!S46</f>
        <v>0</v>
      </c>
    </row>
    <row r="79" spans="1:13" x14ac:dyDescent="0.3">
      <c r="A79">
        <f>'insurance final cleaned'!J577</f>
        <v>8027.97</v>
      </c>
      <c r="B79">
        <f>'insurance final cleaned'!B577</f>
        <v>42</v>
      </c>
      <c r="C79">
        <f>'insurance final cleaned'!D577</f>
        <v>28.7</v>
      </c>
      <c r="D79">
        <f>'insurance final cleaned'!G577</f>
        <v>2</v>
      </c>
      <c r="E79">
        <f>'insurance final cleaned'!E577</f>
        <v>88</v>
      </c>
      <c r="F79">
        <f>'insurance final cleaned'!L577</f>
        <v>0</v>
      </c>
      <c r="G79">
        <f>'insurance final cleaned'!M577</f>
        <v>0</v>
      </c>
      <c r="H79">
        <f>'insurance final cleaned'!N577</f>
        <v>1</v>
      </c>
      <c r="I79">
        <f>'insurance final cleaned'!O577</f>
        <v>0</v>
      </c>
      <c r="J79">
        <f>'insurance final cleaned'!P577</f>
        <v>5.9458200824989316E-2</v>
      </c>
      <c r="K79">
        <f>'insurance final cleaned'!Q577</f>
        <v>0</v>
      </c>
      <c r="L79">
        <f>'insurance final cleaned'!R577</f>
        <v>0</v>
      </c>
      <c r="M79">
        <f>'insurance final cleaned'!S577</f>
        <v>0</v>
      </c>
    </row>
    <row r="80" spans="1:13" x14ac:dyDescent="0.3">
      <c r="A80">
        <f>'insurance final cleaned'!J118</f>
        <v>2200.83</v>
      </c>
      <c r="B80">
        <f>'insurance final cleaned'!B118</f>
        <v>49</v>
      </c>
      <c r="C80">
        <f>'insurance final cleaned'!D118</f>
        <v>28.2</v>
      </c>
      <c r="D80">
        <f>'insurance final cleaned'!G118</f>
        <v>0</v>
      </c>
      <c r="E80">
        <f>'insurance final cleaned'!E118</f>
        <v>98</v>
      </c>
      <c r="F80">
        <f>'insurance final cleaned'!L118</f>
        <v>0</v>
      </c>
      <c r="G80">
        <f>'insurance final cleaned'!M118</f>
        <v>1</v>
      </c>
      <c r="H80">
        <f>'insurance final cleaned'!N118</f>
        <v>0</v>
      </c>
      <c r="I80">
        <f>'insurance final cleaned'!O118</f>
        <v>0</v>
      </c>
      <c r="J80">
        <f>'insurance final cleaned'!P118</f>
        <v>6.0439127165402562E-2</v>
      </c>
      <c r="K80">
        <f>'insurance final cleaned'!Q118</f>
        <v>0</v>
      </c>
      <c r="L80">
        <f>'insurance final cleaned'!R118</f>
        <v>1</v>
      </c>
      <c r="M80">
        <f>'insurance final cleaned'!S118</f>
        <v>1</v>
      </c>
    </row>
    <row r="81" spans="1:13" x14ac:dyDescent="0.3">
      <c r="A81">
        <f>'insurance final cleaned'!J499</f>
        <v>6875.96</v>
      </c>
      <c r="B81">
        <f>'insurance final cleaned'!B499</f>
        <v>45</v>
      </c>
      <c r="C81">
        <f>'insurance final cleaned'!D499</f>
        <v>32.200000000000003</v>
      </c>
      <c r="D81">
        <f>'insurance final cleaned'!G499</f>
        <v>2</v>
      </c>
      <c r="E81">
        <f>'insurance final cleaned'!E499</f>
        <v>100</v>
      </c>
      <c r="F81">
        <f>'insurance final cleaned'!L499</f>
        <v>0</v>
      </c>
      <c r="G81">
        <f>'insurance final cleaned'!M499</f>
        <v>0</v>
      </c>
      <c r="H81">
        <f>'insurance final cleaned'!N499</f>
        <v>1</v>
      </c>
      <c r="I81">
        <f>'insurance final cleaned'!O499</f>
        <v>0</v>
      </c>
      <c r="J81">
        <f>'insurance final cleaned'!P499</f>
        <v>6.4236286906985796E-2</v>
      </c>
      <c r="K81">
        <f>'insurance final cleaned'!Q499</f>
        <v>0</v>
      </c>
      <c r="L81">
        <f>'insurance final cleaned'!R499</f>
        <v>1</v>
      </c>
      <c r="M81">
        <f>'insurance final cleaned'!S499</f>
        <v>0</v>
      </c>
    </row>
    <row r="82" spans="1:13" x14ac:dyDescent="0.3">
      <c r="A82">
        <f>'insurance final cleaned'!J215</f>
        <v>3260.2</v>
      </c>
      <c r="B82">
        <f>'insurance final cleaned'!B215</f>
        <v>35</v>
      </c>
      <c r="C82">
        <f>'insurance final cleaned'!D215</f>
        <v>20.399999999999999</v>
      </c>
      <c r="D82">
        <f>'insurance final cleaned'!G215</f>
        <v>0</v>
      </c>
      <c r="E82">
        <f>'insurance final cleaned'!E215</f>
        <v>88</v>
      </c>
      <c r="F82">
        <f>'insurance final cleaned'!L215</f>
        <v>0</v>
      </c>
      <c r="G82">
        <f>'insurance final cleaned'!M215</f>
        <v>0</v>
      </c>
      <c r="H82">
        <f>'insurance final cleaned'!N215</f>
        <v>1</v>
      </c>
      <c r="I82">
        <f>'insurance final cleaned'!O215</f>
        <v>0</v>
      </c>
      <c r="J82">
        <f>'insurance final cleaned'!P215</f>
        <v>6.464416412470575E-2</v>
      </c>
      <c r="K82">
        <f>'insurance final cleaned'!Q215</f>
        <v>0</v>
      </c>
      <c r="L82">
        <f>'insurance final cleaned'!R215</f>
        <v>0</v>
      </c>
      <c r="M82">
        <f>'insurance final cleaned'!S215</f>
        <v>0</v>
      </c>
    </row>
    <row r="83" spans="1:13" x14ac:dyDescent="0.3">
      <c r="A83">
        <f>'insurance final cleaned'!J340</f>
        <v>4747.05</v>
      </c>
      <c r="B83">
        <f>'insurance final cleaned'!B340</f>
        <v>44</v>
      </c>
      <c r="C83">
        <f>'insurance final cleaned'!D340</f>
        <v>27.6</v>
      </c>
      <c r="D83">
        <f>'insurance final cleaned'!G340</f>
        <v>1</v>
      </c>
      <c r="E83">
        <f>'insurance final cleaned'!E340</f>
        <v>86</v>
      </c>
      <c r="F83">
        <f>'insurance final cleaned'!L340</f>
        <v>0</v>
      </c>
      <c r="G83">
        <f>'insurance final cleaned'!M340</f>
        <v>1</v>
      </c>
      <c r="H83">
        <f>'insurance final cleaned'!N340</f>
        <v>0</v>
      </c>
      <c r="I83">
        <f>'insurance final cleaned'!O340</f>
        <v>0</v>
      </c>
      <c r="J83">
        <f>'insurance final cleaned'!P340</f>
        <v>6.5132387236047973E-2</v>
      </c>
      <c r="K83">
        <f>'insurance final cleaned'!Q340</f>
        <v>0</v>
      </c>
      <c r="L83">
        <f>'insurance final cleaned'!R340</f>
        <v>0</v>
      </c>
      <c r="M83">
        <f>'insurance final cleaned'!S340</f>
        <v>0</v>
      </c>
    </row>
    <row r="84" spans="1:13" x14ac:dyDescent="0.3">
      <c r="A84">
        <f>'insurance final cleaned'!J984</f>
        <v>15006.58</v>
      </c>
      <c r="B84">
        <f>'insurance final cleaned'!B984</f>
        <v>39</v>
      </c>
      <c r="C84">
        <f>'insurance final cleaned'!D984</f>
        <v>18</v>
      </c>
      <c r="D84">
        <f>'insurance final cleaned'!G984</f>
        <v>2</v>
      </c>
      <c r="E84">
        <f>'insurance final cleaned'!E984</f>
        <v>100</v>
      </c>
      <c r="F84">
        <f>'insurance final cleaned'!L984</f>
        <v>18</v>
      </c>
      <c r="G84">
        <f>'insurance final cleaned'!M984</f>
        <v>0</v>
      </c>
      <c r="H84">
        <f>'insurance final cleaned'!N984</f>
        <v>0</v>
      </c>
      <c r="I84">
        <f>'insurance final cleaned'!O984</f>
        <v>0</v>
      </c>
      <c r="J84">
        <f>'insurance final cleaned'!P984</f>
        <v>6.5360108999824029E-2</v>
      </c>
      <c r="K84">
        <f>'insurance final cleaned'!Q984</f>
        <v>1</v>
      </c>
      <c r="L84">
        <f>'insurance final cleaned'!R984</f>
        <v>1</v>
      </c>
      <c r="M84">
        <f>'insurance final cleaned'!S984</f>
        <v>1</v>
      </c>
    </row>
    <row r="85" spans="1:13" x14ac:dyDescent="0.3">
      <c r="A85">
        <f>'insurance final cleaned'!J1330</f>
        <v>48675.519999999997</v>
      </c>
      <c r="B85">
        <f>'insurance final cleaned'!B1330</f>
        <v>45</v>
      </c>
      <c r="C85">
        <f>'insurance final cleaned'!D1330</f>
        <v>42.1</v>
      </c>
      <c r="D85">
        <f>'insurance final cleaned'!G1330</f>
        <v>1</v>
      </c>
      <c r="E85">
        <f>'insurance final cleaned'!E1330</f>
        <v>117</v>
      </c>
      <c r="F85">
        <f>'insurance final cleaned'!L1330</f>
        <v>42.1</v>
      </c>
      <c r="G85">
        <f>'insurance final cleaned'!M1330</f>
        <v>1</v>
      </c>
      <c r="H85">
        <f>'insurance final cleaned'!N1330</f>
        <v>0</v>
      </c>
      <c r="I85">
        <f>'insurance final cleaned'!O1330</f>
        <v>0</v>
      </c>
      <c r="J85">
        <f>'insurance final cleaned'!P1330</f>
        <v>6.5361729223361476E-2</v>
      </c>
      <c r="K85">
        <f>'insurance final cleaned'!Q1330</f>
        <v>1</v>
      </c>
      <c r="L85">
        <f>'insurance final cleaned'!R1330</f>
        <v>0</v>
      </c>
      <c r="M85">
        <f>'insurance final cleaned'!S1330</f>
        <v>0</v>
      </c>
    </row>
    <row r="86" spans="1:13" x14ac:dyDescent="0.3">
      <c r="A86">
        <f>'insurance final cleaned'!J915</f>
        <v>13143.34</v>
      </c>
      <c r="B86">
        <f>'insurance final cleaned'!B915</f>
        <v>22</v>
      </c>
      <c r="C86">
        <f>'insurance final cleaned'!D915</f>
        <v>33.5</v>
      </c>
      <c r="D86">
        <f>'insurance final cleaned'!G915</f>
        <v>0</v>
      </c>
      <c r="E86">
        <f>'insurance final cleaned'!E915</f>
        <v>101</v>
      </c>
      <c r="F86">
        <f>'insurance final cleaned'!L915</f>
        <v>0</v>
      </c>
      <c r="G86">
        <f>'insurance final cleaned'!M915</f>
        <v>0</v>
      </c>
      <c r="H86">
        <f>'insurance final cleaned'!N915</f>
        <v>0</v>
      </c>
      <c r="I86">
        <f>'insurance final cleaned'!O915</f>
        <v>0</v>
      </c>
      <c r="J86">
        <f>'insurance final cleaned'!P915</f>
        <v>6.5971617632115342E-2</v>
      </c>
      <c r="K86">
        <f>'insurance final cleaned'!Q915</f>
        <v>0</v>
      </c>
      <c r="L86">
        <f>'insurance final cleaned'!R915</f>
        <v>1</v>
      </c>
      <c r="M86">
        <f>'insurance final cleaned'!S915</f>
        <v>0</v>
      </c>
    </row>
    <row r="87" spans="1:13" x14ac:dyDescent="0.3">
      <c r="A87">
        <f>'insurance final cleaned'!J1237</f>
        <v>37742.58</v>
      </c>
      <c r="B87">
        <f>'insurance final cleaned'!B1237</f>
        <v>19</v>
      </c>
      <c r="C87">
        <f>'insurance final cleaned'!D1237</f>
        <v>34.4</v>
      </c>
      <c r="D87">
        <f>'insurance final cleaned'!G1237</f>
        <v>0</v>
      </c>
      <c r="E87">
        <f>'insurance final cleaned'!E1237</f>
        <v>106</v>
      </c>
      <c r="F87">
        <f>'insurance final cleaned'!L1237</f>
        <v>34.4</v>
      </c>
      <c r="G87">
        <f>'insurance final cleaned'!M1237</f>
        <v>1</v>
      </c>
      <c r="H87">
        <f>'insurance final cleaned'!N1237</f>
        <v>0</v>
      </c>
      <c r="I87">
        <f>'insurance final cleaned'!O1237</f>
        <v>0</v>
      </c>
      <c r="J87">
        <f>'insurance final cleaned'!P1237</f>
        <v>6.6580283887039404E-2</v>
      </c>
      <c r="K87">
        <f>'insurance final cleaned'!Q1237</f>
        <v>1</v>
      </c>
      <c r="L87">
        <f>'insurance final cleaned'!R1237</f>
        <v>0</v>
      </c>
      <c r="M87">
        <f>'insurance final cleaned'!S1237</f>
        <v>0</v>
      </c>
    </row>
    <row r="88" spans="1:13" x14ac:dyDescent="0.3">
      <c r="A88">
        <f>'insurance final cleaned'!J1217</f>
        <v>36124.57</v>
      </c>
      <c r="B88">
        <f>'insurance final cleaned'!B1217</f>
        <v>22</v>
      </c>
      <c r="C88">
        <f>'insurance final cleaned'!D1217</f>
        <v>33.299999999999997</v>
      </c>
      <c r="D88">
        <f>'insurance final cleaned'!G1217</f>
        <v>2</v>
      </c>
      <c r="E88">
        <f>'insurance final cleaned'!E1217</f>
        <v>117</v>
      </c>
      <c r="F88">
        <f>'insurance final cleaned'!L1217</f>
        <v>33.299999999999997</v>
      </c>
      <c r="G88">
        <f>'insurance final cleaned'!M1217</f>
        <v>1</v>
      </c>
      <c r="H88">
        <f>'insurance final cleaned'!N1217</f>
        <v>0</v>
      </c>
      <c r="I88">
        <f>'insurance final cleaned'!O1217</f>
        <v>0</v>
      </c>
      <c r="J88">
        <f>'insurance final cleaned'!P1217</f>
        <v>6.7527201395505165E-2</v>
      </c>
      <c r="K88">
        <f>'insurance final cleaned'!Q1217</f>
        <v>1</v>
      </c>
      <c r="L88">
        <f>'insurance final cleaned'!R1217</f>
        <v>0</v>
      </c>
      <c r="M88">
        <f>'insurance final cleaned'!S1217</f>
        <v>0</v>
      </c>
    </row>
    <row r="89" spans="1:13" x14ac:dyDescent="0.3">
      <c r="A89">
        <f>'insurance final cleaned'!J171</f>
        <v>2719.28</v>
      </c>
      <c r="B89">
        <f>'insurance final cleaned'!B171</f>
        <v>41</v>
      </c>
      <c r="C89">
        <f>'insurance final cleaned'!D171</f>
        <v>31.8</v>
      </c>
      <c r="D89">
        <f>'insurance final cleaned'!G171</f>
        <v>1</v>
      </c>
      <c r="E89">
        <f>'insurance final cleaned'!E171</f>
        <v>88</v>
      </c>
      <c r="F89">
        <f>'insurance final cleaned'!L171</f>
        <v>0</v>
      </c>
      <c r="G89">
        <f>'insurance final cleaned'!M171</f>
        <v>0</v>
      </c>
      <c r="H89">
        <f>'insurance final cleaned'!N171</f>
        <v>0</v>
      </c>
      <c r="I89">
        <f>'insurance final cleaned'!O171</f>
        <v>1</v>
      </c>
      <c r="J89">
        <f>'insurance final cleaned'!P171</f>
        <v>6.8971080247054339E-2</v>
      </c>
      <c r="K89">
        <f>'insurance final cleaned'!Q171</f>
        <v>0</v>
      </c>
      <c r="L89">
        <f>'insurance final cleaned'!R171</f>
        <v>1</v>
      </c>
      <c r="M89">
        <f>'insurance final cleaned'!S171</f>
        <v>1</v>
      </c>
    </row>
    <row r="90" spans="1:13" x14ac:dyDescent="0.3">
      <c r="A90">
        <f>'insurance final cleaned'!J1199</f>
        <v>34254.050000000003</v>
      </c>
      <c r="B90">
        <f>'insurance final cleaned'!B1199</f>
        <v>30</v>
      </c>
      <c r="C90">
        <f>'insurance final cleaned'!D1199</f>
        <v>31.1</v>
      </c>
      <c r="D90">
        <f>'insurance final cleaned'!G1199</f>
        <v>0</v>
      </c>
      <c r="E90">
        <f>'insurance final cleaned'!E1199</f>
        <v>136</v>
      </c>
      <c r="F90">
        <f>'insurance final cleaned'!L1199</f>
        <v>31.1</v>
      </c>
      <c r="G90">
        <f>'insurance final cleaned'!M1199</f>
        <v>0</v>
      </c>
      <c r="H90">
        <f>'insurance final cleaned'!N1199</f>
        <v>0</v>
      </c>
      <c r="I90">
        <f>'insurance final cleaned'!O1199</f>
        <v>0</v>
      </c>
      <c r="J90">
        <f>'insurance final cleaned'!P1199</f>
        <v>6.9921473457879024E-2</v>
      </c>
      <c r="K90">
        <f>'insurance final cleaned'!Q1199</f>
        <v>1</v>
      </c>
      <c r="L90">
        <f>'insurance final cleaned'!R1199</f>
        <v>0</v>
      </c>
      <c r="M90">
        <f>'insurance final cleaned'!S1199</f>
        <v>0</v>
      </c>
    </row>
    <row r="91" spans="1:13" x14ac:dyDescent="0.3">
      <c r="A91">
        <f>'insurance final cleaned'!J285</f>
        <v>4185.1000000000004</v>
      </c>
      <c r="B91">
        <f>'insurance final cleaned'!B285</f>
        <v>34</v>
      </c>
      <c r="C91">
        <f>'insurance final cleaned'!D285</f>
        <v>24.3</v>
      </c>
      <c r="D91">
        <f>'insurance final cleaned'!G285</f>
        <v>0</v>
      </c>
      <c r="E91">
        <f>'insurance final cleaned'!E285</f>
        <v>90</v>
      </c>
      <c r="F91">
        <f>'insurance final cleaned'!L285</f>
        <v>0</v>
      </c>
      <c r="G91">
        <f>'insurance final cleaned'!M285</f>
        <v>1</v>
      </c>
      <c r="H91">
        <f>'insurance final cleaned'!N285</f>
        <v>0</v>
      </c>
      <c r="I91">
        <f>'insurance final cleaned'!O285</f>
        <v>0</v>
      </c>
      <c r="J91">
        <f>'insurance final cleaned'!P285</f>
        <v>7.0377541409070044E-2</v>
      </c>
      <c r="K91">
        <f>'insurance final cleaned'!Q285</f>
        <v>0</v>
      </c>
      <c r="L91">
        <f>'insurance final cleaned'!R285</f>
        <v>1</v>
      </c>
      <c r="M91">
        <f>'insurance final cleaned'!S285</f>
        <v>1</v>
      </c>
    </row>
    <row r="92" spans="1:13" x14ac:dyDescent="0.3">
      <c r="A92">
        <f>'insurance final cleaned'!J972</f>
        <v>14426.07</v>
      </c>
      <c r="B92">
        <f>'insurance final cleaned'!B972</f>
        <v>41</v>
      </c>
      <c r="C92">
        <f>'insurance final cleaned'!D972</f>
        <v>23.2</v>
      </c>
      <c r="D92">
        <f>'insurance final cleaned'!G972</f>
        <v>2</v>
      </c>
      <c r="E92">
        <f>'insurance final cleaned'!E972</f>
        <v>98</v>
      </c>
      <c r="F92">
        <f>'insurance final cleaned'!L972</f>
        <v>0</v>
      </c>
      <c r="G92">
        <f>'insurance final cleaned'!M972</f>
        <v>0</v>
      </c>
      <c r="H92">
        <f>'insurance final cleaned'!N972</f>
        <v>0</v>
      </c>
      <c r="I92">
        <f>'insurance final cleaned'!O972</f>
        <v>1</v>
      </c>
      <c r="J92">
        <f>'insurance final cleaned'!P972</f>
        <v>7.0402505201881738E-2</v>
      </c>
      <c r="K92">
        <f>'insurance final cleaned'!Q972</f>
        <v>0</v>
      </c>
      <c r="L92">
        <f>'insurance final cleaned'!R972</f>
        <v>0</v>
      </c>
      <c r="M92">
        <f>'insurance final cleaned'!S972</f>
        <v>1</v>
      </c>
    </row>
    <row r="93" spans="1:13" x14ac:dyDescent="0.3">
      <c r="A93">
        <f>'insurance final cleaned'!J603</f>
        <v>8410.0499999999993</v>
      </c>
      <c r="B93">
        <f>'insurance final cleaned'!B603</f>
        <v>44</v>
      </c>
      <c r="C93">
        <f>'insurance final cleaned'!D603</f>
        <v>30.1</v>
      </c>
      <c r="D93">
        <f>'insurance final cleaned'!G603</f>
        <v>3</v>
      </c>
      <c r="E93">
        <f>'insurance final cleaned'!E603</f>
        <v>86</v>
      </c>
      <c r="F93">
        <f>'insurance final cleaned'!L603</f>
        <v>0</v>
      </c>
      <c r="G93">
        <f>'insurance final cleaned'!M603</f>
        <v>0</v>
      </c>
      <c r="H93">
        <f>'insurance final cleaned'!N603</f>
        <v>0</v>
      </c>
      <c r="I93">
        <f>'insurance final cleaned'!O603</f>
        <v>1</v>
      </c>
      <c r="J93">
        <f>'insurance final cleaned'!P603</f>
        <v>7.1260735617203141E-2</v>
      </c>
      <c r="K93">
        <f>'insurance final cleaned'!Q603</f>
        <v>0</v>
      </c>
      <c r="L93">
        <f>'insurance final cleaned'!R603</f>
        <v>0</v>
      </c>
      <c r="M93">
        <f>'insurance final cleaned'!S603</f>
        <v>0</v>
      </c>
    </row>
    <row r="94" spans="1:13" x14ac:dyDescent="0.3">
      <c r="A94">
        <f>'insurance final cleaned'!J70</f>
        <v>1759.34</v>
      </c>
      <c r="B94">
        <f>'insurance final cleaned'!B70</f>
        <v>26</v>
      </c>
      <c r="C94">
        <f>'insurance final cleaned'!D70</f>
        <v>40.5</v>
      </c>
      <c r="D94">
        <f>'insurance final cleaned'!G70</f>
        <v>0</v>
      </c>
      <c r="E94">
        <f>'insurance final cleaned'!E70</f>
        <v>87</v>
      </c>
      <c r="F94">
        <f>'insurance final cleaned'!L70</f>
        <v>0</v>
      </c>
      <c r="G94">
        <f>'insurance final cleaned'!M70</f>
        <v>0</v>
      </c>
      <c r="H94">
        <f>'insurance final cleaned'!N70</f>
        <v>1</v>
      </c>
      <c r="I94">
        <f>'insurance final cleaned'!O70</f>
        <v>0</v>
      </c>
      <c r="J94">
        <f>'insurance final cleaned'!P70</f>
        <v>7.1325755410341585E-2</v>
      </c>
      <c r="K94">
        <f>'insurance final cleaned'!Q70</f>
        <v>0</v>
      </c>
      <c r="L94">
        <f>'insurance final cleaned'!R70</f>
        <v>1</v>
      </c>
      <c r="M94">
        <f>'insurance final cleaned'!S70</f>
        <v>1</v>
      </c>
    </row>
    <row r="95" spans="1:13" x14ac:dyDescent="0.3">
      <c r="A95">
        <f>'insurance final cleaned'!J454</f>
        <v>6313.76</v>
      </c>
      <c r="B95">
        <f>'insurance final cleaned'!B454</f>
        <v>56</v>
      </c>
      <c r="C95">
        <f>'insurance final cleaned'!D454</f>
        <v>30.8</v>
      </c>
      <c r="D95">
        <f>'insurance final cleaned'!G454</f>
        <v>2</v>
      </c>
      <c r="E95">
        <f>'insurance final cleaned'!E454</f>
        <v>92</v>
      </c>
      <c r="F95">
        <f>'insurance final cleaned'!L454</f>
        <v>0</v>
      </c>
      <c r="G95">
        <f>'insurance final cleaned'!M454</f>
        <v>1</v>
      </c>
      <c r="H95">
        <f>'insurance final cleaned'!N454</f>
        <v>0</v>
      </c>
      <c r="I95">
        <f>'insurance final cleaned'!O454</f>
        <v>0</v>
      </c>
      <c r="J95">
        <f>'insurance final cleaned'!P454</f>
        <v>7.1514378718320448E-2</v>
      </c>
      <c r="K95">
        <f>'insurance final cleaned'!Q454</f>
        <v>0</v>
      </c>
      <c r="L95">
        <f>'insurance final cleaned'!R454</f>
        <v>1</v>
      </c>
      <c r="M95">
        <f>'insurance final cleaned'!S454</f>
        <v>1</v>
      </c>
    </row>
    <row r="96" spans="1:13" x14ac:dyDescent="0.3">
      <c r="A96">
        <f>'insurance final cleaned'!J892</f>
        <v>12731</v>
      </c>
      <c r="B96">
        <f>'insurance final cleaned'!B892</f>
        <v>18</v>
      </c>
      <c r="C96">
        <f>'insurance final cleaned'!D892</f>
        <v>29.6</v>
      </c>
      <c r="D96">
        <f>'insurance final cleaned'!G892</f>
        <v>0</v>
      </c>
      <c r="E96">
        <f>'insurance final cleaned'!E892</f>
        <v>81</v>
      </c>
      <c r="F96">
        <f>'insurance final cleaned'!L892</f>
        <v>0</v>
      </c>
      <c r="G96">
        <f>'insurance final cleaned'!M892</f>
        <v>0</v>
      </c>
      <c r="H96">
        <f>'insurance final cleaned'!N892</f>
        <v>0</v>
      </c>
      <c r="I96">
        <f>'insurance final cleaned'!O892</f>
        <v>0</v>
      </c>
      <c r="J96">
        <f>'insurance final cleaned'!P892</f>
        <v>7.4156013018717548E-2</v>
      </c>
      <c r="K96">
        <f>'insurance final cleaned'!Q892</f>
        <v>0</v>
      </c>
      <c r="L96">
        <f>'insurance final cleaned'!R892</f>
        <v>1</v>
      </c>
      <c r="M96">
        <f>'insurance final cleaned'!S892</f>
        <v>0</v>
      </c>
    </row>
    <row r="97" spans="1:13" x14ac:dyDescent="0.3">
      <c r="A97">
        <f>'insurance final cleaned'!J1231</f>
        <v>37165.160000000003</v>
      </c>
      <c r="B97">
        <f>'insurance final cleaned'!B1231</f>
        <v>41</v>
      </c>
      <c r="C97">
        <f>'insurance final cleaned'!D1231</f>
        <v>37.6</v>
      </c>
      <c r="D97">
        <f>'insurance final cleaned'!G1231</f>
        <v>1</v>
      </c>
      <c r="E97">
        <f>'insurance final cleaned'!E1231</f>
        <v>127</v>
      </c>
      <c r="F97">
        <f>'insurance final cleaned'!L1231</f>
        <v>37.6</v>
      </c>
      <c r="G97">
        <f>'insurance final cleaned'!M1231</f>
        <v>1</v>
      </c>
      <c r="H97">
        <f>'insurance final cleaned'!N1231</f>
        <v>0</v>
      </c>
      <c r="I97">
        <f>'insurance final cleaned'!O1231</f>
        <v>0</v>
      </c>
      <c r="J97">
        <f>'insurance final cleaned'!P1231</f>
        <v>7.4595920669398907E-2</v>
      </c>
      <c r="K97">
        <f>'insurance final cleaned'!Q1231</f>
        <v>1</v>
      </c>
      <c r="L97">
        <f>'insurance final cleaned'!R1231</f>
        <v>1</v>
      </c>
      <c r="M97">
        <f>'insurance final cleaned'!S1231</f>
        <v>0</v>
      </c>
    </row>
    <row r="98" spans="1:13" x14ac:dyDescent="0.3">
      <c r="A98">
        <f>'insurance final cleaned'!J662</f>
        <v>9225.26</v>
      </c>
      <c r="B98">
        <f>'insurance final cleaned'!B662</f>
        <v>50</v>
      </c>
      <c r="C98">
        <f>'insurance final cleaned'!D662</f>
        <v>25.5</v>
      </c>
      <c r="D98">
        <f>'insurance final cleaned'!G662</f>
        <v>2</v>
      </c>
      <c r="E98">
        <f>'insurance final cleaned'!E662</f>
        <v>86</v>
      </c>
      <c r="F98">
        <f>'insurance final cleaned'!L662</f>
        <v>0</v>
      </c>
      <c r="G98">
        <f>'insurance final cleaned'!M662</f>
        <v>0</v>
      </c>
      <c r="H98">
        <f>'insurance final cleaned'!N662</f>
        <v>0</v>
      </c>
      <c r="I98">
        <f>'insurance final cleaned'!O662</f>
        <v>0</v>
      </c>
      <c r="J98">
        <f>'insurance final cleaned'!P662</f>
        <v>7.5157098895204166E-2</v>
      </c>
      <c r="K98">
        <f>'insurance final cleaned'!Q662</f>
        <v>0</v>
      </c>
      <c r="L98">
        <f>'insurance final cleaned'!R662</f>
        <v>1</v>
      </c>
      <c r="M98">
        <f>'insurance final cleaned'!S662</f>
        <v>0</v>
      </c>
    </row>
    <row r="99" spans="1:13" x14ac:dyDescent="0.3">
      <c r="A99">
        <f>'insurance final cleaned'!J143</f>
        <v>2438.06</v>
      </c>
      <c r="B99">
        <f>'insurance final cleaned'!B143</f>
        <v>46</v>
      </c>
      <c r="C99">
        <f>'insurance final cleaned'!D143</f>
        <v>50.4</v>
      </c>
      <c r="D99">
        <f>'insurance final cleaned'!G143</f>
        <v>1</v>
      </c>
      <c r="E99">
        <f>'insurance final cleaned'!E143</f>
        <v>89</v>
      </c>
      <c r="F99">
        <f>'insurance final cleaned'!L143</f>
        <v>0</v>
      </c>
      <c r="G99">
        <f>'insurance final cleaned'!M143</f>
        <v>1</v>
      </c>
      <c r="H99">
        <f>'insurance final cleaned'!N143</f>
        <v>0</v>
      </c>
      <c r="I99">
        <f>'insurance final cleaned'!O143</f>
        <v>0</v>
      </c>
      <c r="J99">
        <f>'insurance final cleaned'!P143</f>
        <v>7.6238901257465908E-2</v>
      </c>
      <c r="K99">
        <f>'insurance final cleaned'!Q143</f>
        <v>0</v>
      </c>
      <c r="L99">
        <f>'insurance final cleaned'!R143</f>
        <v>1</v>
      </c>
      <c r="M99">
        <f>'insurance final cleaned'!S143</f>
        <v>0</v>
      </c>
    </row>
    <row r="100" spans="1:13" x14ac:dyDescent="0.3">
      <c r="A100">
        <f>'insurance final cleaned'!J548</f>
        <v>7512.27</v>
      </c>
      <c r="B100">
        <f>'insurance final cleaned'!B548</f>
        <v>31</v>
      </c>
      <c r="C100">
        <f>'insurance final cleaned'!D548</f>
        <v>29.6</v>
      </c>
      <c r="D100">
        <f>'insurance final cleaned'!G548</f>
        <v>4</v>
      </c>
      <c r="E100">
        <f>'insurance final cleaned'!E548</f>
        <v>85</v>
      </c>
      <c r="F100">
        <f>'insurance final cleaned'!L548</f>
        <v>0</v>
      </c>
      <c r="G100">
        <f>'insurance final cleaned'!M548</f>
        <v>0</v>
      </c>
      <c r="H100">
        <f>'insurance final cleaned'!N548</f>
        <v>1</v>
      </c>
      <c r="I100">
        <f>'insurance final cleaned'!O548</f>
        <v>0</v>
      </c>
      <c r="J100">
        <f>'insurance final cleaned'!P548</f>
        <v>7.6526099770181655E-2</v>
      </c>
      <c r="K100">
        <f>'insurance final cleaned'!Q548</f>
        <v>0</v>
      </c>
      <c r="L100">
        <f>'insurance final cleaned'!R548</f>
        <v>0</v>
      </c>
      <c r="M100">
        <f>'insurance final cleaned'!S548</f>
        <v>0</v>
      </c>
    </row>
    <row r="101" spans="1:13" x14ac:dyDescent="0.3">
      <c r="A101">
        <f>'insurance final cleaned'!J793</f>
        <v>11286.54</v>
      </c>
      <c r="B101">
        <f>'insurance final cleaned'!B793</f>
        <v>51</v>
      </c>
      <c r="C101">
        <f>'insurance final cleaned'!D793</f>
        <v>29.8</v>
      </c>
      <c r="D101">
        <f>'insurance final cleaned'!G793</f>
        <v>0</v>
      </c>
      <c r="E101">
        <f>'insurance final cleaned'!E793</f>
        <v>101</v>
      </c>
      <c r="F101">
        <f>'insurance final cleaned'!L793</f>
        <v>0</v>
      </c>
      <c r="G101">
        <f>'insurance final cleaned'!M793</f>
        <v>0</v>
      </c>
      <c r="H101">
        <f>'insurance final cleaned'!N793</f>
        <v>0</v>
      </c>
      <c r="I101">
        <f>'insurance final cleaned'!O793</f>
        <v>0</v>
      </c>
      <c r="J101">
        <f>'insurance final cleaned'!P793</f>
        <v>7.703750237030893E-2</v>
      </c>
      <c r="K101">
        <f>'insurance final cleaned'!Q793</f>
        <v>0</v>
      </c>
      <c r="L101">
        <f>'insurance final cleaned'!R793</f>
        <v>1</v>
      </c>
      <c r="M101">
        <f>'insurance final cleaned'!S793</f>
        <v>1</v>
      </c>
    </row>
    <row r="102" spans="1:13" x14ac:dyDescent="0.3">
      <c r="A102">
        <f>'insurance final cleaned'!J940</f>
        <v>13770.1</v>
      </c>
      <c r="B102">
        <f>'insurance final cleaned'!B940</f>
        <v>30</v>
      </c>
      <c r="C102">
        <f>'insurance final cleaned'!D940</f>
        <v>28.3</v>
      </c>
      <c r="D102">
        <f>'insurance final cleaned'!G940</f>
        <v>0</v>
      </c>
      <c r="E102">
        <f>'insurance final cleaned'!E940</f>
        <v>85</v>
      </c>
      <c r="F102">
        <f>'insurance final cleaned'!L940</f>
        <v>0</v>
      </c>
      <c r="G102">
        <f>'insurance final cleaned'!M940</f>
        <v>0</v>
      </c>
      <c r="H102">
        <f>'insurance final cleaned'!N940</f>
        <v>0</v>
      </c>
      <c r="I102">
        <f>'insurance final cleaned'!O940</f>
        <v>1</v>
      </c>
      <c r="J102">
        <f>'insurance final cleaned'!P940</f>
        <v>7.7440907976642159E-2</v>
      </c>
      <c r="K102">
        <f>'insurance final cleaned'!Q940</f>
        <v>0</v>
      </c>
      <c r="L102">
        <f>'insurance final cleaned'!R940</f>
        <v>0</v>
      </c>
      <c r="M102">
        <f>'insurance final cleaned'!S940</f>
        <v>0</v>
      </c>
    </row>
    <row r="103" spans="1:13" x14ac:dyDescent="0.3">
      <c r="A103">
        <f>'insurance final cleaned'!J1129</f>
        <v>24393.62</v>
      </c>
      <c r="B103">
        <f>'insurance final cleaned'!B1129</f>
        <v>48</v>
      </c>
      <c r="C103">
        <f>'insurance final cleaned'!D1129</f>
        <v>27.4</v>
      </c>
      <c r="D103">
        <f>'insurance final cleaned'!G1129</f>
        <v>0</v>
      </c>
      <c r="E103">
        <f>'insurance final cleaned'!E1129</f>
        <v>106</v>
      </c>
      <c r="F103">
        <f>'insurance final cleaned'!L1129</f>
        <v>27.4</v>
      </c>
      <c r="G103">
        <f>'insurance final cleaned'!M1129</f>
        <v>0</v>
      </c>
      <c r="H103">
        <f>'insurance final cleaned'!N1129</f>
        <v>0</v>
      </c>
      <c r="I103">
        <f>'insurance final cleaned'!O1129</f>
        <v>1</v>
      </c>
      <c r="J103">
        <f>'insurance final cleaned'!P1129</f>
        <v>7.7952780349215267E-2</v>
      </c>
      <c r="K103">
        <f>'insurance final cleaned'!Q1129</f>
        <v>1</v>
      </c>
      <c r="L103">
        <f>'insurance final cleaned'!R1129</f>
        <v>0</v>
      </c>
      <c r="M103">
        <f>'insurance final cleaned'!S1129</f>
        <v>0</v>
      </c>
    </row>
    <row r="104" spans="1:13" x14ac:dyDescent="0.3">
      <c r="A104">
        <f>'insurance final cleaned'!J1188</f>
        <v>32548.34</v>
      </c>
      <c r="B104">
        <f>'insurance final cleaned'!B1188</f>
        <v>46</v>
      </c>
      <c r="C104">
        <f>'insurance final cleaned'!D1188</f>
        <v>30.3</v>
      </c>
      <c r="D104">
        <f>'insurance final cleaned'!G1188</f>
        <v>0</v>
      </c>
      <c r="E104">
        <f>'insurance final cleaned'!E1188</f>
        <v>114</v>
      </c>
      <c r="F104">
        <f>'insurance final cleaned'!L1188</f>
        <v>30.3</v>
      </c>
      <c r="G104">
        <f>'insurance final cleaned'!M1188</f>
        <v>1</v>
      </c>
      <c r="H104">
        <f>'insurance final cleaned'!N1188</f>
        <v>0</v>
      </c>
      <c r="I104">
        <f>'insurance final cleaned'!O1188</f>
        <v>0</v>
      </c>
      <c r="J104">
        <f>'insurance final cleaned'!P1188</f>
        <v>7.8039145963907042E-2</v>
      </c>
      <c r="K104">
        <f>'insurance final cleaned'!Q1188</f>
        <v>1</v>
      </c>
      <c r="L104">
        <f>'insurance final cleaned'!R1188</f>
        <v>1</v>
      </c>
      <c r="M104">
        <f>'insurance final cleaned'!S1188</f>
        <v>0</v>
      </c>
    </row>
    <row r="105" spans="1:13" x14ac:dyDescent="0.3">
      <c r="A105">
        <f>'insurance final cleaned'!J570</f>
        <v>7935.29</v>
      </c>
      <c r="B105">
        <f>'insurance final cleaned'!B570</f>
        <v>58</v>
      </c>
      <c r="C105">
        <f>'insurance final cleaned'!D570</f>
        <v>38.299999999999997</v>
      </c>
      <c r="D105">
        <f>'insurance final cleaned'!G570</f>
        <v>0</v>
      </c>
      <c r="E105">
        <f>'insurance final cleaned'!E570</f>
        <v>87</v>
      </c>
      <c r="F105">
        <f>'insurance final cleaned'!L570</f>
        <v>0</v>
      </c>
      <c r="G105">
        <f>'insurance final cleaned'!M570</f>
        <v>0</v>
      </c>
      <c r="H105">
        <f>'insurance final cleaned'!N570</f>
        <v>0</v>
      </c>
      <c r="I105">
        <f>'insurance final cleaned'!O570</f>
        <v>0</v>
      </c>
      <c r="J105">
        <f>'insurance final cleaned'!P570</f>
        <v>7.8233956006534933E-2</v>
      </c>
      <c r="K105">
        <f>'insurance final cleaned'!Q570</f>
        <v>0</v>
      </c>
      <c r="L105">
        <f>'insurance final cleaned'!R570</f>
        <v>1</v>
      </c>
      <c r="M105">
        <f>'insurance final cleaned'!S570</f>
        <v>1</v>
      </c>
    </row>
    <row r="106" spans="1:13" x14ac:dyDescent="0.3">
      <c r="A106">
        <f>'insurance final cleaned'!J1202</f>
        <v>34472.839999999997</v>
      </c>
      <c r="B106">
        <f>'insurance final cleaned'!B1202</f>
        <v>40</v>
      </c>
      <c r="C106">
        <f>'insurance final cleaned'!D1202</f>
        <v>32.700000000000003</v>
      </c>
      <c r="D106">
        <f>'insurance final cleaned'!G1202</f>
        <v>0</v>
      </c>
      <c r="E106">
        <f>'insurance final cleaned'!E1202</f>
        <v>98</v>
      </c>
      <c r="F106">
        <f>'insurance final cleaned'!L1202</f>
        <v>32.700000000000003</v>
      </c>
      <c r="G106">
        <f>'insurance final cleaned'!M1202</f>
        <v>0</v>
      </c>
      <c r="H106">
        <f>'insurance final cleaned'!N1202</f>
        <v>1</v>
      </c>
      <c r="I106">
        <f>'insurance final cleaned'!O1202</f>
        <v>0</v>
      </c>
      <c r="J106">
        <f>'insurance final cleaned'!P1202</f>
        <v>7.8256048423335889E-2</v>
      </c>
      <c r="K106">
        <f>'insurance final cleaned'!Q1202</f>
        <v>1</v>
      </c>
      <c r="L106">
        <f>'insurance final cleaned'!R1202</f>
        <v>0</v>
      </c>
      <c r="M106">
        <f>'insurance final cleaned'!S1202</f>
        <v>0</v>
      </c>
    </row>
    <row r="107" spans="1:13" x14ac:dyDescent="0.3">
      <c r="A107">
        <f>'insurance final cleaned'!J438</f>
        <v>6113.23</v>
      </c>
      <c r="B107">
        <f>'insurance final cleaned'!B438</f>
        <v>28</v>
      </c>
      <c r="C107">
        <f>'insurance final cleaned'!D438</f>
        <v>30.5</v>
      </c>
      <c r="D107">
        <f>'insurance final cleaned'!G438</f>
        <v>3</v>
      </c>
      <c r="E107">
        <f>'insurance final cleaned'!E438</f>
        <v>82</v>
      </c>
      <c r="F107">
        <f>'insurance final cleaned'!L438</f>
        <v>0</v>
      </c>
      <c r="G107">
        <f>'insurance final cleaned'!M438</f>
        <v>1</v>
      </c>
      <c r="H107">
        <f>'insurance final cleaned'!N438</f>
        <v>0</v>
      </c>
      <c r="I107">
        <f>'insurance final cleaned'!O438</f>
        <v>0</v>
      </c>
      <c r="J107">
        <f>'insurance final cleaned'!P438</f>
        <v>7.8320890056571835E-2</v>
      </c>
      <c r="K107">
        <f>'insurance final cleaned'!Q438</f>
        <v>0</v>
      </c>
      <c r="L107">
        <f>'insurance final cleaned'!R438</f>
        <v>1</v>
      </c>
      <c r="M107">
        <f>'insurance final cleaned'!S438</f>
        <v>1</v>
      </c>
    </row>
    <row r="108" spans="1:13" x14ac:dyDescent="0.3">
      <c r="A108">
        <f>'insurance final cleaned'!J539</f>
        <v>7371.77</v>
      </c>
      <c r="B108">
        <f>'insurance final cleaned'!B539</f>
        <v>26</v>
      </c>
      <c r="C108">
        <f>'insurance final cleaned'!D539</f>
        <v>37.1</v>
      </c>
      <c r="D108">
        <f>'insurance final cleaned'!G539</f>
        <v>2</v>
      </c>
      <c r="E108">
        <f>'insurance final cleaned'!E539</f>
        <v>88</v>
      </c>
      <c r="F108">
        <f>'insurance final cleaned'!L539</f>
        <v>0</v>
      </c>
      <c r="G108">
        <f>'insurance final cleaned'!M539</f>
        <v>0</v>
      </c>
      <c r="H108">
        <f>'insurance final cleaned'!N539</f>
        <v>1</v>
      </c>
      <c r="I108">
        <f>'insurance final cleaned'!O539</f>
        <v>0</v>
      </c>
      <c r="J108">
        <f>'insurance final cleaned'!P539</f>
        <v>7.909760238094965E-2</v>
      </c>
      <c r="K108">
        <f>'insurance final cleaned'!Q539</f>
        <v>0</v>
      </c>
      <c r="L108">
        <f>'insurance final cleaned'!R539</f>
        <v>0</v>
      </c>
      <c r="M108">
        <f>'insurance final cleaned'!S539</f>
        <v>1</v>
      </c>
    </row>
    <row r="109" spans="1:13" x14ac:dyDescent="0.3">
      <c r="A109">
        <f>'insurance final cleaned'!J1209</f>
        <v>35069.370000000003</v>
      </c>
      <c r="B109">
        <f>'insurance final cleaned'!B1209</f>
        <v>22</v>
      </c>
      <c r="C109">
        <f>'insurance final cleaned'!D1209</f>
        <v>22.9</v>
      </c>
      <c r="D109">
        <f>'insurance final cleaned'!G1209</f>
        <v>0</v>
      </c>
      <c r="E109">
        <f>'insurance final cleaned'!E1209</f>
        <v>80</v>
      </c>
      <c r="F109">
        <f>'insurance final cleaned'!L1209</f>
        <v>22.9</v>
      </c>
      <c r="G109">
        <f>'insurance final cleaned'!M1209</f>
        <v>0</v>
      </c>
      <c r="H109">
        <f>'insurance final cleaned'!N1209</f>
        <v>0</v>
      </c>
      <c r="I109">
        <f>'insurance final cleaned'!O1209</f>
        <v>0</v>
      </c>
      <c r="J109">
        <f>'insurance final cleaned'!P1209</f>
        <v>7.9375388834506344E-2</v>
      </c>
      <c r="K109">
        <f>'insurance final cleaned'!Q1209</f>
        <v>1</v>
      </c>
      <c r="L109">
        <f>'insurance final cleaned'!R1209</f>
        <v>0</v>
      </c>
      <c r="M109">
        <f>'insurance final cleaned'!S1209</f>
        <v>0</v>
      </c>
    </row>
    <row r="110" spans="1:13" x14ac:dyDescent="0.3">
      <c r="A110">
        <f>'insurance final cleaned'!J668</f>
        <v>9290.14</v>
      </c>
      <c r="B110">
        <f>'insurance final cleaned'!B668</f>
        <v>23</v>
      </c>
      <c r="C110">
        <f>'insurance final cleaned'!D668</f>
        <v>31.4</v>
      </c>
      <c r="D110">
        <f>'insurance final cleaned'!G668</f>
        <v>1</v>
      </c>
      <c r="E110">
        <f>'insurance final cleaned'!E668</f>
        <v>94</v>
      </c>
      <c r="F110">
        <f>'insurance final cleaned'!L668</f>
        <v>0</v>
      </c>
      <c r="G110">
        <f>'insurance final cleaned'!M668</f>
        <v>0</v>
      </c>
      <c r="H110">
        <f>'insurance final cleaned'!N668</f>
        <v>0</v>
      </c>
      <c r="I110">
        <f>'insurance final cleaned'!O668</f>
        <v>0</v>
      </c>
      <c r="J110">
        <f>'insurance final cleaned'!P668</f>
        <v>8.0700042251689585E-2</v>
      </c>
      <c r="K110">
        <f>'insurance final cleaned'!Q668</f>
        <v>0</v>
      </c>
      <c r="L110">
        <f>'insurance final cleaned'!R668</f>
        <v>1</v>
      </c>
      <c r="M110">
        <f>'insurance final cleaned'!S668</f>
        <v>0</v>
      </c>
    </row>
    <row r="111" spans="1:13" x14ac:dyDescent="0.3">
      <c r="A111">
        <f>'insurance final cleaned'!J967</f>
        <v>14382.71</v>
      </c>
      <c r="B111">
        <f>'insurance final cleaned'!B967</f>
        <v>41</v>
      </c>
      <c r="C111">
        <f>'insurance final cleaned'!D967</f>
        <v>26.7</v>
      </c>
      <c r="D111">
        <f>'insurance final cleaned'!G967</f>
        <v>3</v>
      </c>
      <c r="E111">
        <f>'insurance final cleaned'!E967</f>
        <v>94</v>
      </c>
      <c r="F111">
        <f>'insurance final cleaned'!L967</f>
        <v>0</v>
      </c>
      <c r="G111">
        <f>'insurance final cleaned'!M967</f>
        <v>0</v>
      </c>
      <c r="H111">
        <f>'insurance final cleaned'!N967</f>
        <v>0</v>
      </c>
      <c r="I111">
        <f>'insurance final cleaned'!O967</f>
        <v>1</v>
      </c>
      <c r="J111">
        <f>'insurance final cleaned'!P967</f>
        <v>8.1380757050708019E-2</v>
      </c>
      <c r="K111">
        <f>'insurance final cleaned'!Q967</f>
        <v>0</v>
      </c>
      <c r="L111">
        <f>'insurance final cleaned'!R967</f>
        <v>1</v>
      </c>
      <c r="M111">
        <f>'insurance final cleaned'!S967</f>
        <v>1</v>
      </c>
    </row>
    <row r="112" spans="1:13" x14ac:dyDescent="0.3">
      <c r="A112">
        <f>'insurance final cleaned'!J1127</f>
        <v>24180.93</v>
      </c>
      <c r="B112">
        <f>'insurance final cleaned'!B1127</f>
        <v>58</v>
      </c>
      <c r="C112">
        <f>'insurance final cleaned'!D1127</f>
        <v>25.9</v>
      </c>
      <c r="D112">
        <f>'insurance final cleaned'!G1127</f>
        <v>3</v>
      </c>
      <c r="E112">
        <f>'insurance final cleaned'!E1127</f>
        <v>102</v>
      </c>
      <c r="F112">
        <f>'insurance final cleaned'!L1127</f>
        <v>25.9</v>
      </c>
      <c r="G112">
        <f>'insurance final cleaned'!M1127</f>
        <v>1</v>
      </c>
      <c r="H112">
        <f>'insurance final cleaned'!N1127</f>
        <v>0</v>
      </c>
      <c r="I112">
        <f>'insurance final cleaned'!O1127</f>
        <v>0</v>
      </c>
      <c r="J112">
        <f>'insurance final cleaned'!P1127</f>
        <v>8.1882106506859786E-2</v>
      </c>
      <c r="K112">
        <f>'insurance final cleaned'!Q1127</f>
        <v>1</v>
      </c>
      <c r="L112">
        <f>'insurance final cleaned'!R1127</f>
        <v>0</v>
      </c>
      <c r="M112">
        <f>'insurance final cleaned'!S1127</f>
        <v>1</v>
      </c>
    </row>
    <row r="113" spans="1:13" x14ac:dyDescent="0.3">
      <c r="A113">
        <f>'insurance final cleaned'!J588</f>
        <v>8219.2000000000007</v>
      </c>
      <c r="B113">
        <f>'insurance final cleaned'!B588</f>
        <v>26</v>
      </c>
      <c r="C113">
        <f>'insurance final cleaned'!D588</f>
        <v>29.8</v>
      </c>
      <c r="D113">
        <f>'insurance final cleaned'!G588</f>
        <v>2</v>
      </c>
      <c r="E113">
        <f>'insurance final cleaned'!E588</f>
        <v>84</v>
      </c>
      <c r="F113">
        <f>'insurance final cleaned'!L588</f>
        <v>0</v>
      </c>
      <c r="G113">
        <f>'insurance final cleaned'!M588</f>
        <v>1</v>
      </c>
      <c r="H113">
        <f>'insurance final cleaned'!N588</f>
        <v>0</v>
      </c>
      <c r="I113">
        <f>'insurance final cleaned'!O588</f>
        <v>0</v>
      </c>
      <c r="J113">
        <f>'insurance final cleaned'!P588</f>
        <v>8.2943722981550283E-2</v>
      </c>
      <c r="K113">
        <f>'insurance final cleaned'!Q588</f>
        <v>0</v>
      </c>
      <c r="L113">
        <f>'insurance final cleaned'!R588</f>
        <v>0</v>
      </c>
      <c r="M113">
        <f>'insurance final cleaned'!S588</f>
        <v>1</v>
      </c>
    </row>
    <row r="114" spans="1:13" x14ac:dyDescent="0.3">
      <c r="A114">
        <f>'insurance final cleaned'!J138</f>
        <v>2362.23</v>
      </c>
      <c r="B114">
        <f>'insurance final cleaned'!B138</f>
        <v>40</v>
      </c>
      <c r="C114">
        <f>'insurance final cleaned'!D138</f>
        <v>32.4</v>
      </c>
      <c r="D114">
        <f>'insurance final cleaned'!G138</f>
        <v>1</v>
      </c>
      <c r="E114">
        <f>'insurance final cleaned'!E138</f>
        <v>81</v>
      </c>
      <c r="F114">
        <f>'insurance final cleaned'!L138</f>
        <v>0</v>
      </c>
      <c r="G114">
        <f>'insurance final cleaned'!M138</f>
        <v>0</v>
      </c>
      <c r="H114">
        <f>'insurance final cleaned'!N138</f>
        <v>0</v>
      </c>
      <c r="I114">
        <f>'insurance final cleaned'!O138</f>
        <v>1</v>
      </c>
      <c r="J114">
        <f>'insurance final cleaned'!P138</f>
        <v>8.2945096426828235E-2</v>
      </c>
      <c r="K114">
        <f>'insurance final cleaned'!Q138</f>
        <v>0</v>
      </c>
      <c r="L114">
        <f>'insurance final cleaned'!R138</f>
        <v>0</v>
      </c>
      <c r="M114">
        <f>'insurance final cleaned'!S138</f>
        <v>0</v>
      </c>
    </row>
    <row r="115" spans="1:13" x14ac:dyDescent="0.3">
      <c r="A115">
        <f>'insurance final cleaned'!J711</f>
        <v>9880.07</v>
      </c>
      <c r="B115">
        <f>'insurance final cleaned'!B711</f>
        <v>27</v>
      </c>
      <c r="C115">
        <f>'insurance final cleaned'!D711</f>
        <v>39.5</v>
      </c>
      <c r="D115">
        <f>'insurance final cleaned'!G711</f>
        <v>1</v>
      </c>
      <c r="E115">
        <f>'insurance final cleaned'!E711</f>
        <v>90</v>
      </c>
      <c r="F115">
        <f>'insurance final cleaned'!L711</f>
        <v>0</v>
      </c>
      <c r="G115">
        <f>'insurance final cleaned'!M711</f>
        <v>0</v>
      </c>
      <c r="H115">
        <f>'insurance final cleaned'!N711</f>
        <v>1</v>
      </c>
      <c r="I115">
        <f>'insurance final cleaned'!O711</f>
        <v>0</v>
      </c>
      <c r="J115">
        <f>'insurance final cleaned'!P711</f>
        <v>8.2997690482469522E-2</v>
      </c>
      <c r="K115">
        <f>'insurance final cleaned'!Q711</f>
        <v>0</v>
      </c>
      <c r="L115">
        <f>'insurance final cleaned'!R711</f>
        <v>0</v>
      </c>
      <c r="M115">
        <f>'insurance final cleaned'!S711</f>
        <v>1</v>
      </c>
    </row>
    <row r="116" spans="1:13" x14ac:dyDescent="0.3">
      <c r="A116">
        <f>'insurance final cleaned'!J452</f>
        <v>6289.75</v>
      </c>
      <c r="B116">
        <f>'insurance final cleaned'!B452</f>
        <v>20</v>
      </c>
      <c r="C116">
        <f>'insurance final cleaned'!D452</f>
        <v>34.200000000000003</v>
      </c>
      <c r="D116">
        <f>'insurance final cleaned'!G452</f>
        <v>1</v>
      </c>
      <c r="E116">
        <f>'insurance final cleaned'!E452</f>
        <v>89</v>
      </c>
      <c r="F116">
        <f>'insurance final cleaned'!L452</f>
        <v>0</v>
      </c>
      <c r="G116">
        <f>'insurance final cleaned'!M452</f>
        <v>1</v>
      </c>
      <c r="H116">
        <f>'insurance final cleaned'!N452</f>
        <v>0</v>
      </c>
      <c r="I116">
        <f>'insurance final cleaned'!O452</f>
        <v>0</v>
      </c>
      <c r="J116">
        <f>'insurance final cleaned'!P452</f>
        <v>8.3036358670259602E-2</v>
      </c>
      <c r="K116">
        <f>'insurance final cleaned'!Q452</f>
        <v>0</v>
      </c>
      <c r="L116">
        <f>'insurance final cleaned'!R452</f>
        <v>1</v>
      </c>
      <c r="M116">
        <f>'insurance final cleaned'!S452</f>
        <v>0</v>
      </c>
    </row>
    <row r="117" spans="1:13" x14ac:dyDescent="0.3">
      <c r="A117">
        <f>'insurance final cleaned'!J62</f>
        <v>1727.54</v>
      </c>
      <c r="B117">
        <f>'insurance final cleaned'!B62</f>
        <v>49</v>
      </c>
      <c r="C117">
        <f>'insurance final cleaned'!D62</f>
        <v>35.200000000000003</v>
      </c>
      <c r="D117">
        <f>'insurance final cleaned'!G62</f>
        <v>1</v>
      </c>
      <c r="E117">
        <f>'insurance final cleaned'!E62</f>
        <v>80</v>
      </c>
      <c r="F117">
        <f>'insurance final cleaned'!L62</f>
        <v>0</v>
      </c>
      <c r="G117">
        <f>'insurance final cleaned'!M62</f>
        <v>1</v>
      </c>
      <c r="H117">
        <f>'insurance final cleaned'!N62</f>
        <v>0</v>
      </c>
      <c r="I117">
        <f>'insurance final cleaned'!O62</f>
        <v>0</v>
      </c>
      <c r="J117">
        <f>'insurance final cleaned'!P62</f>
        <v>8.4069243062525278E-2</v>
      </c>
      <c r="K117">
        <f>'insurance final cleaned'!Q62</f>
        <v>0</v>
      </c>
      <c r="L117">
        <f>'insurance final cleaned'!R62</f>
        <v>1</v>
      </c>
      <c r="M117">
        <f>'insurance final cleaned'!S62</f>
        <v>0</v>
      </c>
    </row>
    <row r="118" spans="1:13" x14ac:dyDescent="0.3">
      <c r="A118">
        <f>'insurance final cleaned'!J776</f>
        <v>11013.71</v>
      </c>
      <c r="B118">
        <f>'insurance final cleaned'!B776</f>
        <v>45</v>
      </c>
      <c r="C118">
        <f>'insurance final cleaned'!D776</f>
        <v>21</v>
      </c>
      <c r="D118">
        <f>'insurance final cleaned'!G776</f>
        <v>2</v>
      </c>
      <c r="E118">
        <f>'insurance final cleaned'!E776</f>
        <v>85</v>
      </c>
      <c r="F118">
        <f>'insurance final cleaned'!L776</f>
        <v>0</v>
      </c>
      <c r="G118">
        <f>'insurance final cleaned'!M776</f>
        <v>1</v>
      </c>
      <c r="H118">
        <f>'insurance final cleaned'!N776</f>
        <v>0</v>
      </c>
      <c r="I118">
        <f>'insurance final cleaned'!O776</f>
        <v>0</v>
      </c>
      <c r="J118">
        <f>'insurance final cleaned'!P776</f>
        <v>8.4904579674454861E-2</v>
      </c>
      <c r="K118">
        <f>'insurance final cleaned'!Q776</f>
        <v>0</v>
      </c>
      <c r="L118">
        <f>'insurance final cleaned'!R776</f>
        <v>1</v>
      </c>
      <c r="M118">
        <f>'insurance final cleaned'!S776</f>
        <v>0</v>
      </c>
    </row>
    <row r="119" spans="1:13" x14ac:dyDescent="0.3">
      <c r="A119">
        <f>'insurance final cleaned'!J1114</f>
        <v>23082.959999999999</v>
      </c>
      <c r="B119">
        <f>'insurance final cleaned'!B1114</f>
        <v>22</v>
      </c>
      <c r="C119">
        <f>'insurance final cleaned'!D1114</f>
        <v>33.1</v>
      </c>
      <c r="D119">
        <f>'insurance final cleaned'!G1114</f>
        <v>0</v>
      </c>
      <c r="E119">
        <f>'insurance final cleaned'!E1114</f>
        <v>91</v>
      </c>
      <c r="F119">
        <f>'insurance final cleaned'!L1114</f>
        <v>0</v>
      </c>
      <c r="G119">
        <f>'insurance final cleaned'!M1114</f>
        <v>0</v>
      </c>
      <c r="H119">
        <f>'insurance final cleaned'!N1114</f>
        <v>1</v>
      </c>
      <c r="I119">
        <f>'insurance final cleaned'!O1114</f>
        <v>0</v>
      </c>
      <c r="J119">
        <f>'insurance final cleaned'!P1114</f>
        <v>8.5252850918377865E-2</v>
      </c>
      <c r="K119">
        <f>'insurance final cleaned'!Q1114</f>
        <v>0</v>
      </c>
      <c r="L119">
        <f>'insurance final cleaned'!R1114</f>
        <v>0</v>
      </c>
      <c r="M119">
        <f>'insurance final cleaned'!S1114</f>
        <v>0</v>
      </c>
    </row>
    <row r="120" spans="1:13" x14ac:dyDescent="0.3">
      <c r="A120">
        <f>'insurance final cleaned'!J1021</f>
        <v>17560.38</v>
      </c>
      <c r="B120">
        <f>'insurance final cleaned'!B1021</f>
        <v>23</v>
      </c>
      <c r="C120">
        <f>'insurance final cleaned'!D1021</f>
        <v>28</v>
      </c>
      <c r="D120">
        <f>'insurance final cleaned'!G1021</f>
        <v>1</v>
      </c>
      <c r="E120">
        <f>'insurance final cleaned'!E1021</f>
        <v>86</v>
      </c>
      <c r="F120">
        <f>'insurance final cleaned'!L1021</f>
        <v>28</v>
      </c>
      <c r="G120">
        <f>'insurance final cleaned'!M1021</f>
        <v>0</v>
      </c>
      <c r="H120">
        <f>'insurance final cleaned'!N1021</f>
        <v>0</v>
      </c>
      <c r="I120">
        <f>'insurance final cleaned'!O1021</f>
        <v>1</v>
      </c>
      <c r="J120">
        <f>'insurance final cleaned'!P1021</f>
        <v>8.5739685825759304E-2</v>
      </c>
      <c r="K120">
        <f>'insurance final cleaned'!Q1021</f>
        <v>1</v>
      </c>
      <c r="L120">
        <f>'insurance final cleaned'!R1021</f>
        <v>1</v>
      </c>
      <c r="M120">
        <f>'insurance final cleaned'!S1021</f>
        <v>0</v>
      </c>
    </row>
    <row r="121" spans="1:13" x14ac:dyDescent="0.3">
      <c r="A121">
        <f>'insurance final cleaned'!J254</f>
        <v>3761.29</v>
      </c>
      <c r="B121">
        <f>'insurance final cleaned'!B254</f>
        <v>52</v>
      </c>
      <c r="C121">
        <f>'insurance final cleaned'!D254</f>
        <v>29.1</v>
      </c>
      <c r="D121">
        <f>'insurance final cleaned'!G254</f>
        <v>0</v>
      </c>
      <c r="E121">
        <f>'insurance final cleaned'!E254</f>
        <v>90</v>
      </c>
      <c r="F121">
        <f>'insurance final cleaned'!L254</f>
        <v>0</v>
      </c>
      <c r="G121">
        <f>'insurance final cleaned'!M254</f>
        <v>0</v>
      </c>
      <c r="H121">
        <f>'insurance final cleaned'!N254</f>
        <v>1</v>
      </c>
      <c r="I121">
        <f>'insurance final cleaned'!O254</f>
        <v>0</v>
      </c>
      <c r="J121">
        <f>'insurance final cleaned'!P254</f>
        <v>8.7745935877493242E-2</v>
      </c>
      <c r="K121">
        <f>'insurance final cleaned'!Q254</f>
        <v>0</v>
      </c>
      <c r="L121">
        <f>'insurance final cleaned'!R254</f>
        <v>0</v>
      </c>
      <c r="M121">
        <f>'insurance final cleaned'!S254</f>
        <v>1</v>
      </c>
    </row>
    <row r="122" spans="1:13" x14ac:dyDescent="0.3">
      <c r="A122">
        <f>'insurance final cleaned'!J1119</f>
        <v>23401.31</v>
      </c>
      <c r="B122">
        <f>'insurance final cleaned'!B1119</f>
        <v>26</v>
      </c>
      <c r="C122">
        <f>'insurance final cleaned'!D1119</f>
        <v>26.1</v>
      </c>
      <c r="D122">
        <f>'insurance final cleaned'!G1119</f>
        <v>1</v>
      </c>
      <c r="E122">
        <f>'insurance final cleaned'!E1119</f>
        <v>99</v>
      </c>
      <c r="F122">
        <f>'insurance final cleaned'!L1119</f>
        <v>26.1</v>
      </c>
      <c r="G122">
        <f>'insurance final cleaned'!M1119</f>
        <v>0</v>
      </c>
      <c r="H122">
        <f>'insurance final cleaned'!N1119</f>
        <v>0</v>
      </c>
      <c r="I122">
        <f>'insurance final cleaned'!O1119</f>
        <v>0</v>
      </c>
      <c r="J122">
        <f>'insurance final cleaned'!P1119</f>
        <v>8.8007759138761466E-2</v>
      </c>
      <c r="K122">
        <f>'insurance final cleaned'!Q1119</f>
        <v>1</v>
      </c>
      <c r="L122">
        <f>'insurance final cleaned'!R1119</f>
        <v>1</v>
      </c>
      <c r="M122">
        <f>'insurance final cleaned'!S1119</f>
        <v>1</v>
      </c>
    </row>
    <row r="123" spans="1:13" x14ac:dyDescent="0.3">
      <c r="A123">
        <f>'insurance final cleaned'!J371</f>
        <v>5125.22</v>
      </c>
      <c r="B123">
        <f>'insurance final cleaned'!B371</f>
        <v>31</v>
      </c>
      <c r="C123">
        <f>'insurance final cleaned'!D371</f>
        <v>24.1</v>
      </c>
      <c r="D123">
        <f>'insurance final cleaned'!G371</f>
        <v>1</v>
      </c>
      <c r="E123">
        <f>'insurance final cleaned'!E371</f>
        <v>88</v>
      </c>
      <c r="F123">
        <f>'insurance final cleaned'!L371</f>
        <v>0</v>
      </c>
      <c r="G123">
        <f>'insurance final cleaned'!M371</f>
        <v>0</v>
      </c>
      <c r="H123">
        <f>'insurance final cleaned'!N371</f>
        <v>0</v>
      </c>
      <c r="I123">
        <f>'insurance final cleaned'!O371</f>
        <v>1</v>
      </c>
      <c r="J123">
        <f>'insurance final cleaned'!P371</f>
        <v>8.8088385400261981E-2</v>
      </c>
      <c r="K123">
        <f>'insurance final cleaned'!Q371</f>
        <v>0</v>
      </c>
      <c r="L123">
        <f>'insurance final cleaned'!R371</f>
        <v>1</v>
      </c>
      <c r="M123">
        <f>'insurance final cleaned'!S371</f>
        <v>0</v>
      </c>
    </row>
    <row r="124" spans="1:13" x14ac:dyDescent="0.3">
      <c r="A124">
        <f>'insurance final cleaned'!J1125</f>
        <v>24059.68</v>
      </c>
      <c r="B124">
        <f>'insurance final cleaned'!B1125</f>
        <v>60</v>
      </c>
      <c r="C124">
        <f>'insurance final cleaned'!D1125</f>
        <v>30.6</v>
      </c>
      <c r="D124">
        <f>'insurance final cleaned'!G1125</f>
        <v>2</v>
      </c>
      <c r="E124">
        <f>'insurance final cleaned'!E1125</f>
        <v>85</v>
      </c>
      <c r="F124">
        <f>'insurance final cleaned'!L1125</f>
        <v>0</v>
      </c>
      <c r="G124">
        <f>'insurance final cleaned'!M1125</f>
        <v>0</v>
      </c>
      <c r="H124">
        <f>'insurance final cleaned'!N1125</f>
        <v>0</v>
      </c>
      <c r="I124">
        <f>'insurance final cleaned'!O1125</f>
        <v>1</v>
      </c>
      <c r="J124">
        <f>'insurance final cleaned'!P1125</f>
        <v>9.1143680337441579E-2</v>
      </c>
      <c r="K124">
        <f>'insurance final cleaned'!Q1125</f>
        <v>0</v>
      </c>
      <c r="L124">
        <f>'insurance final cleaned'!R1125</f>
        <v>0</v>
      </c>
      <c r="M124">
        <f>'insurance final cleaned'!S1125</f>
        <v>1</v>
      </c>
    </row>
    <row r="125" spans="1:13" x14ac:dyDescent="0.3">
      <c r="A125">
        <f>'insurance final cleaned'!J1250</f>
        <v>39047.29</v>
      </c>
      <c r="B125">
        <f>'insurance final cleaned'!B1250</f>
        <v>29</v>
      </c>
      <c r="C125">
        <f>'insurance final cleaned'!D1250</f>
        <v>34.200000000000003</v>
      </c>
      <c r="D125">
        <f>'insurance final cleaned'!G1250</f>
        <v>1</v>
      </c>
      <c r="E125">
        <f>'insurance final cleaned'!E1250</f>
        <v>101</v>
      </c>
      <c r="F125">
        <f>'insurance final cleaned'!L1250</f>
        <v>34.200000000000003</v>
      </c>
      <c r="G125">
        <f>'insurance final cleaned'!M1250</f>
        <v>0</v>
      </c>
      <c r="H125">
        <f>'insurance final cleaned'!N1250</f>
        <v>0</v>
      </c>
      <c r="I125">
        <f>'insurance final cleaned'!O1250</f>
        <v>0</v>
      </c>
      <c r="J125">
        <f>'insurance final cleaned'!P1250</f>
        <v>9.1928983973162848E-2</v>
      </c>
      <c r="K125">
        <f>'insurance final cleaned'!Q1250</f>
        <v>1</v>
      </c>
      <c r="L125">
        <f>'insurance final cleaned'!R1250</f>
        <v>1</v>
      </c>
      <c r="M125">
        <f>'insurance final cleaned'!S1250</f>
        <v>0</v>
      </c>
    </row>
    <row r="126" spans="1:13" x14ac:dyDescent="0.3">
      <c r="A126">
        <f>'insurance final cleaned'!J759</f>
        <v>10791.96</v>
      </c>
      <c r="B126">
        <f>'insurance final cleaned'!B759</f>
        <v>30</v>
      </c>
      <c r="C126">
        <f>'insurance final cleaned'!D759</f>
        <v>21.5</v>
      </c>
      <c r="D126">
        <f>'insurance final cleaned'!G759</f>
        <v>1</v>
      </c>
      <c r="E126">
        <f>'insurance final cleaned'!E759</f>
        <v>87</v>
      </c>
      <c r="F126">
        <f>'insurance final cleaned'!L759</f>
        <v>0</v>
      </c>
      <c r="G126">
        <f>'insurance final cleaned'!M759</f>
        <v>0</v>
      </c>
      <c r="H126">
        <f>'insurance final cleaned'!N759</f>
        <v>1</v>
      </c>
      <c r="I126">
        <f>'insurance final cleaned'!O759</f>
        <v>0</v>
      </c>
      <c r="J126">
        <f>'insurance final cleaned'!P759</f>
        <v>9.218091115385052E-2</v>
      </c>
      <c r="K126">
        <f>'insurance final cleaned'!Q759</f>
        <v>0</v>
      </c>
      <c r="L126">
        <f>'insurance final cleaned'!R759</f>
        <v>0</v>
      </c>
      <c r="M126">
        <f>'insurance final cleaned'!S759</f>
        <v>0</v>
      </c>
    </row>
    <row r="127" spans="1:13" x14ac:dyDescent="0.3">
      <c r="A127">
        <f>'insurance final cleaned'!J170</f>
        <v>2710.83</v>
      </c>
      <c r="B127">
        <f>'insurance final cleaned'!B170</f>
        <v>26</v>
      </c>
      <c r="C127">
        <f>'insurance final cleaned'!D170</f>
        <v>25.7</v>
      </c>
      <c r="D127">
        <f>'insurance final cleaned'!G170</f>
        <v>1</v>
      </c>
      <c r="E127">
        <f>'insurance final cleaned'!E170</f>
        <v>88</v>
      </c>
      <c r="F127">
        <f>'insurance final cleaned'!L170</f>
        <v>0</v>
      </c>
      <c r="G127">
        <f>'insurance final cleaned'!M170</f>
        <v>0</v>
      </c>
      <c r="H127">
        <f>'insurance final cleaned'!N170</f>
        <v>0</v>
      </c>
      <c r="I127">
        <f>'insurance final cleaned'!O170</f>
        <v>1</v>
      </c>
      <c r="J127">
        <f>'insurance final cleaned'!P170</f>
        <v>9.2977834547347982E-2</v>
      </c>
      <c r="K127">
        <f>'insurance final cleaned'!Q170</f>
        <v>0</v>
      </c>
      <c r="L127">
        <f>'insurance final cleaned'!R170</f>
        <v>0</v>
      </c>
      <c r="M127">
        <f>'insurance final cleaned'!S170</f>
        <v>1</v>
      </c>
    </row>
    <row r="128" spans="1:13" x14ac:dyDescent="0.3">
      <c r="A128">
        <f>'insurance final cleaned'!J549</f>
        <v>7518.03</v>
      </c>
      <c r="B128">
        <f>'insurance final cleaned'!B549</f>
        <v>46</v>
      </c>
      <c r="C128">
        <f>'insurance final cleaned'!D549</f>
        <v>25.4</v>
      </c>
      <c r="D128">
        <f>'insurance final cleaned'!G549</f>
        <v>1</v>
      </c>
      <c r="E128">
        <f>'insurance final cleaned'!E549</f>
        <v>98</v>
      </c>
      <c r="F128">
        <f>'insurance final cleaned'!L549</f>
        <v>0</v>
      </c>
      <c r="G128">
        <f>'insurance final cleaned'!M549</f>
        <v>0</v>
      </c>
      <c r="H128">
        <f>'insurance final cleaned'!N549</f>
        <v>0</v>
      </c>
      <c r="I128">
        <f>'insurance final cleaned'!O549</f>
        <v>1</v>
      </c>
      <c r="J128">
        <f>'insurance final cleaned'!P549</f>
        <v>9.3600859185008267E-2</v>
      </c>
      <c r="K128">
        <f>'insurance final cleaned'!Q549</f>
        <v>0</v>
      </c>
      <c r="L128">
        <f>'insurance final cleaned'!R549</f>
        <v>0</v>
      </c>
      <c r="M128">
        <f>'insurance final cleaned'!S549</f>
        <v>0</v>
      </c>
    </row>
    <row r="129" spans="1:13" x14ac:dyDescent="0.3">
      <c r="A129">
        <f>'insurance final cleaned'!J900</f>
        <v>12928.79</v>
      </c>
      <c r="B129">
        <f>'insurance final cleaned'!B900</f>
        <v>45</v>
      </c>
      <c r="C129">
        <f>'insurance final cleaned'!D900</f>
        <v>31.8</v>
      </c>
      <c r="D129">
        <f>'insurance final cleaned'!G900</f>
        <v>2</v>
      </c>
      <c r="E129">
        <f>'insurance final cleaned'!E900</f>
        <v>95</v>
      </c>
      <c r="F129">
        <f>'insurance final cleaned'!L900</f>
        <v>0</v>
      </c>
      <c r="G129">
        <f>'insurance final cleaned'!M900</f>
        <v>1</v>
      </c>
      <c r="H129">
        <f>'insurance final cleaned'!N900</f>
        <v>0</v>
      </c>
      <c r="I129">
        <f>'insurance final cleaned'!O900</f>
        <v>0</v>
      </c>
      <c r="J129">
        <f>'insurance final cleaned'!P900</f>
        <v>9.3695484114280858E-2</v>
      </c>
      <c r="K129">
        <f>'insurance final cleaned'!Q900</f>
        <v>0</v>
      </c>
      <c r="L129">
        <f>'insurance final cleaned'!R900</f>
        <v>1</v>
      </c>
      <c r="M129">
        <f>'insurance final cleaned'!S900</f>
        <v>0</v>
      </c>
    </row>
    <row r="130" spans="1:13" x14ac:dyDescent="0.3">
      <c r="A130">
        <f>'insurance final cleaned'!J350</f>
        <v>4846.92</v>
      </c>
      <c r="B130">
        <f>'insurance final cleaned'!B350</f>
        <v>46</v>
      </c>
      <c r="C130">
        <f>'insurance final cleaned'!D350</f>
        <v>32.6</v>
      </c>
      <c r="D130">
        <f>'insurance final cleaned'!G350</f>
        <v>3</v>
      </c>
      <c r="E130">
        <f>'insurance final cleaned'!E350</f>
        <v>82</v>
      </c>
      <c r="F130">
        <f>'insurance final cleaned'!L350</f>
        <v>0</v>
      </c>
      <c r="G130">
        <f>'insurance final cleaned'!M350</f>
        <v>1</v>
      </c>
      <c r="H130">
        <f>'insurance final cleaned'!N350</f>
        <v>0</v>
      </c>
      <c r="I130">
        <f>'insurance final cleaned'!O350</f>
        <v>0</v>
      </c>
      <c r="J130">
        <f>'insurance final cleaned'!P350</f>
        <v>9.380762034730894E-2</v>
      </c>
      <c r="K130">
        <f>'insurance final cleaned'!Q350</f>
        <v>0</v>
      </c>
      <c r="L130">
        <f>'insurance final cleaned'!R350</f>
        <v>1</v>
      </c>
      <c r="M130">
        <f>'insurance final cleaned'!S350</f>
        <v>0</v>
      </c>
    </row>
    <row r="131" spans="1:13" x14ac:dyDescent="0.3">
      <c r="A131">
        <f>'insurance final cleaned'!J1102</f>
        <v>21984.47</v>
      </c>
      <c r="B131">
        <f>'insurance final cleaned'!B1102</f>
        <v>34</v>
      </c>
      <c r="C131">
        <f>'insurance final cleaned'!D1102</f>
        <v>22.7</v>
      </c>
      <c r="D131">
        <f>'insurance final cleaned'!G1102</f>
        <v>0</v>
      </c>
      <c r="E131">
        <f>'insurance final cleaned'!E1102</f>
        <v>107</v>
      </c>
      <c r="F131">
        <f>'insurance final cleaned'!L1102</f>
        <v>0</v>
      </c>
      <c r="G131">
        <f>'insurance final cleaned'!M1102</f>
        <v>0</v>
      </c>
      <c r="H131">
        <f>'insurance final cleaned'!N1102</f>
        <v>0</v>
      </c>
      <c r="I131">
        <f>'insurance final cleaned'!O1102</f>
        <v>1</v>
      </c>
      <c r="J131">
        <f>'insurance final cleaned'!P1102</f>
        <v>9.3832151134591535E-2</v>
      </c>
      <c r="K131">
        <f>'insurance final cleaned'!Q1102</f>
        <v>0</v>
      </c>
      <c r="L131">
        <f>'insurance final cleaned'!R1102</f>
        <v>1</v>
      </c>
      <c r="M131">
        <f>'insurance final cleaned'!S1102</f>
        <v>0</v>
      </c>
    </row>
    <row r="132" spans="1:13" x14ac:dyDescent="0.3">
      <c r="A132">
        <f>'insurance final cleaned'!J181</f>
        <v>2803.7</v>
      </c>
      <c r="B132">
        <f>'insurance final cleaned'!B181</f>
        <v>49</v>
      </c>
      <c r="C132">
        <f>'insurance final cleaned'!D181</f>
        <v>20.6</v>
      </c>
      <c r="D132">
        <f>'insurance final cleaned'!G181</f>
        <v>2</v>
      </c>
      <c r="E132">
        <f>'insurance final cleaned'!E181</f>
        <v>92</v>
      </c>
      <c r="F132">
        <f>'insurance final cleaned'!L181</f>
        <v>0</v>
      </c>
      <c r="G132">
        <f>'insurance final cleaned'!M181</f>
        <v>0</v>
      </c>
      <c r="H132">
        <f>'insurance final cleaned'!N181</f>
        <v>0</v>
      </c>
      <c r="I132">
        <f>'insurance final cleaned'!O181</f>
        <v>1</v>
      </c>
      <c r="J132">
        <f>'insurance final cleaned'!P181</f>
        <v>9.3874232775269073E-2</v>
      </c>
      <c r="K132">
        <f>'insurance final cleaned'!Q181</f>
        <v>0</v>
      </c>
      <c r="L132">
        <f>'insurance final cleaned'!R181</f>
        <v>0</v>
      </c>
      <c r="M132">
        <f>'insurance final cleaned'!S181</f>
        <v>0</v>
      </c>
    </row>
    <row r="133" spans="1:13" x14ac:dyDescent="0.3">
      <c r="A133">
        <f>'insurance final cleaned'!J207</f>
        <v>3176.82</v>
      </c>
      <c r="B133">
        <f>'insurance final cleaned'!B207</f>
        <v>48</v>
      </c>
      <c r="C133">
        <f>'insurance final cleaned'!D207</f>
        <v>22.6</v>
      </c>
      <c r="D133">
        <f>'insurance final cleaned'!G207</f>
        <v>0</v>
      </c>
      <c r="E133">
        <f>'insurance final cleaned'!E207</f>
        <v>94</v>
      </c>
      <c r="F133">
        <f>'insurance final cleaned'!L207</f>
        <v>0</v>
      </c>
      <c r="G133">
        <f>'insurance final cleaned'!M207</f>
        <v>0</v>
      </c>
      <c r="H133">
        <f>'insurance final cleaned'!N207</f>
        <v>0</v>
      </c>
      <c r="I133">
        <f>'insurance final cleaned'!O207</f>
        <v>1</v>
      </c>
      <c r="J133">
        <f>'insurance final cleaned'!P207</f>
        <v>9.4303214763219345E-2</v>
      </c>
      <c r="K133">
        <f>'insurance final cleaned'!Q207</f>
        <v>0</v>
      </c>
      <c r="L133">
        <f>'insurance final cleaned'!R207</f>
        <v>0</v>
      </c>
      <c r="M133">
        <f>'insurance final cleaned'!S207</f>
        <v>1</v>
      </c>
    </row>
    <row r="134" spans="1:13" x14ac:dyDescent="0.3">
      <c r="A134">
        <f>'insurance final cleaned'!J293</f>
        <v>4296.2700000000004</v>
      </c>
      <c r="B134">
        <f>'insurance final cleaned'!B293</f>
        <v>25</v>
      </c>
      <c r="C134">
        <f>'insurance final cleaned'!D293</f>
        <v>21.3</v>
      </c>
      <c r="D134">
        <f>'insurance final cleaned'!G293</f>
        <v>3</v>
      </c>
      <c r="E134">
        <f>'insurance final cleaned'!E293</f>
        <v>95</v>
      </c>
      <c r="F134">
        <f>'insurance final cleaned'!L293</f>
        <v>0</v>
      </c>
      <c r="G134">
        <f>'insurance final cleaned'!M293</f>
        <v>0</v>
      </c>
      <c r="H134">
        <f>'insurance final cleaned'!N293</f>
        <v>0</v>
      </c>
      <c r="I134">
        <f>'insurance final cleaned'!O293</f>
        <v>1</v>
      </c>
      <c r="J134">
        <f>'insurance final cleaned'!P293</f>
        <v>9.4432466132015502E-2</v>
      </c>
      <c r="K134">
        <f>'insurance final cleaned'!Q293</f>
        <v>0</v>
      </c>
      <c r="L134">
        <f>'insurance final cleaned'!R293</f>
        <v>1</v>
      </c>
      <c r="M134">
        <f>'insurance final cleaned'!S293</f>
        <v>1</v>
      </c>
    </row>
    <row r="135" spans="1:13" x14ac:dyDescent="0.3">
      <c r="A135">
        <f>'insurance final cleaned'!J1174</f>
        <v>28923.14</v>
      </c>
      <c r="B135">
        <f>'insurance final cleaned'!B1174</f>
        <v>57</v>
      </c>
      <c r="C135">
        <f>'insurance final cleaned'!D1174</f>
        <v>25.8</v>
      </c>
      <c r="D135">
        <f>'insurance final cleaned'!G1174</f>
        <v>0</v>
      </c>
      <c r="E135">
        <f>'insurance final cleaned'!E1174</f>
        <v>98</v>
      </c>
      <c r="F135">
        <f>'insurance final cleaned'!L1174</f>
        <v>0</v>
      </c>
      <c r="G135">
        <f>'insurance final cleaned'!M1174</f>
        <v>0</v>
      </c>
      <c r="H135">
        <f>'insurance final cleaned'!N1174</f>
        <v>0</v>
      </c>
      <c r="I135">
        <f>'insurance final cleaned'!O1174</f>
        <v>1</v>
      </c>
      <c r="J135">
        <f>'insurance final cleaned'!P1174</f>
        <v>9.4552639631913737E-2</v>
      </c>
      <c r="K135">
        <f>'insurance final cleaned'!Q1174</f>
        <v>0</v>
      </c>
      <c r="L135">
        <f>'insurance final cleaned'!R1174</f>
        <v>1</v>
      </c>
      <c r="M135">
        <f>'insurance final cleaned'!S1174</f>
        <v>1</v>
      </c>
    </row>
    <row r="136" spans="1:13" x14ac:dyDescent="0.3">
      <c r="A136">
        <f>'insurance final cleaned'!J1299</f>
        <v>44400.41</v>
      </c>
      <c r="B136">
        <f>'insurance final cleaned'!B1299</f>
        <v>45</v>
      </c>
      <c r="C136">
        <f>'insurance final cleaned'!D1299</f>
        <v>38.1</v>
      </c>
      <c r="D136">
        <f>'insurance final cleaned'!G1299</f>
        <v>0</v>
      </c>
      <c r="E136">
        <f>'insurance final cleaned'!E1299</f>
        <v>115</v>
      </c>
      <c r="F136">
        <f>'insurance final cleaned'!L1299</f>
        <v>38.1</v>
      </c>
      <c r="G136">
        <f>'insurance final cleaned'!M1299</f>
        <v>1</v>
      </c>
      <c r="H136">
        <f>'insurance final cleaned'!N1299</f>
        <v>0</v>
      </c>
      <c r="I136">
        <f>'insurance final cleaned'!O1299</f>
        <v>0</v>
      </c>
      <c r="J136">
        <f>'insurance final cleaned'!P1299</f>
        <v>9.504587344281501E-2</v>
      </c>
      <c r="K136">
        <f>'insurance final cleaned'!Q1299</f>
        <v>1</v>
      </c>
      <c r="L136">
        <f>'insurance final cleaned'!R1299</f>
        <v>1</v>
      </c>
      <c r="M136">
        <f>'insurance final cleaned'!S1299</f>
        <v>1</v>
      </c>
    </row>
    <row r="137" spans="1:13" x14ac:dyDescent="0.3">
      <c r="A137">
        <f>'insurance final cleaned'!J1096</f>
        <v>21677.279999999999</v>
      </c>
      <c r="B137">
        <f>'insurance final cleaned'!B1096</f>
        <v>26</v>
      </c>
      <c r="C137">
        <f>'insurance final cleaned'!D1096</f>
        <v>23.7</v>
      </c>
      <c r="D137">
        <f>'insurance final cleaned'!G1096</f>
        <v>1</v>
      </c>
      <c r="E137">
        <f>'insurance final cleaned'!E1096</f>
        <v>94</v>
      </c>
      <c r="F137">
        <f>'insurance final cleaned'!L1096</f>
        <v>23.7</v>
      </c>
      <c r="G137">
        <f>'insurance final cleaned'!M1096</f>
        <v>0</v>
      </c>
      <c r="H137">
        <f>'insurance final cleaned'!N1096</f>
        <v>0</v>
      </c>
      <c r="I137">
        <f>'insurance final cleaned'!O1096</f>
        <v>1</v>
      </c>
      <c r="J137">
        <f>'insurance final cleaned'!P1096</f>
        <v>9.5047778400137117E-2</v>
      </c>
      <c r="K137">
        <f>'insurance final cleaned'!Q1096</f>
        <v>1</v>
      </c>
      <c r="L137">
        <f>'insurance final cleaned'!R1096</f>
        <v>1</v>
      </c>
      <c r="M137">
        <f>'insurance final cleaned'!S1096</f>
        <v>1</v>
      </c>
    </row>
    <row r="138" spans="1:13" x14ac:dyDescent="0.3">
      <c r="A138">
        <f>'insurance final cleaned'!J1325</f>
        <v>47928.03</v>
      </c>
      <c r="B138">
        <f>'insurance final cleaned'!B1325</f>
        <v>49</v>
      </c>
      <c r="C138">
        <f>'insurance final cleaned'!D1325</f>
        <v>33.799999999999997</v>
      </c>
      <c r="D138">
        <f>'insurance final cleaned'!G1325</f>
        <v>1</v>
      </c>
      <c r="E138">
        <f>'insurance final cleaned'!E1325</f>
        <v>107</v>
      </c>
      <c r="F138">
        <f>'insurance final cleaned'!L1325</f>
        <v>33.799999999999997</v>
      </c>
      <c r="G138">
        <f>'insurance final cleaned'!M1325</f>
        <v>0</v>
      </c>
      <c r="H138">
        <f>'insurance final cleaned'!N1325</f>
        <v>1</v>
      </c>
      <c r="I138">
        <f>'insurance final cleaned'!O1325</f>
        <v>0</v>
      </c>
      <c r="J138">
        <f>'insurance final cleaned'!P1325</f>
        <v>9.5308057837017235E-2</v>
      </c>
      <c r="K138">
        <f>'insurance final cleaned'!Q1325</f>
        <v>1</v>
      </c>
      <c r="L138">
        <f>'insurance final cleaned'!R1325</f>
        <v>0</v>
      </c>
      <c r="M138">
        <f>'insurance final cleaned'!S1325</f>
        <v>1</v>
      </c>
    </row>
    <row r="139" spans="1:13" x14ac:dyDescent="0.3">
      <c r="A139">
        <f>'insurance final cleaned'!J417</f>
        <v>5729.01</v>
      </c>
      <c r="B139">
        <f>'insurance final cleaned'!B417</f>
        <v>22</v>
      </c>
      <c r="C139">
        <f>'insurance final cleaned'!D417</f>
        <v>34.799999999999997</v>
      </c>
      <c r="D139">
        <f>'insurance final cleaned'!G417</f>
        <v>2</v>
      </c>
      <c r="E139">
        <f>'insurance final cleaned'!E417</f>
        <v>89</v>
      </c>
      <c r="F139">
        <f>'insurance final cleaned'!L417</f>
        <v>0</v>
      </c>
      <c r="G139">
        <f>'insurance final cleaned'!M417</f>
        <v>0</v>
      </c>
      <c r="H139">
        <f>'insurance final cleaned'!N417</f>
        <v>0</v>
      </c>
      <c r="I139">
        <f>'insurance final cleaned'!O417</f>
        <v>1</v>
      </c>
      <c r="J139">
        <f>'insurance final cleaned'!P417</f>
        <v>9.6189288766858394E-2</v>
      </c>
      <c r="K139">
        <f>'insurance final cleaned'!Q417</f>
        <v>0</v>
      </c>
      <c r="L139">
        <f>'insurance final cleaned'!R417</f>
        <v>0</v>
      </c>
      <c r="M139">
        <f>'insurance final cleaned'!S417</f>
        <v>0</v>
      </c>
    </row>
    <row r="140" spans="1:13" x14ac:dyDescent="0.3">
      <c r="A140">
        <f>'insurance final cleaned'!J1200</f>
        <v>34303.17</v>
      </c>
      <c r="B140">
        <f>'insurance final cleaned'!B1200</f>
        <v>22</v>
      </c>
      <c r="C140">
        <f>'insurance final cleaned'!D1200</f>
        <v>31.7</v>
      </c>
      <c r="D140">
        <f>'insurance final cleaned'!G1200</f>
        <v>2</v>
      </c>
      <c r="E140">
        <f>'insurance final cleaned'!E1200</f>
        <v>115</v>
      </c>
      <c r="F140">
        <f>'insurance final cleaned'!L1200</f>
        <v>31.7</v>
      </c>
      <c r="G140">
        <f>'insurance final cleaned'!M1200</f>
        <v>1</v>
      </c>
      <c r="H140">
        <f>'insurance final cleaned'!N1200</f>
        <v>0</v>
      </c>
      <c r="I140">
        <f>'insurance final cleaned'!O1200</f>
        <v>0</v>
      </c>
      <c r="J140">
        <f>'insurance final cleaned'!P1200</f>
        <v>9.6355264907172056E-2</v>
      </c>
      <c r="K140">
        <f>'insurance final cleaned'!Q1200</f>
        <v>1</v>
      </c>
      <c r="L140">
        <f>'insurance final cleaned'!R1200</f>
        <v>0</v>
      </c>
      <c r="M140">
        <f>'insurance final cleaned'!S1200</f>
        <v>0</v>
      </c>
    </row>
    <row r="141" spans="1:13" x14ac:dyDescent="0.3">
      <c r="A141">
        <f>'insurance final cleaned'!J804</f>
        <v>11381.33</v>
      </c>
      <c r="B141">
        <f>'insurance final cleaned'!B804</f>
        <v>42</v>
      </c>
      <c r="C141">
        <f>'insurance final cleaned'!D804</f>
        <v>49.1</v>
      </c>
      <c r="D141">
        <f>'insurance final cleaned'!G804</f>
        <v>0</v>
      </c>
      <c r="E141">
        <f>'insurance final cleaned'!E804</f>
        <v>109</v>
      </c>
      <c r="F141">
        <f>'insurance final cleaned'!L804</f>
        <v>0</v>
      </c>
      <c r="G141">
        <f>'insurance final cleaned'!M804</f>
        <v>1</v>
      </c>
      <c r="H141">
        <f>'insurance final cleaned'!N804</f>
        <v>0</v>
      </c>
      <c r="I141">
        <f>'insurance final cleaned'!O804</f>
        <v>0</v>
      </c>
      <c r="J141">
        <f>'insurance final cleaned'!P804</f>
        <v>9.6578464906307504E-2</v>
      </c>
      <c r="K141">
        <f>'insurance final cleaned'!Q804</f>
        <v>0</v>
      </c>
      <c r="L141">
        <f>'insurance final cleaned'!R804</f>
        <v>1</v>
      </c>
      <c r="M141">
        <f>'insurance final cleaned'!S804</f>
        <v>0</v>
      </c>
    </row>
    <row r="142" spans="1:13" x14ac:dyDescent="0.3">
      <c r="A142">
        <f>'insurance final cleaned'!J1274</f>
        <v>41097.160000000003</v>
      </c>
      <c r="B142">
        <f>'insurance final cleaned'!B1274</f>
        <v>31</v>
      </c>
      <c r="C142">
        <f>'insurance final cleaned'!D1274</f>
        <v>31.8</v>
      </c>
      <c r="D142">
        <f>'insurance final cleaned'!G1274</f>
        <v>0</v>
      </c>
      <c r="E142">
        <f>'insurance final cleaned'!E1274</f>
        <v>95</v>
      </c>
      <c r="F142">
        <f>'insurance final cleaned'!L1274</f>
        <v>31.8</v>
      </c>
      <c r="G142">
        <f>'insurance final cleaned'!M1274</f>
        <v>0</v>
      </c>
      <c r="H142">
        <f>'insurance final cleaned'!N1274</f>
        <v>0</v>
      </c>
      <c r="I142">
        <f>'insurance final cleaned'!O1274</f>
        <v>0</v>
      </c>
      <c r="J142">
        <f>'insurance final cleaned'!P1274</f>
        <v>9.7146278579671841E-2</v>
      </c>
      <c r="K142">
        <f>'insurance final cleaned'!Q1274</f>
        <v>1</v>
      </c>
      <c r="L142">
        <f>'insurance final cleaned'!R1274</f>
        <v>0</v>
      </c>
      <c r="M142">
        <f>'insurance final cleaned'!S1274</f>
        <v>0</v>
      </c>
    </row>
    <row r="143" spans="1:13" x14ac:dyDescent="0.3">
      <c r="A143">
        <f>'insurance final cleaned'!J1054</f>
        <v>19350.37</v>
      </c>
      <c r="B143">
        <f>'insurance final cleaned'!B1054</f>
        <v>49</v>
      </c>
      <c r="C143">
        <f>'insurance final cleaned'!D1054</f>
        <v>29.8</v>
      </c>
      <c r="D143">
        <f>'insurance final cleaned'!G1054</f>
        <v>0</v>
      </c>
      <c r="E143">
        <f>'insurance final cleaned'!E1054</f>
        <v>98</v>
      </c>
      <c r="F143">
        <f>'insurance final cleaned'!L1054</f>
        <v>29.8</v>
      </c>
      <c r="G143">
        <f>'insurance final cleaned'!M1054</f>
        <v>1</v>
      </c>
      <c r="H143">
        <f>'insurance final cleaned'!N1054</f>
        <v>0</v>
      </c>
      <c r="I143">
        <f>'insurance final cleaned'!O1054</f>
        <v>0</v>
      </c>
      <c r="J143">
        <f>'insurance final cleaned'!P1054</f>
        <v>9.823788074516171E-2</v>
      </c>
      <c r="K143">
        <f>'insurance final cleaned'!Q1054</f>
        <v>1</v>
      </c>
      <c r="L143">
        <f>'insurance final cleaned'!R1054</f>
        <v>0</v>
      </c>
      <c r="M143">
        <f>'insurance final cleaned'!S1054</f>
        <v>0</v>
      </c>
    </row>
    <row r="144" spans="1:13" x14ac:dyDescent="0.3">
      <c r="A144">
        <f>'insurance final cleaned'!J1150</f>
        <v>26109.33</v>
      </c>
      <c r="B144">
        <f>'insurance final cleaned'!B1150</f>
        <v>32</v>
      </c>
      <c r="C144">
        <f>'insurance final cleaned'!D1150</f>
        <v>26.7</v>
      </c>
      <c r="D144">
        <f>'insurance final cleaned'!G1150</f>
        <v>1</v>
      </c>
      <c r="E144">
        <f>'insurance final cleaned'!E1150</f>
        <v>115</v>
      </c>
      <c r="F144">
        <f>'insurance final cleaned'!L1150</f>
        <v>26.7</v>
      </c>
      <c r="G144">
        <f>'insurance final cleaned'!M1150</f>
        <v>0</v>
      </c>
      <c r="H144">
        <f>'insurance final cleaned'!N1150</f>
        <v>0</v>
      </c>
      <c r="I144">
        <f>'insurance final cleaned'!O1150</f>
        <v>1</v>
      </c>
      <c r="J144">
        <f>'insurance final cleaned'!P1150</f>
        <v>0.10057903428956549</v>
      </c>
      <c r="K144">
        <f>'insurance final cleaned'!Q1150</f>
        <v>1</v>
      </c>
      <c r="L144">
        <f>'insurance final cleaned'!R1150</f>
        <v>1</v>
      </c>
      <c r="M144">
        <f>'insurance final cleaned'!S1150</f>
        <v>0</v>
      </c>
    </row>
    <row r="145" spans="1:13" x14ac:dyDescent="0.3">
      <c r="A145">
        <f>'insurance final cleaned'!J1066</f>
        <v>19798.05</v>
      </c>
      <c r="B145">
        <f>'insurance final cleaned'!B1066</f>
        <v>28</v>
      </c>
      <c r="C145">
        <f>'insurance final cleaned'!D1066</f>
        <v>20</v>
      </c>
      <c r="D145">
        <f>'insurance final cleaned'!G1066</f>
        <v>2</v>
      </c>
      <c r="E145">
        <f>'insurance final cleaned'!E1066</f>
        <v>96</v>
      </c>
      <c r="F145">
        <f>'insurance final cleaned'!L1066</f>
        <v>20</v>
      </c>
      <c r="G145">
        <f>'insurance final cleaned'!M1066</f>
        <v>0</v>
      </c>
      <c r="H145">
        <f>'insurance final cleaned'!N1066</f>
        <v>0</v>
      </c>
      <c r="I145">
        <f>'insurance final cleaned'!O1066</f>
        <v>0</v>
      </c>
      <c r="J145">
        <f>'insurance final cleaned'!P1066</f>
        <v>0.1021974302456925</v>
      </c>
      <c r="K145">
        <f>'insurance final cleaned'!Q1066</f>
        <v>1</v>
      </c>
      <c r="L145">
        <f>'insurance final cleaned'!R1066</f>
        <v>1</v>
      </c>
      <c r="M145">
        <f>'insurance final cleaned'!S1066</f>
        <v>1</v>
      </c>
    </row>
    <row r="146" spans="1:13" x14ac:dyDescent="0.3">
      <c r="A146">
        <f>'insurance final cleaned'!J1241</f>
        <v>38282.75</v>
      </c>
      <c r="B146">
        <f>'insurance final cleaned'!B1241</f>
        <v>29</v>
      </c>
      <c r="C146">
        <f>'insurance final cleaned'!D1241</f>
        <v>35.799999999999997</v>
      </c>
      <c r="D146">
        <f>'insurance final cleaned'!G1241</f>
        <v>1</v>
      </c>
      <c r="E146">
        <f>'insurance final cleaned'!E1241</f>
        <v>124</v>
      </c>
      <c r="F146">
        <f>'insurance final cleaned'!L1241</f>
        <v>35.799999999999997</v>
      </c>
      <c r="G146">
        <f>'insurance final cleaned'!M1241</f>
        <v>1</v>
      </c>
      <c r="H146">
        <f>'insurance final cleaned'!N1241</f>
        <v>0</v>
      </c>
      <c r="I146">
        <f>'insurance final cleaned'!O1241</f>
        <v>0</v>
      </c>
      <c r="J146">
        <f>'insurance final cleaned'!P1241</f>
        <v>0.10229165628330794</v>
      </c>
      <c r="K146">
        <f>'insurance final cleaned'!Q1241</f>
        <v>1</v>
      </c>
      <c r="L146">
        <f>'insurance final cleaned'!R1241</f>
        <v>0</v>
      </c>
      <c r="M146">
        <f>'insurance final cleaned'!S1241</f>
        <v>0</v>
      </c>
    </row>
    <row r="147" spans="1:13" x14ac:dyDescent="0.3">
      <c r="A147">
        <f>'insurance final cleaned'!J359</f>
        <v>4931.6499999999996</v>
      </c>
      <c r="B147">
        <f>'insurance final cleaned'!B359</f>
        <v>31</v>
      </c>
      <c r="C147">
        <f>'insurance final cleaned'!D359</f>
        <v>23.6</v>
      </c>
      <c r="D147">
        <f>'insurance final cleaned'!G359</f>
        <v>2</v>
      </c>
      <c r="E147">
        <f>'insurance final cleaned'!E359</f>
        <v>95</v>
      </c>
      <c r="F147">
        <f>'insurance final cleaned'!L359</f>
        <v>0</v>
      </c>
      <c r="G147">
        <f>'insurance final cleaned'!M359</f>
        <v>0</v>
      </c>
      <c r="H147">
        <f>'insurance final cleaned'!N359</f>
        <v>1</v>
      </c>
      <c r="I147">
        <f>'insurance final cleaned'!O359</f>
        <v>0</v>
      </c>
      <c r="J147">
        <f>'insurance final cleaned'!P359</f>
        <v>0.10241060055760098</v>
      </c>
      <c r="K147">
        <f>'insurance final cleaned'!Q359</f>
        <v>0</v>
      </c>
      <c r="L147">
        <f>'insurance final cleaned'!R359</f>
        <v>0</v>
      </c>
      <c r="M147">
        <f>'insurance final cleaned'!S359</f>
        <v>1</v>
      </c>
    </row>
    <row r="148" spans="1:13" x14ac:dyDescent="0.3">
      <c r="A148">
        <f>'insurance final cleaned'!J969</f>
        <v>14394.56</v>
      </c>
      <c r="B148">
        <f>'insurance final cleaned'!B969</f>
        <v>45</v>
      </c>
      <c r="C148">
        <f>'insurance final cleaned'!D969</f>
        <v>26.4</v>
      </c>
      <c r="D148">
        <f>'insurance final cleaned'!G969</f>
        <v>0</v>
      </c>
      <c r="E148">
        <f>'insurance final cleaned'!E969</f>
        <v>103</v>
      </c>
      <c r="F148">
        <f>'insurance final cleaned'!L969</f>
        <v>0</v>
      </c>
      <c r="G148">
        <f>'insurance final cleaned'!M969</f>
        <v>0</v>
      </c>
      <c r="H148">
        <f>'insurance final cleaned'!N969</f>
        <v>0</v>
      </c>
      <c r="I148">
        <f>'insurance final cleaned'!O969</f>
        <v>0</v>
      </c>
      <c r="J148">
        <f>'insurance final cleaned'!P969</f>
        <v>0.10363269303546785</v>
      </c>
      <c r="K148">
        <f>'insurance final cleaned'!Q969</f>
        <v>0</v>
      </c>
      <c r="L148">
        <f>'insurance final cleaned'!R969</f>
        <v>1</v>
      </c>
      <c r="M148">
        <f>'insurance final cleaned'!S969</f>
        <v>0</v>
      </c>
    </row>
    <row r="149" spans="1:13" x14ac:dyDescent="0.3">
      <c r="A149">
        <f>'insurance final cleaned'!J234</f>
        <v>3490.55</v>
      </c>
      <c r="B149">
        <f>'insurance final cleaned'!B234</f>
        <v>49</v>
      </c>
      <c r="C149">
        <f>'insurance final cleaned'!D234</f>
        <v>32.5</v>
      </c>
      <c r="D149">
        <f>'insurance final cleaned'!G234</f>
        <v>1</v>
      </c>
      <c r="E149">
        <f>'insurance final cleaned'!E234</f>
        <v>93</v>
      </c>
      <c r="F149">
        <f>'insurance final cleaned'!L234</f>
        <v>0</v>
      </c>
      <c r="G149">
        <f>'insurance final cleaned'!M234</f>
        <v>1</v>
      </c>
      <c r="H149">
        <f>'insurance final cleaned'!N234</f>
        <v>0</v>
      </c>
      <c r="I149">
        <f>'insurance final cleaned'!O234</f>
        <v>0</v>
      </c>
      <c r="J149">
        <f>'insurance final cleaned'!P234</f>
        <v>0.10424339526421778</v>
      </c>
      <c r="K149">
        <f>'insurance final cleaned'!Q234</f>
        <v>0</v>
      </c>
      <c r="L149">
        <f>'insurance final cleaned'!R234</f>
        <v>1</v>
      </c>
      <c r="M149">
        <f>'insurance final cleaned'!S234</f>
        <v>0</v>
      </c>
    </row>
    <row r="150" spans="1:13" x14ac:dyDescent="0.3">
      <c r="A150">
        <f>'insurance final cleaned'!J1264</f>
        <v>40103.89</v>
      </c>
      <c r="B150">
        <f>'insurance final cleaned'!B1264</f>
        <v>30</v>
      </c>
      <c r="C150">
        <f>'insurance final cleaned'!D1264</f>
        <v>35.299999999999997</v>
      </c>
      <c r="D150">
        <f>'insurance final cleaned'!G1264</f>
        <v>2</v>
      </c>
      <c r="E150">
        <f>'insurance final cleaned'!E1264</f>
        <v>89</v>
      </c>
      <c r="F150">
        <f>'insurance final cleaned'!L1264</f>
        <v>35.299999999999997</v>
      </c>
      <c r="G150">
        <f>'insurance final cleaned'!M1264</f>
        <v>0</v>
      </c>
      <c r="H150">
        <f>'insurance final cleaned'!N1264</f>
        <v>1</v>
      </c>
      <c r="I150">
        <f>'insurance final cleaned'!O1264</f>
        <v>0</v>
      </c>
      <c r="J150">
        <f>'insurance final cleaned'!P1264</f>
        <v>0.10475188085973564</v>
      </c>
      <c r="K150">
        <f>'insurance final cleaned'!Q1264</f>
        <v>1</v>
      </c>
      <c r="L150">
        <f>'insurance final cleaned'!R1264</f>
        <v>0</v>
      </c>
      <c r="M150">
        <f>'insurance final cleaned'!S1264</f>
        <v>0</v>
      </c>
    </row>
    <row r="151" spans="1:13" x14ac:dyDescent="0.3">
      <c r="A151">
        <f>'insurance final cleaned'!J1016</f>
        <v>17179.52</v>
      </c>
      <c r="B151">
        <f>'insurance final cleaned'!B1016</f>
        <v>44</v>
      </c>
      <c r="C151">
        <f>'insurance final cleaned'!D1016</f>
        <v>19.8</v>
      </c>
      <c r="D151">
        <f>'insurance final cleaned'!G1016</f>
        <v>1</v>
      </c>
      <c r="E151">
        <f>'insurance final cleaned'!E1016</f>
        <v>106</v>
      </c>
      <c r="F151">
        <f>'insurance final cleaned'!L1016</f>
        <v>19.8</v>
      </c>
      <c r="G151">
        <f>'insurance final cleaned'!M1016</f>
        <v>1</v>
      </c>
      <c r="H151">
        <f>'insurance final cleaned'!N1016</f>
        <v>0</v>
      </c>
      <c r="I151">
        <f>'insurance final cleaned'!O1016</f>
        <v>0</v>
      </c>
      <c r="J151">
        <f>'insurance final cleaned'!P1016</f>
        <v>0.10530241814223185</v>
      </c>
      <c r="K151">
        <f>'insurance final cleaned'!Q1016</f>
        <v>1</v>
      </c>
      <c r="L151">
        <f>'insurance final cleaned'!R1016</f>
        <v>0</v>
      </c>
      <c r="M151">
        <f>'insurance final cleaned'!S1016</f>
        <v>0</v>
      </c>
    </row>
    <row r="152" spans="1:13" x14ac:dyDescent="0.3">
      <c r="A152">
        <f>'insurance final cleaned'!J749</f>
        <v>10594.23</v>
      </c>
      <c r="B152">
        <f>'insurance final cleaned'!B749</f>
        <v>34</v>
      </c>
      <c r="C152">
        <f>'insurance final cleaned'!D749</f>
        <v>34.4</v>
      </c>
      <c r="D152">
        <f>'insurance final cleaned'!G749</f>
        <v>0</v>
      </c>
      <c r="E152">
        <f>'insurance final cleaned'!E749</f>
        <v>106</v>
      </c>
      <c r="F152">
        <f>'insurance final cleaned'!L749</f>
        <v>0</v>
      </c>
      <c r="G152">
        <f>'insurance final cleaned'!M749</f>
        <v>1</v>
      </c>
      <c r="H152">
        <f>'insurance final cleaned'!N749</f>
        <v>0</v>
      </c>
      <c r="I152">
        <f>'insurance final cleaned'!O749</f>
        <v>0</v>
      </c>
      <c r="J152">
        <f>'insurance final cleaned'!P749</f>
        <v>0.10586038796340635</v>
      </c>
      <c r="K152">
        <f>'insurance final cleaned'!Q749</f>
        <v>0</v>
      </c>
      <c r="L152">
        <f>'insurance final cleaned'!R749</f>
        <v>0</v>
      </c>
      <c r="M152">
        <f>'insurance final cleaned'!S749</f>
        <v>0</v>
      </c>
    </row>
    <row r="153" spans="1:13" x14ac:dyDescent="0.3">
      <c r="A153">
        <f>'insurance final cleaned'!J1085</f>
        <v>21082.16</v>
      </c>
      <c r="B153">
        <f>'insurance final cleaned'!B1085</f>
        <v>37</v>
      </c>
      <c r="C153">
        <f>'insurance final cleaned'!D1085</f>
        <v>28.3</v>
      </c>
      <c r="D153">
        <f>'insurance final cleaned'!G1085</f>
        <v>1</v>
      </c>
      <c r="E153">
        <f>'insurance final cleaned'!E1085</f>
        <v>109</v>
      </c>
      <c r="F153">
        <f>'insurance final cleaned'!L1085</f>
        <v>28.3</v>
      </c>
      <c r="G153">
        <f>'insurance final cleaned'!M1085</f>
        <v>0</v>
      </c>
      <c r="H153">
        <f>'insurance final cleaned'!N1085</f>
        <v>1</v>
      </c>
      <c r="I153">
        <f>'insurance final cleaned'!O1085</f>
        <v>0</v>
      </c>
      <c r="J153">
        <f>'insurance final cleaned'!P1085</f>
        <v>0.10593219814283672</v>
      </c>
      <c r="K153">
        <f>'insurance final cleaned'!Q1085</f>
        <v>1</v>
      </c>
      <c r="L153">
        <f>'insurance final cleaned'!R1085</f>
        <v>1</v>
      </c>
      <c r="M153">
        <f>'insurance final cleaned'!S1085</f>
        <v>0</v>
      </c>
    </row>
    <row r="154" spans="1:13" x14ac:dyDescent="0.3">
      <c r="A154">
        <f>'insurance final cleaned'!J191</f>
        <v>2913.57</v>
      </c>
      <c r="B154">
        <f>'insurance final cleaned'!B191</f>
        <v>37</v>
      </c>
      <c r="C154">
        <f>'insurance final cleaned'!D191</f>
        <v>23.4</v>
      </c>
      <c r="D154">
        <f>'insurance final cleaned'!G191</f>
        <v>2</v>
      </c>
      <c r="E154">
        <f>'insurance final cleaned'!E191</f>
        <v>96</v>
      </c>
      <c r="F154">
        <f>'insurance final cleaned'!L191</f>
        <v>0</v>
      </c>
      <c r="G154">
        <f>'insurance final cleaned'!M191</f>
        <v>0</v>
      </c>
      <c r="H154">
        <f>'insurance final cleaned'!N191</f>
        <v>1</v>
      </c>
      <c r="I154">
        <f>'insurance final cleaned'!O191</f>
        <v>0</v>
      </c>
      <c r="J154">
        <f>'insurance final cleaned'!P191</f>
        <v>0.1066249958075639</v>
      </c>
      <c r="K154">
        <f>'insurance final cleaned'!Q191</f>
        <v>0</v>
      </c>
      <c r="L154">
        <f>'insurance final cleaned'!R191</f>
        <v>0</v>
      </c>
      <c r="M154">
        <f>'insurance final cleaned'!S191</f>
        <v>1</v>
      </c>
    </row>
    <row r="155" spans="1:13" x14ac:dyDescent="0.3">
      <c r="A155">
        <f>'insurance final cleaned'!J568</f>
        <v>7789.64</v>
      </c>
      <c r="B155">
        <f>'insurance final cleaned'!B568</f>
        <v>29</v>
      </c>
      <c r="C155">
        <f>'insurance final cleaned'!D568</f>
        <v>29.7</v>
      </c>
      <c r="D155">
        <f>'insurance final cleaned'!G568</f>
        <v>0</v>
      </c>
      <c r="E155">
        <f>'insurance final cleaned'!E568</f>
        <v>100</v>
      </c>
      <c r="F155">
        <f>'insurance final cleaned'!L568</f>
        <v>0</v>
      </c>
      <c r="G155">
        <f>'insurance final cleaned'!M568</f>
        <v>1</v>
      </c>
      <c r="H155">
        <f>'insurance final cleaned'!N568</f>
        <v>0</v>
      </c>
      <c r="I155">
        <f>'insurance final cleaned'!O568</f>
        <v>0</v>
      </c>
      <c r="J155">
        <f>'insurance final cleaned'!P568</f>
        <v>0.10878151547567116</v>
      </c>
      <c r="K155">
        <f>'insurance final cleaned'!Q568</f>
        <v>0</v>
      </c>
      <c r="L155">
        <f>'insurance final cleaned'!R568</f>
        <v>1</v>
      </c>
      <c r="M155">
        <f>'insurance final cleaned'!S568</f>
        <v>0</v>
      </c>
    </row>
    <row r="156" spans="1:13" x14ac:dyDescent="0.3">
      <c r="A156">
        <f>'insurance final cleaned'!J448</f>
        <v>6238.3</v>
      </c>
      <c r="B156">
        <f>'insurance final cleaned'!B448</f>
        <v>25</v>
      </c>
      <c r="C156">
        <f>'insurance final cleaned'!D448</f>
        <v>32.5</v>
      </c>
      <c r="D156">
        <f>'insurance final cleaned'!G448</f>
        <v>1</v>
      </c>
      <c r="E156">
        <f>'insurance final cleaned'!E448</f>
        <v>100</v>
      </c>
      <c r="F156">
        <f>'insurance final cleaned'!L448</f>
        <v>0</v>
      </c>
      <c r="G156">
        <f>'insurance final cleaned'!M448</f>
        <v>0</v>
      </c>
      <c r="H156">
        <f>'insurance final cleaned'!N448</f>
        <v>1</v>
      </c>
      <c r="I156">
        <f>'insurance final cleaned'!O448</f>
        <v>0</v>
      </c>
      <c r="J156">
        <f>'insurance final cleaned'!P448</f>
        <v>0.10914896085618742</v>
      </c>
      <c r="K156">
        <f>'insurance final cleaned'!Q448</f>
        <v>0</v>
      </c>
      <c r="L156">
        <f>'insurance final cleaned'!R448</f>
        <v>0</v>
      </c>
      <c r="M156">
        <f>'insurance final cleaned'!S448</f>
        <v>1</v>
      </c>
    </row>
    <row r="157" spans="1:13" x14ac:dyDescent="0.3">
      <c r="A157">
        <f>'insurance final cleaned'!J444</f>
        <v>6186.13</v>
      </c>
      <c r="B157">
        <f>'insurance final cleaned'!B444</f>
        <v>32</v>
      </c>
      <c r="C157">
        <f>'insurance final cleaned'!D444</f>
        <v>31.6</v>
      </c>
      <c r="D157">
        <f>'insurance final cleaned'!G444</f>
        <v>0</v>
      </c>
      <c r="E157">
        <f>'insurance final cleaned'!E444</f>
        <v>91</v>
      </c>
      <c r="F157">
        <f>'insurance final cleaned'!L444</f>
        <v>0</v>
      </c>
      <c r="G157">
        <f>'insurance final cleaned'!M444</f>
        <v>0</v>
      </c>
      <c r="H157">
        <f>'insurance final cleaned'!N444</f>
        <v>1</v>
      </c>
      <c r="I157">
        <f>'insurance final cleaned'!O444</f>
        <v>0</v>
      </c>
      <c r="J157">
        <f>'insurance final cleaned'!P444</f>
        <v>0.1093015630405697</v>
      </c>
      <c r="K157">
        <f>'insurance final cleaned'!Q444</f>
        <v>0</v>
      </c>
      <c r="L157">
        <f>'insurance final cleaned'!R444</f>
        <v>1</v>
      </c>
      <c r="M157">
        <f>'insurance final cleaned'!S444</f>
        <v>1</v>
      </c>
    </row>
    <row r="158" spans="1:13" x14ac:dyDescent="0.3">
      <c r="A158">
        <f>'insurance final cleaned'!J723</f>
        <v>10115.01</v>
      </c>
      <c r="B158">
        <f>'insurance final cleaned'!B723</f>
        <v>44</v>
      </c>
      <c r="C158">
        <f>'insurance final cleaned'!D723</f>
        <v>33.9</v>
      </c>
      <c r="D158">
        <f>'insurance final cleaned'!G723</f>
        <v>3</v>
      </c>
      <c r="E158">
        <f>'insurance final cleaned'!E723</f>
        <v>100</v>
      </c>
      <c r="F158">
        <f>'insurance final cleaned'!L723</f>
        <v>0</v>
      </c>
      <c r="G158">
        <f>'insurance final cleaned'!M723</f>
        <v>0</v>
      </c>
      <c r="H158">
        <f>'insurance final cleaned'!N723</f>
        <v>0</v>
      </c>
      <c r="I158">
        <f>'insurance final cleaned'!O723</f>
        <v>1</v>
      </c>
      <c r="J158">
        <f>'insurance final cleaned'!P723</f>
        <v>0.11011024020410565</v>
      </c>
      <c r="K158">
        <f>'insurance final cleaned'!Q723</f>
        <v>0</v>
      </c>
      <c r="L158">
        <f>'insurance final cleaned'!R723</f>
        <v>1</v>
      </c>
      <c r="M158">
        <f>'insurance final cleaned'!S723</f>
        <v>1</v>
      </c>
    </row>
    <row r="159" spans="1:13" x14ac:dyDescent="0.3">
      <c r="A159">
        <f>'insurance final cleaned'!J894</f>
        <v>12797.21</v>
      </c>
      <c r="B159">
        <f>'insurance final cleaned'!B894</f>
        <v>31</v>
      </c>
      <c r="C159">
        <f>'insurance final cleaned'!D894</f>
        <v>36.5</v>
      </c>
      <c r="D159">
        <f>'insurance final cleaned'!G894</f>
        <v>0</v>
      </c>
      <c r="E159">
        <f>'insurance final cleaned'!E894</f>
        <v>99</v>
      </c>
      <c r="F159">
        <f>'insurance final cleaned'!L894</f>
        <v>0</v>
      </c>
      <c r="G159">
        <f>'insurance final cleaned'!M894</f>
        <v>0</v>
      </c>
      <c r="H159">
        <f>'insurance final cleaned'!N894</f>
        <v>0</v>
      </c>
      <c r="I159">
        <f>'insurance final cleaned'!O894</f>
        <v>0</v>
      </c>
      <c r="J159">
        <f>'insurance final cleaned'!P894</f>
        <v>0.11025067952414702</v>
      </c>
      <c r="K159">
        <f>'insurance final cleaned'!Q894</f>
        <v>0</v>
      </c>
      <c r="L159">
        <f>'insurance final cleaned'!R894</f>
        <v>0</v>
      </c>
      <c r="M159">
        <f>'insurance final cleaned'!S894</f>
        <v>1</v>
      </c>
    </row>
    <row r="160" spans="1:13" x14ac:dyDescent="0.3">
      <c r="A160">
        <f>'insurance final cleaned'!J674</f>
        <v>9391.35</v>
      </c>
      <c r="B160">
        <f>'insurance final cleaned'!B674</f>
        <v>20</v>
      </c>
      <c r="C160">
        <f>'insurance final cleaned'!D674</f>
        <v>39.700000000000003</v>
      </c>
      <c r="D160">
        <f>'insurance final cleaned'!G674</f>
        <v>1</v>
      </c>
      <c r="E160">
        <f>'insurance final cleaned'!E674</f>
        <v>90</v>
      </c>
      <c r="F160">
        <f>'insurance final cleaned'!L674</f>
        <v>0</v>
      </c>
      <c r="G160">
        <f>'insurance final cleaned'!M674</f>
        <v>0</v>
      </c>
      <c r="H160">
        <f>'insurance final cleaned'!N674</f>
        <v>1</v>
      </c>
      <c r="I160">
        <f>'insurance final cleaned'!O674</f>
        <v>0</v>
      </c>
      <c r="J160">
        <f>'insurance final cleaned'!P674</f>
        <v>0.11372389596201649</v>
      </c>
      <c r="K160">
        <f>'insurance final cleaned'!Q674</f>
        <v>0</v>
      </c>
      <c r="L160">
        <f>'insurance final cleaned'!R674</f>
        <v>0</v>
      </c>
      <c r="M160">
        <f>'insurance final cleaned'!S674</f>
        <v>0</v>
      </c>
    </row>
    <row r="161" spans="1:13" x14ac:dyDescent="0.3">
      <c r="A161">
        <f>'insurance final cleaned'!J857</f>
        <v>12129.61</v>
      </c>
      <c r="B161">
        <f>'insurance final cleaned'!B857</f>
        <v>23</v>
      </c>
      <c r="C161">
        <f>'insurance final cleaned'!D857</f>
        <v>28.8</v>
      </c>
      <c r="D161">
        <f>'insurance final cleaned'!G857</f>
        <v>0</v>
      </c>
      <c r="E161">
        <f>'insurance final cleaned'!E857</f>
        <v>86</v>
      </c>
      <c r="F161">
        <f>'insurance final cleaned'!L857</f>
        <v>0</v>
      </c>
      <c r="G161">
        <f>'insurance final cleaned'!M857</f>
        <v>0</v>
      </c>
      <c r="H161">
        <f>'insurance final cleaned'!N857</f>
        <v>0</v>
      </c>
      <c r="I161">
        <f>'insurance final cleaned'!O857</f>
        <v>1</v>
      </c>
      <c r="J161">
        <f>'insurance final cleaned'!P857</f>
        <v>0.11407035821626643</v>
      </c>
      <c r="K161">
        <f>'insurance final cleaned'!Q857</f>
        <v>0</v>
      </c>
      <c r="L161">
        <f>'insurance final cleaned'!R857</f>
        <v>0</v>
      </c>
      <c r="M161">
        <f>'insurance final cleaned'!S857</f>
        <v>0</v>
      </c>
    </row>
    <row r="162" spans="1:13" x14ac:dyDescent="0.3">
      <c r="A162">
        <f>'insurance final cleaned'!J439</f>
        <v>6117.49</v>
      </c>
      <c r="B162">
        <f>'insurance final cleaned'!B439</f>
        <v>29</v>
      </c>
      <c r="C162">
        <f>'insurance final cleaned'!D439</f>
        <v>21.9</v>
      </c>
      <c r="D162">
        <f>'insurance final cleaned'!G439</f>
        <v>1</v>
      </c>
      <c r="E162">
        <f>'insurance final cleaned'!E439</f>
        <v>91</v>
      </c>
      <c r="F162">
        <f>'insurance final cleaned'!L439</f>
        <v>0</v>
      </c>
      <c r="G162">
        <f>'insurance final cleaned'!M439</f>
        <v>0</v>
      </c>
      <c r="H162">
        <f>'insurance final cleaned'!N439</f>
        <v>0</v>
      </c>
      <c r="I162">
        <f>'insurance final cleaned'!O439</f>
        <v>1</v>
      </c>
      <c r="J162">
        <f>'insurance final cleaned'!P439</f>
        <v>0.11439769267766953</v>
      </c>
      <c r="K162">
        <f>'insurance final cleaned'!Q439</f>
        <v>0</v>
      </c>
      <c r="L162">
        <f>'insurance final cleaned'!R439</f>
        <v>1</v>
      </c>
      <c r="M162">
        <f>'insurance final cleaned'!S439</f>
        <v>0</v>
      </c>
    </row>
    <row r="163" spans="1:13" x14ac:dyDescent="0.3">
      <c r="A163">
        <f>'insurance final cleaned'!J124</f>
        <v>2211.13</v>
      </c>
      <c r="B163">
        <f>'insurance final cleaned'!B124</f>
        <v>52</v>
      </c>
      <c r="C163">
        <f>'insurance final cleaned'!D124</f>
        <v>35.6</v>
      </c>
      <c r="D163">
        <f>'insurance final cleaned'!G124</f>
        <v>0</v>
      </c>
      <c r="E163">
        <f>'insurance final cleaned'!E124</f>
        <v>89</v>
      </c>
      <c r="F163">
        <f>'insurance final cleaned'!L124</f>
        <v>0</v>
      </c>
      <c r="G163">
        <f>'insurance final cleaned'!M124</f>
        <v>1</v>
      </c>
      <c r="H163">
        <f>'insurance final cleaned'!N124</f>
        <v>0</v>
      </c>
      <c r="I163">
        <f>'insurance final cleaned'!O124</f>
        <v>0</v>
      </c>
      <c r="J163">
        <f>'insurance final cleaned'!P124</f>
        <v>0.11486293329593267</v>
      </c>
      <c r="K163">
        <f>'insurance final cleaned'!Q124</f>
        <v>0</v>
      </c>
      <c r="L163">
        <f>'insurance final cleaned'!R124</f>
        <v>0</v>
      </c>
      <c r="M163">
        <f>'insurance final cleaned'!S124</f>
        <v>1</v>
      </c>
    </row>
    <row r="164" spans="1:13" x14ac:dyDescent="0.3">
      <c r="A164">
        <f>'insurance final cleaned'!J504</f>
        <v>6985.51</v>
      </c>
      <c r="B164">
        <f>'insurance final cleaned'!B504</f>
        <v>19</v>
      </c>
      <c r="C164">
        <f>'insurance final cleaned'!D504</f>
        <v>22.7</v>
      </c>
      <c r="D164">
        <f>'insurance final cleaned'!G504</f>
        <v>3</v>
      </c>
      <c r="E164">
        <f>'insurance final cleaned'!E504</f>
        <v>82</v>
      </c>
      <c r="F164">
        <f>'insurance final cleaned'!L504</f>
        <v>0</v>
      </c>
      <c r="G164">
        <f>'insurance final cleaned'!M504</f>
        <v>1</v>
      </c>
      <c r="H164">
        <f>'insurance final cleaned'!N504</f>
        <v>0</v>
      </c>
      <c r="I164">
        <f>'insurance final cleaned'!O504</f>
        <v>0</v>
      </c>
      <c r="J164">
        <f>'insurance final cleaned'!P504</f>
        <v>0.11519802126368794</v>
      </c>
      <c r="K164">
        <f>'insurance final cleaned'!Q504</f>
        <v>0</v>
      </c>
      <c r="L164">
        <f>'insurance final cleaned'!R504</f>
        <v>0</v>
      </c>
      <c r="M164">
        <f>'insurance final cleaned'!S504</f>
        <v>0</v>
      </c>
    </row>
    <row r="165" spans="1:13" x14ac:dyDescent="0.3">
      <c r="A165">
        <f>'insurance final cleaned'!J15</f>
        <v>1252.4100000000001</v>
      </c>
      <c r="B165">
        <f>'insurance final cleaned'!B15</f>
        <v>32</v>
      </c>
      <c r="C165">
        <f>'insurance final cleaned'!D15</f>
        <v>27.6</v>
      </c>
      <c r="D165">
        <f>'insurance final cleaned'!G15</f>
        <v>0</v>
      </c>
      <c r="E165">
        <f>'insurance final cleaned'!E15</f>
        <v>100</v>
      </c>
      <c r="F165">
        <f>'insurance final cleaned'!L15</f>
        <v>0</v>
      </c>
      <c r="G165">
        <f>'insurance final cleaned'!M15</f>
        <v>0</v>
      </c>
      <c r="H165">
        <f>'insurance final cleaned'!N15</f>
        <v>0</v>
      </c>
      <c r="I165">
        <f>'insurance final cleaned'!O15</f>
        <v>1</v>
      </c>
      <c r="J165">
        <f>'insurance final cleaned'!P15</f>
        <v>0.11556962321567554</v>
      </c>
      <c r="K165">
        <f>'insurance final cleaned'!Q15</f>
        <v>0</v>
      </c>
      <c r="L165">
        <f>'insurance final cleaned'!R15</f>
        <v>0</v>
      </c>
      <c r="M165">
        <f>'insurance final cleaned'!S15</f>
        <v>0</v>
      </c>
    </row>
    <row r="166" spans="1:13" x14ac:dyDescent="0.3">
      <c r="A166">
        <f>'insurance final cleaned'!J229</f>
        <v>3410.32</v>
      </c>
      <c r="B166">
        <f>'insurance final cleaned'!B229</f>
        <v>34</v>
      </c>
      <c r="C166">
        <f>'insurance final cleaned'!D229</f>
        <v>42.4</v>
      </c>
      <c r="D166">
        <f>'insurance final cleaned'!G229</f>
        <v>1</v>
      </c>
      <c r="E166">
        <f>'insurance final cleaned'!E229</f>
        <v>92</v>
      </c>
      <c r="F166">
        <f>'insurance final cleaned'!L229</f>
        <v>0</v>
      </c>
      <c r="G166">
        <f>'insurance final cleaned'!M229</f>
        <v>0</v>
      </c>
      <c r="H166">
        <f>'insurance final cleaned'!N229</f>
        <v>1</v>
      </c>
      <c r="I166">
        <f>'insurance final cleaned'!O229</f>
        <v>0</v>
      </c>
      <c r="J166">
        <f>'insurance final cleaned'!P229</f>
        <v>0.11618475856317512</v>
      </c>
      <c r="K166">
        <f>'insurance final cleaned'!Q229</f>
        <v>0</v>
      </c>
      <c r="L166">
        <f>'insurance final cleaned'!R229</f>
        <v>0</v>
      </c>
      <c r="M166">
        <f>'insurance final cleaned'!S229</f>
        <v>1</v>
      </c>
    </row>
    <row r="167" spans="1:13" x14ac:dyDescent="0.3">
      <c r="A167">
        <f>'insurance final cleaned'!J691</f>
        <v>9630.4</v>
      </c>
      <c r="B167">
        <f>'insurance final cleaned'!B691</f>
        <v>48</v>
      </c>
      <c r="C167">
        <f>'insurance final cleaned'!D691</f>
        <v>32.299999999999997</v>
      </c>
      <c r="D167">
        <f>'insurance final cleaned'!G691</f>
        <v>2</v>
      </c>
      <c r="E167">
        <f>'insurance final cleaned'!E691</f>
        <v>88</v>
      </c>
      <c r="F167">
        <f>'insurance final cleaned'!L691</f>
        <v>0</v>
      </c>
      <c r="G167">
        <f>'insurance final cleaned'!M691</f>
        <v>0</v>
      </c>
      <c r="H167">
        <f>'insurance final cleaned'!N691</f>
        <v>1</v>
      </c>
      <c r="I167">
        <f>'insurance final cleaned'!O691</f>
        <v>0</v>
      </c>
      <c r="J167">
        <f>'insurance final cleaned'!P691</f>
        <v>0.11947120339822981</v>
      </c>
      <c r="K167">
        <f>'insurance final cleaned'!Q691</f>
        <v>0</v>
      </c>
      <c r="L167">
        <f>'insurance final cleaned'!R691</f>
        <v>1</v>
      </c>
      <c r="M167">
        <f>'insurance final cleaned'!S691</f>
        <v>0</v>
      </c>
    </row>
    <row r="168" spans="1:13" x14ac:dyDescent="0.3">
      <c r="A168">
        <f>'insurance final cleaned'!J551</f>
        <v>7537.16</v>
      </c>
      <c r="B168">
        <f>'insurance final cleaned'!B551</f>
        <v>31</v>
      </c>
      <c r="C168">
        <f>'insurance final cleaned'!D551</f>
        <v>30.2</v>
      </c>
      <c r="D168">
        <f>'insurance final cleaned'!G551</f>
        <v>3</v>
      </c>
      <c r="E168">
        <f>'insurance final cleaned'!E551</f>
        <v>95</v>
      </c>
      <c r="F168">
        <f>'insurance final cleaned'!L551</f>
        <v>0</v>
      </c>
      <c r="G168">
        <f>'insurance final cleaned'!M551</f>
        <v>0</v>
      </c>
      <c r="H168">
        <f>'insurance final cleaned'!N551</f>
        <v>0</v>
      </c>
      <c r="I168">
        <f>'insurance final cleaned'!O551</f>
        <v>1</v>
      </c>
      <c r="J168">
        <f>'insurance final cleaned'!P551</f>
        <v>0.11977988026865416</v>
      </c>
      <c r="K168">
        <f>'insurance final cleaned'!Q551</f>
        <v>0</v>
      </c>
      <c r="L168">
        <f>'insurance final cleaned'!R551</f>
        <v>0</v>
      </c>
      <c r="M168">
        <f>'insurance final cleaned'!S551</f>
        <v>1</v>
      </c>
    </row>
    <row r="169" spans="1:13" x14ac:dyDescent="0.3">
      <c r="A169">
        <f>'insurance final cleaned'!J19</f>
        <v>1261.8599999999999</v>
      </c>
      <c r="B169">
        <f>'insurance final cleaned'!B19</f>
        <v>41</v>
      </c>
      <c r="C169">
        <f>'insurance final cleaned'!D19</f>
        <v>34.4</v>
      </c>
      <c r="D169">
        <f>'insurance final cleaned'!G19</f>
        <v>0</v>
      </c>
      <c r="E169">
        <f>'insurance final cleaned'!E19</f>
        <v>84</v>
      </c>
      <c r="F169">
        <f>'insurance final cleaned'!L19</f>
        <v>0</v>
      </c>
      <c r="G169">
        <f>'insurance final cleaned'!M19</f>
        <v>0</v>
      </c>
      <c r="H169">
        <f>'insurance final cleaned'!N19</f>
        <v>1</v>
      </c>
      <c r="I169">
        <f>'insurance final cleaned'!O19</f>
        <v>0</v>
      </c>
      <c r="J169">
        <f>'insurance final cleaned'!P19</f>
        <v>0.12005503535420159</v>
      </c>
      <c r="K169">
        <f>'insurance final cleaned'!Q19</f>
        <v>0</v>
      </c>
      <c r="L169">
        <f>'insurance final cleaned'!R19</f>
        <v>0</v>
      </c>
      <c r="M169">
        <f>'insurance final cleaned'!S19</f>
        <v>0</v>
      </c>
    </row>
    <row r="170" spans="1:13" x14ac:dyDescent="0.3">
      <c r="A170">
        <f>'insurance final cleaned'!J470</f>
        <v>6496.89</v>
      </c>
      <c r="B170">
        <f>'insurance final cleaned'!B470</f>
        <v>38</v>
      </c>
      <c r="C170">
        <f>'insurance final cleaned'!D470</f>
        <v>27.4</v>
      </c>
      <c r="D170">
        <f>'insurance final cleaned'!G470</f>
        <v>1</v>
      </c>
      <c r="E170">
        <f>'insurance final cleaned'!E470</f>
        <v>81</v>
      </c>
      <c r="F170">
        <f>'insurance final cleaned'!L470</f>
        <v>0</v>
      </c>
      <c r="G170">
        <f>'insurance final cleaned'!M470</f>
        <v>0</v>
      </c>
      <c r="H170">
        <f>'insurance final cleaned'!N470</f>
        <v>1</v>
      </c>
      <c r="I170">
        <f>'insurance final cleaned'!O470</f>
        <v>0</v>
      </c>
      <c r="J170">
        <f>'insurance final cleaned'!P470</f>
        <v>0.12012421384861038</v>
      </c>
      <c r="K170">
        <f>'insurance final cleaned'!Q470</f>
        <v>0</v>
      </c>
      <c r="L170">
        <f>'insurance final cleaned'!R470</f>
        <v>0</v>
      </c>
      <c r="M170">
        <f>'insurance final cleaned'!S470</f>
        <v>1</v>
      </c>
    </row>
    <row r="171" spans="1:13" x14ac:dyDescent="0.3">
      <c r="A171">
        <f>'insurance final cleaned'!J898</f>
        <v>12913.99</v>
      </c>
      <c r="B171">
        <f>'insurance final cleaned'!B898</f>
        <v>36</v>
      </c>
      <c r="C171">
        <f>'insurance final cleaned'!D898</f>
        <v>25.5</v>
      </c>
      <c r="D171">
        <f>'insurance final cleaned'!G898</f>
        <v>1</v>
      </c>
      <c r="E171">
        <f>'insurance final cleaned'!E898</f>
        <v>85</v>
      </c>
      <c r="F171">
        <f>'insurance final cleaned'!L898</f>
        <v>0</v>
      </c>
      <c r="G171">
        <f>'insurance final cleaned'!M898</f>
        <v>0</v>
      </c>
      <c r="H171">
        <f>'insurance final cleaned'!N898</f>
        <v>0</v>
      </c>
      <c r="I171">
        <f>'insurance final cleaned'!O898</f>
        <v>0</v>
      </c>
      <c r="J171">
        <f>'insurance final cleaned'!P898</f>
        <v>0.12033280185023032</v>
      </c>
      <c r="K171">
        <f>'insurance final cleaned'!Q898</f>
        <v>0</v>
      </c>
      <c r="L171">
        <f>'insurance final cleaned'!R898</f>
        <v>0</v>
      </c>
      <c r="M171">
        <f>'insurance final cleaned'!S898</f>
        <v>0</v>
      </c>
    </row>
    <row r="172" spans="1:13" x14ac:dyDescent="0.3">
      <c r="A172">
        <f>'insurance final cleaned'!J327</f>
        <v>4618.08</v>
      </c>
      <c r="B172">
        <f>'insurance final cleaned'!B327</f>
        <v>31</v>
      </c>
      <c r="C172">
        <f>'insurance final cleaned'!D327</f>
        <v>30.2</v>
      </c>
      <c r="D172">
        <f>'insurance final cleaned'!G327</f>
        <v>3</v>
      </c>
      <c r="E172">
        <f>'insurance final cleaned'!E327</f>
        <v>83</v>
      </c>
      <c r="F172">
        <f>'insurance final cleaned'!L327</f>
        <v>0</v>
      </c>
      <c r="G172">
        <f>'insurance final cleaned'!M327</f>
        <v>0</v>
      </c>
      <c r="H172">
        <f>'insurance final cleaned'!N327</f>
        <v>0</v>
      </c>
      <c r="I172">
        <f>'insurance final cleaned'!O327</f>
        <v>1</v>
      </c>
      <c r="J172">
        <f>'insurance final cleaned'!P327</f>
        <v>0.12066835867797177</v>
      </c>
      <c r="K172">
        <f>'insurance final cleaned'!Q327</f>
        <v>0</v>
      </c>
      <c r="L172">
        <f>'insurance final cleaned'!R327</f>
        <v>0</v>
      </c>
      <c r="M172">
        <f>'insurance final cleaned'!S327</f>
        <v>1</v>
      </c>
    </row>
    <row r="173" spans="1:13" x14ac:dyDescent="0.3">
      <c r="A173">
        <f>'insurance final cleaned'!J1108</f>
        <v>22412.65</v>
      </c>
      <c r="B173">
        <f>'insurance final cleaned'!B1108</f>
        <v>40</v>
      </c>
      <c r="C173">
        <f>'insurance final cleaned'!D1108</f>
        <v>20</v>
      </c>
      <c r="D173">
        <f>'insurance final cleaned'!G1108</f>
        <v>0</v>
      </c>
      <c r="E173">
        <f>'insurance final cleaned'!E1108</f>
        <v>110</v>
      </c>
      <c r="F173">
        <f>'insurance final cleaned'!L1108</f>
        <v>20</v>
      </c>
      <c r="G173">
        <f>'insurance final cleaned'!M1108</f>
        <v>0</v>
      </c>
      <c r="H173">
        <f>'insurance final cleaned'!N1108</f>
        <v>0</v>
      </c>
      <c r="I173">
        <f>'insurance final cleaned'!O1108</f>
        <v>0</v>
      </c>
      <c r="J173">
        <f>'insurance final cleaned'!P1108</f>
        <v>0.12183995911614476</v>
      </c>
      <c r="K173">
        <f>'insurance final cleaned'!Q1108</f>
        <v>1</v>
      </c>
      <c r="L173">
        <f>'insurance final cleaned'!R1108</f>
        <v>1</v>
      </c>
      <c r="M173">
        <f>'insurance final cleaned'!S1108</f>
        <v>0</v>
      </c>
    </row>
    <row r="174" spans="1:13" x14ac:dyDescent="0.3">
      <c r="A174">
        <f>'insurance final cleaned'!J125</f>
        <v>2217.4699999999998</v>
      </c>
      <c r="B174">
        <f>'insurance final cleaned'!B125</f>
        <v>55</v>
      </c>
      <c r="C174">
        <f>'insurance final cleaned'!D125</f>
        <v>40.200000000000003</v>
      </c>
      <c r="D174">
        <f>'insurance final cleaned'!G125</f>
        <v>0</v>
      </c>
      <c r="E174">
        <f>'insurance final cleaned'!E125</f>
        <v>82</v>
      </c>
      <c r="F174">
        <f>'insurance final cleaned'!L125</f>
        <v>0</v>
      </c>
      <c r="G174">
        <f>'insurance final cleaned'!M125</f>
        <v>1</v>
      </c>
      <c r="H174">
        <f>'insurance final cleaned'!N125</f>
        <v>0</v>
      </c>
      <c r="I174">
        <f>'insurance final cleaned'!O125</f>
        <v>0</v>
      </c>
      <c r="J174">
        <f>'insurance final cleaned'!P125</f>
        <v>0.12194725847491261</v>
      </c>
      <c r="K174">
        <f>'insurance final cleaned'!Q125</f>
        <v>0</v>
      </c>
      <c r="L174">
        <f>'insurance final cleaned'!R125</f>
        <v>0</v>
      </c>
      <c r="M174">
        <f>'insurance final cleaned'!S125</f>
        <v>1</v>
      </c>
    </row>
    <row r="175" spans="1:13" x14ac:dyDescent="0.3">
      <c r="A175">
        <f>'insurance final cleaned'!J395</f>
        <v>5397.62</v>
      </c>
      <c r="B175">
        <f>'insurance final cleaned'!B395</f>
        <v>32</v>
      </c>
      <c r="C175">
        <f>'insurance final cleaned'!D395</f>
        <v>37.700000000000003</v>
      </c>
      <c r="D175">
        <f>'insurance final cleaned'!G395</f>
        <v>0</v>
      </c>
      <c r="E175">
        <f>'insurance final cleaned'!E395</f>
        <v>96</v>
      </c>
      <c r="F175">
        <f>'insurance final cleaned'!L395</f>
        <v>0</v>
      </c>
      <c r="G175">
        <f>'insurance final cleaned'!M395</f>
        <v>1</v>
      </c>
      <c r="H175">
        <f>'insurance final cleaned'!N395</f>
        <v>0</v>
      </c>
      <c r="I175">
        <f>'insurance final cleaned'!O395</f>
        <v>0</v>
      </c>
      <c r="J175">
        <f>'insurance final cleaned'!P395</f>
        <v>0.12210334910951492</v>
      </c>
      <c r="K175">
        <f>'insurance final cleaned'!Q395</f>
        <v>0</v>
      </c>
      <c r="L175">
        <f>'insurance final cleaned'!R395</f>
        <v>0</v>
      </c>
      <c r="M175">
        <f>'insurance final cleaned'!S395</f>
        <v>1</v>
      </c>
    </row>
    <row r="176" spans="1:13" x14ac:dyDescent="0.3">
      <c r="A176">
        <f>'insurance final cleaned'!J669</f>
        <v>9301.89</v>
      </c>
      <c r="B176">
        <f>'insurance final cleaned'!B669</f>
        <v>33</v>
      </c>
      <c r="C176">
        <f>'insurance final cleaned'!D669</f>
        <v>25.7</v>
      </c>
      <c r="D176">
        <f>'insurance final cleaned'!G669</f>
        <v>3</v>
      </c>
      <c r="E176">
        <f>'insurance final cleaned'!E669</f>
        <v>80</v>
      </c>
      <c r="F176">
        <f>'insurance final cleaned'!L669</f>
        <v>0</v>
      </c>
      <c r="G176">
        <f>'insurance final cleaned'!M669</f>
        <v>0</v>
      </c>
      <c r="H176">
        <f>'insurance final cleaned'!N669</f>
        <v>0</v>
      </c>
      <c r="I176">
        <f>'insurance final cleaned'!O669</f>
        <v>1</v>
      </c>
      <c r="J176">
        <f>'insurance final cleaned'!P669</f>
        <v>0.12292974907134246</v>
      </c>
      <c r="K176">
        <f>'insurance final cleaned'!Q669</f>
        <v>0</v>
      </c>
      <c r="L176">
        <f>'insurance final cleaned'!R669</f>
        <v>0</v>
      </c>
      <c r="M176">
        <f>'insurance final cleaned'!S669</f>
        <v>0</v>
      </c>
    </row>
    <row r="177" spans="1:13" x14ac:dyDescent="0.3">
      <c r="A177">
        <f>'insurance final cleaned'!J1324</f>
        <v>47896.79</v>
      </c>
      <c r="B177">
        <f>'insurance final cleaned'!B1324</f>
        <v>33</v>
      </c>
      <c r="C177">
        <f>'insurance final cleaned'!D1324</f>
        <v>36.799999999999997</v>
      </c>
      <c r="D177">
        <f>'insurance final cleaned'!G1324</f>
        <v>1</v>
      </c>
      <c r="E177">
        <f>'insurance final cleaned'!E1324</f>
        <v>117</v>
      </c>
      <c r="F177">
        <f>'insurance final cleaned'!L1324</f>
        <v>36.799999999999997</v>
      </c>
      <c r="G177">
        <f>'insurance final cleaned'!M1324</f>
        <v>0</v>
      </c>
      <c r="H177">
        <f>'insurance final cleaned'!N1324</f>
        <v>0</v>
      </c>
      <c r="I177">
        <f>'insurance final cleaned'!O1324</f>
        <v>0</v>
      </c>
      <c r="J177">
        <f>'insurance final cleaned'!P1324</f>
        <v>0.12410161462542912</v>
      </c>
      <c r="K177">
        <f>'insurance final cleaned'!Q1324</f>
        <v>1</v>
      </c>
      <c r="L177">
        <f>'insurance final cleaned'!R1324</f>
        <v>1</v>
      </c>
      <c r="M177">
        <f>'insurance final cleaned'!S1324</f>
        <v>1</v>
      </c>
    </row>
    <row r="178" spans="1:13" x14ac:dyDescent="0.3">
      <c r="A178">
        <f>'insurance final cleaned'!J987</f>
        <v>15170.07</v>
      </c>
      <c r="B178">
        <f>'insurance final cleaned'!B987</f>
        <v>24</v>
      </c>
      <c r="C178">
        <f>'insurance final cleaned'!D987</f>
        <v>39.799999999999997</v>
      </c>
      <c r="D178">
        <f>'insurance final cleaned'!G987</f>
        <v>3</v>
      </c>
      <c r="E178">
        <f>'insurance final cleaned'!E987</f>
        <v>95</v>
      </c>
      <c r="F178">
        <f>'insurance final cleaned'!L987</f>
        <v>0</v>
      </c>
      <c r="G178">
        <f>'insurance final cleaned'!M987</f>
        <v>0</v>
      </c>
      <c r="H178">
        <f>'insurance final cleaned'!N987</f>
        <v>1</v>
      </c>
      <c r="I178">
        <f>'insurance final cleaned'!O987</f>
        <v>0</v>
      </c>
      <c r="J178">
        <f>'insurance final cleaned'!P987</f>
        <v>0.12439653826282815</v>
      </c>
      <c r="K178">
        <f>'insurance final cleaned'!Q987</f>
        <v>0</v>
      </c>
      <c r="L178">
        <f>'insurance final cleaned'!R987</f>
        <v>1</v>
      </c>
      <c r="M178">
        <f>'insurance final cleaned'!S987</f>
        <v>0</v>
      </c>
    </row>
    <row r="179" spans="1:13" x14ac:dyDescent="0.3">
      <c r="A179">
        <f>'insurance final cleaned'!J1267</f>
        <v>40419.019999999997</v>
      </c>
      <c r="B179">
        <f>'insurance final cleaned'!B1267</f>
        <v>54</v>
      </c>
      <c r="C179">
        <f>'insurance final cleaned'!D1267</f>
        <v>38.4</v>
      </c>
      <c r="D179">
        <f>'insurance final cleaned'!G1267</f>
        <v>0</v>
      </c>
      <c r="E179">
        <f>'insurance final cleaned'!E1267</f>
        <v>85</v>
      </c>
      <c r="F179">
        <f>'insurance final cleaned'!L1267</f>
        <v>38.4</v>
      </c>
      <c r="G179">
        <f>'insurance final cleaned'!M1267</f>
        <v>1</v>
      </c>
      <c r="H179">
        <f>'insurance final cleaned'!N1267</f>
        <v>0</v>
      </c>
      <c r="I179">
        <f>'insurance final cleaned'!O1267</f>
        <v>0</v>
      </c>
      <c r="J179">
        <f>'insurance final cleaned'!P1267</f>
        <v>0.12607317193215017</v>
      </c>
      <c r="K179">
        <f>'insurance final cleaned'!Q1267</f>
        <v>1</v>
      </c>
      <c r="L179">
        <f>'insurance final cleaned'!R1267</f>
        <v>1</v>
      </c>
      <c r="M179">
        <f>'insurance final cleaned'!S1267</f>
        <v>1</v>
      </c>
    </row>
    <row r="180" spans="1:13" x14ac:dyDescent="0.3">
      <c r="A180">
        <f>'insurance final cleaned'!J608</f>
        <v>8457.82</v>
      </c>
      <c r="B180">
        <f>'insurance final cleaned'!B608</f>
        <v>46</v>
      </c>
      <c r="C180">
        <f>'insurance final cleaned'!D608</f>
        <v>36.200000000000003</v>
      </c>
      <c r="D180">
        <f>'insurance final cleaned'!G608</f>
        <v>0</v>
      </c>
      <c r="E180">
        <f>'insurance final cleaned'!E608</f>
        <v>85</v>
      </c>
      <c r="F180">
        <f>'insurance final cleaned'!L608</f>
        <v>0</v>
      </c>
      <c r="G180">
        <f>'insurance final cleaned'!M608</f>
        <v>0</v>
      </c>
      <c r="H180">
        <f>'insurance final cleaned'!N608</f>
        <v>1</v>
      </c>
      <c r="I180">
        <f>'insurance final cleaned'!O608</f>
        <v>0</v>
      </c>
      <c r="J180">
        <f>'insurance final cleaned'!P608</f>
        <v>0.12818614430948871</v>
      </c>
      <c r="K180">
        <f>'insurance final cleaned'!Q608</f>
        <v>0</v>
      </c>
      <c r="L180">
        <f>'insurance final cleaned'!R608</f>
        <v>0</v>
      </c>
      <c r="M180">
        <f>'insurance final cleaned'!S608</f>
        <v>0</v>
      </c>
    </row>
    <row r="181" spans="1:13" x14ac:dyDescent="0.3">
      <c r="A181">
        <f>'insurance final cleaned'!J970</f>
        <v>14410.93</v>
      </c>
      <c r="B181">
        <f>'insurance final cleaned'!B970</f>
        <v>37</v>
      </c>
      <c r="C181">
        <f>'insurance final cleaned'!D970</f>
        <v>38.200000000000003</v>
      </c>
      <c r="D181">
        <f>'insurance final cleaned'!G970</f>
        <v>0</v>
      </c>
      <c r="E181">
        <f>'insurance final cleaned'!E970</f>
        <v>97</v>
      </c>
      <c r="F181">
        <f>'insurance final cleaned'!L970</f>
        <v>0</v>
      </c>
      <c r="G181">
        <f>'insurance final cleaned'!M970</f>
        <v>0</v>
      </c>
      <c r="H181">
        <f>'insurance final cleaned'!N970</f>
        <v>0</v>
      </c>
      <c r="I181">
        <f>'insurance final cleaned'!O970</f>
        <v>0</v>
      </c>
      <c r="J181">
        <f>'insurance final cleaned'!P970</f>
        <v>0.12836309872921414</v>
      </c>
      <c r="K181">
        <f>'insurance final cleaned'!Q970</f>
        <v>0</v>
      </c>
      <c r="L181">
        <f>'insurance final cleaned'!R970</f>
        <v>1</v>
      </c>
      <c r="M181">
        <f>'insurance final cleaned'!S970</f>
        <v>0</v>
      </c>
    </row>
    <row r="182" spans="1:13" x14ac:dyDescent="0.3">
      <c r="A182">
        <f>'insurance final cleaned'!J49</f>
        <v>1682.6</v>
      </c>
      <c r="B182">
        <f>'insurance final cleaned'!B49</f>
        <v>31</v>
      </c>
      <c r="C182">
        <f>'insurance final cleaned'!D49</f>
        <v>39.5</v>
      </c>
      <c r="D182">
        <f>'insurance final cleaned'!G49</f>
        <v>0</v>
      </c>
      <c r="E182">
        <f>'insurance final cleaned'!E49</f>
        <v>80</v>
      </c>
      <c r="F182">
        <f>'insurance final cleaned'!L49</f>
        <v>0</v>
      </c>
      <c r="G182">
        <f>'insurance final cleaned'!M49</f>
        <v>0</v>
      </c>
      <c r="H182">
        <f>'insurance final cleaned'!N49</f>
        <v>1</v>
      </c>
      <c r="I182">
        <f>'insurance final cleaned'!O49</f>
        <v>0</v>
      </c>
      <c r="J182">
        <f>'insurance final cleaned'!P49</f>
        <v>0.12901430822825621</v>
      </c>
      <c r="K182">
        <f>'insurance final cleaned'!Q49</f>
        <v>0</v>
      </c>
      <c r="L182">
        <f>'insurance final cleaned'!R49</f>
        <v>1</v>
      </c>
      <c r="M182">
        <f>'insurance final cleaned'!S49</f>
        <v>0</v>
      </c>
    </row>
    <row r="183" spans="1:13" x14ac:dyDescent="0.3">
      <c r="A183">
        <f>'insurance final cleaned'!J821</f>
        <v>11657.72</v>
      </c>
      <c r="B183">
        <f>'insurance final cleaned'!B821</f>
        <v>42</v>
      </c>
      <c r="C183">
        <f>'insurance final cleaned'!D821</f>
        <v>28.3</v>
      </c>
      <c r="D183">
        <f>'insurance final cleaned'!G821</f>
        <v>0</v>
      </c>
      <c r="E183">
        <f>'insurance final cleaned'!E821</f>
        <v>85</v>
      </c>
      <c r="F183">
        <f>'insurance final cleaned'!L821</f>
        <v>0</v>
      </c>
      <c r="G183">
        <f>'insurance final cleaned'!M821</f>
        <v>0</v>
      </c>
      <c r="H183">
        <f>'insurance final cleaned'!N821</f>
        <v>0</v>
      </c>
      <c r="I183">
        <f>'insurance final cleaned'!O821</f>
        <v>0</v>
      </c>
      <c r="J183">
        <f>'insurance final cleaned'!P821</f>
        <v>0.13210929458499399</v>
      </c>
      <c r="K183">
        <f>'insurance final cleaned'!Q821</f>
        <v>0</v>
      </c>
      <c r="L183">
        <f>'insurance final cleaned'!R821</f>
        <v>0</v>
      </c>
      <c r="M183">
        <f>'insurance final cleaned'!S821</f>
        <v>1</v>
      </c>
    </row>
    <row r="184" spans="1:13" x14ac:dyDescent="0.3">
      <c r="A184">
        <f>'insurance final cleaned'!J663</f>
        <v>9249.5</v>
      </c>
      <c r="B184">
        <f>'insurance final cleaned'!B663</f>
        <v>43</v>
      </c>
      <c r="C184">
        <f>'insurance final cleaned'!D663</f>
        <v>28.9</v>
      </c>
      <c r="D184">
        <f>'insurance final cleaned'!G663</f>
        <v>1</v>
      </c>
      <c r="E184">
        <f>'insurance final cleaned'!E663</f>
        <v>84</v>
      </c>
      <c r="F184">
        <f>'insurance final cleaned'!L663</f>
        <v>0</v>
      </c>
      <c r="G184">
        <f>'insurance final cleaned'!M663</f>
        <v>0</v>
      </c>
      <c r="H184">
        <f>'insurance final cleaned'!N663</f>
        <v>0</v>
      </c>
      <c r="I184">
        <f>'insurance final cleaned'!O663</f>
        <v>1</v>
      </c>
      <c r="J184">
        <f>'insurance final cleaned'!P663</f>
        <v>0.13247047623806396</v>
      </c>
      <c r="K184">
        <f>'insurance final cleaned'!Q663</f>
        <v>0</v>
      </c>
      <c r="L184">
        <f>'insurance final cleaned'!R663</f>
        <v>1</v>
      </c>
      <c r="M184">
        <f>'insurance final cleaned'!S663</f>
        <v>1</v>
      </c>
    </row>
    <row r="185" spans="1:13" x14ac:dyDescent="0.3">
      <c r="A185">
        <f>'insurance final cleaned'!J1140</f>
        <v>24915.22</v>
      </c>
      <c r="B185">
        <f>'insurance final cleaned'!B1140</f>
        <v>20</v>
      </c>
      <c r="C185">
        <f>'insurance final cleaned'!D1140</f>
        <v>28.2</v>
      </c>
      <c r="D185">
        <f>'insurance final cleaned'!G1140</f>
        <v>3</v>
      </c>
      <c r="E185">
        <f>'insurance final cleaned'!E1140</f>
        <v>107</v>
      </c>
      <c r="F185">
        <f>'insurance final cleaned'!L1140</f>
        <v>28.2</v>
      </c>
      <c r="G185">
        <f>'insurance final cleaned'!M1140</f>
        <v>0</v>
      </c>
      <c r="H185">
        <f>'insurance final cleaned'!N1140</f>
        <v>0</v>
      </c>
      <c r="I185">
        <f>'insurance final cleaned'!O1140</f>
        <v>1</v>
      </c>
      <c r="J185">
        <f>'insurance final cleaned'!P1140</f>
        <v>0.13321087663538789</v>
      </c>
      <c r="K185">
        <f>'insurance final cleaned'!Q1140</f>
        <v>1</v>
      </c>
      <c r="L185">
        <f>'insurance final cleaned'!R1140</f>
        <v>1</v>
      </c>
      <c r="M185">
        <f>'insurance final cleaned'!S1140</f>
        <v>0</v>
      </c>
    </row>
    <row r="186" spans="1:13" x14ac:dyDescent="0.3">
      <c r="A186">
        <f>'insurance final cleaned'!J1044</f>
        <v>18903.490000000002</v>
      </c>
      <c r="B186">
        <f>'insurance final cleaned'!B1044</f>
        <v>26</v>
      </c>
      <c r="C186">
        <f>'insurance final cleaned'!D1044</f>
        <v>32.4</v>
      </c>
      <c r="D186">
        <f>'insurance final cleaned'!G1044</f>
        <v>1</v>
      </c>
      <c r="E186">
        <f>'insurance final cleaned'!E1044</f>
        <v>81</v>
      </c>
      <c r="F186">
        <f>'insurance final cleaned'!L1044</f>
        <v>0</v>
      </c>
      <c r="G186">
        <f>'insurance final cleaned'!M1044</f>
        <v>0</v>
      </c>
      <c r="H186">
        <f>'insurance final cleaned'!N1044</f>
        <v>0</v>
      </c>
      <c r="I186">
        <f>'insurance final cleaned'!O1044</f>
        <v>0</v>
      </c>
      <c r="J186">
        <f>'insurance final cleaned'!P1044</f>
        <v>0.13586430505427727</v>
      </c>
      <c r="K186">
        <f>'insurance final cleaned'!Q1044</f>
        <v>0</v>
      </c>
      <c r="L186">
        <f>'insurance final cleaned'!R1044</f>
        <v>0</v>
      </c>
      <c r="M186">
        <f>'insurance final cleaned'!S1044</f>
        <v>1</v>
      </c>
    </row>
    <row r="187" spans="1:13" x14ac:dyDescent="0.3">
      <c r="A187">
        <f>'insurance final cleaned'!J1141</f>
        <v>25081.77</v>
      </c>
      <c r="B187">
        <f>'insurance final cleaned'!B1141</f>
        <v>35</v>
      </c>
      <c r="C187">
        <f>'insurance final cleaned'!D1141</f>
        <v>23.2</v>
      </c>
      <c r="D187">
        <f>'insurance final cleaned'!G1141</f>
        <v>0</v>
      </c>
      <c r="E187">
        <f>'insurance final cleaned'!E1141</f>
        <v>86</v>
      </c>
      <c r="F187">
        <f>'insurance final cleaned'!L1141</f>
        <v>0</v>
      </c>
      <c r="G187">
        <f>'insurance final cleaned'!M1141</f>
        <v>1</v>
      </c>
      <c r="H187">
        <f>'insurance final cleaned'!N1141</f>
        <v>0</v>
      </c>
      <c r="I187">
        <f>'insurance final cleaned'!O1141</f>
        <v>0</v>
      </c>
      <c r="J187">
        <f>'insurance final cleaned'!P1141</f>
        <v>0.13600150821642332</v>
      </c>
      <c r="K187">
        <f>'insurance final cleaned'!Q1141</f>
        <v>0</v>
      </c>
      <c r="L187">
        <f>'insurance final cleaned'!R1141</f>
        <v>0</v>
      </c>
      <c r="M187">
        <f>'insurance final cleaned'!S1141</f>
        <v>1</v>
      </c>
    </row>
    <row r="188" spans="1:13" x14ac:dyDescent="0.3">
      <c r="A188">
        <f>'insurance final cleaned'!J792</f>
        <v>11272.33</v>
      </c>
      <c r="B188">
        <f>'insurance final cleaned'!B792</f>
        <v>43</v>
      </c>
      <c r="C188">
        <f>'insurance final cleaned'!D792</f>
        <v>28.3</v>
      </c>
      <c r="D188">
        <f>'insurance final cleaned'!G792</f>
        <v>1</v>
      </c>
      <c r="E188">
        <f>'insurance final cleaned'!E792</f>
        <v>91</v>
      </c>
      <c r="F188">
        <f>'insurance final cleaned'!L792</f>
        <v>0</v>
      </c>
      <c r="G188">
        <f>'insurance final cleaned'!M792</f>
        <v>0</v>
      </c>
      <c r="H188">
        <f>'insurance final cleaned'!N792</f>
        <v>0</v>
      </c>
      <c r="I188">
        <f>'insurance final cleaned'!O792</f>
        <v>0</v>
      </c>
      <c r="J188">
        <f>'insurance final cleaned'!P792</f>
        <v>0.13609166425939778</v>
      </c>
      <c r="K188">
        <f>'insurance final cleaned'!Q792</f>
        <v>0</v>
      </c>
      <c r="L188">
        <f>'insurance final cleaned'!R792</f>
        <v>0</v>
      </c>
      <c r="M188">
        <f>'insurance final cleaned'!S792</f>
        <v>0</v>
      </c>
    </row>
    <row r="189" spans="1:13" x14ac:dyDescent="0.3">
      <c r="A189">
        <f>'insurance final cleaned'!J419</f>
        <v>5836.52</v>
      </c>
      <c r="B189">
        <f>'insurance final cleaned'!B419</f>
        <v>41</v>
      </c>
      <c r="C189">
        <f>'insurance final cleaned'!D419</f>
        <v>35.9</v>
      </c>
      <c r="D189">
        <f>'insurance final cleaned'!G419</f>
        <v>2</v>
      </c>
      <c r="E189">
        <f>'insurance final cleaned'!E419</f>
        <v>82</v>
      </c>
      <c r="F189">
        <f>'insurance final cleaned'!L419</f>
        <v>0</v>
      </c>
      <c r="G189">
        <f>'insurance final cleaned'!M419</f>
        <v>1</v>
      </c>
      <c r="H189">
        <f>'insurance final cleaned'!N419</f>
        <v>0</v>
      </c>
      <c r="I189">
        <f>'insurance final cleaned'!O419</f>
        <v>0</v>
      </c>
      <c r="J189">
        <f>'insurance final cleaned'!P419</f>
        <v>0.13813917208605897</v>
      </c>
      <c r="K189">
        <f>'insurance final cleaned'!Q419</f>
        <v>0</v>
      </c>
      <c r="L189">
        <f>'insurance final cleaned'!R419</f>
        <v>0</v>
      </c>
      <c r="M189">
        <f>'insurance final cleaned'!S419</f>
        <v>1</v>
      </c>
    </row>
    <row r="190" spans="1:13" x14ac:dyDescent="0.3">
      <c r="A190">
        <f>'insurance final cleaned'!J428</f>
        <v>5972.38</v>
      </c>
      <c r="B190">
        <f>'insurance final cleaned'!B428</f>
        <v>40</v>
      </c>
      <c r="C190">
        <f>'insurance final cleaned'!D428</f>
        <v>38.9</v>
      </c>
      <c r="D190">
        <f>'insurance final cleaned'!G428</f>
        <v>3</v>
      </c>
      <c r="E190">
        <f>'insurance final cleaned'!E428</f>
        <v>100</v>
      </c>
      <c r="F190">
        <f>'insurance final cleaned'!L428</f>
        <v>0</v>
      </c>
      <c r="G190">
        <f>'insurance final cleaned'!M428</f>
        <v>0</v>
      </c>
      <c r="H190">
        <f>'insurance final cleaned'!N428</f>
        <v>1</v>
      </c>
      <c r="I190">
        <f>'insurance final cleaned'!O428</f>
        <v>0</v>
      </c>
      <c r="J190">
        <f>'insurance final cleaned'!P428</f>
        <v>0.13819995567389565</v>
      </c>
      <c r="K190">
        <f>'insurance final cleaned'!Q428</f>
        <v>0</v>
      </c>
      <c r="L190">
        <f>'insurance final cleaned'!R428</f>
        <v>1</v>
      </c>
      <c r="M190">
        <f>'insurance final cleaned'!S428</f>
        <v>1</v>
      </c>
    </row>
    <row r="191" spans="1:13" x14ac:dyDescent="0.3">
      <c r="A191">
        <f>'insurance final cleaned'!J149</f>
        <v>2480.98</v>
      </c>
      <c r="B191">
        <f>'insurance final cleaned'!B149</f>
        <v>35</v>
      </c>
      <c r="C191">
        <f>'insurance final cleaned'!D149</f>
        <v>39.5</v>
      </c>
      <c r="D191">
        <f>'insurance final cleaned'!G149</f>
        <v>0</v>
      </c>
      <c r="E191">
        <f>'insurance final cleaned'!E149</f>
        <v>82</v>
      </c>
      <c r="F191">
        <f>'insurance final cleaned'!L149</f>
        <v>0</v>
      </c>
      <c r="G191">
        <f>'insurance final cleaned'!M149</f>
        <v>1</v>
      </c>
      <c r="H191">
        <f>'insurance final cleaned'!N149</f>
        <v>0</v>
      </c>
      <c r="I191">
        <f>'insurance final cleaned'!O149</f>
        <v>0</v>
      </c>
      <c r="J191">
        <f>'insurance final cleaned'!P149</f>
        <v>0.1386027243933865</v>
      </c>
      <c r="K191">
        <f>'insurance final cleaned'!Q149</f>
        <v>0</v>
      </c>
      <c r="L191">
        <f>'insurance final cleaned'!R149</f>
        <v>1</v>
      </c>
      <c r="M191">
        <f>'insurance final cleaned'!S149</f>
        <v>1</v>
      </c>
    </row>
    <row r="192" spans="1:13" x14ac:dyDescent="0.3">
      <c r="A192">
        <f>'insurance final cleaned'!J1020</f>
        <v>17496.310000000001</v>
      </c>
      <c r="B192">
        <f>'insurance final cleaned'!B1020</f>
        <v>45</v>
      </c>
      <c r="C192">
        <f>'insurance final cleaned'!D1020</f>
        <v>24.6</v>
      </c>
      <c r="D192">
        <f>'insurance final cleaned'!G1020</f>
        <v>0</v>
      </c>
      <c r="E192">
        <f>'insurance final cleaned'!E1020</f>
        <v>96</v>
      </c>
      <c r="F192">
        <f>'insurance final cleaned'!L1020</f>
        <v>24.6</v>
      </c>
      <c r="G192">
        <f>'insurance final cleaned'!M1020</f>
        <v>0</v>
      </c>
      <c r="H192">
        <f>'insurance final cleaned'!N1020</f>
        <v>1</v>
      </c>
      <c r="I192">
        <f>'insurance final cleaned'!O1020</f>
        <v>0</v>
      </c>
      <c r="J192">
        <f>'insurance final cleaned'!P1020</f>
        <v>0.13867281401816112</v>
      </c>
      <c r="K192">
        <f>'insurance final cleaned'!Q1020</f>
        <v>1</v>
      </c>
      <c r="L192">
        <f>'insurance final cleaned'!R1020</f>
        <v>1</v>
      </c>
      <c r="M192">
        <f>'insurance final cleaned'!S1020</f>
        <v>1</v>
      </c>
    </row>
    <row r="193" spans="1:13" x14ac:dyDescent="0.3">
      <c r="A193">
        <f>'insurance final cleaned'!J1258</f>
        <v>39727.61</v>
      </c>
      <c r="B193">
        <f>'insurance final cleaned'!B1258</f>
        <v>27</v>
      </c>
      <c r="C193">
        <f>'insurance final cleaned'!D1258</f>
        <v>30.9</v>
      </c>
      <c r="D193">
        <f>'insurance final cleaned'!G1258</f>
        <v>0</v>
      </c>
      <c r="E193">
        <f>'insurance final cleaned'!E1258</f>
        <v>139</v>
      </c>
      <c r="F193">
        <f>'insurance final cleaned'!L1258</f>
        <v>30.9</v>
      </c>
      <c r="G193">
        <f>'insurance final cleaned'!M1258</f>
        <v>0</v>
      </c>
      <c r="H193">
        <f>'insurance final cleaned'!N1258</f>
        <v>1</v>
      </c>
      <c r="I193">
        <f>'insurance final cleaned'!O1258</f>
        <v>0</v>
      </c>
      <c r="J193">
        <f>'insurance final cleaned'!P1258</f>
        <v>0.13944166778148515</v>
      </c>
      <c r="K193">
        <f>'insurance final cleaned'!Q1258</f>
        <v>1</v>
      </c>
      <c r="L193">
        <f>'insurance final cleaned'!R1258</f>
        <v>0</v>
      </c>
      <c r="M193">
        <f>'insurance final cleaned'!S1258</f>
        <v>0</v>
      </c>
    </row>
    <row r="194" spans="1:13" x14ac:dyDescent="0.3">
      <c r="A194">
        <f>'insurance final cleaned'!J592</f>
        <v>8252.2800000000007</v>
      </c>
      <c r="B194">
        <f>'insurance final cleaned'!B592</f>
        <v>38</v>
      </c>
      <c r="C194">
        <f>'insurance final cleaned'!D592</f>
        <v>23.4</v>
      </c>
      <c r="D194">
        <f>'insurance final cleaned'!G592</f>
        <v>3</v>
      </c>
      <c r="E194">
        <f>'insurance final cleaned'!E592</f>
        <v>96</v>
      </c>
      <c r="F194">
        <f>'insurance final cleaned'!L592</f>
        <v>0</v>
      </c>
      <c r="G194">
        <f>'insurance final cleaned'!M592</f>
        <v>0</v>
      </c>
      <c r="H194">
        <f>'insurance final cleaned'!N592</f>
        <v>0</v>
      </c>
      <c r="I194">
        <f>'insurance final cleaned'!O592</f>
        <v>0</v>
      </c>
      <c r="J194">
        <f>'insurance final cleaned'!P592</f>
        <v>0.14017203726905181</v>
      </c>
      <c r="K194">
        <f>'insurance final cleaned'!Q592</f>
        <v>0</v>
      </c>
      <c r="L194">
        <f>'insurance final cleaned'!R592</f>
        <v>1</v>
      </c>
      <c r="M194">
        <f>'insurance final cleaned'!S592</f>
        <v>1</v>
      </c>
    </row>
    <row r="195" spans="1:13" x14ac:dyDescent="0.3">
      <c r="A195">
        <f>'insurance final cleaned'!J745</f>
        <v>10560.49</v>
      </c>
      <c r="B195">
        <f>'insurance final cleaned'!B745</f>
        <v>42</v>
      </c>
      <c r="C195">
        <f>'insurance final cleaned'!D745</f>
        <v>33.299999999999997</v>
      </c>
      <c r="D195">
        <f>'insurance final cleaned'!G745</f>
        <v>3</v>
      </c>
      <c r="E195">
        <f>'insurance final cleaned'!E745</f>
        <v>101</v>
      </c>
      <c r="F195">
        <f>'insurance final cleaned'!L745</f>
        <v>0</v>
      </c>
      <c r="G195">
        <f>'insurance final cleaned'!M745</f>
        <v>1</v>
      </c>
      <c r="H195">
        <f>'insurance final cleaned'!N745</f>
        <v>0</v>
      </c>
      <c r="I195">
        <f>'insurance final cleaned'!O745</f>
        <v>0</v>
      </c>
      <c r="J195">
        <f>'insurance final cleaned'!P745</f>
        <v>0.14206094334203656</v>
      </c>
      <c r="K195">
        <f>'insurance final cleaned'!Q745</f>
        <v>0</v>
      </c>
      <c r="L195">
        <f>'insurance final cleaned'!R745</f>
        <v>1</v>
      </c>
      <c r="M195">
        <f>'insurance final cleaned'!S745</f>
        <v>0</v>
      </c>
    </row>
    <row r="196" spans="1:13" x14ac:dyDescent="0.3">
      <c r="A196">
        <f>'insurance final cleaned'!J250</f>
        <v>3732.63</v>
      </c>
      <c r="B196">
        <f>'insurance final cleaned'!B250</f>
        <v>35</v>
      </c>
      <c r="C196">
        <f>'insurance final cleaned'!D250</f>
        <v>17.3</v>
      </c>
      <c r="D196">
        <f>'insurance final cleaned'!G250</f>
        <v>0</v>
      </c>
      <c r="E196">
        <f>'insurance final cleaned'!E250</f>
        <v>82</v>
      </c>
      <c r="F196">
        <f>'insurance final cleaned'!L250</f>
        <v>0</v>
      </c>
      <c r="G196">
        <f>'insurance final cleaned'!M250</f>
        <v>0</v>
      </c>
      <c r="H196">
        <f>'insurance final cleaned'!N250</f>
        <v>0</v>
      </c>
      <c r="I196">
        <f>'insurance final cleaned'!O250</f>
        <v>0</v>
      </c>
      <c r="J196">
        <f>'insurance final cleaned'!P250</f>
        <v>0.14286399078148815</v>
      </c>
      <c r="K196">
        <f>'insurance final cleaned'!Q250</f>
        <v>0</v>
      </c>
      <c r="L196">
        <f>'insurance final cleaned'!R250</f>
        <v>1</v>
      </c>
      <c r="M196">
        <f>'insurance final cleaned'!S250</f>
        <v>1</v>
      </c>
    </row>
    <row r="197" spans="1:13" x14ac:dyDescent="0.3">
      <c r="A197">
        <f>'insurance final cleaned'!J602</f>
        <v>8347.16</v>
      </c>
      <c r="B197">
        <f>'insurance final cleaned'!B602</f>
        <v>48</v>
      </c>
      <c r="C197">
        <f>'insurance final cleaned'!D602</f>
        <v>38.200000000000003</v>
      </c>
      <c r="D197">
        <f>'insurance final cleaned'!G602</f>
        <v>2</v>
      </c>
      <c r="E197">
        <f>'insurance final cleaned'!E602</f>
        <v>81</v>
      </c>
      <c r="F197">
        <f>'insurance final cleaned'!L602</f>
        <v>0</v>
      </c>
      <c r="G197">
        <f>'insurance final cleaned'!M602</f>
        <v>1</v>
      </c>
      <c r="H197">
        <f>'insurance final cleaned'!N602</f>
        <v>0</v>
      </c>
      <c r="I197">
        <f>'insurance final cleaned'!O602</f>
        <v>0</v>
      </c>
      <c r="J197">
        <f>'insurance final cleaned'!P602</f>
        <v>0.14310717298499942</v>
      </c>
      <c r="K197">
        <f>'insurance final cleaned'!Q602</f>
        <v>0</v>
      </c>
      <c r="L197">
        <f>'insurance final cleaned'!R602</f>
        <v>1</v>
      </c>
      <c r="M197">
        <f>'insurance final cleaned'!S602</f>
        <v>0</v>
      </c>
    </row>
    <row r="198" spans="1:13" x14ac:dyDescent="0.3">
      <c r="A198">
        <f>'insurance final cleaned'!J469</f>
        <v>6474.01</v>
      </c>
      <c r="B198">
        <f>'insurance final cleaned'!B469</f>
        <v>59</v>
      </c>
      <c r="C198">
        <f>'insurance final cleaned'!D469</f>
        <v>37.9</v>
      </c>
      <c r="D198">
        <f>'insurance final cleaned'!G469</f>
        <v>0</v>
      </c>
      <c r="E198">
        <f>'insurance final cleaned'!E469</f>
        <v>91</v>
      </c>
      <c r="F198">
        <f>'insurance final cleaned'!L469</f>
        <v>0</v>
      </c>
      <c r="G198">
        <f>'insurance final cleaned'!M469</f>
        <v>0</v>
      </c>
      <c r="H198">
        <f>'insurance final cleaned'!N469</f>
        <v>1</v>
      </c>
      <c r="I198">
        <f>'insurance final cleaned'!O469</f>
        <v>0</v>
      </c>
      <c r="J198">
        <f>'insurance final cleaned'!P469</f>
        <v>0.14346504213610356</v>
      </c>
      <c r="K198">
        <f>'insurance final cleaned'!Q469</f>
        <v>0</v>
      </c>
      <c r="L198">
        <f>'insurance final cleaned'!R469</f>
        <v>0</v>
      </c>
      <c r="M198">
        <f>'insurance final cleaned'!S469</f>
        <v>1</v>
      </c>
    </row>
    <row r="199" spans="1:13" x14ac:dyDescent="0.3">
      <c r="A199">
        <f>'insurance final cleaned'!J1053</f>
        <v>19214.71</v>
      </c>
      <c r="B199">
        <f>'insurance final cleaned'!B1053</f>
        <v>33</v>
      </c>
      <c r="C199">
        <f>'insurance final cleaned'!D1053</f>
        <v>36.200000000000003</v>
      </c>
      <c r="D199">
        <f>'insurance final cleaned'!G1053</f>
        <v>0</v>
      </c>
      <c r="E199">
        <f>'insurance final cleaned'!E1053</f>
        <v>100</v>
      </c>
      <c r="F199">
        <f>'insurance final cleaned'!L1053</f>
        <v>0</v>
      </c>
      <c r="G199">
        <f>'insurance final cleaned'!M1053</f>
        <v>1</v>
      </c>
      <c r="H199">
        <f>'insurance final cleaned'!N1053</f>
        <v>0</v>
      </c>
      <c r="I199">
        <f>'insurance final cleaned'!O1053</f>
        <v>0</v>
      </c>
      <c r="J199">
        <f>'insurance final cleaned'!P1053</f>
        <v>0.14412234154221115</v>
      </c>
      <c r="K199">
        <f>'insurance final cleaned'!Q1053</f>
        <v>0</v>
      </c>
      <c r="L199">
        <f>'insurance final cleaned'!R1053</f>
        <v>0</v>
      </c>
      <c r="M199">
        <f>'insurance final cleaned'!S1053</f>
        <v>0</v>
      </c>
    </row>
    <row r="200" spans="1:13" x14ac:dyDescent="0.3">
      <c r="A200">
        <f>'insurance final cleaned'!J192</f>
        <v>2927.06</v>
      </c>
      <c r="B200">
        <f>'insurance final cleaned'!B192</f>
        <v>28</v>
      </c>
      <c r="C200">
        <f>'insurance final cleaned'!D192</f>
        <v>46.5</v>
      </c>
      <c r="D200">
        <f>'insurance final cleaned'!G192</f>
        <v>1</v>
      </c>
      <c r="E200">
        <f>'insurance final cleaned'!E192</f>
        <v>94</v>
      </c>
      <c r="F200">
        <f>'insurance final cleaned'!L192</f>
        <v>0</v>
      </c>
      <c r="G200">
        <f>'insurance final cleaned'!M192</f>
        <v>1</v>
      </c>
      <c r="H200">
        <f>'insurance final cleaned'!N192</f>
        <v>0</v>
      </c>
      <c r="I200">
        <f>'insurance final cleaned'!O192</f>
        <v>0</v>
      </c>
      <c r="J200">
        <f>'insurance final cleaned'!P192</f>
        <v>0.14521830258803192</v>
      </c>
      <c r="K200">
        <f>'insurance final cleaned'!Q192</f>
        <v>0</v>
      </c>
      <c r="L200">
        <f>'insurance final cleaned'!R192</f>
        <v>0</v>
      </c>
      <c r="M200">
        <f>'insurance final cleaned'!S192</f>
        <v>0</v>
      </c>
    </row>
    <row r="201" spans="1:13" x14ac:dyDescent="0.3">
      <c r="A201">
        <f>'insurance final cleaned'!J1091</f>
        <v>21344.85</v>
      </c>
      <c r="B201">
        <f>'insurance final cleaned'!B1091</f>
        <v>45</v>
      </c>
      <c r="C201">
        <f>'insurance final cleaned'!D1091</f>
        <v>30.1</v>
      </c>
      <c r="D201">
        <f>'insurance final cleaned'!G1091</f>
        <v>0</v>
      </c>
      <c r="E201">
        <f>'insurance final cleaned'!E1091</f>
        <v>83</v>
      </c>
      <c r="F201">
        <f>'insurance final cleaned'!L1091</f>
        <v>0</v>
      </c>
      <c r="G201">
        <f>'insurance final cleaned'!M1091</f>
        <v>0</v>
      </c>
      <c r="H201">
        <f>'insurance final cleaned'!N1091</f>
        <v>0</v>
      </c>
      <c r="I201">
        <f>'insurance final cleaned'!O1091</f>
        <v>0</v>
      </c>
      <c r="J201">
        <f>'insurance final cleaned'!P1091</f>
        <v>0.14556114019787214</v>
      </c>
      <c r="K201">
        <f>'insurance final cleaned'!Q1091</f>
        <v>0</v>
      </c>
      <c r="L201">
        <f>'insurance final cleaned'!R1091</f>
        <v>1</v>
      </c>
      <c r="M201">
        <f>'insurance final cleaned'!S1091</f>
        <v>1</v>
      </c>
    </row>
    <row r="202" spans="1:13" x14ac:dyDescent="0.3">
      <c r="A202">
        <f>'insurance final cleaned'!J822</f>
        <v>11658.12</v>
      </c>
      <c r="B202">
        <f>'insurance final cleaned'!B822</f>
        <v>43</v>
      </c>
      <c r="C202">
        <f>'insurance final cleaned'!D822</f>
        <v>28.6</v>
      </c>
      <c r="D202">
        <f>'insurance final cleaned'!G822</f>
        <v>0</v>
      </c>
      <c r="E202">
        <f>'insurance final cleaned'!E822</f>
        <v>110</v>
      </c>
      <c r="F202">
        <f>'insurance final cleaned'!L822</f>
        <v>0</v>
      </c>
      <c r="G202">
        <f>'insurance final cleaned'!M822</f>
        <v>0</v>
      </c>
      <c r="H202">
        <f>'insurance final cleaned'!N822</f>
        <v>0</v>
      </c>
      <c r="I202">
        <f>'insurance final cleaned'!O822</f>
        <v>0</v>
      </c>
      <c r="J202">
        <f>'insurance final cleaned'!P822</f>
        <v>0.14628717128333468</v>
      </c>
      <c r="K202">
        <f>'insurance final cleaned'!Q822</f>
        <v>0</v>
      </c>
      <c r="L202">
        <f>'insurance final cleaned'!R822</f>
        <v>0</v>
      </c>
      <c r="M202">
        <f>'insurance final cleaned'!S822</f>
        <v>1</v>
      </c>
    </row>
    <row r="203" spans="1:13" x14ac:dyDescent="0.3">
      <c r="A203">
        <f>'insurance final cleaned'!J1094</f>
        <v>21595.38</v>
      </c>
      <c r="B203">
        <f>'insurance final cleaned'!B1094</f>
        <v>50</v>
      </c>
      <c r="C203">
        <f>'insurance final cleaned'!D1094</f>
        <v>18.7</v>
      </c>
      <c r="D203">
        <f>'insurance final cleaned'!G1094</f>
        <v>0</v>
      </c>
      <c r="E203">
        <f>'insurance final cleaned'!E1094</f>
        <v>89</v>
      </c>
      <c r="F203">
        <f>'insurance final cleaned'!L1094</f>
        <v>0</v>
      </c>
      <c r="G203">
        <f>'insurance final cleaned'!M1094</f>
        <v>0</v>
      </c>
      <c r="H203">
        <f>'insurance final cleaned'!N1094</f>
        <v>0</v>
      </c>
      <c r="I203">
        <f>'insurance final cleaned'!O1094</f>
        <v>1</v>
      </c>
      <c r="J203">
        <f>'insurance final cleaned'!P1094</f>
        <v>0.14677266855160753</v>
      </c>
      <c r="K203">
        <f>'insurance final cleaned'!Q1094</f>
        <v>0</v>
      </c>
      <c r="L203">
        <f>'insurance final cleaned'!R1094</f>
        <v>0</v>
      </c>
      <c r="M203">
        <f>'insurance final cleaned'!S1094</f>
        <v>0</v>
      </c>
    </row>
    <row r="204" spans="1:13" x14ac:dyDescent="0.3">
      <c r="A204">
        <f>'insurance final cleaned'!J316</f>
        <v>4500.34</v>
      </c>
      <c r="B204">
        <f>'insurance final cleaned'!B316</f>
        <v>36</v>
      </c>
      <c r="C204">
        <f>'insurance final cleaned'!D316</f>
        <v>21.4</v>
      </c>
      <c r="D204">
        <f>'insurance final cleaned'!G316</f>
        <v>0</v>
      </c>
      <c r="E204">
        <f>'insurance final cleaned'!E316</f>
        <v>89</v>
      </c>
      <c r="F204">
        <f>'insurance final cleaned'!L316</f>
        <v>0</v>
      </c>
      <c r="G204">
        <f>'insurance final cleaned'!M316</f>
        <v>1</v>
      </c>
      <c r="H204">
        <f>'insurance final cleaned'!N316</f>
        <v>0</v>
      </c>
      <c r="I204">
        <f>'insurance final cleaned'!O316</f>
        <v>0</v>
      </c>
      <c r="J204">
        <f>'insurance final cleaned'!P316</f>
        <v>0.14686094420276841</v>
      </c>
      <c r="K204">
        <f>'insurance final cleaned'!Q316</f>
        <v>0</v>
      </c>
      <c r="L204">
        <f>'insurance final cleaned'!R316</f>
        <v>0</v>
      </c>
      <c r="M204">
        <f>'insurance final cleaned'!S316</f>
        <v>0</v>
      </c>
    </row>
    <row r="205" spans="1:13" x14ac:dyDescent="0.3">
      <c r="A205">
        <f>'insurance final cleaned'!J82</f>
        <v>1880.49</v>
      </c>
      <c r="B205">
        <f>'insurance final cleaned'!B82</f>
        <v>26</v>
      </c>
      <c r="C205">
        <f>'insurance final cleaned'!D82</f>
        <v>33.299999999999997</v>
      </c>
      <c r="D205">
        <f>'insurance final cleaned'!G82</f>
        <v>0</v>
      </c>
      <c r="E205">
        <f>'insurance final cleaned'!E82</f>
        <v>83</v>
      </c>
      <c r="F205">
        <f>'insurance final cleaned'!L82</f>
        <v>0</v>
      </c>
      <c r="G205">
        <f>'insurance final cleaned'!M82</f>
        <v>0</v>
      </c>
      <c r="H205">
        <f>'insurance final cleaned'!N82</f>
        <v>1</v>
      </c>
      <c r="I205">
        <f>'insurance final cleaned'!O82</f>
        <v>0</v>
      </c>
      <c r="J205">
        <f>'insurance final cleaned'!P82</f>
        <v>0.1481442643971318</v>
      </c>
      <c r="K205">
        <f>'insurance final cleaned'!Q82</f>
        <v>0</v>
      </c>
      <c r="L205">
        <f>'insurance final cleaned'!R82</f>
        <v>1</v>
      </c>
      <c r="M205">
        <f>'insurance final cleaned'!S82</f>
        <v>1</v>
      </c>
    </row>
    <row r="206" spans="1:13" x14ac:dyDescent="0.3">
      <c r="A206">
        <f>'insurance final cleaned'!J909</f>
        <v>13041.92</v>
      </c>
      <c r="B206">
        <f>'insurance final cleaned'!B909</f>
        <v>35</v>
      </c>
      <c r="C206">
        <f>'insurance final cleaned'!D909</f>
        <v>28.2</v>
      </c>
      <c r="D206">
        <f>'insurance final cleaned'!G909</f>
        <v>0</v>
      </c>
      <c r="E206">
        <f>'insurance final cleaned'!E909</f>
        <v>105</v>
      </c>
      <c r="F206">
        <f>'insurance final cleaned'!L909</f>
        <v>0</v>
      </c>
      <c r="G206">
        <f>'insurance final cleaned'!M909</f>
        <v>0</v>
      </c>
      <c r="H206">
        <f>'insurance final cleaned'!N909</f>
        <v>1</v>
      </c>
      <c r="I206">
        <f>'insurance final cleaned'!O909</f>
        <v>0</v>
      </c>
      <c r="J206">
        <f>'insurance final cleaned'!P909</f>
        <v>0.15002031553500716</v>
      </c>
      <c r="K206">
        <f>'insurance final cleaned'!Q909</f>
        <v>0</v>
      </c>
      <c r="L206">
        <f>'insurance final cleaned'!R909</f>
        <v>1</v>
      </c>
      <c r="M206">
        <f>'insurance final cleaned'!S909</f>
        <v>1</v>
      </c>
    </row>
    <row r="207" spans="1:13" x14ac:dyDescent="0.3">
      <c r="A207">
        <f>'insurance final cleaned'!J1086</f>
        <v>21098.55</v>
      </c>
      <c r="B207">
        <f>'insurance final cleaned'!B1086</f>
        <v>43</v>
      </c>
      <c r="C207">
        <f>'insurance final cleaned'!D1086</f>
        <v>22.9</v>
      </c>
      <c r="D207">
        <f>'insurance final cleaned'!G1086</f>
        <v>2</v>
      </c>
      <c r="E207">
        <f>'insurance final cleaned'!E1086</f>
        <v>106</v>
      </c>
      <c r="F207">
        <f>'insurance final cleaned'!L1086</f>
        <v>22.9</v>
      </c>
      <c r="G207">
        <f>'insurance final cleaned'!M1086</f>
        <v>0</v>
      </c>
      <c r="H207">
        <f>'insurance final cleaned'!N1086</f>
        <v>0</v>
      </c>
      <c r="I207">
        <f>'insurance final cleaned'!O1086</f>
        <v>1</v>
      </c>
      <c r="J207">
        <f>'insurance final cleaned'!P1086</f>
        <v>0.15169401135517802</v>
      </c>
      <c r="K207">
        <f>'insurance final cleaned'!Q1086</f>
        <v>1</v>
      </c>
      <c r="L207">
        <f>'insurance final cleaned'!R1086</f>
        <v>1</v>
      </c>
      <c r="M207">
        <f>'insurance final cleaned'!S1086</f>
        <v>0</v>
      </c>
    </row>
    <row r="208" spans="1:13" x14ac:dyDescent="0.3">
      <c r="A208">
        <f>'insurance final cleaned'!J1121</f>
        <v>23568.27</v>
      </c>
      <c r="B208">
        <f>'insurance final cleaned'!B1121</f>
        <v>44</v>
      </c>
      <c r="C208">
        <f>'insurance final cleaned'!D1121</f>
        <v>28</v>
      </c>
      <c r="D208">
        <f>'insurance final cleaned'!G1121</f>
        <v>1</v>
      </c>
      <c r="E208">
        <f>'insurance final cleaned'!E1121</f>
        <v>93</v>
      </c>
      <c r="F208">
        <f>'insurance final cleaned'!L1121</f>
        <v>28</v>
      </c>
      <c r="G208">
        <f>'insurance final cleaned'!M1121</f>
        <v>0</v>
      </c>
      <c r="H208">
        <f>'insurance final cleaned'!N1121</f>
        <v>1</v>
      </c>
      <c r="I208">
        <f>'insurance final cleaned'!O1121</f>
        <v>0</v>
      </c>
      <c r="J208">
        <f>'insurance final cleaned'!P1121</f>
        <v>0.15211172937565709</v>
      </c>
      <c r="K208">
        <f>'insurance final cleaned'!Q1121</f>
        <v>1</v>
      </c>
      <c r="L208">
        <f>'insurance final cleaned'!R1121</f>
        <v>0</v>
      </c>
      <c r="M208">
        <f>'insurance final cleaned'!S1121</f>
        <v>0</v>
      </c>
    </row>
    <row r="209" spans="1:13" x14ac:dyDescent="0.3">
      <c r="A209">
        <f>'insurance final cleaned'!J1322</f>
        <v>47462.89</v>
      </c>
      <c r="B209">
        <f>'insurance final cleaned'!B1322</f>
        <v>19</v>
      </c>
      <c r="C209">
        <f>'insurance final cleaned'!D1322</f>
        <v>42.9</v>
      </c>
      <c r="D209">
        <f>'insurance final cleaned'!G1322</f>
        <v>2</v>
      </c>
      <c r="E209">
        <f>'insurance final cleaned'!E1322</f>
        <v>104</v>
      </c>
      <c r="F209">
        <f>'insurance final cleaned'!L1322</f>
        <v>42.9</v>
      </c>
      <c r="G209">
        <f>'insurance final cleaned'!M1322</f>
        <v>1</v>
      </c>
      <c r="H209">
        <f>'insurance final cleaned'!N1322</f>
        <v>0</v>
      </c>
      <c r="I209">
        <f>'insurance final cleaned'!O1322</f>
        <v>0</v>
      </c>
      <c r="J209">
        <f>'insurance final cleaned'!P1322</f>
        <v>0.15355725583997715</v>
      </c>
      <c r="K209">
        <f>'insurance final cleaned'!Q1322</f>
        <v>1</v>
      </c>
      <c r="L209">
        <f>'insurance final cleaned'!R1322</f>
        <v>1</v>
      </c>
      <c r="M209">
        <f>'insurance final cleaned'!S1322</f>
        <v>0</v>
      </c>
    </row>
    <row r="210" spans="1:13" x14ac:dyDescent="0.3">
      <c r="A210">
        <f>'insurance final cleaned'!J396</f>
        <v>5400.98</v>
      </c>
      <c r="B210">
        <f>'insurance final cleaned'!B396</f>
        <v>29</v>
      </c>
      <c r="C210">
        <f>'insurance final cleaned'!D396</f>
        <v>40.200000000000003</v>
      </c>
      <c r="D210">
        <f>'insurance final cleaned'!G396</f>
        <v>0</v>
      </c>
      <c r="E210">
        <f>'insurance final cleaned'!E396</f>
        <v>85</v>
      </c>
      <c r="F210">
        <f>'insurance final cleaned'!L396</f>
        <v>0</v>
      </c>
      <c r="G210">
        <f>'insurance final cleaned'!M396</f>
        <v>1</v>
      </c>
      <c r="H210">
        <f>'insurance final cleaned'!N396</f>
        <v>0</v>
      </c>
      <c r="I210">
        <f>'insurance final cleaned'!O396</f>
        <v>0</v>
      </c>
      <c r="J210">
        <f>'insurance final cleaned'!P396</f>
        <v>0.15421929542071056</v>
      </c>
      <c r="K210">
        <f>'insurance final cleaned'!Q396</f>
        <v>0</v>
      </c>
      <c r="L210">
        <f>'insurance final cleaned'!R396</f>
        <v>1</v>
      </c>
      <c r="M210">
        <f>'insurance final cleaned'!S396</f>
        <v>1</v>
      </c>
    </row>
    <row r="211" spans="1:13" x14ac:dyDescent="0.3">
      <c r="A211">
        <f>'insurance final cleaned'!J513</f>
        <v>7147.11</v>
      </c>
      <c r="B211">
        <f>'insurance final cleaned'!B513</f>
        <v>19</v>
      </c>
      <c r="C211">
        <f>'insurance final cleaned'!D513</f>
        <v>22.3</v>
      </c>
      <c r="D211">
        <f>'insurance final cleaned'!G513</f>
        <v>0</v>
      </c>
      <c r="E211">
        <f>'insurance final cleaned'!E513</f>
        <v>81</v>
      </c>
      <c r="F211">
        <f>'insurance final cleaned'!L513</f>
        <v>0</v>
      </c>
      <c r="G211">
        <f>'insurance final cleaned'!M513</f>
        <v>0</v>
      </c>
      <c r="H211">
        <f>'insurance final cleaned'!N513</f>
        <v>1</v>
      </c>
      <c r="I211">
        <f>'insurance final cleaned'!O513</f>
        <v>0</v>
      </c>
      <c r="J211">
        <f>'insurance final cleaned'!P513</f>
        <v>0.15435781839716989</v>
      </c>
      <c r="K211">
        <f>'insurance final cleaned'!Q513</f>
        <v>0</v>
      </c>
      <c r="L211">
        <f>'insurance final cleaned'!R513</f>
        <v>0</v>
      </c>
      <c r="M211">
        <f>'insurance final cleaned'!S513</f>
        <v>0</v>
      </c>
    </row>
    <row r="212" spans="1:13" x14ac:dyDescent="0.3">
      <c r="A212">
        <f>'insurance final cleaned'!J45</f>
        <v>1639.56</v>
      </c>
      <c r="B212">
        <f>'insurance final cleaned'!B45</f>
        <v>44</v>
      </c>
      <c r="C212">
        <f>'insurance final cleaned'!D45</f>
        <v>30.6</v>
      </c>
      <c r="D212">
        <f>'insurance final cleaned'!G45</f>
        <v>0</v>
      </c>
      <c r="E212">
        <f>'insurance final cleaned'!E45</f>
        <v>82</v>
      </c>
      <c r="F212">
        <f>'insurance final cleaned'!L45</f>
        <v>0</v>
      </c>
      <c r="G212">
        <f>'insurance final cleaned'!M45</f>
        <v>0</v>
      </c>
      <c r="H212">
        <f>'insurance final cleaned'!N45</f>
        <v>0</v>
      </c>
      <c r="I212">
        <f>'insurance final cleaned'!O45</f>
        <v>1</v>
      </c>
      <c r="J212">
        <f>'insurance final cleaned'!P45</f>
        <v>0.15481899971970836</v>
      </c>
      <c r="K212">
        <f>'insurance final cleaned'!Q45</f>
        <v>0</v>
      </c>
      <c r="L212">
        <f>'insurance final cleaned'!R45</f>
        <v>0</v>
      </c>
      <c r="M212">
        <f>'insurance final cleaned'!S45</f>
        <v>0</v>
      </c>
    </row>
    <row r="213" spans="1:13" x14ac:dyDescent="0.3">
      <c r="A213">
        <f>'insurance final cleaned'!J850</f>
        <v>12029.29</v>
      </c>
      <c r="B213">
        <f>'insurance final cleaned'!B850</f>
        <v>42</v>
      </c>
      <c r="C213">
        <f>'insurance final cleaned'!D850</f>
        <v>22.2</v>
      </c>
      <c r="D213">
        <f>'insurance final cleaned'!G850</f>
        <v>0</v>
      </c>
      <c r="E213">
        <f>'insurance final cleaned'!E850</f>
        <v>99</v>
      </c>
      <c r="F213">
        <f>'insurance final cleaned'!L850</f>
        <v>0</v>
      </c>
      <c r="G213">
        <f>'insurance final cleaned'!M850</f>
        <v>0</v>
      </c>
      <c r="H213">
        <f>'insurance final cleaned'!N850</f>
        <v>0</v>
      </c>
      <c r="I213">
        <f>'insurance final cleaned'!O850</f>
        <v>0</v>
      </c>
      <c r="J213">
        <f>'insurance final cleaned'!P850</f>
        <v>0.15631290630435757</v>
      </c>
      <c r="K213">
        <f>'insurance final cleaned'!Q850</f>
        <v>0</v>
      </c>
      <c r="L213">
        <f>'insurance final cleaned'!R850</f>
        <v>1</v>
      </c>
      <c r="M213">
        <f>'insurance final cleaned'!S850</f>
        <v>1</v>
      </c>
    </row>
    <row r="214" spans="1:13" x14ac:dyDescent="0.3">
      <c r="A214">
        <f>'insurance final cleaned'!J882</f>
        <v>12592.53</v>
      </c>
      <c r="B214">
        <f>'insurance final cleaned'!B882</f>
        <v>28</v>
      </c>
      <c r="C214">
        <f>'insurance final cleaned'!D882</f>
        <v>46.8</v>
      </c>
      <c r="D214">
        <f>'insurance final cleaned'!G882</f>
        <v>5</v>
      </c>
      <c r="E214">
        <f>'insurance final cleaned'!E882</f>
        <v>106</v>
      </c>
      <c r="F214">
        <f>'insurance final cleaned'!L882</f>
        <v>0</v>
      </c>
      <c r="G214">
        <f>'insurance final cleaned'!M882</f>
        <v>1</v>
      </c>
      <c r="H214">
        <f>'insurance final cleaned'!N882</f>
        <v>0</v>
      </c>
      <c r="I214">
        <f>'insurance final cleaned'!O882</f>
        <v>0</v>
      </c>
      <c r="J214">
        <f>'insurance final cleaned'!P882</f>
        <v>0.15651143077941521</v>
      </c>
      <c r="K214">
        <f>'insurance final cleaned'!Q882</f>
        <v>0</v>
      </c>
      <c r="L214">
        <f>'insurance final cleaned'!R882</f>
        <v>0</v>
      </c>
      <c r="M214">
        <f>'insurance final cleaned'!S882</f>
        <v>1</v>
      </c>
    </row>
    <row r="215" spans="1:13" x14ac:dyDescent="0.3">
      <c r="A215">
        <f>'insurance final cleaned'!J1097</f>
        <v>21771.34</v>
      </c>
      <c r="B215">
        <f>'insurance final cleaned'!B1097</f>
        <v>38</v>
      </c>
      <c r="C215">
        <f>'insurance final cleaned'!D1097</f>
        <v>25.3</v>
      </c>
      <c r="D215">
        <f>'insurance final cleaned'!G1097</f>
        <v>1</v>
      </c>
      <c r="E215">
        <f>'insurance final cleaned'!E1097</f>
        <v>104</v>
      </c>
      <c r="F215">
        <f>'insurance final cleaned'!L1097</f>
        <v>25.3</v>
      </c>
      <c r="G215">
        <f>'insurance final cleaned'!M1097</f>
        <v>0</v>
      </c>
      <c r="H215">
        <f>'insurance final cleaned'!N1097</f>
        <v>0</v>
      </c>
      <c r="I215">
        <f>'insurance final cleaned'!O1097</f>
        <v>0</v>
      </c>
      <c r="J215">
        <f>'insurance final cleaned'!P1097</f>
        <v>0.15703099883183713</v>
      </c>
      <c r="K215">
        <f>'insurance final cleaned'!Q1097</f>
        <v>1</v>
      </c>
      <c r="L215">
        <f>'insurance final cleaned'!R1097</f>
        <v>1</v>
      </c>
      <c r="M215">
        <f>'insurance final cleaned'!S1097</f>
        <v>1</v>
      </c>
    </row>
    <row r="216" spans="1:13" x14ac:dyDescent="0.3">
      <c r="A216">
        <f>'insurance final cleaned'!J161</f>
        <v>2632.99</v>
      </c>
      <c r="B216">
        <f>'insurance final cleaned'!B161</f>
        <v>30</v>
      </c>
      <c r="C216">
        <f>'insurance final cleaned'!D161</f>
        <v>30.3</v>
      </c>
      <c r="D216">
        <f>'insurance final cleaned'!G161</f>
        <v>0</v>
      </c>
      <c r="E216">
        <f>'insurance final cleaned'!E161</f>
        <v>94</v>
      </c>
      <c r="F216">
        <f>'insurance final cleaned'!L161</f>
        <v>0</v>
      </c>
      <c r="G216">
        <f>'insurance final cleaned'!M161</f>
        <v>0</v>
      </c>
      <c r="H216">
        <f>'insurance final cleaned'!N161</f>
        <v>1</v>
      </c>
      <c r="I216">
        <f>'insurance final cleaned'!O161</f>
        <v>0</v>
      </c>
      <c r="J216">
        <f>'insurance final cleaned'!P161</f>
        <v>0.15774805609800302</v>
      </c>
      <c r="K216">
        <f>'insurance final cleaned'!Q161</f>
        <v>0</v>
      </c>
      <c r="L216">
        <f>'insurance final cleaned'!R161</f>
        <v>1</v>
      </c>
      <c r="M216">
        <f>'insurance final cleaned'!S161</f>
        <v>1</v>
      </c>
    </row>
    <row r="217" spans="1:13" x14ac:dyDescent="0.3">
      <c r="A217">
        <f>'insurance final cleaned'!J108</f>
        <v>2136.88</v>
      </c>
      <c r="B217">
        <f>'insurance final cleaned'!B108</f>
        <v>42</v>
      </c>
      <c r="C217">
        <f>'insurance final cleaned'!D108</f>
        <v>36.6</v>
      </c>
      <c r="D217">
        <f>'insurance final cleaned'!G108</f>
        <v>0</v>
      </c>
      <c r="E217">
        <f>'insurance final cleaned'!E108</f>
        <v>90</v>
      </c>
      <c r="F217">
        <f>'insurance final cleaned'!L108</f>
        <v>0</v>
      </c>
      <c r="G217">
        <f>'insurance final cleaned'!M108</f>
        <v>0</v>
      </c>
      <c r="H217">
        <f>'insurance final cleaned'!N108</f>
        <v>0</v>
      </c>
      <c r="I217">
        <f>'insurance final cleaned'!O108</f>
        <v>1</v>
      </c>
      <c r="J217">
        <f>'insurance final cleaned'!P108</f>
        <v>0.15860751864286726</v>
      </c>
      <c r="K217">
        <f>'insurance final cleaned'!Q108</f>
        <v>0</v>
      </c>
      <c r="L217">
        <f>'insurance final cleaned'!R108</f>
        <v>0</v>
      </c>
      <c r="M217">
        <f>'insurance final cleaned'!S108</f>
        <v>1</v>
      </c>
    </row>
    <row r="218" spans="1:13" x14ac:dyDescent="0.3">
      <c r="A218">
        <f>'insurance final cleaned'!J935</f>
        <v>13607.37</v>
      </c>
      <c r="B218">
        <f>'insurance final cleaned'!B935</f>
        <v>28</v>
      </c>
      <c r="C218">
        <f>'insurance final cleaned'!D935</f>
        <v>31.8</v>
      </c>
      <c r="D218">
        <f>'insurance final cleaned'!G935</f>
        <v>2</v>
      </c>
      <c r="E218">
        <f>'insurance final cleaned'!E935</f>
        <v>110</v>
      </c>
      <c r="F218">
        <f>'insurance final cleaned'!L935</f>
        <v>0</v>
      </c>
      <c r="G218">
        <f>'insurance final cleaned'!M935</f>
        <v>0</v>
      </c>
      <c r="H218">
        <f>'insurance final cleaned'!N935</f>
        <v>0</v>
      </c>
      <c r="I218">
        <f>'insurance final cleaned'!O935</f>
        <v>0</v>
      </c>
      <c r="J218">
        <f>'insurance final cleaned'!P935</f>
        <v>0.15893845700649212</v>
      </c>
      <c r="K218">
        <f>'insurance final cleaned'!Q935</f>
        <v>0</v>
      </c>
      <c r="L218">
        <f>'insurance final cleaned'!R935</f>
        <v>1</v>
      </c>
      <c r="M218">
        <f>'insurance final cleaned'!S935</f>
        <v>1</v>
      </c>
    </row>
    <row r="219" spans="1:13" x14ac:dyDescent="0.3">
      <c r="A219">
        <f>'insurance final cleaned'!J189</f>
        <v>2902.91</v>
      </c>
      <c r="B219">
        <f>'insurance final cleaned'!B189</f>
        <v>20</v>
      </c>
      <c r="C219">
        <f>'insurance final cleaned'!D189</f>
        <v>29.2</v>
      </c>
      <c r="D219">
        <f>'insurance final cleaned'!G189</f>
        <v>1</v>
      </c>
      <c r="E219">
        <f>'insurance final cleaned'!E189</f>
        <v>95</v>
      </c>
      <c r="F219">
        <f>'insurance final cleaned'!L189</f>
        <v>0</v>
      </c>
      <c r="G219">
        <f>'insurance final cleaned'!M189</f>
        <v>1</v>
      </c>
      <c r="H219">
        <f>'insurance final cleaned'!N189</f>
        <v>0</v>
      </c>
      <c r="I219">
        <f>'insurance final cleaned'!O189</f>
        <v>0</v>
      </c>
      <c r="J219">
        <f>'insurance final cleaned'!P189</f>
        <v>0.15927533919089687</v>
      </c>
      <c r="K219">
        <f>'insurance final cleaned'!Q189</f>
        <v>0</v>
      </c>
      <c r="L219">
        <f>'insurance final cleaned'!R189</f>
        <v>0</v>
      </c>
      <c r="M219">
        <f>'insurance final cleaned'!S189</f>
        <v>0</v>
      </c>
    </row>
    <row r="220" spans="1:13" x14ac:dyDescent="0.3">
      <c r="A220">
        <f>'insurance final cleaned'!J768</f>
        <v>10928.85</v>
      </c>
      <c r="B220">
        <f>'insurance final cleaned'!B768</f>
        <v>51</v>
      </c>
      <c r="C220">
        <f>'insurance final cleaned'!D768</f>
        <v>31.9</v>
      </c>
      <c r="D220">
        <f>'insurance final cleaned'!G768</f>
        <v>1</v>
      </c>
      <c r="E220">
        <f>'insurance final cleaned'!E768</f>
        <v>102</v>
      </c>
      <c r="F220">
        <f>'insurance final cleaned'!L768</f>
        <v>0</v>
      </c>
      <c r="G220">
        <f>'insurance final cleaned'!M768</f>
        <v>1</v>
      </c>
      <c r="H220">
        <f>'insurance final cleaned'!N768</f>
        <v>0</v>
      </c>
      <c r="I220">
        <f>'insurance final cleaned'!O768</f>
        <v>0</v>
      </c>
      <c r="J220">
        <f>'insurance final cleaned'!P768</f>
        <v>0.15939871765362457</v>
      </c>
      <c r="K220">
        <f>'insurance final cleaned'!Q768</f>
        <v>0</v>
      </c>
      <c r="L220">
        <f>'insurance final cleaned'!R768</f>
        <v>1</v>
      </c>
      <c r="M220">
        <f>'insurance final cleaned'!S768</f>
        <v>1</v>
      </c>
    </row>
    <row r="221" spans="1:13" x14ac:dyDescent="0.3">
      <c r="A221">
        <f>'insurance final cleaned'!J653</f>
        <v>9058.73</v>
      </c>
      <c r="B221">
        <f>'insurance final cleaned'!B653</f>
        <v>22</v>
      </c>
      <c r="C221">
        <f>'insurance final cleaned'!D653</f>
        <v>44.8</v>
      </c>
      <c r="D221">
        <f>'insurance final cleaned'!G653</f>
        <v>1</v>
      </c>
      <c r="E221">
        <f>'insurance final cleaned'!E653</f>
        <v>92</v>
      </c>
      <c r="F221">
        <f>'insurance final cleaned'!L653</f>
        <v>0</v>
      </c>
      <c r="G221">
        <f>'insurance final cleaned'!M653</f>
        <v>1</v>
      </c>
      <c r="H221">
        <f>'insurance final cleaned'!N653</f>
        <v>0</v>
      </c>
      <c r="I221">
        <f>'insurance final cleaned'!O653</f>
        <v>0</v>
      </c>
      <c r="J221">
        <f>'insurance final cleaned'!P653</f>
        <v>0.16023368377461356</v>
      </c>
      <c r="K221">
        <f>'insurance final cleaned'!Q653</f>
        <v>0</v>
      </c>
      <c r="L221">
        <f>'insurance final cleaned'!R653</f>
        <v>1</v>
      </c>
      <c r="M221">
        <f>'insurance final cleaned'!S653</f>
        <v>0</v>
      </c>
    </row>
    <row r="222" spans="1:13" x14ac:dyDescent="0.3">
      <c r="A222">
        <f>'insurance final cleaned'!J99</f>
        <v>2045.69</v>
      </c>
      <c r="B222">
        <f>'insurance final cleaned'!B99</f>
        <v>44</v>
      </c>
      <c r="C222">
        <f>'insurance final cleaned'!D99</f>
        <v>25.2</v>
      </c>
      <c r="D222">
        <f>'insurance final cleaned'!G99</f>
        <v>0</v>
      </c>
      <c r="E222">
        <f>'insurance final cleaned'!E99</f>
        <v>91</v>
      </c>
      <c r="F222">
        <f>'insurance final cleaned'!L99</f>
        <v>0</v>
      </c>
      <c r="G222">
        <f>'insurance final cleaned'!M99</f>
        <v>0</v>
      </c>
      <c r="H222">
        <f>'insurance final cleaned'!N99</f>
        <v>0</v>
      </c>
      <c r="I222">
        <f>'insurance final cleaned'!O99</f>
        <v>1</v>
      </c>
      <c r="J222">
        <f>'insurance final cleaned'!P99</f>
        <v>0.16076843073001834</v>
      </c>
      <c r="K222">
        <f>'insurance final cleaned'!Q99</f>
        <v>0</v>
      </c>
      <c r="L222">
        <f>'insurance final cleaned'!R99</f>
        <v>0</v>
      </c>
      <c r="M222">
        <f>'insurance final cleaned'!S99</f>
        <v>0</v>
      </c>
    </row>
    <row r="223" spans="1:13" x14ac:dyDescent="0.3">
      <c r="A223">
        <f>'insurance final cleaned'!J1184</f>
        <v>30284.639999999999</v>
      </c>
      <c r="B223">
        <f>'insurance final cleaned'!B1184</f>
        <v>36</v>
      </c>
      <c r="C223">
        <f>'insurance final cleaned'!D1184</f>
        <v>25.4</v>
      </c>
      <c r="D223">
        <f>'insurance final cleaned'!G1184</f>
        <v>2</v>
      </c>
      <c r="E223">
        <f>'insurance final cleaned'!E1184</f>
        <v>84</v>
      </c>
      <c r="F223">
        <f>'insurance final cleaned'!L1184</f>
        <v>0</v>
      </c>
      <c r="G223">
        <f>'insurance final cleaned'!M1184</f>
        <v>0</v>
      </c>
      <c r="H223">
        <f>'insurance final cleaned'!N1184</f>
        <v>0</v>
      </c>
      <c r="I223">
        <f>'insurance final cleaned'!O1184</f>
        <v>1</v>
      </c>
      <c r="J223">
        <f>'insurance final cleaned'!P1184</f>
        <v>0.1607793909560622</v>
      </c>
      <c r="K223">
        <f>'insurance final cleaned'!Q1184</f>
        <v>0</v>
      </c>
      <c r="L223">
        <f>'insurance final cleaned'!R1184</f>
        <v>0</v>
      </c>
      <c r="M223">
        <f>'insurance final cleaned'!S1184</f>
        <v>0</v>
      </c>
    </row>
    <row r="224" spans="1:13" x14ac:dyDescent="0.3">
      <c r="A224">
        <f>'insurance final cleaned'!J73</f>
        <v>1824.29</v>
      </c>
      <c r="B224">
        <f>'insurance final cleaned'!B73</f>
        <v>48</v>
      </c>
      <c r="C224">
        <f>'insurance final cleaned'!D73</f>
        <v>32.6</v>
      </c>
      <c r="D224">
        <f>'insurance final cleaned'!G73</f>
        <v>0</v>
      </c>
      <c r="E224">
        <f>'insurance final cleaned'!E73</f>
        <v>80</v>
      </c>
      <c r="F224">
        <f>'insurance final cleaned'!L73</f>
        <v>0</v>
      </c>
      <c r="G224">
        <f>'insurance final cleaned'!M73</f>
        <v>1</v>
      </c>
      <c r="H224">
        <f>'insurance final cleaned'!N73</f>
        <v>0</v>
      </c>
      <c r="I224">
        <f>'insurance final cleaned'!O73</f>
        <v>0</v>
      </c>
      <c r="J224">
        <f>'insurance final cleaned'!P73</f>
        <v>0.16195034780697337</v>
      </c>
      <c r="K224">
        <f>'insurance final cleaned'!Q73</f>
        <v>0</v>
      </c>
      <c r="L224">
        <f>'insurance final cleaned'!R73</f>
        <v>1</v>
      </c>
      <c r="M224">
        <f>'insurance final cleaned'!S73</f>
        <v>0</v>
      </c>
    </row>
    <row r="225" spans="1:13" x14ac:dyDescent="0.3">
      <c r="A225">
        <f>'insurance final cleaned'!J344</f>
        <v>4766.0200000000004</v>
      </c>
      <c r="B225">
        <f>'insurance final cleaned'!B344</f>
        <v>33</v>
      </c>
      <c r="C225">
        <f>'insurance final cleaned'!D344</f>
        <v>18.5</v>
      </c>
      <c r="D225">
        <f>'insurance final cleaned'!G344</f>
        <v>1</v>
      </c>
      <c r="E225">
        <f>'insurance final cleaned'!E344</f>
        <v>94</v>
      </c>
      <c r="F225">
        <f>'insurance final cleaned'!L344</f>
        <v>0</v>
      </c>
      <c r="G225">
        <f>'insurance final cleaned'!M344</f>
        <v>0</v>
      </c>
      <c r="H225">
        <f>'insurance final cleaned'!N344</f>
        <v>1</v>
      </c>
      <c r="I225">
        <f>'insurance final cleaned'!O344</f>
        <v>0</v>
      </c>
      <c r="J225">
        <f>'insurance final cleaned'!P344</f>
        <v>0.16238134589117015</v>
      </c>
      <c r="K225">
        <f>'insurance final cleaned'!Q344</f>
        <v>0</v>
      </c>
      <c r="L225">
        <f>'insurance final cleaned'!R344</f>
        <v>1</v>
      </c>
      <c r="M225">
        <f>'insurance final cleaned'!S344</f>
        <v>1</v>
      </c>
    </row>
    <row r="226" spans="1:13" x14ac:dyDescent="0.3">
      <c r="A226">
        <f>'insurance final cleaned'!J761</f>
        <v>10796.35</v>
      </c>
      <c r="B226">
        <f>'insurance final cleaned'!B761</f>
        <v>34</v>
      </c>
      <c r="C226">
        <f>'insurance final cleaned'!D761</f>
        <v>29</v>
      </c>
      <c r="D226">
        <f>'insurance final cleaned'!G761</f>
        <v>0</v>
      </c>
      <c r="E226">
        <f>'insurance final cleaned'!E761</f>
        <v>110</v>
      </c>
      <c r="F226">
        <f>'insurance final cleaned'!L761</f>
        <v>0</v>
      </c>
      <c r="G226">
        <f>'insurance final cleaned'!M761</f>
        <v>0</v>
      </c>
      <c r="H226">
        <f>'insurance final cleaned'!N761</f>
        <v>0</v>
      </c>
      <c r="I226">
        <f>'insurance final cleaned'!O761</f>
        <v>0</v>
      </c>
      <c r="J226">
        <f>'insurance final cleaned'!P761</f>
        <v>0.16256965064692208</v>
      </c>
      <c r="K226">
        <f>'insurance final cleaned'!Q761</f>
        <v>0</v>
      </c>
      <c r="L226">
        <f>'insurance final cleaned'!R761</f>
        <v>1</v>
      </c>
      <c r="M226">
        <f>'insurance final cleaned'!S761</f>
        <v>0</v>
      </c>
    </row>
    <row r="227" spans="1:13" x14ac:dyDescent="0.3">
      <c r="A227">
        <f>'insurance final cleaned'!J8</f>
        <v>1141.45</v>
      </c>
      <c r="B227">
        <f>'insurance final cleaned'!B8</f>
        <v>38</v>
      </c>
      <c r="C227">
        <f>'insurance final cleaned'!D8</f>
        <v>37.299999999999997</v>
      </c>
      <c r="D227">
        <f>'insurance final cleaned'!G8</f>
        <v>0</v>
      </c>
      <c r="E227">
        <f>'insurance final cleaned'!E8</f>
        <v>86</v>
      </c>
      <c r="F227">
        <f>'insurance final cleaned'!L8</f>
        <v>0</v>
      </c>
      <c r="G227">
        <f>'insurance final cleaned'!M8</f>
        <v>0</v>
      </c>
      <c r="H227">
        <f>'insurance final cleaned'!N8</f>
        <v>0</v>
      </c>
      <c r="I227">
        <f>'insurance final cleaned'!O8</f>
        <v>1</v>
      </c>
      <c r="J227">
        <f>'insurance final cleaned'!P8</f>
        <v>0.16280539098894986</v>
      </c>
      <c r="K227">
        <f>'insurance final cleaned'!Q8</f>
        <v>0</v>
      </c>
      <c r="L227">
        <f>'insurance final cleaned'!R8</f>
        <v>1</v>
      </c>
      <c r="M227">
        <f>'insurance final cleaned'!S8</f>
        <v>0</v>
      </c>
    </row>
    <row r="228" spans="1:13" x14ac:dyDescent="0.3">
      <c r="A228">
        <f>'insurance final cleaned'!J251</f>
        <v>3736.46</v>
      </c>
      <c r="B228">
        <f>'insurance final cleaned'!B251</f>
        <v>49</v>
      </c>
      <c r="C228">
        <f>'insurance final cleaned'!D251</f>
        <v>26</v>
      </c>
      <c r="D228">
        <f>'insurance final cleaned'!G251</f>
        <v>0</v>
      </c>
      <c r="E228">
        <f>'insurance final cleaned'!E251</f>
        <v>88</v>
      </c>
      <c r="F228">
        <f>'insurance final cleaned'!L251</f>
        <v>0</v>
      </c>
      <c r="G228">
        <f>'insurance final cleaned'!M251</f>
        <v>0</v>
      </c>
      <c r="H228">
        <f>'insurance final cleaned'!N251</f>
        <v>0</v>
      </c>
      <c r="I228">
        <f>'insurance final cleaned'!O251</f>
        <v>1</v>
      </c>
      <c r="J228">
        <f>'insurance final cleaned'!P251</f>
        <v>0.16328209653836712</v>
      </c>
      <c r="K228">
        <f>'insurance final cleaned'!Q251</f>
        <v>0</v>
      </c>
      <c r="L228">
        <f>'insurance final cleaned'!R251</f>
        <v>0</v>
      </c>
      <c r="M228">
        <f>'insurance final cleaned'!S251</f>
        <v>1</v>
      </c>
    </row>
    <row r="229" spans="1:13" x14ac:dyDescent="0.3">
      <c r="A229">
        <f>'insurance final cleaned'!J681</f>
        <v>9500.57</v>
      </c>
      <c r="B229">
        <f>'insurance final cleaned'!B681</f>
        <v>37</v>
      </c>
      <c r="C229">
        <f>'insurance final cleaned'!D681</f>
        <v>24.8</v>
      </c>
      <c r="D229">
        <f>'insurance final cleaned'!G681</f>
        <v>3</v>
      </c>
      <c r="E229">
        <f>'insurance final cleaned'!E681</f>
        <v>85</v>
      </c>
      <c r="F229">
        <f>'insurance final cleaned'!L681</f>
        <v>0</v>
      </c>
      <c r="G229">
        <f>'insurance final cleaned'!M681</f>
        <v>0</v>
      </c>
      <c r="H229">
        <f>'insurance final cleaned'!N681</f>
        <v>0</v>
      </c>
      <c r="I229">
        <f>'insurance final cleaned'!O681</f>
        <v>0</v>
      </c>
      <c r="J229">
        <f>'insurance final cleaned'!P681</f>
        <v>0.16400853084015465</v>
      </c>
      <c r="K229">
        <f>'insurance final cleaned'!Q681</f>
        <v>0</v>
      </c>
      <c r="L229">
        <f>'insurance final cleaned'!R681</f>
        <v>0</v>
      </c>
      <c r="M229">
        <f>'insurance final cleaned'!S681</f>
        <v>0</v>
      </c>
    </row>
    <row r="230" spans="1:13" x14ac:dyDescent="0.3">
      <c r="A230">
        <f>'insurance final cleaned'!J1151</f>
        <v>26125.67</v>
      </c>
      <c r="B230">
        <f>'insurance final cleaned'!B1151</f>
        <v>57</v>
      </c>
      <c r="C230">
        <f>'insurance final cleaned'!D1151</f>
        <v>24.4</v>
      </c>
      <c r="D230">
        <f>'insurance final cleaned'!G1151</f>
        <v>0</v>
      </c>
      <c r="E230">
        <f>'insurance final cleaned'!E1151</f>
        <v>104</v>
      </c>
      <c r="F230">
        <f>'insurance final cleaned'!L1151</f>
        <v>24.4</v>
      </c>
      <c r="G230">
        <f>'insurance final cleaned'!M1151</f>
        <v>1</v>
      </c>
      <c r="H230">
        <f>'insurance final cleaned'!N1151</f>
        <v>0</v>
      </c>
      <c r="I230">
        <f>'insurance final cleaned'!O1151</f>
        <v>0</v>
      </c>
      <c r="J230">
        <f>'insurance final cleaned'!P1151</f>
        <v>0.16499419974812424</v>
      </c>
      <c r="K230">
        <f>'insurance final cleaned'!Q1151</f>
        <v>1</v>
      </c>
      <c r="L230">
        <f>'insurance final cleaned'!R1151</f>
        <v>1</v>
      </c>
      <c r="M230">
        <f>'insurance final cleaned'!S1151</f>
        <v>1</v>
      </c>
    </row>
    <row r="231" spans="1:13" x14ac:dyDescent="0.3">
      <c r="A231">
        <f>'insurance final cleaned'!J771</f>
        <v>10959.69</v>
      </c>
      <c r="B231">
        <f>'insurance final cleaned'!B771</f>
        <v>48</v>
      </c>
      <c r="C231">
        <f>'insurance final cleaned'!D771</f>
        <v>37.4</v>
      </c>
      <c r="D231">
        <f>'insurance final cleaned'!G771</f>
        <v>1</v>
      </c>
      <c r="E231">
        <f>'insurance final cleaned'!E771</f>
        <v>80</v>
      </c>
      <c r="F231">
        <f>'insurance final cleaned'!L771</f>
        <v>0</v>
      </c>
      <c r="G231">
        <f>'insurance final cleaned'!M771</f>
        <v>0</v>
      </c>
      <c r="H231">
        <f>'insurance final cleaned'!N771</f>
        <v>0</v>
      </c>
      <c r="I231">
        <f>'insurance final cleaned'!O771</f>
        <v>1</v>
      </c>
      <c r="J231">
        <f>'insurance final cleaned'!P771</f>
        <v>0.16527705513865543</v>
      </c>
      <c r="K231">
        <f>'insurance final cleaned'!Q771</f>
        <v>0</v>
      </c>
      <c r="L231">
        <f>'insurance final cleaned'!R771</f>
        <v>1</v>
      </c>
      <c r="M231">
        <f>'insurance final cleaned'!S771</f>
        <v>1</v>
      </c>
    </row>
    <row r="232" spans="1:13" x14ac:dyDescent="0.3">
      <c r="A232">
        <f>'insurance final cleaned'!J1247</f>
        <v>38746.36</v>
      </c>
      <c r="B232">
        <f>'insurance final cleaned'!B1247</f>
        <v>28</v>
      </c>
      <c r="C232">
        <f>'insurance final cleaned'!D1247</f>
        <v>34.4</v>
      </c>
      <c r="D232">
        <f>'insurance final cleaned'!G1247</f>
        <v>3</v>
      </c>
      <c r="E232">
        <f>'insurance final cleaned'!E1247</f>
        <v>137</v>
      </c>
      <c r="F232">
        <f>'insurance final cleaned'!L1247</f>
        <v>34.4</v>
      </c>
      <c r="G232">
        <f>'insurance final cleaned'!M1247</f>
        <v>0</v>
      </c>
      <c r="H232">
        <f>'insurance final cleaned'!N1247</f>
        <v>0</v>
      </c>
      <c r="I232">
        <f>'insurance final cleaned'!O1247</f>
        <v>1</v>
      </c>
      <c r="J232">
        <f>'insurance final cleaned'!P1247</f>
        <v>0.16715928086328513</v>
      </c>
      <c r="K232">
        <f>'insurance final cleaned'!Q1247</f>
        <v>1</v>
      </c>
      <c r="L232">
        <f>'insurance final cleaned'!R1247</f>
        <v>0</v>
      </c>
      <c r="M232">
        <f>'insurance final cleaned'!S1247</f>
        <v>0</v>
      </c>
    </row>
    <row r="233" spans="1:13" x14ac:dyDescent="0.3">
      <c r="A233">
        <f>'insurance final cleaned'!J85</f>
        <v>1917.32</v>
      </c>
      <c r="B233">
        <f>'insurance final cleaned'!B85</f>
        <v>43</v>
      </c>
      <c r="C233">
        <f>'insurance final cleaned'!D85</f>
        <v>36.9</v>
      </c>
      <c r="D233">
        <f>'insurance final cleaned'!G85</f>
        <v>0</v>
      </c>
      <c r="E233">
        <f>'insurance final cleaned'!E85</f>
        <v>91</v>
      </c>
      <c r="F233">
        <f>'insurance final cleaned'!L85</f>
        <v>0</v>
      </c>
      <c r="G233">
        <f>'insurance final cleaned'!M85</f>
        <v>0</v>
      </c>
      <c r="H233">
        <f>'insurance final cleaned'!N85</f>
        <v>0</v>
      </c>
      <c r="I233">
        <f>'insurance final cleaned'!O85</f>
        <v>1</v>
      </c>
      <c r="J233">
        <f>'insurance final cleaned'!P85</f>
        <v>0.16756476508925622</v>
      </c>
      <c r="K233">
        <f>'insurance final cleaned'!Q85</f>
        <v>0</v>
      </c>
      <c r="L233">
        <f>'insurance final cleaned'!R85</f>
        <v>1</v>
      </c>
      <c r="M233">
        <f>'insurance final cleaned'!S85</f>
        <v>0</v>
      </c>
    </row>
    <row r="234" spans="1:13" x14ac:dyDescent="0.3">
      <c r="A234">
        <f>'insurance final cleaned'!J259</f>
        <v>3866.86</v>
      </c>
      <c r="B234">
        <f>'insurance final cleaned'!B259</f>
        <v>33</v>
      </c>
      <c r="C234">
        <f>'insurance final cleaned'!D259</f>
        <v>28.9</v>
      </c>
      <c r="D234">
        <f>'insurance final cleaned'!G259</f>
        <v>0</v>
      </c>
      <c r="E234">
        <f>'insurance final cleaned'!E259</f>
        <v>87</v>
      </c>
      <c r="F234">
        <f>'insurance final cleaned'!L259</f>
        <v>0</v>
      </c>
      <c r="G234">
        <f>'insurance final cleaned'!M259</f>
        <v>0</v>
      </c>
      <c r="H234">
        <f>'insurance final cleaned'!N259</f>
        <v>0</v>
      </c>
      <c r="I234">
        <f>'insurance final cleaned'!O259</f>
        <v>1</v>
      </c>
      <c r="J234">
        <f>'insurance final cleaned'!P259</f>
        <v>0.16873636957898608</v>
      </c>
      <c r="K234">
        <f>'insurance final cleaned'!Q259</f>
        <v>0</v>
      </c>
      <c r="L234">
        <f>'insurance final cleaned'!R259</f>
        <v>0</v>
      </c>
      <c r="M234">
        <f>'insurance final cleaned'!S259</f>
        <v>0</v>
      </c>
    </row>
    <row r="235" spans="1:13" x14ac:dyDescent="0.3">
      <c r="A235">
        <f>'insurance final cleaned'!J55</f>
        <v>1708</v>
      </c>
      <c r="B235">
        <f>'insurance final cleaned'!B55</f>
        <v>34</v>
      </c>
      <c r="C235">
        <f>'insurance final cleaned'!D55</f>
        <v>25.5</v>
      </c>
      <c r="D235">
        <f>'insurance final cleaned'!G55</f>
        <v>0</v>
      </c>
      <c r="E235">
        <f>'insurance final cleaned'!E55</f>
        <v>82</v>
      </c>
      <c r="F235">
        <f>'insurance final cleaned'!L55</f>
        <v>0</v>
      </c>
      <c r="G235">
        <f>'insurance final cleaned'!M55</f>
        <v>0</v>
      </c>
      <c r="H235">
        <f>'insurance final cleaned'!N55</f>
        <v>0</v>
      </c>
      <c r="I235">
        <f>'insurance final cleaned'!O55</f>
        <v>1</v>
      </c>
      <c r="J235">
        <f>'insurance final cleaned'!P55</f>
        <v>0.16914178108958622</v>
      </c>
      <c r="K235">
        <f>'insurance final cleaned'!Q55</f>
        <v>0</v>
      </c>
      <c r="L235">
        <f>'insurance final cleaned'!R55</f>
        <v>1</v>
      </c>
      <c r="M235">
        <f>'insurance final cleaned'!S55</f>
        <v>0</v>
      </c>
    </row>
    <row r="236" spans="1:13" x14ac:dyDescent="0.3">
      <c r="A236">
        <f>'insurance final cleaned'!J1238</f>
        <v>37829.72</v>
      </c>
      <c r="B236">
        <f>'insurance final cleaned'!B1238</f>
        <v>48</v>
      </c>
      <c r="C236">
        <f>'insurance final cleaned'!D1238</f>
        <v>27.8</v>
      </c>
      <c r="D236">
        <f>'insurance final cleaned'!G1238</f>
        <v>0</v>
      </c>
      <c r="E236">
        <f>'insurance final cleaned'!E1238</f>
        <v>81</v>
      </c>
      <c r="F236">
        <f>'insurance final cleaned'!L1238</f>
        <v>27.8</v>
      </c>
      <c r="G236">
        <f>'insurance final cleaned'!M1238</f>
        <v>0</v>
      </c>
      <c r="H236">
        <f>'insurance final cleaned'!N1238</f>
        <v>1</v>
      </c>
      <c r="I236">
        <f>'insurance final cleaned'!O1238</f>
        <v>0</v>
      </c>
      <c r="J236">
        <f>'insurance final cleaned'!P1238</f>
        <v>0.17274779916584038</v>
      </c>
      <c r="K236">
        <f>'insurance final cleaned'!Q1238</f>
        <v>1</v>
      </c>
      <c r="L236">
        <f>'insurance final cleaned'!R1238</f>
        <v>1</v>
      </c>
      <c r="M236">
        <f>'insurance final cleaned'!S1238</f>
        <v>0</v>
      </c>
    </row>
    <row r="237" spans="1:13" x14ac:dyDescent="0.3">
      <c r="A237">
        <f>'insurance final cleaned'!J740</f>
        <v>10435.07</v>
      </c>
      <c r="B237">
        <f>'insurance final cleaned'!B740</f>
        <v>27</v>
      </c>
      <c r="C237">
        <f>'insurance final cleaned'!D740</f>
        <v>32.799999999999997</v>
      </c>
      <c r="D237">
        <f>'insurance final cleaned'!G740</f>
        <v>0</v>
      </c>
      <c r="E237">
        <f>'insurance final cleaned'!E740</f>
        <v>86</v>
      </c>
      <c r="F237">
        <f>'insurance final cleaned'!L740</f>
        <v>0</v>
      </c>
      <c r="G237">
        <f>'insurance final cleaned'!M740</f>
        <v>0</v>
      </c>
      <c r="H237">
        <f>'insurance final cleaned'!N740</f>
        <v>0</v>
      </c>
      <c r="I237">
        <f>'insurance final cleaned'!O740</f>
        <v>0</v>
      </c>
      <c r="J237">
        <f>'insurance final cleaned'!P740</f>
        <v>0.17339352910690053</v>
      </c>
      <c r="K237">
        <f>'insurance final cleaned'!Q740</f>
        <v>0</v>
      </c>
      <c r="L237">
        <f>'insurance final cleaned'!R740</f>
        <v>0</v>
      </c>
      <c r="M237">
        <f>'insurance final cleaned'!S740</f>
        <v>0</v>
      </c>
    </row>
    <row r="238" spans="1:13" x14ac:dyDescent="0.3">
      <c r="A238">
        <f>'insurance final cleaned'!J1329</f>
        <v>48673.56</v>
      </c>
      <c r="B238">
        <f>'insurance final cleaned'!B1329</f>
        <v>49</v>
      </c>
      <c r="C238">
        <f>'insurance final cleaned'!D1329</f>
        <v>40.9</v>
      </c>
      <c r="D238">
        <f>'insurance final cleaned'!G1329</f>
        <v>0</v>
      </c>
      <c r="E238">
        <f>'insurance final cleaned'!E1329</f>
        <v>107</v>
      </c>
      <c r="F238">
        <f>'insurance final cleaned'!L1329</f>
        <v>40.9</v>
      </c>
      <c r="G238">
        <f>'insurance final cleaned'!M1329</f>
        <v>1</v>
      </c>
      <c r="H238">
        <f>'insurance final cleaned'!N1329</f>
        <v>0</v>
      </c>
      <c r="I238">
        <f>'insurance final cleaned'!O1329</f>
        <v>0</v>
      </c>
      <c r="J238">
        <f>'insurance final cleaned'!P1329</f>
        <v>0.17391323550585303</v>
      </c>
      <c r="K238">
        <f>'insurance final cleaned'!Q1329</f>
        <v>1</v>
      </c>
      <c r="L238">
        <f>'insurance final cleaned'!R1329</f>
        <v>0</v>
      </c>
      <c r="M238">
        <f>'insurance final cleaned'!S1329</f>
        <v>0</v>
      </c>
    </row>
    <row r="239" spans="1:13" x14ac:dyDescent="0.3">
      <c r="A239">
        <f>'insurance final cleaned'!J1185</f>
        <v>30942.19</v>
      </c>
      <c r="B239">
        <f>'insurance final cleaned'!B1185</f>
        <v>30</v>
      </c>
      <c r="C239">
        <f>'insurance final cleaned'!D1185</f>
        <v>29.9</v>
      </c>
      <c r="D239">
        <f>'insurance final cleaned'!G1185</f>
        <v>3</v>
      </c>
      <c r="E239">
        <f>'insurance final cleaned'!E1185</f>
        <v>95</v>
      </c>
      <c r="F239">
        <f>'insurance final cleaned'!L1185</f>
        <v>29.9</v>
      </c>
      <c r="G239">
        <f>'insurance final cleaned'!M1185</f>
        <v>1</v>
      </c>
      <c r="H239">
        <f>'insurance final cleaned'!N1185</f>
        <v>0</v>
      </c>
      <c r="I239">
        <f>'insurance final cleaned'!O1185</f>
        <v>0</v>
      </c>
      <c r="J239">
        <f>'insurance final cleaned'!P1185</f>
        <v>0.17392596122109916</v>
      </c>
      <c r="K239">
        <f>'insurance final cleaned'!Q1185</f>
        <v>1</v>
      </c>
      <c r="L239">
        <f>'insurance final cleaned'!R1185</f>
        <v>1</v>
      </c>
      <c r="M239">
        <f>'insurance final cleaned'!S1185</f>
        <v>1</v>
      </c>
    </row>
    <row r="240" spans="1:13" x14ac:dyDescent="0.3">
      <c r="A240">
        <f>'insurance final cleaned'!J853</f>
        <v>12094.48</v>
      </c>
      <c r="B240">
        <f>'insurance final cleaned'!B853</f>
        <v>42</v>
      </c>
      <c r="C240">
        <f>'insurance final cleaned'!D853</f>
        <v>23</v>
      </c>
      <c r="D240">
        <f>'insurance final cleaned'!G853</f>
        <v>3</v>
      </c>
      <c r="E240">
        <f>'insurance final cleaned'!E853</f>
        <v>80</v>
      </c>
      <c r="F240">
        <f>'insurance final cleaned'!L853</f>
        <v>0</v>
      </c>
      <c r="G240">
        <f>'insurance final cleaned'!M853</f>
        <v>0</v>
      </c>
      <c r="H240">
        <f>'insurance final cleaned'!N853</f>
        <v>1</v>
      </c>
      <c r="I240">
        <f>'insurance final cleaned'!O853</f>
        <v>0</v>
      </c>
      <c r="J240">
        <f>'insurance final cleaned'!P853</f>
        <v>0.1758370926414411</v>
      </c>
      <c r="K240">
        <f>'insurance final cleaned'!Q853</f>
        <v>0</v>
      </c>
      <c r="L240">
        <f>'insurance final cleaned'!R853</f>
        <v>1</v>
      </c>
      <c r="M240">
        <f>'insurance final cleaned'!S853</f>
        <v>1</v>
      </c>
    </row>
    <row r="241" spans="1:13" x14ac:dyDescent="0.3">
      <c r="A241">
        <f>'insurance final cleaned'!J223</f>
        <v>3366.67</v>
      </c>
      <c r="B241">
        <f>'insurance final cleaned'!B223</f>
        <v>28</v>
      </c>
      <c r="C241">
        <f>'insurance final cleaned'!D223</f>
        <v>35.5</v>
      </c>
      <c r="D241">
        <f>'insurance final cleaned'!G223</f>
        <v>0</v>
      </c>
      <c r="E241">
        <f>'insurance final cleaned'!E223</f>
        <v>95</v>
      </c>
      <c r="F241">
        <f>'insurance final cleaned'!L223</f>
        <v>0</v>
      </c>
      <c r="G241">
        <f>'insurance final cleaned'!M223</f>
        <v>1</v>
      </c>
      <c r="H241">
        <f>'insurance final cleaned'!N223</f>
        <v>0</v>
      </c>
      <c r="I241">
        <f>'insurance final cleaned'!O223</f>
        <v>0</v>
      </c>
      <c r="J241">
        <f>'insurance final cleaned'!P223</f>
        <v>0.17725896667977681</v>
      </c>
      <c r="K241">
        <f>'insurance final cleaned'!Q223</f>
        <v>0</v>
      </c>
      <c r="L241">
        <f>'insurance final cleaned'!R223</f>
        <v>1</v>
      </c>
      <c r="M241">
        <f>'insurance final cleaned'!S223</f>
        <v>1</v>
      </c>
    </row>
    <row r="242" spans="1:13" x14ac:dyDescent="0.3">
      <c r="A242">
        <f>'insurance final cleaned'!J550</f>
        <v>7526.71</v>
      </c>
      <c r="B242">
        <f>'insurance final cleaned'!B550</f>
        <v>33</v>
      </c>
      <c r="C242">
        <f>'insurance final cleaned'!D550</f>
        <v>19.899999999999999</v>
      </c>
      <c r="D242">
        <f>'insurance final cleaned'!G550</f>
        <v>0</v>
      </c>
      <c r="E242">
        <f>'insurance final cleaned'!E550</f>
        <v>95</v>
      </c>
      <c r="F242">
        <f>'insurance final cleaned'!L550</f>
        <v>0</v>
      </c>
      <c r="G242">
        <f>'insurance final cleaned'!M550</f>
        <v>0</v>
      </c>
      <c r="H242">
        <f>'insurance final cleaned'!N550</f>
        <v>0</v>
      </c>
      <c r="I242">
        <f>'insurance final cleaned'!O550</f>
        <v>1</v>
      </c>
      <c r="J242">
        <f>'insurance final cleaned'!P550</f>
        <v>0.17727904618896029</v>
      </c>
      <c r="K242">
        <f>'insurance final cleaned'!Q550</f>
        <v>0</v>
      </c>
      <c r="L242">
        <f>'insurance final cleaned'!R550</f>
        <v>0</v>
      </c>
      <c r="M242">
        <f>'insurance final cleaned'!S550</f>
        <v>0</v>
      </c>
    </row>
    <row r="243" spans="1:13" x14ac:dyDescent="0.3">
      <c r="A243">
        <f>'insurance final cleaned'!J220</f>
        <v>3309.79</v>
      </c>
      <c r="B243">
        <f>'insurance final cleaned'!B220</f>
        <v>48</v>
      </c>
      <c r="C243">
        <f>'insurance final cleaned'!D220</f>
        <v>25.8</v>
      </c>
      <c r="D243">
        <f>'insurance final cleaned'!G220</f>
        <v>1</v>
      </c>
      <c r="E243">
        <f>'insurance final cleaned'!E220</f>
        <v>82</v>
      </c>
      <c r="F243">
        <f>'insurance final cleaned'!L220</f>
        <v>0</v>
      </c>
      <c r="G243">
        <f>'insurance final cleaned'!M220</f>
        <v>0</v>
      </c>
      <c r="H243">
        <f>'insurance final cleaned'!N220</f>
        <v>0</v>
      </c>
      <c r="I243">
        <f>'insurance final cleaned'!O220</f>
        <v>0</v>
      </c>
      <c r="J243">
        <f>'insurance final cleaned'!P220</f>
        <v>0.17808140950326379</v>
      </c>
      <c r="K243">
        <f>'insurance final cleaned'!Q220</f>
        <v>0</v>
      </c>
      <c r="L243">
        <f>'insurance final cleaned'!R220</f>
        <v>1</v>
      </c>
      <c r="M243">
        <f>'insurance final cleaned'!S220</f>
        <v>0</v>
      </c>
    </row>
    <row r="244" spans="1:13" x14ac:dyDescent="0.3">
      <c r="A244">
        <f>'insurance final cleaned'!J481</f>
        <v>6640.54</v>
      </c>
      <c r="B244">
        <f>'insurance final cleaned'!B481</f>
        <v>35</v>
      </c>
      <c r="C244">
        <f>'insurance final cleaned'!D481</f>
        <v>16.8</v>
      </c>
      <c r="D244">
        <f>'insurance final cleaned'!G481</f>
        <v>2</v>
      </c>
      <c r="E244">
        <f>'insurance final cleaned'!E481</f>
        <v>98</v>
      </c>
      <c r="F244">
        <f>'insurance final cleaned'!L481</f>
        <v>0</v>
      </c>
      <c r="G244">
        <f>'insurance final cleaned'!M481</f>
        <v>1</v>
      </c>
      <c r="H244">
        <f>'insurance final cleaned'!N481</f>
        <v>0</v>
      </c>
      <c r="I244">
        <f>'insurance final cleaned'!O481</f>
        <v>0</v>
      </c>
      <c r="J244">
        <f>'insurance final cleaned'!P481</f>
        <v>0.17816289141078967</v>
      </c>
      <c r="K244">
        <f>'insurance final cleaned'!Q481</f>
        <v>0</v>
      </c>
      <c r="L244">
        <f>'insurance final cleaned'!R481</f>
        <v>0</v>
      </c>
      <c r="M244">
        <f>'insurance final cleaned'!S481</f>
        <v>0</v>
      </c>
    </row>
    <row r="245" spans="1:13" x14ac:dyDescent="0.3">
      <c r="A245">
        <f>'insurance final cleaned'!J1309</f>
        <v>46130.53</v>
      </c>
      <c r="B245">
        <f>'insurance final cleaned'!B1309</f>
        <v>47</v>
      </c>
      <c r="C245">
        <f>'insurance final cleaned'!D1309</f>
        <v>31.4</v>
      </c>
      <c r="D245">
        <f>'insurance final cleaned'!G1309</f>
        <v>3</v>
      </c>
      <c r="E245">
        <f>'insurance final cleaned'!E1309</f>
        <v>137</v>
      </c>
      <c r="F245">
        <f>'insurance final cleaned'!L1309</f>
        <v>31.4</v>
      </c>
      <c r="G245">
        <f>'insurance final cleaned'!M1309</f>
        <v>0</v>
      </c>
      <c r="H245">
        <f>'insurance final cleaned'!N1309</f>
        <v>0</v>
      </c>
      <c r="I245">
        <f>'insurance final cleaned'!O1309</f>
        <v>1</v>
      </c>
      <c r="J245">
        <f>'insurance final cleaned'!P1309</f>
        <v>0.17850533226356025</v>
      </c>
      <c r="K245">
        <f>'insurance final cleaned'!Q1309</f>
        <v>1</v>
      </c>
      <c r="L245">
        <f>'insurance final cleaned'!R1309</f>
        <v>0</v>
      </c>
      <c r="M245">
        <f>'insurance final cleaned'!S1309</f>
        <v>0</v>
      </c>
    </row>
    <row r="246" spans="1:13" x14ac:dyDescent="0.3">
      <c r="A246">
        <f>'insurance final cleaned'!J257</f>
        <v>3857.76</v>
      </c>
      <c r="B246">
        <f>'insurance final cleaned'!B257</f>
        <v>25</v>
      </c>
      <c r="C246">
        <f>'insurance final cleaned'!D257</f>
        <v>30.9</v>
      </c>
      <c r="D246">
        <f>'insurance final cleaned'!G257</f>
        <v>0</v>
      </c>
      <c r="E246">
        <f>'insurance final cleaned'!E257</f>
        <v>86</v>
      </c>
      <c r="F246">
        <f>'insurance final cleaned'!L257</f>
        <v>0</v>
      </c>
      <c r="G246">
        <f>'insurance final cleaned'!M257</f>
        <v>0</v>
      </c>
      <c r="H246">
        <f>'insurance final cleaned'!N257</f>
        <v>0</v>
      </c>
      <c r="I246">
        <f>'insurance final cleaned'!O257</f>
        <v>0</v>
      </c>
      <c r="J246">
        <f>'insurance final cleaned'!P257</f>
        <v>0.17958526138791742</v>
      </c>
      <c r="K246">
        <f>'insurance final cleaned'!Q257</f>
        <v>0</v>
      </c>
      <c r="L246">
        <f>'insurance final cleaned'!R257</f>
        <v>1</v>
      </c>
      <c r="M246">
        <f>'insurance final cleaned'!S257</f>
        <v>0</v>
      </c>
    </row>
    <row r="247" spans="1:13" x14ac:dyDescent="0.3">
      <c r="A247">
        <f>'insurance final cleaned'!J1288</f>
        <v>42969.85</v>
      </c>
      <c r="B247">
        <f>'insurance final cleaned'!B1288</f>
        <v>55</v>
      </c>
      <c r="C247">
        <f>'insurance final cleaned'!D1288</f>
        <v>36.6</v>
      </c>
      <c r="D247">
        <f>'insurance final cleaned'!G1288</f>
        <v>1</v>
      </c>
      <c r="E247">
        <f>'insurance final cleaned'!E1288</f>
        <v>120</v>
      </c>
      <c r="F247">
        <f>'insurance final cleaned'!L1288</f>
        <v>36.6</v>
      </c>
      <c r="G247">
        <f>'insurance final cleaned'!M1288</f>
        <v>1</v>
      </c>
      <c r="H247">
        <f>'insurance final cleaned'!N1288</f>
        <v>0</v>
      </c>
      <c r="I247">
        <f>'insurance final cleaned'!O1288</f>
        <v>0</v>
      </c>
      <c r="J247">
        <f>'insurance final cleaned'!P1288</f>
        <v>0.18040577299048566</v>
      </c>
      <c r="K247">
        <f>'insurance final cleaned'!Q1288</f>
        <v>1</v>
      </c>
      <c r="L247">
        <f>'insurance final cleaned'!R1288</f>
        <v>0</v>
      </c>
      <c r="M247">
        <f>'insurance final cleaned'!S1288</f>
        <v>1</v>
      </c>
    </row>
    <row r="248" spans="1:13" x14ac:dyDescent="0.3">
      <c r="A248">
        <f>'insurance final cleaned'!J809</f>
        <v>11454.02</v>
      </c>
      <c r="B248">
        <f>'insurance final cleaned'!B809</f>
        <v>51</v>
      </c>
      <c r="C248">
        <f>'insurance final cleaned'!D809</f>
        <v>25.7</v>
      </c>
      <c r="D248">
        <f>'insurance final cleaned'!G809</f>
        <v>0</v>
      </c>
      <c r="E248">
        <f>'insurance final cleaned'!E809</f>
        <v>83</v>
      </c>
      <c r="F248">
        <f>'insurance final cleaned'!L809</f>
        <v>0</v>
      </c>
      <c r="G248">
        <f>'insurance final cleaned'!M809</f>
        <v>0</v>
      </c>
      <c r="H248">
        <f>'insurance final cleaned'!N809</f>
        <v>0</v>
      </c>
      <c r="I248">
        <f>'insurance final cleaned'!O809</f>
        <v>1</v>
      </c>
      <c r="J248">
        <f>'insurance final cleaned'!P809</f>
        <v>0.18058985283186679</v>
      </c>
      <c r="K248">
        <f>'insurance final cleaned'!Q809</f>
        <v>0</v>
      </c>
      <c r="L248">
        <f>'insurance final cleaned'!R809</f>
        <v>1</v>
      </c>
      <c r="M248">
        <f>'insurance final cleaned'!S809</f>
        <v>1</v>
      </c>
    </row>
    <row r="249" spans="1:13" x14ac:dyDescent="0.3">
      <c r="A249">
        <f>'insurance final cleaned'!J679</f>
        <v>9447.3799999999992</v>
      </c>
      <c r="B249">
        <f>'insurance final cleaned'!B679</f>
        <v>41</v>
      </c>
      <c r="C249">
        <f>'insurance final cleaned'!D679</f>
        <v>27.4</v>
      </c>
      <c r="D249">
        <f>'insurance final cleaned'!G679</f>
        <v>1</v>
      </c>
      <c r="E249">
        <f>'insurance final cleaned'!E679</f>
        <v>86</v>
      </c>
      <c r="F249">
        <f>'insurance final cleaned'!L679</f>
        <v>0</v>
      </c>
      <c r="G249">
        <f>'insurance final cleaned'!M679</f>
        <v>0</v>
      </c>
      <c r="H249">
        <f>'insurance final cleaned'!N679</f>
        <v>0</v>
      </c>
      <c r="I249">
        <f>'insurance final cleaned'!O679</f>
        <v>0</v>
      </c>
      <c r="J249">
        <f>'insurance final cleaned'!P679</f>
        <v>0.18109389278278598</v>
      </c>
      <c r="K249">
        <f>'insurance final cleaned'!Q679</f>
        <v>0</v>
      </c>
      <c r="L249">
        <f>'insurance final cleaned'!R679</f>
        <v>0</v>
      </c>
      <c r="M249">
        <f>'insurance final cleaned'!S679</f>
        <v>1</v>
      </c>
    </row>
    <row r="250" spans="1:13" x14ac:dyDescent="0.3">
      <c r="A250">
        <f>'insurance final cleaned'!J281</f>
        <v>4134.08</v>
      </c>
      <c r="B250">
        <f>'insurance final cleaned'!B281</f>
        <v>47</v>
      </c>
      <c r="C250">
        <f>'insurance final cleaned'!D281</f>
        <v>21.8</v>
      </c>
      <c r="D250">
        <f>'insurance final cleaned'!G281</f>
        <v>0</v>
      </c>
      <c r="E250">
        <f>'insurance final cleaned'!E281</f>
        <v>98</v>
      </c>
      <c r="F250">
        <f>'insurance final cleaned'!L281</f>
        <v>0</v>
      </c>
      <c r="G250">
        <f>'insurance final cleaned'!M281</f>
        <v>0</v>
      </c>
      <c r="H250">
        <f>'insurance final cleaned'!N281</f>
        <v>0</v>
      </c>
      <c r="I250">
        <f>'insurance final cleaned'!O281</f>
        <v>1</v>
      </c>
      <c r="J250">
        <f>'insurance final cleaned'!P281</f>
        <v>0.18123541054567893</v>
      </c>
      <c r="K250">
        <f>'insurance final cleaned'!Q281</f>
        <v>0</v>
      </c>
      <c r="L250">
        <f>'insurance final cleaned'!R281</f>
        <v>0</v>
      </c>
      <c r="M250">
        <f>'insurance final cleaned'!S281</f>
        <v>1</v>
      </c>
    </row>
    <row r="251" spans="1:13" x14ac:dyDescent="0.3">
      <c r="A251">
        <f>'insurance final cleaned'!J48</f>
        <v>1674.63</v>
      </c>
      <c r="B251">
        <f>'insurance final cleaned'!B48</f>
        <v>24</v>
      </c>
      <c r="C251">
        <f>'insurance final cleaned'!D48</f>
        <v>33.799999999999997</v>
      </c>
      <c r="D251">
        <f>'insurance final cleaned'!G48</f>
        <v>0</v>
      </c>
      <c r="E251">
        <f>'insurance final cleaned'!E48</f>
        <v>89</v>
      </c>
      <c r="F251">
        <f>'insurance final cleaned'!L48</f>
        <v>0</v>
      </c>
      <c r="G251">
        <f>'insurance final cleaned'!M48</f>
        <v>1</v>
      </c>
      <c r="H251">
        <f>'insurance final cleaned'!N48</f>
        <v>0</v>
      </c>
      <c r="I251">
        <f>'insurance final cleaned'!O48</f>
        <v>0</v>
      </c>
      <c r="J251">
        <f>'insurance final cleaned'!P48</f>
        <v>0.18161570078189326</v>
      </c>
      <c r="K251">
        <f>'insurance final cleaned'!Q48</f>
        <v>0</v>
      </c>
      <c r="L251">
        <f>'insurance final cleaned'!R48</f>
        <v>0</v>
      </c>
      <c r="M251">
        <f>'insurance final cleaned'!S48</f>
        <v>0</v>
      </c>
    </row>
    <row r="252" spans="1:13" x14ac:dyDescent="0.3">
      <c r="A252">
        <f>'insurance final cleaned'!J519</f>
        <v>7160.33</v>
      </c>
      <c r="B252">
        <f>'insurance final cleaned'!B519</f>
        <v>18</v>
      </c>
      <c r="C252">
        <f>'insurance final cleaned'!D519</f>
        <v>36</v>
      </c>
      <c r="D252">
        <f>'insurance final cleaned'!G519</f>
        <v>2</v>
      </c>
      <c r="E252">
        <f>'insurance final cleaned'!E519</f>
        <v>93</v>
      </c>
      <c r="F252">
        <f>'insurance final cleaned'!L519</f>
        <v>0</v>
      </c>
      <c r="G252">
        <f>'insurance final cleaned'!M519</f>
        <v>1</v>
      </c>
      <c r="H252">
        <f>'insurance final cleaned'!N519</f>
        <v>0</v>
      </c>
      <c r="I252">
        <f>'insurance final cleaned'!O519</f>
        <v>0</v>
      </c>
      <c r="J252">
        <f>'insurance final cleaned'!P519</f>
        <v>0.18244944607020319</v>
      </c>
      <c r="K252">
        <f>'insurance final cleaned'!Q519</f>
        <v>0</v>
      </c>
      <c r="L252">
        <f>'insurance final cleaned'!R519</f>
        <v>0</v>
      </c>
      <c r="M252">
        <f>'insurance final cleaned'!S519</f>
        <v>0</v>
      </c>
    </row>
    <row r="253" spans="1:13" x14ac:dyDescent="0.3">
      <c r="A253">
        <f>'insurance final cleaned'!J393</f>
        <v>5383.54</v>
      </c>
      <c r="B253">
        <f>'insurance final cleaned'!B393</f>
        <v>40</v>
      </c>
      <c r="C253">
        <f>'insurance final cleaned'!D393</f>
        <v>27.6</v>
      </c>
      <c r="D253">
        <f>'insurance final cleaned'!G393</f>
        <v>0</v>
      </c>
      <c r="E253">
        <f>'insurance final cleaned'!E393</f>
        <v>92</v>
      </c>
      <c r="F253">
        <f>'insurance final cleaned'!L393</f>
        <v>0</v>
      </c>
      <c r="G253">
        <f>'insurance final cleaned'!M393</f>
        <v>0</v>
      </c>
      <c r="H253">
        <f>'insurance final cleaned'!N393</f>
        <v>1</v>
      </c>
      <c r="I253">
        <f>'insurance final cleaned'!O393</f>
        <v>0</v>
      </c>
      <c r="J253">
        <f>'insurance final cleaned'!P393</f>
        <v>0.18285842204129232</v>
      </c>
      <c r="K253">
        <f>'insurance final cleaned'!Q393</f>
        <v>0</v>
      </c>
      <c r="L253">
        <f>'insurance final cleaned'!R393</f>
        <v>1</v>
      </c>
      <c r="M253">
        <f>'insurance final cleaned'!S393</f>
        <v>1</v>
      </c>
    </row>
    <row r="254" spans="1:13" x14ac:dyDescent="0.3">
      <c r="A254">
        <f>'insurance final cleaned'!J991</f>
        <v>15555.19</v>
      </c>
      <c r="B254">
        <f>'insurance final cleaned'!B991</f>
        <v>21</v>
      </c>
      <c r="C254">
        <f>'insurance final cleaned'!D991</f>
        <v>41.3</v>
      </c>
      <c r="D254">
        <f>'insurance final cleaned'!G991</f>
        <v>3</v>
      </c>
      <c r="E254">
        <f>'insurance final cleaned'!E991</f>
        <v>85</v>
      </c>
      <c r="F254">
        <f>'insurance final cleaned'!L991</f>
        <v>0</v>
      </c>
      <c r="G254">
        <f>'insurance final cleaned'!M991</f>
        <v>0</v>
      </c>
      <c r="H254">
        <f>'insurance final cleaned'!N991</f>
        <v>0</v>
      </c>
      <c r="I254">
        <f>'insurance final cleaned'!O991</f>
        <v>1</v>
      </c>
      <c r="J254">
        <f>'insurance final cleaned'!P991</f>
        <v>0.18299863215316947</v>
      </c>
      <c r="K254">
        <f>'insurance final cleaned'!Q991</f>
        <v>0</v>
      </c>
      <c r="L254">
        <f>'insurance final cleaned'!R991</f>
        <v>1</v>
      </c>
      <c r="M254">
        <f>'insurance final cleaned'!S991</f>
        <v>0</v>
      </c>
    </row>
    <row r="255" spans="1:13" x14ac:dyDescent="0.3">
      <c r="A255">
        <f>'insurance final cleaned'!J639</f>
        <v>8825.09</v>
      </c>
      <c r="B255">
        <f>'insurance final cleaned'!B639</f>
        <v>46</v>
      </c>
      <c r="C255">
        <f>'insurance final cleaned'!D639</f>
        <v>30.2</v>
      </c>
      <c r="D255">
        <f>'insurance final cleaned'!G639</f>
        <v>2</v>
      </c>
      <c r="E255">
        <f>'insurance final cleaned'!E639</f>
        <v>99</v>
      </c>
      <c r="F255">
        <f>'insurance final cleaned'!L639</f>
        <v>0</v>
      </c>
      <c r="G255">
        <f>'insurance final cleaned'!M639</f>
        <v>0</v>
      </c>
      <c r="H255">
        <f>'insurance final cleaned'!N639</f>
        <v>1</v>
      </c>
      <c r="I255">
        <f>'insurance final cleaned'!O639</f>
        <v>0</v>
      </c>
      <c r="J255">
        <f>'insurance final cleaned'!P639</f>
        <v>0.18406172389725439</v>
      </c>
      <c r="K255">
        <f>'insurance final cleaned'!Q639</f>
        <v>0</v>
      </c>
      <c r="L255">
        <f>'insurance final cleaned'!R639</f>
        <v>1</v>
      </c>
      <c r="M255">
        <f>'insurance final cleaned'!S639</f>
        <v>1</v>
      </c>
    </row>
    <row r="256" spans="1:13" x14ac:dyDescent="0.3">
      <c r="A256">
        <f>'insurance final cleaned'!J902</f>
        <v>12950.07</v>
      </c>
      <c r="B256">
        <f>'insurance final cleaned'!B902</f>
        <v>40</v>
      </c>
      <c r="C256">
        <f>'insurance final cleaned'!D902</f>
        <v>38.4</v>
      </c>
      <c r="D256">
        <f>'insurance final cleaned'!G902</f>
        <v>0</v>
      </c>
      <c r="E256">
        <f>'insurance final cleaned'!E902</f>
        <v>82</v>
      </c>
      <c r="F256">
        <f>'insurance final cleaned'!L902</f>
        <v>0</v>
      </c>
      <c r="G256">
        <f>'insurance final cleaned'!M902</f>
        <v>0</v>
      </c>
      <c r="H256">
        <f>'insurance final cleaned'!N902</f>
        <v>0</v>
      </c>
      <c r="I256">
        <f>'insurance final cleaned'!O902</f>
        <v>1</v>
      </c>
      <c r="J256">
        <f>'insurance final cleaned'!P902</f>
        <v>0.18407794930701193</v>
      </c>
      <c r="K256">
        <f>'insurance final cleaned'!Q902</f>
        <v>0</v>
      </c>
      <c r="L256">
        <f>'insurance final cleaned'!R902</f>
        <v>0</v>
      </c>
      <c r="M256">
        <f>'insurance final cleaned'!S902</f>
        <v>0</v>
      </c>
    </row>
    <row r="257" spans="1:13" x14ac:dyDescent="0.3">
      <c r="A257">
        <f>'insurance final cleaned'!J765</f>
        <v>10825.25</v>
      </c>
      <c r="B257">
        <f>'insurance final cleaned'!B765</f>
        <v>38</v>
      </c>
      <c r="C257">
        <f>'insurance final cleaned'!D765</f>
        <v>33.6</v>
      </c>
      <c r="D257">
        <f>'insurance final cleaned'!G765</f>
        <v>1</v>
      </c>
      <c r="E257">
        <f>'insurance final cleaned'!E765</f>
        <v>80</v>
      </c>
      <c r="F257">
        <f>'insurance final cleaned'!L765</f>
        <v>0</v>
      </c>
      <c r="G257">
        <f>'insurance final cleaned'!M765</f>
        <v>0</v>
      </c>
      <c r="H257">
        <f>'insurance final cleaned'!N765</f>
        <v>0</v>
      </c>
      <c r="I257">
        <f>'insurance final cleaned'!O765</f>
        <v>1</v>
      </c>
      <c r="J257">
        <f>'insurance final cleaned'!P765</f>
        <v>0.18451524016383125</v>
      </c>
      <c r="K257">
        <f>'insurance final cleaned'!Q765</f>
        <v>0</v>
      </c>
      <c r="L257">
        <f>'insurance final cleaned'!R765</f>
        <v>1</v>
      </c>
      <c r="M257">
        <f>'insurance final cleaned'!S765</f>
        <v>0</v>
      </c>
    </row>
    <row r="258" spans="1:13" x14ac:dyDescent="0.3">
      <c r="A258">
        <f>'insurance final cleaned'!J1259</f>
        <v>39774.28</v>
      </c>
      <c r="B258">
        <f>'insurance final cleaned'!B1259</f>
        <v>43</v>
      </c>
      <c r="C258">
        <f>'insurance final cleaned'!D1259</f>
        <v>36.700000000000003</v>
      </c>
      <c r="D258">
        <f>'insurance final cleaned'!G1259</f>
        <v>1</v>
      </c>
      <c r="E258">
        <f>'insurance final cleaned'!E1259</f>
        <v>139</v>
      </c>
      <c r="F258">
        <f>'insurance final cleaned'!L1259</f>
        <v>36.700000000000003</v>
      </c>
      <c r="G258">
        <f>'insurance final cleaned'!M1259</f>
        <v>0</v>
      </c>
      <c r="H258">
        <f>'insurance final cleaned'!N1259</f>
        <v>0</v>
      </c>
      <c r="I258">
        <f>'insurance final cleaned'!O1259</f>
        <v>0</v>
      </c>
      <c r="J258">
        <f>'insurance final cleaned'!P1259</f>
        <v>0.18493746492151386</v>
      </c>
      <c r="K258">
        <f>'insurance final cleaned'!Q1259</f>
        <v>1</v>
      </c>
      <c r="L258">
        <f>'insurance final cleaned'!R1259</f>
        <v>1</v>
      </c>
      <c r="M258">
        <f>'insurance final cleaned'!S1259</f>
        <v>0</v>
      </c>
    </row>
    <row r="259" spans="1:13" x14ac:dyDescent="0.3">
      <c r="A259">
        <f>'insurance final cleaned'!J1315</f>
        <v>46718.16</v>
      </c>
      <c r="B259">
        <f>'insurance final cleaned'!B1315</f>
        <v>29</v>
      </c>
      <c r="C259">
        <f>'insurance final cleaned'!D1315</f>
        <v>30.9</v>
      </c>
      <c r="D259">
        <f>'insurance final cleaned'!G1315</f>
        <v>3</v>
      </c>
      <c r="E259">
        <f>'insurance final cleaned'!E1315</f>
        <v>114</v>
      </c>
      <c r="F259">
        <f>'insurance final cleaned'!L1315</f>
        <v>30.9</v>
      </c>
      <c r="G259">
        <f>'insurance final cleaned'!M1315</f>
        <v>0</v>
      </c>
      <c r="H259">
        <f>'insurance final cleaned'!N1315</f>
        <v>0</v>
      </c>
      <c r="I259">
        <f>'insurance final cleaned'!O1315</f>
        <v>1</v>
      </c>
      <c r="J259">
        <f>'insurance final cleaned'!P1315</f>
        <v>0.18636192954829789</v>
      </c>
      <c r="K259">
        <f>'insurance final cleaned'!Q1315</f>
        <v>1</v>
      </c>
      <c r="L259">
        <f>'insurance final cleaned'!R1315</f>
        <v>1</v>
      </c>
      <c r="M259">
        <f>'insurance final cleaned'!S1315</f>
        <v>0</v>
      </c>
    </row>
    <row r="260" spans="1:13" x14ac:dyDescent="0.3">
      <c r="A260">
        <f>'insurance final cleaned'!J820</f>
        <v>11576.13</v>
      </c>
      <c r="B260">
        <f>'insurance final cleaned'!B820</f>
        <v>18</v>
      </c>
      <c r="C260">
        <f>'insurance final cleaned'!D820</f>
        <v>43.7</v>
      </c>
      <c r="D260">
        <f>'insurance final cleaned'!G820</f>
        <v>1</v>
      </c>
      <c r="E260">
        <f>'insurance final cleaned'!E820</f>
        <v>101</v>
      </c>
      <c r="F260">
        <f>'insurance final cleaned'!L820</f>
        <v>0</v>
      </c>
      <c r="G260">
        <f>'insurance final cleaned'!M820</f>
        <v>0</v>
      </c>
      <c r="H260">
        <f>'insurance final cleaned'!N820</f>
        <v>1</v>
      </c>
      <c r="I260">
        <f>'insurance final cleaned'!O820</f>
        <v>0</v>
      </c>
      <c r="J260">
        <f>'insurance final cleaned'!P820</f>
        <v>0.18657789017243809</v>
      </c>
      <c r="K260">
        <f>'insurance final cleaned'!Q820</f>
        <v>0</v>
      </c>
      <c r="L260">
        <f>'insurance final cleaned'!R820</f>
        <v>0</v>
      </c>
      <c r="M260">
        <f>'insurance final cleaned'!S820</f>
        <v>0</v>
      </c>
    </row>
    <row r="261" spans="1:13" x14ac:dyDescent="0.3">
      <c r="A261">
        <f>'insurance final cleaned'!J226</f>
        <v>3392.37</v>
      </c>
      <c r="B261">
        <f>'insurance final cleaned'!B226</f>
        <v>40</v>
      </c>
      <c r="C261">
        <f>'insurance final cleaned'!D226</f>
        <v>29.5</v>
      </c>
      <c r="D261">
        <f>'insurance final cleaned'!G226</f>
        <v>1</v>
      </c>
      <c r="E261">
        <f>'insurance final cleaned'!E226</f>
        <v>100</v>
      </c>
      <c r="F261">
        <f>'insurance final cleaned'!L226</f>
        <v>0</v>
      </c>
      <c r="G261">
        <f>'insurance final cleaned'!M226</f>
        <v>1</v>
      </c>
      <c r="H261">
        <f>'insurance final cleaned'!N226</f>
        <v>0</v>
      </c>
      <c r="I261">
        <f>'insurance final cleaned'!O226</f>
        <v>0</v>
      </c>
      <c r="J261">
        <f>'insurance final cleaned'!P226</f>
        <v>0.19001386962887423</v>
      </c>
      <c r="K261">
        <f>'insurance final cleaned'!Q226</f>
        <v>0</v>
      </c>
      <c r="L261">
        <f>'insurance final cleaned'!R226</f>
        <v>0</v>
      </c>
      <c r="M261">
        <f>'insurance final cleaned'!S226</f>
        <v>1</v>
      </c>
    </row>
    <row r="262" spans="1:13" x14ac:dyDescent="0.3">
      <c r="A262">
        <f>'insurance final cleaned'!J489</f>
        <v>6748.59</v>
      </c>
      <c r="B262">
        <f>'insurance final cleaned'!B489</f>
        <v>37</v>
      </c>
      <c r="C262">
        <f>'insurance final cleaned'!D489</f>
        <v>28.9</v>
      </c>
      <c r="D262">
        <f>'insurance final cleaned'!G489</f>
        <v>3</v>
      </c>
      <c r="E262">
        <f>'insurance final cleaned'!E489</f>
        <v>91</v>
      </c>
      <c r="F262">
        <f>'insurance final cleaned'!L489</f>
        <v>0</v>
      </c>
      <c r="G262">
        <f>'insurance final cleaned'!M489</f>
        <v>1</v>
      </c>
      <c r="H262">
        <f>'insurance final cleaned'!N489</f>
        <v>0</v>
      </c>
      <c r="I262">
        <f>'insurance final cleaned'!O489</f>
        <v>0</v>
      </c>
      <c r="J262">
        <f>'insurance final cleaned'!P489</f>
        <v>0.19044322092017929</v>
      </c>
      <c r="K262">
        <f>'insurance final cleaned'!Q489</f>
        <v>0</v>
      </c>
      <c r="L262">
        <f>'insurance final cleaned'!R489</f>
        <v>0</v>
      </c>
      <c r="M262">
        <f>'insurance final cleaned'!S489</f>
        <v>0</v>
      </c>
    </row>
    <row r="263" spans="1:13" x14ac:dyDescent="0.3">
      <c r="A263">
        <f>'insurance final cleaned'!J160</f>
        <v>2597.7800000000002</v>
      </c>
      <c r="B263">
        <f>'insurance final cleaned'!B160</f>
        <v>57</v>
      </c>
      <c r="C263">
        <f>'insurance final cleaned'!D160</f>
        <v>26.4</v>
      </c>
      <c r="D263">
        <f>'insurance final cleaned'!G160</f>
        <v>1</v>
      </c>
      <c r="E263">
        <f>'insurance final cleaned'!E160</f>
        <v>86</v>
      </c>
      <c r="F263">
        <f>'insurance final cleaned'!L160</f>
        <v>0</v>
      </c>
      <c r="G263">
        <f>'insurance final cleaned'!M160</f>
        <v>0</v>
      </c>
      <c r="H263">
        <f>'insurance final cleaned'!N160</f>
        <v>1</v>
      </c>
      <c r="I263">
        <f>'insurance final cleaned'!O160</f>
        <v>0</v>
      </c>
      <c r="J263">
        <f>'insurance final cleaned'!P160</f>
        <v>0.19277361657286907</v>
      </c>
      <c r="K263">
        <f>'insurance final cleaned'!Q160</f>
        <v>0</v>
      </c>
      <c r="L263">
        <f>'insurance final cleaned'!R160</f>
        <v>0</v>
      </c>
      <c r="M263">
        <f>'insurance final cleaned'!S160</f>
        <v>1</v>
      </c>
    </row>
    <row r="264" spans="1:13" x14ac:dyDescent="0.3">
      <c r="A264">
        <f>'insurance final cleaned'!J279</f>
        <v>4076.5</v>
      </c>
      <c r="B264">
        <f>'insurance final cleaned'!B279</f>
        <v>26</v>
      </c>
      <c r="C264">
        <f>'insurance final cleaned'!D279</f>
        <v>31.5</v>
      </c>
      <c r="D264">
        <f>'insurance final cleaned'!G279</f>
        <v>1</v>
      </c>
      <c r="E264">
        <f>'insurance final cleaned'!E279</f>
        <v>95</v>
      </c>
      <c r="F264">
        <f>'insurance final cleaned'!L279</f>
        <v>0</v>
      </c>
      <c r="G264">
        <f>'insurance final cleaned'!M279</f>
        <v>0</v>
      </c>
      <c r="H264">
        <f>'insurance final cleaned'!N279</f>
        <v>1</v>
      </c>
      <c r="I264">
        <f>'insurance final cleaned'!O279</f>
        <v>0</v>
      </c>
      <c r="J264">
        <f>'insurance final cleaned'!P279</f>
        <v>0.19277772611386967</v>
      </c>
      <c r="K264">
        <f>'insurance final cleaned'!Q279</f>
        <v>0</v>
      </c>
      <c r="L264">
        <f>'insurance final cleaned'!R279</f>
        <v>1</v>
      </c>
      <c r="M264">
        <f>'insurance final cleaned'!S279</f>
        <v>0</v>
      </c>
    </row>
    <row r="265" spans="1:13" x14ac:dyDescent="0.3">
      <c r="A265">
        <f>'insurance final cleaned'!J713</f>
        <v>9957.7199999999993</v>
      </c>
      <c r="B265">
        <f>'insurance final cleaned'!B713</f>
        <v>24</v>
      </c>
      <c r="C265">
        <f>'insurance final cleaned'!D713</f>
        <v>27.7</v>
      </c>
      <c r="D265">
        <f>'insurance final cleaned'!G713</f>
        <v>1</v>
      </c>
      <c r="E265">
        <f>'insurance final cleaned'!E713</f>
        <v>109</v>
      </c>
      <c r="F265">
        <f>'insurance final cleaned'!L713</f>
        <v>0</v>
      </c>
      <c r="G265">
        <f>'insurance final cleaned'!M713</f>
        <v>0</v>
      </c>
      <c r="H265">
        <f>'insurance final cleaned'!N713</f>
        <v>0</v>
      </c>
      <c r="I265">
        <f>'insurance final cleaned'!O713</f>
        <v>0</v>
      </c>
      <c r="J265">
        <f>'insurance final cleaned'!P713</f>
        <v>0.1928638803395758</v>
      </c>
      <c r="K265">
        <f>'insurance final cleaned'!Q713</f>
        <v>0</v>
      </c>
      <c r="L265">
        <f>'insurance final cleaned'!R713</f>
        <v>1</v>
      </c>
      <c r="M265">
        <f>'insurance final cleaned'!S713</f>
        <v>0</v>
      </c>
    </row>
    <row r="266" spans="1:13" x14ac:dyDescent="0.3">
      <c r="A266">
        <f>'insurance final cleaned'!J910</f>
        <v>13047.33</v>
      </c>
      <c r="B266">
        <f>'insurance final cleaned'!B910</f>
        <v>31</v>
      </c>
      <c r="C266">
        <f>'insurance final cleaned'!D910</f>
        <v>25.4</v>
      </c>
      <c r="D266">
        <f>'insurance final cleaned'!G910</f>
        <v>3</v>
      </c>
      <c r="E266">
        <f>'insurance final cleaned'!E910</f>
        <v>100</v>
      </c>
      <c r="F266">
        <f>'insurance final cleaned'!L910</f>
        <v>0</v>
      </c>
      <c r="G266">
        <f>'insurance final cleaned'!M910</f>
        <v>0</v>
      </c>
      <c r="H266">
        <f>'insurance final cleaned'!N910</f>
        <v>0</v>
      </c>
      <c r="I266">
        <f>'insurance final cleaned'!O910</f>
        <v>0</v>
      </c>
      <c r="J266">
        <f>'insurance final cleaned'!P910</f>
        <v>0.19307596616066991</v>
      </c>
      <c r="K266">
        <f>'insurance final cleaned'!Q910</f>
        <v>0</v>
      </c>
      <c r="L266">
        <f>'insurance final cleaned'!R910</f>
        <v>1</v>
      </c>
      <c r="M266">
        <f>'insurance final cleaned'!S910</f>
        <v>1</v>
      </c>
    </row>
    <row r="267" spans="1:13" x14ac:dyDescent="0.3">
      <c r="A267">
        <f>'insurance final cleaned'!J126</f>
        <v>2217.6</v>
      </c>
      <c r="B267">
        <f>'insurance final cleaned'!B126</f>
        <v>33</v>
      </c>
      <c r="C267">
        <f>'insurance final cleaned'!D126</f>
        <v>40.299999999999997</v>
      </c>
      <c r="D267">
        <f>'insurance final cleaned'!G126</f>
        <v>0</v>
      </c>
      <c r="E267">
        <f>'insurance final cleaned'!E126</f>
        <v>94</v>
      </c>
      <c r="F267">
        <f>'insurance final cleaned'!L126</f>
        <v>0</v>
      </c>
      <c r="G267">
        <f>'insurance final cleaned'!M126</f>
        <v>1</v>
      </c>
      <c r="H267">
        <f>'insurance final cleaned'!N126</f>
        <v>0</v>
      </c>
      <c r="I267">
        <f>'insurance final cleaned'!O126</f>
        <v>0</v>
      </c>
      <c r="J267">
        <f>'insurance final cleaned'!P126</f>
        <v>0.19309090261018946</v>
      </c>
      <c r="K267">
        <f>'insurance final cleaned'!Q126</f>
        <v>0</v>
      </c>
      <c r="L267">
        <f>'insurance final cleaned'!R126</f>
        <v>1</v>
      </c>
      <c r="M267">
        <f>'insurance final cleaned'!S126</f>
        <v>1</v>
      </c>
    </row>
    <row r="268" spans="1:13" x14ac:dyDescent="0.3">
      <c r="A268">
        <f>'insurance final cleaned'!J732</f>
        <v>10269.459999999999</v>
      </c>
      <c r="B268">
        <f>'insurance final cleaned'!B732</f>
        <v>19</v>
      </c>
      <c r="C268">
        <f>'insurance final cleaned'!D732</f>
        <v>32.299999999999997</v>
      </c>
      <c r="D268">
        <f>'insurance final cleaned'!G732</f>
        <v>3</v>
      </c>
      <c r="E268">
        <f>'insurance final cleaned'!E732</f>
        <v>93</v>
      </c>
      <c r="F268">
        <f>'insurance final cleaned'!L732</f>
        <v>0</v>
      </c>
      <c r="G268">
        <f>'insurance final cleaned'!M732</f>
        <v>0</v>
      </c>
      <c r="H268">
        <f>'insurance final cleaned'!N732</f>
        <v>0</v>
      </c>
      <c r="I268">
        <f>'insurance final cleaned'!O732</f>
        <v>1</v>
      </c>
      <c r="J268">
        <f>'insurance final cleaned'!P732</f>
        <v>0.19473976838906903</v>
      </c>
      <c r="K268">
        <f>'insurance final cleaned'!Q732</f>
        <v>0</v>
      </c>
      <c r="L268">
        <f>'insurance final cleaned'!R732</f>
        <v>1</v>
      </c>
      <c r="M268">
        <f>'insurance final cleaned'!S732</f>
        <v>0</v>
      </c>
    </row>
    <row r="269" spans="1:13" x14ac:dyDescent="0.3">
      <c r="A269">
        <f>'insurance final cleaned'!J1005</f>
        <v>16577.78</v>
      </c>
      <c r="B269">
        <f>'insurance final cleaned'!B1005</f>
        <v>42</v>
      </c>
      <c r="C269">
        <f>'insurance final cleaned'!D1005</f>
        <v>24.8</v>
      </c>
      <c r="D269">
        <f>'insurance final cleaned'!G1005</f>
        <v>0</v>
      </c>
      <c r="E269">
        <f>'insurance final cleaned'!E1005</f>
        <v>83</v>
      </c>
      <c r="F269">
        <f>'insurance final cleaned'!L1005</f>
        <v>24.8</v>
      </c>
      <c r="G269">
        <f>'insurance final cleaned'!M1005</f>
        <v>1</v>
      </c>
      <c r="H269">
        <f>'insurance final cleaned'!N1005</f>
        <v>0</v>
      </c>
      <c r="I269">
        <f>'insurance final cleaned'!O1005</f>
        <v>0</v>
      </c>
      <c r="J269">
        <f>'insurance final cleaned'!P1005</f>
        <v>0.19506160233523329</v>
      </c>
      <c r="K269">
        <f>'insurance final cleaned'!Q1005</f>
        <v>1</v>
      </c>
      <c r="L269">
        <f>'insurance final cleaned'!R1005</f>
        <v>0</v>
      </c>
      <c r="M269">
        <f>'insurance final cleaned'!S1005</f>
        <v>1</v>
      </c>
    </row>
    <row r="270" spans="1:13" x14ac:dyDescent="0.3">
      <c r="A270">
        <f>'insurance final cleaned'!J71</f>
        <v>1769.53</v>
      </c>
      <c r="B270">
        <f>'insurance final cleaned'!B71</f>
        <v>32</v>
      </c>
      <c r="C270">
        <f>'insurance final cleaned'!D71</f>
        <v>29.7</v>
      </c>
      <c r="D270">
        <f>'insurance final cleaned'!G71</f>
        <v>0</v>
      </c>
      <c r="E270">
        <f>'insurance final cleaned'!E71</f>
        <v>80</v>
      </c>
      <c r="F270">
        <f>'insurance final cleaned'!L71</f>
        <v>0</v>
      </c>
      <c r="G270">
        <f>'insurance final cleaned'!M71</f>
        <v>0</v>
      </c>
      <c r="H270">
        <f>'insurance final cleaned'!N71</f>
        <v>0</v>
      </c>
      <c r="I270">
        <f>'insurance final cleaned'!O71</f>
        <v>1</v>
      </c>
      <c r="J270">
        <f>'insurance final cleaned'!P71</f>
        <v>0.19739927990635664</v>
      </c>
      <c r="K270">
        <f>'insurance final cleaned'!Q71</f>
        <v>0</v>
      </c>
      <c r="L270">
        <f>'insurance final cleaned'!R71</f>
        <v>1</v>
      </c>
      <c r="M270">
        <f>'insurance final cleaned'!S71</f>
        <v>0</v>
      </c>
    </row>
    <row r="271" spans="1:13" x14ac:dyDescent="0.3">
      <c r="A271">
        <f>'insurance final cleaned'!J1035</f>
        <v>18310.740000000002</v>
      </c>
      <c r="B271">
        <f>'insurance final cleaned'!B1035</f>
        <v>23</v>
      </c>
      <c r="C271">
        <f>'insurance final cleaned'!D1035</f>
        <v>28.5</v>
      </c>
      <c r="D271">
        <f>'insurance final cleaned'!G1035</f>
        <v>0</v>
      </c>
      <c r="E271">
        <f>'insurance final cleaned'!E1035</f>
        <v>97</v>
      </c>
      <c r="F271">
        <f>'insurance final cleaned'!L1035</f>
        <v>28.5</v>
      </c>
      <c r="G271">
        <f>'insurance final cleaned'!M1035</f>
        <v>0</v>
      </c>
      <c r="H271">
        <f>'insurance final cleaned'!N1035</f>
        <v>0</v>
      </c>
      <c r="I271">
        <f>'insurance final cleaned'!O1035</f>
        <v>1</v>
      </c>
      <c r="J271">
        <f>'insurance final cleaned'!P1035</f>
        <v>0.19766990626908554</v>
      </c>
      <c r="K271">
        <f>'insurance final cleaned'!Q1035</f>
        <v>1</v>
      </c>
      <c r="L271">
        <f>'insurance final cleaned'!R1035</f>
        <v>0</v>
      </c>
      <c r="M271">
        <f>'insurance final cleaned'!S1035</f>
        <v>0</v>
      </c>
    </row>
    <row r="272" spans="1:13" x14ac:dyDescent="0.3">
      <c r="A272">
        <f>'insurance final cleaned'!J225</f>
        <v>3385.4</v>
      </c>
      <c r="B272">
        <f>'insurance final cleaned'!B225</f>
        <v>28</v>
      </c>
      <c r="C272">
        <f>'insurance final cleaned'!D225</f>
        <v>28.8</v>
      </c>
      <c r="D272">
        <f>'insurance final cleaned'!G225</f>
        <v>0</v>
      </c>
      <c r="E272">
        <f>'insurance final cleaned'!E225</f>
        <v>99</v>
      </c>
      <c r="F272">
        <f>'insurance final cleaned'!L225</f>
        <v>0</v>
      </c>
      <c r="G272">
        <f>'insurance final cleaned'!M225</f>
        <v>0</v>
      </c>
      <c r="H272">
        <f>'insurance final cleaned'!N225</f>
        <v>0</v>
      </c>
      <c r="I272">
        <f>'insurance final cleaned'!O225</f>
        <v>0</v>
      </c>
      <c r="J272">
        <f>'insurance final cleaned'!P225</f>
        <v>0.19906794440011044</v>
      </c>
      <c r="K272">
        <f>'insurance final cleaned'!Q225</f>
        <v>0</v>
      </c>
      <c r="L272">
        <f>'insurance final cleaned'!R225</f>
        <v>1</v>
      </c>
      <c r="M272">
        <f>'insurance final cleaned'!S225</f>
        <v>1</v>
      </c>
    </row>
    <row r="273" spans="1:13" x14ac:dyDescent="0.3">
      <c r="A273">
        <f>'insurance final cleaned'!J267</f>
        <v>3956.07</v>
      </c>
      <c r="B273">
        <f>'insurance final cleaned'!B267</f>
        <v>38</v>
      </c>
      <c r="C273">
        <f>'insurance final cleaned'!D267</f>
        <v>31.3</v>
      </c>
      <c r="D273">
        <f>'insurance final cleaned'!G267</f>
        <v>1</v>
      </c>
      <c r="E273">
        <f>'insurance final cleaned'!E267</f>
        <v>86</v>
      </c>
      <c r="F273">
        <f>'insurance final cleaned'!L267</f>
        <v>0</v>
      </c>
      <c r="G273">
        <f>'insurance final cleaned'!M267</f>
        <v>0</v>
      </c>
      <c r="H273">
        <f>'insurance final cleaned'!N267</f>
        <v>0</v>
      </c>
      <c r="I273">
        <f>'insurance final cleaned'!O267</f>
        <v>1</v>
      </c>
      <c r="J273">
        <f>'insurance final cleaned'!P267</f>
        <v>0.19953382948913223</v>
      </c>
      <c r="K273">
        <f>'insurance final cleaned'!Q267</f>
        <v>0</v>
      </c>
      <c r="L273">
        <f>'insurance final cleaned'!R267</f>
        <v>1</v>
      </c>
      <c r="M273">
        <f>'insurance final cleaned'!S267</f>
        <v>1</v>
      </c>
    </row>
    <row r="274" spans="1:13" x14ac:dyDescent="0.3">
      <c r="A274">
        <f>'insurance final cleaned'!J697</f>
        <v>9724.5300000000007</v>
      </c>
      <c r="B274">
        <f>'insurance final cleaned'!B697</f>
        <v>26</v>
      </c>
      <c r="C274">
        <f>'insurance final cleaned'!D697</f>
        <v>30.2</v>
      </c>
      <c r="D274">
        <f>'insurance final cleaned'!G697</f>
        <v>1</v>
      </c>
      <c r="E274">
        <f>'insurance final cleaned'!E697</f>
        <v>99</v>
      </c>
      <c r="F274">
        <f>'insurance final cleaned'!L697</f>
        <v>0</v>
      </c>
      <c r="G274">
        <f>'insurance final cleaned'!M697</f>
        <v>0</v>
      </c>
      <c r="H274">
        <f>'insurance final cleaned'!N697</f>
        <v>1</v>
      </c>
      <c r="I274">
        <f>'insurance final cleaned'!O697</f>
        <v>0</v>
      </c>
      <c r="J274">
        <f>'insurance final cleaned'!P697</f>
        <v>0.19975312756734398</v>
      </c>
      <c r="K274">
        <f>'insurance final cleaned'!Q697</f>
        <v>0</v>
      </c>
      <c r="L274">
        <f>'insurance final cleaned'!R697</f>
        <v>0</v>
      </c>
      <c r="M274">
        <f>'insurance final cleaned'!S697</f>
        <v>0</v>
      </c>
    </row>
    <row r="275" spans="1:13" x14ac:dyDescent="0.3">
      <c r="A275">
        <f>'insurance final cleaned'!J1266</f>
        <v>40273.65</v>
      </c>
      <c r="B275">
        <f>'insurance final cleaned'!B1266</f>
        <v>21</v>
      </c>
      <c r="C275">
        <f>'insurance final cleaned'!D1266</f>
        <v>35.799999999999997</v>
      </c>
      <c r="D275">
        <f>'insurance final cleaned'!G1266</f>
        <v>1</v>
      </c>
      <c r="E275">
        <f>'insurance final cleaned'!E1266</f>
        <v>116</v>
      </c>
      <c r="F275">
        <f>'insurance final cleaned'!L1266</f>
        <v>35.799999999999997</v>
      </c>
      <c r="G275">
        <f>'insurance final cleaned'!M1266</f>
        <v>1</v>
      </c>
      <c r="H275">
        <f>'insurance final cleaned'!N1266</f>
        <v>0</v>
      </c>
      <c r="I275">
        <f>'insurance final cleaned'!O1266</f>
        <v>0</v>
      </c>
      <c r="J275">
        <f>'insurance final cleaned'!P1266</f>
        <v>0.19995628118102271</v>
      </c>
      <c r="K275">
        <f>'insurance final cleaned'!Q1266</f>
        <v>1</v>
      </c>
      <c r="L275">
        <f>'insurance final cleaned'!R1266</f>
        <v>0</v>
      </c>
      <c r="M275">
        <f>'insurance final cleaned'!S1266</f>
        <v>0</v>
      </c>
    </row>
    <row r="276" spans="1:13" x14ac:dyDescent="0.3">
      <c r="A276">
        <f>'insurance final cleaned'!J921</f>
        <v>13228.85</v>
      </c>
      <c r="B276">
        <f>'insurance final cleaned'!B921</f>
        <v>48</v>
      </c>
      <c r="C276">
        <f>'insurance final cleaned'!D921</f>
        <v>36</v>
      </c>
      <c r="D276">
        <f>'insurance final cleaned'!G921</f>
        <v>0</v>
      </c>
      <c r="E276">
        <f>'insurance final cleaned'!E921</f>
        <v>83</v>
      </c>
      <c r="F276">
        <f>'insurance final cleaned'!L921</f>
        <v>0</v>
      </c>
      <c r="G276">
        <f>'insurance final cleaned'!M921</f>
        <v>0</v>
      </c>
      <c r="H276">
        <f>'insurance final cleaned'!N921</f>
        <v>0</v>
      </c>
      <c r="I276">
        <f>'insurance final cleaned'!O921</f>
        <v>0</v>
      </c>
      <c r="J276">
        <f>'insurance final cleaned'!P921</f>
        <v>0.20169692900239011</v>
      </c>
      <c r="K276">
        <f>'insurance final cleaned'!Q921</f>
        <v>0</v>
      </c>
      <c r="L276">
        <f>'insurance final cleaned'!R921</f>
        <v>0</v>
      </c>
      <c r="M276">
        <f>'insurance final cleaned'!S921</f>
        <v>1</v>
      </c>
    </row>
    <row r="277" spans="1:13" x14ac:dyDescent="0.3">
      <c r="A277">
        <f>'insurance final cleaned'!J235</f>
        <v>3500.61</v>
      </c>
      <c r="B277">
        <f>'insurance final cleaned'!B235</f>
        <v>30</v>
      </c>
      <c r="C277">
        <f>'insurance final cleaned'!D235</f>
        <v>39.299999999999997</v>
      </c>
      <c r="D277">
        <f>'insurance final cleaned'!G235</f>
        <v>2</v>
      </c>
      <c r="E277">
        <f>'insurance final cleaned'!E235</f>
        <v>92</v>
      </c>
      <c r="F277">
        <f>'insurance final cleaned'!L235</f>
        <v>0</v>
      </c>
      <c r="G277">
        <f>'insurance final cleaned'!M235</f>
        <v>1</v>
      </c>
      <c r="H277">
        <f>'insurance final cleaned'!N235</f>
        <v>0</v>
      </c>
      <c r="I277">
        <f>'insurance final cleaned'!O235</f>
        <v>0</v>
      </c>
      <c r="J277">
        <f>'insurance final cleaned'!P235</f>
        <v>0.20222047154978295</v>
      </c>
      <c r="K277">
        <f>'insurance final cleaned'!Q235</f>
        <v>0</v>
      </c>
      <c r="L277">
        <f>'insurance final cleaned'!R235</f>
        <v>0</v>
      </c>
      <c r="M277">
        <f>'insurance final cleaned'!S235</f>
        <v>1</v>
      </c>
    </row>
    <row r="278" spans="1:13" x14ac:dyDescent="0.3">
      <c r="A278">
        <f>'insurance final cleaned'!J308</f>
        <v>4435.09</v>
      </c>
      <c r="B278">
        <f>'insurance final cleaned'!B308</f>
        <v>44</v>
      </c>
      <c r="C278">
        <f>'insurance final cleaned'!D308</f>
        <v>27</v>
      </c>
      <c r="D278">
        <f>'insurance final cleaned'!G308</f>
        <v>2</v>
      </c>
      <c r="E278">
        <f>'insurance final cleaned'!E308</f>
        <v>100</v>
      </c>
      <c r="F278">
        <f>'insurance final cleaned'!L308</f>
        <v>0</v>
      </c>
      <c r="G278">
        <f>'insurance final cleaned'!M308</f>
        <v>1</v>
      </c>
      <c r="H278">
        <f>'insurance final cleaned'!N308</f>
        <v>0</v>
      </c>
      <c r="I278">
        <f>'insurance final cleaned'!O308</f>
        <v>0</v>
      </c>
      <c r="J278">
        <f>'insurance final cleaned'!P308</f>
        <v>0.20239586079948613</v>
      </c>
      <c r="K278">
        <f>'insurance final cleaned'!Q308</f>
        <v>0</v>
      </c>
      <c r="L278">
        <f>'insurance final cleaned'!R308</f>
        <v>1</v>
      </c>
      <c r="M278">
        <f>'insurance final cleaned'!S308</f>
        <v>0</v>
      </c>
    </row>
    <row r="279" spans="1:13" x14ac:dyDescent="0.3">
      <c r="A279">
        <f>'insurance final cleaned'!J802</f>
        <v>11363.28</v>
      </c>
      <c r="B279">
        <f>'insurance final cleaned'!B802</f>
        <v>32</v>
      </c>
      <c r="C279">
        <f>'insurance final cleaned'!D802</f>
        <v>36.1</v>
      </c>
      <c r="D279">
        <f>'insurance final cleaned'!G802</f>
        <v>0</v>
      </c>
      <c r="E279">
        <f>'insurance final cleaned'!E802</f>
        <v>80</v>
      </c>
      <c r="F279">
        <f>'insurance final cleaned'!L802</f>
        <v>0</v>
      </c>
      <c r="G279">
        <f>'insurance final cleaned'!M802</f>
        <v>1</v>
      </c>
      <c r="H279">
        <f>'insurance final cleaned'!N802</f>
        <v>0</v>
      </c>
      <c r="I279">
        <f>'insurance final cleaned'!O802</f>
        <v>0</v>
      </c>
      <c r="J279">
        <f>'insurance final cleaned'!P802</f>
        <v>0.2024860397245416</v>
      </c>
      <c r="K279">
        <f>'insurance final cleaned'!Q802</f>
        <v>0</v>
      </c>
      <c r="L279">
        <f>'insurance final cleaned'!R802</f>
        <v>0</v>
      </c>
      <c r="M279">
        <f>'insurance final cleaned'!S802</f>
        <v>0</v>
      </c>
    </row>
    <row r="280" spans="1:13" x14ac:dyDescent="0.3">
      <c r="A280">
        <f>'insurance final cleaned'!J169</f>
        <v>2709.24</v>
      </c>
      <c r="B280">
        <f>'insurance final cleaned'!B169</f>
        <v>58</v>
      </c>
      <c r="C280">
        <f>'insurance final cleaned'!D169</f>
        <v>24.6</v>
      </c>
      <c r="D280">
        <f>'insurance final cleaned'!G169</f>
        <v>1</v>
      </c>
      <c r="E280">
        <f>'insurance final cleaned'!E169</f>
        <v>87</v>
      </c>
      <c r="F280">
        <f>'insurance final cleaned'!L169</f>
        <v>0</v>
      </c>
      <c r="G280">
        <f>'insurance final cleaned'!M169</f>
        <v>0</v>
      </c>
      <c r="H280">
        <f>'insurance final cleaned'!N169</f>
        <v>0</v>
      </c>
      <c r="I280">
        <f>'insurance final cleaned'!O169</f>
        <v>1</v>
      </c>
      <c r="J280">
        <f>'insurance final cleaned'!P169</f>
        <v>0.2029516616673378</v>
      </c>
      <c r="K280">
        <f>'insurance final cleaned'!Q169</f>
        <v>0</v>
      </c>
      <c r="L280">
        <f>'insurance final cleaned'!R169</f>
        <v>1</v>
      </c>
      <c r="M280">
        <f>'insurance final cleaned'!S169</f>
        <v>1</v>
      </c>
    </row>
    <row r="281" spans="1:13" x14ac:dyDescent="0.3">
      <c r="A281">
        <f>'insurance final cleaned'!J382</f>
        <v>5261.47</v>
      </c>
      <c r="B281">
        <f>'insurance final cleaned'!B382</f>
        <v>19</v>
      </c>
      <c r="C281">
        <f>'insurance final cleaned'!D382</f>
        <v>27.5</v>
      </c>
      <c r="D281">
        <f>'insurance final cleaned'!G382</f>
        <v>2</v>
      </c>
      <c r="E281">
        <f>'insurance final cleaned'!E382</f>
        <v>83</v>
      </c>
      <c r="F281">
        <f>'insurance final cleaned'!L382</f>
        <v>0</v>
      </c>
      <c r="G281">
        <f>'insurance final cleaned'!M382</f>
        <v>0</v>
      </c>
      <c r="H281">
        <f>'insurance final cleaned'!N382</f>
        <v>0</v>
      </c>
      <c r="I281">
        <f>'insurance final cleaned'!O382</f>
        <v>1</v>
      </c>
      <c r="J281">
        <f>'insurance final cleaned'!P382</f>
        <v>0.20326108573903034</v>
      </c>
      <c r="K281">
        <f>'insurance final cleaned'!Q382</f>
        <v>0</v>
      </c>
      <c r="L281">
        <f>'insurance final cleaned'!R382</f>
        <v>0</v>
      </c>
      <c r="M281">
        <f>'insurance final cleaned'!S382</f>
        <v>0</v>
      </c>
    </row>
    <row r="282" spans="1:13" x14ac:dyDescent="0.3">
      <c r="A282">
        <f>'insurance final cleaned'!J1230</f>
        <v>37133.9</v>
      </c>
      <c r="B282">
        <f>'insurance final cleaned'!B1230</f>
        <v>32</v>
      </c>
      <c r="C282">
        <f>'insurance final cleaned'!D1230</f>
        <v>36.1</v>
      </c>
      <c r="D282">
        <f>'insurance final cleaned'!G1230</f>
        <v>0</v>
      </c>
      <c r="E282">
        <f>'insurance final cleaned'!E1230</f>
        <v>97</v>
      </c>
      <c r="F282">
        <f>'insurance final cleaned'!L1230</f>
        <v>36.1</v>
      </c>
      <c r="G282">
        <f>'insurance final cleaned'!M1230</f>
        <v>1</v>
      </c>
      <c r="H282">
        <f>'insurance final cleaned'!N1230</f>
        <v>0</v>
      </c>
      <c r="I282">
        <f>'insurance final cleaned'!O1230</f>
        <v>0</v>
      </c>
      <c r="J282">
        <f>'insurance final cleaned'!P1230</f>
        <v>0.20390448224137159</v>
      </c>
      <c r="K282">
        <f>'insurance final cleaned'!Q1230</f>
        <v>1</v>
      </c>
      <c r="L282">
        <f>'insurance final cleaned'!R1230</f>
        <v>1</v>
      </c>
      <c r="M282">
        <f>'insurance final cleaned'!S1230</f>
        <v>1</v>
      </c>
    </row>
    <row r="283" spans="1:13" x14ac:dyDescent="0.3">
      <c r="A283">
        <f>'insurance final cleaned'!J355</f>
        <v>4894.75</v>
      </c>
      <c r="B283">
        <f>'insurance final cleaned'!B355</f>
        <v>39</v>
      </c>
      <c r="C283">
        <f>'insurance final cleaned'!D355</f>
        <v>25.3</v>
      </c>
      <c r="D283">
        <f>'insurance final cleaned'!G355</f>
        <v>1</v>
      </c>
      <c r="E283">
        <f>'insurance final cleaned'!E355</f>
        <v>91</v>
      </c>
      <c r="F283">
        <f>'insurance final cleaned'!L355</f>
        <v>0</v>
      </c>
      <c r="G283">
        <f>'insurance final cleaned'!M355</f>
        <v>0</v>
      </c>
      <c r="H283">
        <f>'insurance final cleaned'!N355</f>
        <v>0</v>
      </c>
      <c r="I283">
        <f>'insurance final cleaned'!O355</f>
        <v>1</v>
      </c>
      <c r="J283">
        <f>'insurance final cleaned'!P355</f>
        <v>0.2041583013559366</v>
      </c>
      <c r="K283">
        <f>'insurance final cleaned'!Q355</f>
        <v>0</v>
      </c>
      <c r="L283">
        <f>'insurance final cleaned'!R355</f>
        <v>0</v>
      </c>
      <c r="M283">
        <f>'insurance final cleaned'!S355</f>
        <v>0</v>
      </c>
    </row>
    <row r="284" spans="1:13" x14ac:dyDescent="0.3">
      <c r="A284">
        <f>'insurance final cleaned'!J473</f>
        <v>6551.75</v>
      </c>
      <c r="B284">
        <f>'insurance final cleaned'!B473</f>
        <v>29</v>
      </c>
      <c r="C284">
        <f>'insurance final cleaned'!D473</f>
        <v>36.299999999999997</v>
      </c>
      <c r="D284">
        <f>'insurance final cleaned'!G473</f>
        <v>3</v>
      </c>
      <c r="E284">
        <f>'insurance final cleaned'!E473</f>
        <v>83</v>
      </c>
      <c r="F284">
        <f>'insurance final cleaned'!L473</f>
        <v>0</v>
      </c>
      <c r="G284">
        <f>'insurance final cleaned'!M473</f>
        <v>1</v>
      </c>
      <c r="H284">
        <f>'insurance final cleaned'!N473</f>
        <v>0</v>
      </c>
      <c r="I284">
        <f>'insurance final cleaned'!O473</f>
        <v>0</v>
      </c>
      <c r="J284">
        <f>'insurance final cleaned'!P473</f>
        <v>0.20455083068214497</v>
      </c>
      <c r="K284">
        <f>'insurance final cleaned'!Q473</f>
        <v>0</v>
      </c>
      <c r="L284">
        <f>'insurance final cleaned'!R473</f>
        <v>0</v>
      </c>
      <c r="M284">
        <f>'insurance final cleaned'!S473</f>
        <v>1</v>
      </c>
    </row>
    <row r="285" spans="1:13" x14ac:dyDescent="0.3">
      <c r="A285">
        <f>'insurance final cleaned'!J1255</f>
        <v>39611.760000000002</v>
      </c>
      <c r="B285">
        <f>'insurance final cleaned'!B1255</f>
        <v>22</v>
      </c>
      <c r="C285">
        <f>'insurance final cleaned'!D1255</f>
        <v>42.1</v>
      </c>
      <c r="D285">
        <f>'insurance final cleaned'!G1255</f>
        <v>0</v>
      </c>
      <c r="E285">
        <f>'insurance final cleaned'!E1255</f>
        <v>119</v>
      </c>
      <c r="F285">
        <f>'insurance final cleaned'!L1255</f>
        <v>42.1</v>
      </c>
      <c r="G285">
        <f>'insurance final cleaned'!M1255</f>
        <v>1</v>
      </c>
      <c r="H285">
        <f>'insurance final cleaned'!N1255</f>
        <v>0</v>
      </c>
      <c r="I285">
        <f>'insurance final cleaned'!O1255</f>
        <v>0</v>
      </c>
      <c r="J285">
        <f>'insurance final cleaned'!P1255</f>
        <v>0.20570155753025821</v>
      </c>
      <c r="K285">
        <f>'insurance final cleaned'!Q1255</f>
        <v>1</v>
      </c>
      <c r="L285">
        <f>'insurance final cleaned'!R1255</f>
        <v>0</v>
      </c>
      <c r="M285">
        <f>'insurance final cleaned'!S1255</f>
        <v>0</v>
      </c>
    </row>
    <row r="286" spans="1:13" x14ac:dyDescent="0.3">
      <c r="A286">
        <f>'insurance final cleaned'!J401</f>
        <v>5458.05</v>
      </c>
      <c r="B286">
        <f>'insurance final cleaned'!B401</f>
        <v>27</v>
      </c>
      <c r="C286">
        <f>'insurance final cleaned'!D401</f>
        <v>19.899999999999999</v>
      </c>
      <c r="D286">
        <f>'insurance final cleaned'!G401</f>
        <v>0</v>
      </c>
      <c r="E286">
        <f>'insurance final cleaned'!E401</f>
        <v>81</v>
      </c>
      <c r="F286">
        <f>'insurance final cleaned'!L401</f>
        <v>0</v>
      </c>
      <c r="G286">
        <f>'insurance final cleaned'!M401</f>
        <v>1</v>
      </c>
      <c r="H286">
        <f>'insurance final cleaned'!N401</f>
        <v>0</v>
      </c>
      <c r="I286">
        <f>'insurance final cleaned'!O401</f>
        <v>0</v>
      </c>
      <c r="J286">
        <f>'insurance final cleaned'!P401</f>
        <v>0.20693166176044309</v>
      </c>
      <c r="K286">
        <f>'insurance final cleaned'!Q401</f>
        <v>0</v>
      </c>
      <c r="L286">
        <f>'insurance final cleaned'!R401</f>
        <v>0</v>
      </c>
      <c r="M286">
        <f>'insurance final cleaned'!S401</f>
        <v>1</v>
      </c>
    </row>
    <row r="287" spans="1:13" x14ac:dyDescent="0.3">
      <c r="A287">
        <f>'insurance final cleaned'!J447</f>
        <v>6203.9</v>
      </c>
      <c r="B287">
        <f>'insurance final cleaned'!B447</f>
        <v>33</v>
      </c>
      <c r="C287">
        <f>'insurance final cleaned'!D447</f>
        <v>28</v>
      </c>
      <c r="D287">
        <f>'insurance final cleaned'!G447</f>
        <v>2</v>
      </c>
      <c r="E287">
        <f>'insurance final cleaned'!E447</f>
        <v>93</v>
      </c>
      <c r="F287">
        <f>'insurance final cleaned'!L447</f>
        <v>0</v>
      </c>
      <c r="G287">
        <f>'insurance final cleaned'!M447</f>
        <v>0</v>
      </c>
      <c r="H287">
        <f>'insurance final cleaned'!N447</f>
        <v>0</v>
      </c>
      <c r="I287">
        <f>'insurance final cleaned'!O447</f>
        <v>1</v>
      </c>
      <c r="J287">
        <f>'insurance final cleaned'!P447</f>
        <v>0.20697535842207537</v>
      </c>
      <c r="K287">
        <f>'insurance final cleaned'!Q447</f>
        <v>0</v>
      </c>
      <c r="L287">
        <f>'insurance final cleaned'!R447</f>
        <v>0</v>
      </c>
      <c r="M287">
        <f>'insurance final cleaned'!S447</f>
        <v>0</v>
      </c>
    </row>
    <row r="288" spans="1:13" x14ac:dyDescent="0.3">
      <c r="A288">
        <f>'insurance final cleaned'!J552</f>
        <v>7623.52</v>
      </c>
      <c r="B288">
        <f>'insurance final cleaned'!B552</f>
        <v>28</v>
      </c>
      <c r="C288">
        <f>'insurance final cleaned'!D552</f>
        <v>25</v>
      </c>
      <c r="D288">
        <f>'insurance final cleaned'!G552</f>
        <v>1</v>
      </c>
      <c r="E288">
        <f>'insurance final cleaned'!E552</f>
        <v>97</v>
      </c>
      <c r="F288">
        <f>'insurance final cleaned'!L552</f>
        <v>0</v>
      </c>
      <c r="G288">
        <f>'insurance final cleaned'!M552</f>
        <v>0</v>
      </c>
      <c r="H288">
        <f>'insurance final cleaned'!N552</f>
        <v>1</v>
      </c>
      <c r="I288">
        <f>'insurance final cleaned'!O552</f>
        <v>0</v>
      </c>
      <c r="J288">
        <f>'insurance final cleaned'!P552</f>
        <v>0.20754235495656348</v>
      </c>
      <c r="K288">
        <f>'insurance final cleaned'!Q552</f>
        <v>0</v>
      </c>
      <c r="L288">
        <f>'insurance final cleaned'!R552</f>
        <v>0</v>
      </c>
      <c r="M288">
        <f>'insurance final cleaned'!S552</f>
        <v>1</v>
      </c>
    </row>
    <row r="289" spans="1:13" x14ac:dyDescent="0.3">
      <c r="A289">
        <f>'insurance final cleaned'!J40</f>
        <v>1633.04</v>
      </c>
      <c r="B289">
        <f>'insurance final cleaned'!B40</f>
        <v>28</v>
      </c>
      <c r="C289">
        <f>'insurance final cleaned'!D40</f>
        <v>39.200000000000003</v>
      </c>
      <c r="D289">
        <f>'insurance final cleaned'!G40</f>
        <v>0</v>
      </c>
      <c r="E289">
        <f>'insurance final cleaned'!E40</f>
        <v>87</v>
      </c>
      <c r="F289">
        <f>'insurance final cleaned'!L40</f>
        <v>0</v>
      </c>
      <c r="G289">
        <f>'insurance final cleaned'!M40</f>
        <v>1</v>
      </c>
      <c r="H289">
        <f>'insurance final cleaned'!N40</f>
        <v>0</v>
      </c>
      <c r="I289">
        <f>'insurance final cleaned'!O40</f>
        <v>0</v>
      </c>
      <c r="J289">
        <f>'insurance final cleaned'!P40</f>
        <v>0.20756277816126811</v>
      </c>
      <c r="K289">
        <f>'insurance final cleaned'!Q40</f>
        <v>0</v>
      </c>
      <c r="L289">
        <f>'insurance final cleaned'!R40</f>
        <v>0</v>
      </c>
      <c r="M289">
        <f>'insurance final cleaned'!S40</f>
        <v>1</v>
      </c>
    </row>
    <row r="290" spans="1:13" x14ac:dyDescent="0.3">
      <c r="A290">
        <f>'insurance final cleaned'!J834</f>
        <v>11837.16</v>
      </c>
      <c r="B290">
        <f>'insurance final cleaned'!B834</f>
        <v>43</v>
      </c>
      <c r="C290">
        <f>'insurance final cleaned'!D834</f>
        <v>25.2</v>
      </c>
      <c r="D290">
        <f>'insurance final cleaned'!G834</f>
        <v>0</v>
      </c>
      <c r="E290">
        <f>'insurance final cleaned'!E834</f>
        <v>91</v>
      </c>
      <c r="F290">
        <f>'insurance final cleaned'!L834</f>
        <v>0</v>
      </c>
      <c r="G290">
        <f>'insurance final cleaned'!M834</f>
        <v>0</v>
      </c>
      <c r="H290">
        <f>'insurance final cleaned'!N834</f>
        <v>1</v>
      </c>
      <c r="I290">
        <f>'insurance final cleaned'!O834</f>
        <v>0</v>
      </c>
      <c r="J290">
        <f>'insurance final cleaned'!P834</f>
        <v>0.20807210882960347</v>
      </c>
      <c r="K290">
        <f>'insurance final cleaned'!Q834</f>
        <v>0</v>
      </c>
      <c r="L290">
        <f>'insurance final cleaned'!R834</f>
        <v>1</v>
      </c>
      <c r="M290">
        <f>'insurance final cleaned'!S834</f>
        <v>1</v>
      </c>
    </row>
    <row r="291" spans="1:13" x14ac:dyDescent="0.3">
      <c r="A291">
        <f>'insurance final cleaned'!J1126</f>
        <v>24106.91</v>
      </c>
      <c r="B291">
        <f>'insurance final cleaned'!B1126</f>
        <v>46</v>
      </c>
      <c r="C291">
        <f>'insurance final cleaned'!D1126</f>
        <v>23.8</v>
      </c>
      <c r="D291">
        <f>'insurance final cleaned'!G1126</f>
        <v>3</v>
      </c>
      <c r="E291">
        <f>'insurance final cleaned'!E1126</f>
        <v>86</v>
      </c>
      <c r="F291">
        <f>'insurance final cleaned'!L1126</f>
        <v>23.8</v>
      </c>
      <c r="G291">
        <f>'insurance final cleaned'!M1126</f>
        <v>0</v>
      </c>
      <c r="H291">
        <f>'insurance final cleaned'!N1126</f>
        <v>0</v>
      </c>
      <c r="I291">
        <f>'insurance final cleaned'!O1126</f>
        <v>0</v>
      </c>
      <c r="J291">
        <f>'insurance final cleaned'!P1126</f>
        <v>0.20984578278933774</v>
      </c>
      <c r="K291">
        <f>'insurance final cleaned'!Q1126</f>
        <v>1</v>
      </c>
      <c r="L291">
        <f>'insurance final cleaned'!R1126</f>
        <v>1</v>
      </c>
      <c r="M291">
        <f>'insurance final cleaned'!S1126</f>
        <v>1</v>
      </c>
    </row>
    <row r="292" spans="1:13" x14ac:dyDescent="0.3">
      <c r="A292">
        <f>'insurance final cleaned'!J1032</f>
        <v>18223.45</v>
      </c>
      <c r="B292">
        <f>'insurance final cleaned'!B1032</f>
        <v>52</v>
      </c>
      <c r="C292">
        <f>'insurance final cleaned'!D1032</f>
        <v>27.3</v>
      </c>
      <c r="D292">
        <f>'insurance final cleaned'!G1032</f>
        <v>3</v>
      </c>
      <c r="E292">
        <f>'insurance final cleaned'!E1032</f>
        <v>104</v>
      </c>
      <c r="F292">
        <f>'insurance final cleaned'!L1032</f>
        <v>27.3</v>
      </c>
      <c r="G292">
        <f>'insurance final cleaned'!M1032</f>
        <v>1</v>
      </c>
      <c r="H292">
        <f>'insurance final cleaned'!N1032</f>
        <v>0</v>
      </c>
      <c r="I292">
        <f>'insurance final cleaned'!O1032</f>
        <v>0</v>
      </c>
      <c r="J292">
        <f>'insurance final cleaned'!P1032</f>
        <v>0.21015155089179938</v>
      </c>
      <c r="K292">
        <f>'insurance final cleaned'!Q1032</f>
        <v>1</v>
      </c>
      <c r="L292">
        <f>'insurance final cleaned'!R1032</f>
        <v>0</v>
      </c>
      <c r="M292">
        <f>'insurance final cleaned'!S1032</f>
        <v>1</v>
      </c>
    </row>
    <row r="293" spans="1:13" x14ac:dyDescent="0.3">
      <c r="A293">
        <f>'insurance final cleaned'!J835</f>
        <v>11840.78</v>
      </c>
      <c r="B293">
        <f>'insurance final cleaned'!B835</f>
        <v>25</v>
      </c>
      <c r="C293">
        <f>'insurance final cleaned'!D835</f>
        <v>30.5</v>
      </c>
      <c r="D293">
        <f>'insurance final cleaned'!G835</f>
        <v>0</v>
      </c>
      <c r="E293">
        <f>'insurance final cleaned'!E835</f>
        <v>110</v>
      </c>
      <c r="F293">
        <f>'insurance final cleaned'!L835</f>
        <v>0</v>
      </c>
      <c r="G293">
        <f>'insurance final cleaned'!M835</f>
        <v>0</v>
      </c>
      <c r="H293">
        <f>'insurance final cleaned'!N835</f>
        <v>0</v>
      </c>
      <c r="I293">
        <f>'insurance final cleaned'!O835</f>
        <v>1</v>
      </c>
      <c r="J293">
        <f>'insurance final cleaned'!P835</f>
        <v>0.21079696279415605</v>
      </c>
      <c r="K293">
        <f>'insurance final cleaned'!Q835</f>
        <v>0</v>
      </c>
      <c r="L293">
        <f>'insurance final cleaned'!R835</f>
        <v>0</v>
      </c>
      <c r="M293">
        <f>'insurance final cleaned'!S835</f>
        <v>1</v>
      </c>
    </row>
    <row r="294" spans="1:13" x14ac:dyDescent="0.3">
      <c r="A294">
        <f>'insurance final cleaned'!J321</f>
        <v>4536.26</v>
      </c>
      <c r="B294">
        <f>'insurance final cleaned'!B321</f>
        <v>26</v>
      </c>
      <c r="C294">
        <f>'insurance final cleaned'!D321</f>
        <v>42.9</v>
      </c>
      <c r="D294">
        <f>'insurance final cleaned'!G321</f>
        <v>1</v>
      </c>
      <c r="E294">
        <f>'insurance final cleaned'!E321</f>
        <v>95</v>
      </c>
      <c r="F294">
        <f>'insurance final cleaned'!L321</f>
        <v>0</v>
      </c>
      <c r="G294">
        <f>'insurance final cleaned'!M321</f>
        <v>0</v>
      </c>
      <c r="H294">
        <f>'insurance final cleaned'!N321</f>
        <v>1</v>
      </c>
      <c r="I294">
        <f>'insurance final cleaned'!O321</f>
        <v>0</v>
      </c>
      <c r="J294">
        <f>'insurance final cleaned'!P321</f>
        <v>0.21099773656010767</v>
      </c>
      <c r="K294">
        <f>'insurance final cleaned'!Q321</f>
        <v>0</v>
      </c>
      <c r="L294">
        <f>'insurance final cleaned'!R321</f>
        <v>1</v>
      </c>
      <c r="M294">
        <f>'insurance final cleaned'!S321</f>
        <v>0</v>
      </c>
    </row>
    <row r="295" spans="1:13" x14ac:dyDescent="0.3">
      <c r="A295">
        <f>'insurance final cleaned'!J906</f>
        <v>12982.87</v>
      </c>
      <c r="B295">
        <f>'insurance final cleaned'!B906</f>
        <v>25</v>
      </c>
      <c r="C295">
        <f>'insurance final cleaned'!D906</f>
        <v>39.9</v>
      </c>
      <c r="D295">
        <f>'insurance final cleaned'!G906</f>
        <v>0</v>
      </c>
      <c r="E295">
        <f>'insurance final cleaned'!E906</f>
        <v>88</v>
      </c>
      <c r="F295">
        <f>'insurance final cleaned'!L906</f>
        <v>0</v>
      </c>
      <c r="G295">
        <f>'insurance final cleaned'!M906</f>
        <v>1</v>
      </c>
      <c r="H295">
        <f>'insurance final cleaned'!N906</f>
        <v>0</v>
      </c>
      <c r="I295">
        <f>'insurance final cleaned'!O906</f>
        <v>0</v>
      </c>
      <c r="J295">
        <f>'insurance final cleaned'!P906</f>
        <v>0.21426170283265245</v>
      </c>
      <c r="K295">
        <f>'insurance final cleaned'!Q906</f>
        <v>0</v>
      </c>
      <c r="L295">
        <f>'insurance final cleaned'!R906</f>
        <v>0</v>
      </c>
      <c r="M295">
        <f>'insurance final cleaned'!S906</f>
        <v>0</v>
      </c>
    </row>
    <row r="296" spans="1:13" x14ac:dyDescent="0.3">
      <c r="A296">
        <f>'insurance final cleaned'!J926</f>
        <v>13415.04</v>
      </c>
      <c r="B296">
        <f>'insurance final cleaned'!B926</f>
        <v>45</v>
      </c>
      <c r="C296">
        <f>'insurance final cleaned'!D926</f>
        <v>21.1</v>
      </c>
      <c r="D296">
        <f>'insurance final cleaned'!G926</f>
        <v>0</v>
      </c>
      <c r="E296">
        <f>'insurance final cleaned'!E926</f>
        <v>94</v>
      </c>
      <c r="F296">
        <f>'insurance final cleaned'!L926</f>
        <v>0</v>
      </c>
      <c r="G296">
        <f>'insurance final cleaned'!M926</f>
        <v>0</v>
      </c>
      <c r="H296">
        <f>'insurance final cleaned'!N926</f>
        <v>0</v>
      </c>
      <c r="I296">
        <f>'insurance final cleaned'!O926</f>
        <v>1</v>
      </c>
      <c r="J296">
        <f>'insurance final cleaned'!P926</f>
        <v>0.21434523709053288</v>
      </c>
      <c r="K296">
        <f>'insurance final cleaned'!Q926</f>
        <v>0</v>
      </c>
      <c r="L296">
        <f>'insurance final cleaned'!R926</f>
        <v>0</v>
      </c>
      <c r="M296">
        <f>'insurance final cleaned'!S926</f>
        <v>1</v>
      </c>
    </row>
    <row r="297" spans="1:13" x14ac:dyDescent="0.3">
      <c r="A297">
        <f>'insurance final cleaned'!J860</f>
        <v>12222.9</v>
      </c>
      <c r="B297">
        <f>'insurance final cleaned'!B860</f>
        <v>34</v>
      </c>
      <c r="C297">
        <f>'insurance final cleaned'!D860</f>
        <v>27.2</v>
      </c>
      <c r="D297">
        <f>'insurance final cleaned'!G860</f>
        <v>0</v>
      </c>
      <c r="E297">
        <f>'insurance final cleaned'!E860</f>
        <v>96</v>
      </c>
      <c r="F297">
        <f>'insurance final cleaned'!L860</f>
        <v>0</v>
      </c>
      <c r="G297">
        <f>'insurance final cleaned'!M860</f>
        <v>0</v>
      </c>
      <c r="H297">
        <f>'insurance final cleaned'!N860</f>
        <v>0</v>
      </c>
      <c r="I297">
        <f>'insurance final cleaned'!O860</f>
        <v>1</v>
      </c>
      <c r="J297">
        <f>'insurance final cleaned'!P860</f>
        <v>0.21457985102107824</v>
      </c>
      <c r="K297">
        <f>'insurance final cleaned'!Q860</f>
        <v>0</v>
      </c>
      <c r="L297">
        <f>'insurance final cleaned'!R860</f>
        <v>0</v>
      </c>
      <c r="M297">
        <f>'insurance final cleaned'!S860</f>
        <v>1</v>
      </c>
    </row>
    <row r="298" spans="1:13" x14ac:dyDescent="0.3">
      <c r="A298">
        <f>'insurance final cleaned'!J805</f>
        <v>11394.07</v>
      </c>
      <c r="B298">
        <f>'insurance final cleaned'!B805</f>
        <v>20</v>
      </c>
      <c r="C298">
        <f>'insurance final cleaned'!D805</f>
        <v>35.200000000000003</v>
      </c>
      <c r="D298">
        <f>'insurance final cleaned'!G805</f>
        <v>1</v>
      </c>
      <c r="E298">
        <f>'insurance final cleaned'!E805</f>
        <v>92</v>
      </c>
      <c r="F298">
        <f>'insurance final cleaned'!L805</f>
        <v>0</v>
      </c>
      <c r="G298">
        <f>'insurance final cleaned'!M805</f>
        <v>0</v>
      </c>
      <c r="H298">
        <f>'insurance final cleaned'!N805</f>
        <v>0</v>
      </c>
      <c r="I298">
        <f>'insurance final cleaned'!O805</f>
        <v>0</v>
      </c>
      <c r="J298">
        <f>'insurance final cleaned'!P805</f>
        <v>0.21572255815341612</v>
      </c>
      <c r="K298">
        <f>'insurance final cleaned'!Q805</f>
        <v>0</v>
      </c>
      <c r="L298">
        <f>'insurance final cleaned'!R805</f>
        <v>0</v>
      </c>
      <c r="M298">
        <f>'insurance final cleaned'!S805</f>
        <v>0</v>
      </c>
    </row>
    <row r="299" spans="1:13" x14ac:dyDescent="0.3">
      <c r="A299">
        <f>'insurance final cleaned'!J294</f>
        <v>4320.41</v>
      </c>
      <c r="B299">
        <f>'insurance final cleaned'!B294</f>
        <v>21</v>
      </c>
      <c r="C299">
        <f>'insurance final cleaned'!D294</f>
        <v>35.799999999999997</v>
      </c>
      <c r="D299">
        <f>'insurance final cleaned'!G294</f>
        <v>0</v>
      </c>
      <c r="E299">
        <f>'insurance final cleaned'!E294</f>
        <v>88</v>
      </c>
      <c r="F299">
        <f>'insurance final cleaned'!L294</f>
        <v>0</v>
      </c>
      <c r="G299">
        <f>'insurance final cleaned'!M294</f>
        <v>0</v>
      </c>
      <c r="H299">
        <f>'insurance final cleaned'!N294</f>
        <v>0</v>
      </c>
      <c r="I299">
        <f>'insurance final cleaned'!O294</f>
        <v>1</v>
      </c>
      <c r="J299">
        <f>'insurance final cleaned'!P294</f>
        <v>0.21639617496186225</v>
      </c>
      <c r="K299">
        <f>'insurance final cleaned'!Q294</f>
        <v>0</v>
      </c>
      <c r="L299">
        <f>'insurance final cleaned'!R294</f>
        <v>0</v>
      </c>
      <c r="M299">
        <f>'insurance final cleaned'!S294</f>
        <v>0</v>
      </c>
    </row>
    <row r="300" spans="1:13" x14ac:dyDescent="0.3">
      <c r="A300">
        <f>'insurance final cleaned'!J296</f>
        <v>4340.4399999999996</v>
      </c>
      <c r="B300">
        <f>'insurance final cleaned'!B296</f>
        <v>57</v>
      </c>
      <c r="C300">
        <f>'insurance final cleaned'!D296</f>
        <v>26.5</v>
      </c>
      <c r="D300">
        <f>'insurance final cleaned'!G296</f>
        <v>2</v>
      </c>
      <c r="E300">
        <f>'insurance final cleaned'!E296</f>
        <v>90</v>
      </c>
      <c r="F300">
        <f>'insurance final cleaned'!L296</f>
        <v>0</v>
      </c>
      <c r="G300">
        <f>'insurance final cleaned'!M296</f>
        <v>1</v>
      </c>
      <c r="H300">
        <f>'insurance final cleaned'!N296</f>
        <v>0</v>
      </c>
      <c r="I300">
        <f>'insurance final cleaned'!O296</f>
        <v>0</v>
      </c>
      <c r="J300">
        <f>'insurance final cleaned'!P296</f>
        <v>0.21721701322360187</v>
      </c>
      <c r="K300">
        <f>'insurance final cleaned'!Q296</f>
        <v>0</v>
      </c>
      <c r="L300">
        <f>'insurance final cleaned'!R296</f>
        <v>1</v>
      </c>
      <c r="M300">
        <f>'insurance final cleaned'!S296</f>
        <v>1</v>
      </c>
    </row>
    <row r="301" spans="1:13" x14ac:dyDescent="0.3">
      <c r="A301">
        <f>'insurance final cleaned'!J1014</f>
        <v>17128.43</v>
      </c>
      <c r="B301">
        <f>'insurance final cleaned'!B1014</f>
        <v>35</v>
      </c>
      <c r="C301">
        <f>'insurance final cleaned'!D1014</f>
        <v>33.6</v>
      </c>
      <c r="D301">
        <f>'insurance final cleaned'!G1014</f>
        <v>4</v>
      </c>
      <c r="E301">
        <f>'insurance final cleaned'!E1014</f>
        <v>90</v>
      </c>
      <c r="F301">
        <f>'insurance final cleaned'!L1014</f>
        <v>0</v>
      </c>
      <c r="G301">
        <f>'insurance final cleaned'!M1014</f>
        <v>0</v>
      </c>
      <c r="H301">
        <f>'insurance final cleaned'!N1014</f>
        <v>0</v>
      </c>
      <c r="I301">
        <f>'insurance final cleaned'!O1014</f>
        <v>0</v>
      </c>
      <c r="J301">
        <f>'insurance final cleaned'!P1014</f>
        <v>0.21797305498016462</v>
      </c>
      <c r="K301">
        <f>'insurance final cleaned'!Q1014</f>
        <v>0</v>
      </c>
      <c r="L301">
        <f>'insurance final cleaned'!R1014</f>
        <v>1</v>
      </c>
      <c r="M301">
        <f>'insurance final cleaned'!S1014</f>
        <v>0</v>
      </c>
    </row>
    <row r="302" spans="1:13" x14ac:dyDescent="0.3">
      <c r="A302">
        <f>'insurance final cleaned'!J332</f>
        <v>4673.3900000000003</v>
      </c>
      <c r="B302">
        <f>'insurance final cleaned'!B332</f>
        <v>32</v>
      </c>
      <c r="C302">
        <f>'insurance final cleaned'!D332</f>
        <v>37.200000000000003</v>
      </c>
      <c r="D302">
        <f>'insurance final cleaned'!G332</f>
        <v>2</v>
      </c>
      <c r="E302">
        <f>'insurance final cleaned'!E332</f>
        <v>82</v>
      </c>
      <c r="F302">
        <f>'insurance final cleaned'!L332</f>
        <v>0</v>
      </c>
      <c r="G302">
        <f>'insurance final cleaned'!M332</f>
        <v>1</v>
      </c>
      <c r="H302">
        <f>'insurance final cleaned'!N332</f>
        <v>0</v>
      </c>
      <c r="I302">
        <f>'insurance final cleaned'!O332</f>
        <v>0</v>
      </c>
      <c r="J302">
        <f>'insurance final cleaned'!P332</f>
        <v>0.21886962526571729</v>
      </c>
      <c r="K302">
        <f>'insurance final cleaned'!Q332</f>
        <v>0</v>
      </c>
      <c r="L302">
        <f>'insurance final cleaned'!R332</f>
        <v>0</v>
      </c>
      <c r="M302">
        <f>'insurance final cleaned'!S332</f>
        <v>0</v>
      </c>
    </row>
    <row r="303" spans="1:13" x14ac:dyDescent="0.3">
      <c r="A303">
        <f>'insurance final cleaned'!J917</f>
        <v>13204.29</v>
      </c>
      <c r="B303">
        <f>'insurance final cleaned'!B917</f>
        <v>49</v>
      </c>
      <c r="C303">
        <f>'insurance final cleaned'!D917</f>
        <v>18.3</v>
      </c>
      <c r="D303">
        <f>'insurance final cleaned'!G917</f>
        <v>0</v>
      </c>
      <c r="E303">
        <f>'insurance final cleaned'!E917</f>
        <v>82</v>
      </c>
      <c r="F303">
        <f>'insurance final cleaned'!L917</f>
        <v>0</v>
      </c>
      <c r="G303">
        <f>'insurance final cleaned'!M917</f>
        <v>0</v>
      </c>
      <c r="H303">
        <f>'insurance final cleaned'!N917</f>
        <v>0</v>
      </c>
      <c r="I303">
        <f>'insurance final cleaned'!O917</f>
        <v>0</v>
      </c>
      <c r="J303">
        <f>'insurance final cleaned'!P917</f>
        <v>0.21924321541172587</v>
      </c>
      <c r="K303">
        <f>'insurance final cleaned'!Q917</f>
        <v>0</v>
      </c>
      <c r="L303">
        <f>'insurance final cleaned'!R917</f>
        <v>1</v>
      </c>
      <c r="M303">
        <f>'insurance final cleaned'!S917</f>
        <v>1</v>
      </c>
    </row>
    <row r="304" spans="1:13" x14ac:dyDescent="0.3">
      <c r="A304">
        <f>'insurance final cleaned'!J297</f>
        <v>4347.0200000000004</v>
      </c>
      <c r="B304">
        <f>'insurance final cleaned'!B297</f>
        <v>32</v>
      </c>
      <c r="C304">
        <f>'insurance final cleaned'!D297</f>
        <v>31.1</v>
      </c>
      <c r="D304">
        <f>'insurance final cleaned'!G297</f>
        <v>0</v>
      </c>
      <c r="E304">
        <f>'insurance final cleaned'!E297</f>
        <v>88</v>
      </c>
      <c r="F304">
        <f>'insurance final cleaned'!L297</f>
        <v>0</v>
      </c>
      <c r="G304">
        <f>'insurance final cleaned'!M297</f>
        <v>1</v>
      </c>
      <c r="H304">
        <f>'insurance final cleaned'!N297</f>
        <v>0</v>
      </c>
      <c r="I304">
        <f>'insurance final cleaned'!O297</f>
        <v>0</v>
      </c>
      <c r="J304">
        <f>'insurance final cleaned'!P297</f>
        <v>0.22005183871252765</v>
      </c>
      <c r="K304">
        <f>'insurance final cleaned'!Q297</f>
        <v>0</v>
      </c>
      <c r="L304">
        <f>'insurance final cleaned'!R297</f>
        <v>0</v>
      </c>
      <c r="M304">
        <f>'insurance final cleaned'!S297</f>
        <v>1</v>
      </c>
    </row>
    <row r="305" spans="1:13" x14ac:dyDescent="0.3">
      <c r="A305">
        <f>'insurance final cleaned'!J299</f>
        <v>4350.51</v>
      </c>
      <c r="B305">
        <f>'insurance final cleaned'!B299</f>
        <v>40</v>
      </c>
      <c r="C305">
        <f>'insurance final cleaned'!D299</f>
        <v>29.3</v>
      </c>
      <c r="D305">
        <f>'insurance final cleaned'!G299</f>
        <v>1</v>
      </c>
      <c r="E305">
        <f>'insurance final cleaned'!E299</f>
        <v>87</v>
      </c>
      <c r="F305">
        <f>'insurance final cleaned'!L299</f>
        <v>0</v>
      </c>
      <c r="G305">
        <f>'insurance final cleaned'!M299</f>
        <v>1</v>
      </c>
      <c r="H305">
        <f>'insurance final cleaned'!N299</f>
        <v>0</v>
      </c>
      <c r="I305">
        <f>'insurance final cleaned'!O299</f>
        <v>0</v>
      </c>
      <c r="J305">
        <f>'insurance final cleaned'!P299</f>
        <v>0.22031648073005772</v>
      </c>
      <c r="K305">
        <f>'insurance final cleaned'!Q299</f>
        <v>0</v>
      </c>
      <c r="L305">
        <f>'insurance final cleaned'!R299</f>
        <v>1</v>
      </c>
      <c r="M305">
        <f>'insurance final cleaned'!S299</f>
        <v>1</v>
      </c>
    </row>
    <row r="306" spans="1:13" x14ac:dyDescent="0.3">
      <c r="A306">
        <f>'insurance final cleaned'!J89</f>
        <v>1972.95</v>
      </c>
      <c r="B306">
        <f>'insurance final cleaned'!B89</f>
        <v>37</v>
      </c>
      <c r="C306">
        <f>'insurance final cleaned'!D89</f>
        <v>25.8</v>
      </c>
      <c r="D306">
        <f>'insurance final cleaned'!G89</f>
        <v>0</v>
      </c>
      <c r="E306">
        <f>'insurance final cleaned'!E89</f>
        <v>86</v>
      </c>
      <c r="F306">
        <f>'insurance final cleaned'!L89</f>
        <v>0</v>
      </c>
      <c r="G306">
        <f>'insurance final cleaned'!M89</f>
        <v>0</v>
      </c>
      <c r="H306">
        <f>'insurance final cleaned'!N89</f>
        <v>0</v>
      </c>
      <c r="I306">
        <f>'insurance final cleaned'!O89</f>
        <v>1</v>
      </c>
      <c r="J306">
        <f>'insurance final cleaned'!P89</f>
        <v>0.22037194588172959</v>
      </c>
      <c r="K306">
        <f>'insurance final cleaned'!Q89</f>
        <v>0</v>
      </c>
      <c r="L306">
        <f>'insurance final cleaned'!R89</f>
        <v>0</v>
      </c>
      <c r="M306">
        <f>'insurance final cleaned'!S89</f>
        <v>0</v>
      </c>
    </row>
    <row r="307" spans="1:13" x14ac:dyDescent="0.3">
      <c r="A307">
        <f>'insurance final cleaned'!J337</f>
        <v>4719.74</v>
      </c>
      <c r="B307">
        <f>'insurance final cleaned'!B337</f>
        <v>42</v>
      </c>
      <c r="C307">
        <f>'insurance final cleaned'!D337</f>
        <v>23.8</v>
      </c>
      <c r="D307">
        <f>'insurance final cleaned'!G337</f>
        <v>2</v>
      </c>
      <c r="E307">
        <f>'insurance final cleaned'!E337</f>
        <v>80</v>
      </c>
      <c r="F307">
        <f>'insurance final cleaned'!L337</f>
        <v>0</v>
      </c>
      <c r="G307">
        <f>'insurance final cleaned'!M337</f>
        <v>0</v>
      </c>
      <c r="H307">
        <f>'insurance final cleaned'!N337</f>
        <v>0</v>
      </c>
      <c r="I307">
        <f>'insurance final cleaned'!O337</f>
        <v>1</v>
      </c>
      <c r="J307">
        <f>'insurance final cleaned'!P337</f>
        <v>0.22222549943637171</v>
      </c>
      <c r="K307">
        <f>'insurance final cleaned'!Q337</f>
        <v>0</v>
      </c>
      <c r="L307">
        <f>'insurance final cleaned'!R337</f>
        <v>1</v>
      </c>
      <c r="M307">
        <f>'insurance final cleaned'!S337</f>
        <v>1</v>
      </c>
    </row>
    <row r="308" spans="1:13" x14ac:dyDescent="0.3">
      <c r="A308">
        <f>'insurance final cleaned'!J390</f>
        <v>5373.36</v>
      </c>
      <c r="B308">
        <f>'insurance final cleaned'!B390</f>
        <v>32</v>
      </c>
      <c r="C308">
        <f>'insurance final cleaned'!D390</f>
        <v>30.9</v>
      </c>
      <c r="D308">
        <f>'insurance final cleaned'!G390</f>
        <v>1</v>
      </c>
      <c r="E308">
        <f>'insurance final cleaned'!E390</f>
        <v>91</v>
      </c>
      <c r="F308">
        <f>'insurance final cleaned'!L390</f>
        <v>0</v>
      </c>
      <c r="G308">
        <f>'insurance final cleaned'!M390</f>
        <v>0</v>
      </c>
      <c r="H308">
        <f>'insurance final cleaned'!N390</f>
        <v>0</v>
      </c>
      <c r="I308">
        <f>'insurance final cleaned'!O390</f>
        <v>1</v>
      </c>
      <c r="J308">
        <f>'insurance final cleaned'!P390</f>
        <v>0.22296065887194472</v>
      </c>
      <c r="K308">
        <f>'insurance final cleaned'!Q390</f>
        <v>0</v>
      </c>
      <c r="L308">
        <f>'insurance final cleaned'!R390</f>
        <v>0</v>
      </c>
      <c r="M308">
        <f>'insurance final cleaned'!S390</f>
        <v>0</v>
      </c>
    </row>
    <row r="309" spans="1:13" x14ac:dyDescent="0.3">
      <c r="A309">
        <f>'insurance final cleaned'!J1115</f>
        <v>23241.47</v>
      </c>
      <c r="B309">
        <f>'insurance final cleaned'!B1115</f>
        <v>23</v>
      </c>
      <c r="C309">
        <f>'insurance final cleaned'!D1115</f>
        <v>25</v>
      </c>
      <c r="D309">
        <f>'insurance final cleaned'!G1115</f>
        <v>2</v>
      </c>
      <c r="E309">
        <f>'insurance final cleaned'!E1115</f>
        <v>80</v>
      </c>
      <c r="F309">
        <f>'insurance final cleaned'!L1115</f>
        <v>0</v>
      </c>
      <c r="G309">
        <f>'insurance final cleaned'!M1115</f>
        <v>0</v>
      </c>
      <c r="H309">
        <f>'insurance final cleaned'!N1115</f>
        <v>0</v>
      </c>
      <c r="I309">
        <f>'insurance final cleaned'!O1115</f>
        <v>0</v>
      </c>
      <c r="J309">
        <f>'insurance final cleaned'!P1115</f>
        <v>0.22337725395913322</v>
      </c>
      <c r="K309">
        <f>'insurance final cleaned'!Q1115</f>
        <v>0</v>
      </c>
      <c r="L309">
        <f>'insurance final cleaned'!R1115</f>
        <v>1</v>
      </c>
      <c r="M309">
        <f>'insurance final cleaned'!S1115</f>
        <v>0</v>
      </c>
    </row>
    <row r="310" spans="1:13" x14ac:dyDescent="0.3">
      <c r="A310">
        <f>'insurance final cleaned'!J767</f>
        <v>10923.93</v>
      </c>
      <c r="B310">
        <f>'insurance final cleaned'!B767</f>
        <v>26</v>
      </c>
      <c r="C310">
        <f>'insurance final cleaned'!D767</f>
        <v>32.700000000000003</v>
      </c>
      <c r="D310">
        <f>'insurance final cleaned'!G767</f>
        <v>0</v>
      </c>
      <c r="E310">
        <f>'insurance final cleaned'!E767</f>
        <v>90</v>
      </c>
      <c r="F310">
        <f>'insurance final cleaned'!L767</f>
        <v>0</v>
      </c>
      <c r="G310">
        <f>'insurance final cleaned'!M767</f>
        <v>0</v>
      </c>
      <c r="H310">
        <f>'insurance final cleaned'!N767</f>
        <v>0</v>
      </c>
      <c r="I310">
        <f>'insurance final cleaned'!O767</f>
        <v>0</v>
      </c>
      <c r="J310">
        <f>'insurance final cleaned'!P767</f>
        <v>0.2235817581108791</v>
      </c>
      <c r="K310">
        <f>'insurance final cleaned'!Q767</f>
        <v>0</v>
      </c>
      <c r="L310">
        <f>'insurance final cleaned'!R767</f>
        <v>1</v>
      </c>
      <c r="M310">
        <f>'insurance final cleaned'!S767</f>
        <v>1</v>
      </c>
    </row>
    <row r="311" spans="1:13" x14ac:dyDescent="0.3">
      <c r="A311">
        <f>'insurance final cleaned'!J790</f>
        <v>11253.42</v>
      </c>
      <c r="B311">
        <f>'insurance final cleaned'!B790</f>
        <v>31</v>
      </c>
      <c r="C311">
        <f>'insurance final cleaned'!D790</f>
        <v>28.6</v>
      </c>
      <c r="D311">
        <f>'insurance final cleaned'!G790</f>
        <v>3</v>
      </c>
      <c r="E311">
        <f>'insurance final cleaned'!E790</f>
        <v>86</v>
      </c>
      <c r="F311">
        <f>'insurance final cleaned'!L790</f>
        <v>0</v>
      </c>
      <c r="G311">
        <f>'insurance final cleaned'!M790</f>
        <v>0</v>
      </c>
      <c r="H311">
        <f>'insurance final cleaned'!N790</f>
        <v>1</v>
      </c>
      <c r="I311">
        <f>'insurance final cleaned'!O790</f>
        <v>0</v>
      </c>
      <c r="J311">
        <f>'insurance final cleaned'!P790</f>
        <v>0.22494927796945663</v>
      </c>
      <c r="K311">
        <f>'insurance final cleaned'!Q790</f>
        <v>0</v>
      </c>
      <c r="L311">
        <f>'insurance final cleaned'!R790</f>
        <v>0</v>
      </c>
      <c r="M311">
        <f>'insurance final cleaned'!S790</f>
        <v>0</v>
      </c>
    </row>
    <row r="312" spans="1:13" x14ac:dyDescent="0.3">
      <c r="A312">
        <f>'insurance final cleaned'!J744</f>
        <v>10493.95</v>
      </c>
      <c r="B312">
        <f>'insurance final cleaned'!B744</f>
        <v>35</v>
      </c>
      <c r="C312">
        <f>'insurance final cleaned'!D744</f>
        <v>26.2</v>
      </c>
      <c r="D312">
        <f>'insurance final cleaned'!G744</f>
        <v>2</v>
      </c>
      <c r="E312">
        <f>'insurance final cleaned'!E744</f>
        <v>109</v>
      </c>
      <c r="F312">
        <f>'insurance final cleaned'!L744</f>
        <v>0</v>
      </c>
      <c r="G312">
        <f>'insurance final cleaned'!M744</f>
        <v>0</v>
      </c>
      <c r="H312">
        <f>'insurance final cleaned'!N744</f>
        <v>0</v>
      </c>
      <c r="I312">
        <f>'insurance final cleaned'!O744</f>
        <v>1</v>
      </c>
      <c r="J312">
        <f>'insurance final cleaned'!P744</f>
        <v>0.22505687572905664</v>
      </c>
      <c r="K312">
        <f>'insurance final cleaned'!Q744</f>
        <v>0</v>
      </c>
      <c r="L312">
        <f>'insurance final cleaned'!R744</f>
        <v>1</v>
      </c>
      <c r="M312">
        <f>'insurance final cleaned'!S744</f>
        <v>1</v>
      </c>
    </row>
    <row r="313" spans="1:13" x14ac:dyDescent="0.3">
      <c r="A313">
        <f>'insurance final cleaned'!J523</f>
        <v>7201.7</v>
      </c>
      <c r="B313">
        <f>'insurance final cleaned'!B523</f>
        <v>54</v>
      </c>
      <c r="C313">
        <f>'insurance final cleaned'!D523</f>
        <v>26.3</v>
      </c>
      <c r="D313">
        <f>'insurance final cleaned'!G523</f>
        <v>2</v>
      </c>
      <c r="E313">
        <f>'insurance final cleaned'!E523</f>
        <v>89</v>
      </c>
      <c r="F313">
        <f>'insurance final cleaned'!L523</f>
        <v>0</v>
      </c>
      <c r="G313">
        <f>'insurance final cleaned'!M523</f>
        <v>0</v>
      </c>
      <c r="H313">
        <f>'insurance final cleaned'!N523</f>
        <v>0</v>
      </c>
      <c r="I313">
        <f>'insurance final cleaned'!O523</f>
        <v>1</v>
      </c>
      <c r="J313">
        <f>'insurance final cleaned'!P523</f>
        <v>0.22610264150050519</v>
      </c>
      <c r="K313">
        <f>'insurance final cleaned'!Q523</f>
        <v>0</v>
      </c>
      <c r="L313">
        <f>'insurance final cleaned'!R523</f>
        <v>0</v>
      </c>
      <c r="M313">
        <f>'insurance final cleaned'!S523</f>
        <v>1</v>
      </c>
    </row>
    <row r="314" spans="1:13" x14ac:dyDescent="0.3">
      <c r="A314">
        <f>'insurance final cleaned'!J88</f>
        <v>1969.61</v>
      </c>
      <c r="B314">
        <f>'insurance final cleaned'!B88</f>
        <v>19</v>
      </c>
      <c r="C314">
        <f>'insurance final cleaned'!D88</f>
        <v>23.4</v>
      </c>
      <c r="D314">
        <f>'insurance final cleaned'!G88</f>
        <v>0</v>
      </c>
      <c r="E314">
        <f>'insurance final cleaned'!E88</f>
        <v>97</v>
      </c>
      <c r="F314">
        <f>'insurance final cleaned'!L88</f>
        <v>0</v>
      </c>
      <c r="G314">
        <f>'insurance final cleaned'!M88</f>
        <v>0</v>
      </c>
      <c r="H314">
        <f>'insurance final cleaned'!N88</f>
        <v>0</v>
      </c>
      <c r="I314">
        <f>'insurance final cleaned'!O88</f>
        <v>1</v>
      </c>
      <c r="J314">
        <f>'insurance final cleaned'!P88</f>
        <v>0.22687774604939825</v>
      </c>
      <c r="K314">
        <f>'insurance final cleaned'!Q88</f>
        <v>0</v>
      </c>
      <c r="L314">
        <f>'insurance final cleaned'!R88</f>
        <v>0</v>
      </c>
      <c r="M314">
        <f>'insurance final cleaned'!S88</f>
        <v>0</v>
      </c>
    </row>
    <row r="315" spans="1:13" x14ac:dyDescent="0.3">
      <c r="A315">
        <f>'insurance final cleaned'!J589</f>
        <v>8232.64</v>
      </c>
      <c r="B315">
        <f>'insurance final cleaned'!B589</f>
        <v>54</v>
      </c>
      <c r="C315">
        <f>'insurance final cleaned'!D589</f>
        <v>27.7</v>
      </c>
      <c r="D315">
        <f>'insurance final cleaned'!G589</f>
        <v>1</v>
      </c>
      <c r="E315">
        <f>'insurance final cleaned'!E589</f>
        <v>100</v>
      </c>
      <c r="F315">
        <f>'insurance final cleaned'!L589</f>
        <v>0</v>
      </c>
      <c r="G315">
        <f>'insurance final cleaned'!M589</f>
        <v>1</v>
      </c>
      <c r="H315">
        <f>'insurance final cleaned'!N589</f>
        <v>0</v>
      </c>
      <c r="I315">
        <f>'insurance final cleaned'!O589</f>
        <v>0</v>
      </c>
      <c r="J315">
        <f>'insurance final cleaned'!P589</f>
        <v>0.22703937639628868</v>
      </c>
      <c r="K315">
        <f>'insurance final cleaned'!Q589</f>
        <v>0</v>
      </c>
      <c r="L315">
        <f>'insurance final cleaned'!R589</f>
        <v>0</v>
      </c>
      <c r="M315">
        <f>'insurance final cleaned'!S589</f>
        <v>1</v>
      </c>
    </row>
    <row r="316" spans="1:13" x14ac:dyDescent="0.3">
      <c r="A316">
        <f>'insurance final cleaned'!J1093</f>
        <v>21472.48</v>
      </c>
      <c r="B316">
        <f>'insurance final cleaned'!B1093</f>
        <v>22</v>
      </c>
      <c r="C316">
        <f>'insurance final cleaned'!D1093</f>
        <v>28.1</v>
      </c>
      <c r="D316">
        <f>'insurance final cleaned'!G1093</f>
        <v>4</v>
      </c>
      <c r="E316">
        <f>'insurance final cleaned'!E1093</f>
        <v>95</v>
      </c>
      <c r="F316">
        <f>'insurance final cleaned'!L1093</f>
        <v>28.1</v>
      </c>
      <c r="G316">
        <f>'insurance final cleaned'!M1093</f>
        <v>0</v>
      </c>
      <c r="H316">
        <f>'insurance final cleaned'!N1093</f>
        <v>0</v>
      </c>
      <c r="I316">
        <f>'insurance final cleaned'!O1093</f>
        <v>1</v>
      </c>
      <c r="J316">
        <f>'insurance final cleaned'!P1093</f>
        <v>0.22749691538040795</v>
      </c>
      <c r="K316">
        <f>'insurance final cleaned'!Q1093</f>
        <v>1</v>
      </c>
      <c r="L316">
        <f>'insurance final cleaned'!R1093</f>
        <v>1</v>
      </c>
      <c r="M316">
        <f>'insurance final cleaned'!S1093</f>
        <v>0</v>
      </c>
    </row>
    <row r="317" spans="1:13" x14ac:dyDescent="0.3">
      <c r="A317">
        <f>'insurance final cleaned'!J796</f>
        <v>11305.93</v>
      </c>
      <c r="B317">
        <f>'insurance final cleaned'!B796</f>
        <v>48</v>
      </c>
      <c r="C317">
        <f>'insurance final cleaned'!D796</f>
        <v>27.6</v>
      </c>
      <c r="D317">
        <f>'insurance final cleaned'!G796</f>
        <v>1</v>
      </c>
      <c r="E317">
        <f>'insurance final cleaned'!E796</f>
        <v>94</v>
      </c>
      <c r="F317">
        <f>'insurance final cleaned'!L796</f>
        <v>0</v>
      </c>
      <c r="G317">
        <f>'insurance final cleaned'!M796</f>
        <v>0</v>
      </c>
      <c r="H317">
        <f>'insurance final cleaned'!N796</f>
        <v>0</v>
      </c>
      <c r="I317">
        <f>'insurance final cleaned'!O796</f>
        <v>1</v>
      </c>
      <c r="J317">
        <f>'insurance final cleaned'!P796</f>
        <v>0.22759044499690118</v>
      </c>
      <c r="K317">
        <f>'insurance final cleaned'!Q796</f>
        <v>0</v>
      </c>
      <c r="L317">
        <f>'insurance final cleaned'!R796</f>
        <v>0</v>
      </c>
      <c r="M317">
        <f>'insurance final cleaned'!S796</f>
        <v>1</v>
      </c>
    </row>
    <row r="318" spans="1:13" x14ac:dyDescent="0.3">
      <c r="A318">
        <f>'insurance final cleaned'!J1003</f>
        <v>16450.89</v>
      </c>
      <c r="B318">
        <f>'insurance final cleaned'!B1003</f>
        <v>50</v>
      </c>
      <c r="C318">
        <f>'insurance final cleaned'!D1003</f>
        <v>26</v>
      </c>
      <c r="D318">
        <f>'insurance final cleaned'!G1003</f>
        <v>1</v>
      </c>
      <c r="E318">
        <f>'insurance final cleaned'!E1003</f>
        <v>81</v>
      </c>
      <c r="F318">
        <f>'insurance final cleaned'!L1003</f>
        <v>26</v>
      </c>
      <c r="G318">
        <f>'insurance final cleaned'!M1003</f>
        <v>0</v>
      </c>
      <c r="H318">
        <f>'insurance final cleaned'!N1003</f>
        <v>0</v>
      </c>
      <c r="I318">
        <f>'insurance final cleaned'!O1003</f>
        <v>1</v>
      </c>
      <c r="J318">
        <f>'insurance final cleaned'!P1003</f>
        <v>0.22953223661960587</v>
      </c>
      <c r="K318">
        <f>'insurance final cleaned'!Q1003</f>
        <v>1</v>
      </c>
      <c r="L318">
        <f>'insurance final cleaned'!R1003</f>
        <v>1</v>
      </c>
      <c r="M318">
        <f>'insurance final cleaned'!S1003</f>
        <v>0</v>
      </c>
    </row>
    <row r="319" spans="1:13" x14ac:dyDescent="0.3">
      <c r="A319">
        <f>'insurance final cleaned'!J965</f>
        <v>14349.85</v>
      </c>
      <c r="B319">
        <f>'insurance final cleaned'!B965</f>
        <v>40</v>
      </c>
      <c r="C319">
        <f>'insurance final cleaned'!D965</f>
        <v>21.7</v>
      </c>
      <c r="D319">
        <f>'insurance final cleaned'!G965</f>
        <v>1</v>
      </c>
      <c r="E319">
        <f>'insurance final cleaned'!E965</f>
        <v>107</v>
      </c>
      <c r="F319">
        <f>'insurance final cleaned'!L965</f>
        <v>0</v>
      </c>
      <c r="G319">
        <f>'insurance final cleaned'!M965</f>
        <v>0</v>
      </c>
      <c r="H319">
        <f>'insurance final cleaned'!N965</f>
        <v>0</v>
      </c>
      <c r="I319">
        <f>'insurance final cleaned'!O965</f>
        <v>1</v>
      </c>
      <c r="J319">
        <f>'insurance final cleaned'!P965</f>
        <v>0.22961055517788787</v>
      </c>
      <c r="K319">
        <f>'insurance final cleaned'!Q965</f>
        <v>0</v>
      </c>
      <c r="L319">
        <f>'insurance final cleaned'!R965</f>
        <v>1</v>
      </c>
      <c r="M319">
        <f>'insurance final cleaned'!S965</f>
        <v>0</v>
      </c>
    </row>
    <row r="320" spans="1:13" x14ac:dyDescent="0.3">
      <c r="A320">
        <f>'insurance final cleaned'!J1278</f>
        <v>41949.24</v>
      </c>
      <c r="B320">
        <f>'insurance final cleaned'!B1278</f>
        <v>20</v>
      </c>
      <c r="C320">
        <f>'insurance final cleaned'!D1278</f>
        <v>38.4</v>
      </c>
      <c r="D320">
        <f>'insurance final cleaned'!G1278</f>
        <v>3</v>
      </c>
      <c r="E320">
        <f>'insurance final cleaned'!E1278</f>
        <v>124</v>
      </c>
      <c r="F320">
        <f>'insurance final cleaned'!L1278</f>
        <v>38.4</v>
      </c>
      <c r="G320">
        <f>'insurance final cleaned'!M1278</f>
        <v>1</v>
      </c>
      <c r="H320">
        <f>'insurance final cleaned'!N1278</f>
        <v>0</v>
      </c>
      <c r="I320">
        <f>'insurance final cleaned'!O1278</f>
        <v>0</v>
      </c>
      <c r="J320">
        <f>'insurance final cleaned'!P1278</f>
        <v>0.23084193082592275</v>
      </c>
      <c r="K320">
        <f>'insurance final cleaned'!Q1278</f>
        <v>1</v>
      </c>
      <c r="L320">
        <f>'insurance final cleaned'!R1278</f>
        <v>1</v>
      </c>
      <c r="M320">
        <f>'insurance final cleaned'!S1278</f>
        <v>0</v>
      </c>
    </row>
    <row r="321" spans="1:13" x14ac:dyDescent="0.3">
      <c r="A321">
        <f>'insurance final cleaned'!J1059</f>
        <v>19515.54</v>
      </c>
      <c r="B321">
        <f>'insurance final cleaned'!B1059</f>
        <v>21</v>
      </c>
      <c r="C321">
        <f>'insurance final cleaned'!D1059</f>
        <v>24.6</v>
      </c>
      <c r="D321">
        <f>'insurance final cleaned'!G1059</f>
        <v>0</v>
      </c>
      <c r="E321">
        <f>'insurance final cleaned'!E1059</f>
        <v>87</v>
      </c>
      <c r="F321">
        <f>'insurance final cleaned'!L1059</f>
        <v>24.6</v>
      </c>
      <c r="G321">
        <f>'insurance final cleaned'!M1059</f>
        <v>1</v>
      </c>
      <c r="H321">
        <f>'insurance final cleaned'!N1059</f>
        <v>0</v>
      </c>
      <c r="I321">
        <f>'insurance final cleaned'!O1059</f>
        <v>0</v>
      </c>
      <c r="J321">
        <f>'insurance final cleaned'!P1059</f>
        <v>0.23118922521671004</v>
      </c>
      <c r="K321">
        <f>'insurance final cleaned'!Q1059</f>
        <v>1</v>
      </c>
      <c r="L321">
        <f>'insurance final cleaned'!R1059</f>
        <v>0</v>
      </c>
      <c r="M321">
        <f>'insurance final cleaned'!S1059</f>
        <v>0</v>
      </c>
    </row>
    <row r="322" spans="1:13" x14ac:dyDescent="0.3">
      <c r="A322">
        <f>'insurance final cleaned'!J905</f>
        <v>12981.35</v>
      </c>
      <c r="B322">
        <f>'insurance final cleaned'!B905</f>
        <v>35</v>
      </c>
      <c r="C322">
        <f>'insurance final cleaned'!D905</f>
        <v>38.799999999999997</v>
      </c>
      <c r="D322">
        <f>'insurance final cleaned'!G905</f>
        <v>0</v>
      </c>
      <c r="E322">
        <f>'insurance final cleaned'!E905</f>
        <v>95</v>
      </c>
      <c r="F322">
        <f>'insurance final cleaned'!L905</f>
        <v>0</v>
      </c>
      <c r="G322">
        <f>'insurance final cleaned'!M905</f>
        <v>1</v>
      </c>
      <c r="H322">
        <f>'insurance final cleaned'!N905</f>
        <v>0</v>
      </c>
      <c r="I322">
        <f>'insurance final cleaned'!O905</f>
        <v>0</v>
      </c>
      <c r="J322">
        <f>'insurance final cleaned'!P905</f>
        <v>0.23165090449093106</v>
      </c>
      <c r="K322">
        <f>'insurance final cleaned'!Q905</f>
        <v>0</v>
      </c>
      <c r="L322">
        <f>'insurance final cleaned'!R905</f>
        <v>1</v>
      </c>
      <c r="M322">
        <f>'insurance final cleaned'!S905</f>
        <v>0</v>
      </c>
    </row>
    <row r="323" spans="1:13" x14ac:dyDescent="0.3">
      <c r="A323">
        <f>'insurance final cleaned'!J410</f>
        <v>5630.46</v>
      </c>
      <c r="B323">
        <f>'insurance final cleaned'!B410</f>
        <v>57</v>
      </c>
      <c r="C323">
        <f>'insurance final cleaned'!D410</f>
        <v>35.799999999999997</v>
      </c>
      <c r="D323">
        <f>'insurance final cleaned'!G410</f>
        <v>1</v>
      </c>
      <c r="E323">
        <f>'insurance final cleaned'!E410</f>
        <v>85</v>
      </c>
      <c r="F323">
        <f>'insurance final cleaned'!L410</f>
        <v>0</v>
      </c>
      <c r="G323">
        <f>'insurance final cleaned'!M410</f>
        <v>0</v>
      </c>
      <c r="H323">
        <f>'insurance final cleaned'!N410</f>
        <v>0</v>
      </c>
      <c r="I323">
        <f>'insurance final cleaned'!O410</f>
        <v>1</v>
      </c>
      <c r="J323">
        <f>'insurance final cleaned'!P410</f>
        <v>0.23213002496768265</v>
      </c>
      <c r="K323">
        <f>'insurance final cleaned'!Q410</f>
        <v>0</v>
      </c>
      <c r="L323">
        <f>'insurance final cleaned'!R410</f>
        <v>1</v>
      </c>
      <c r="M323">
        <f>'insurance final cleaned'!S410</f>
        <v>1</v>
      </c>
    </row>
    <row r="324" spans="1:13" x14ac:dyDescent="0.3">
      <c r="A324">
        <f>'insurance final cleaned'!J557</f>
        <v>7640.31</v>
      </c>
      <c r="B324">
        <f>'insurance final cleaned'!B557</f>
        <v>55</v>
      </c>
      <c r="C324">
        <f>'insurance final cleaned'!D557</f>
        <v>29.5</v>
      </c>
      <c r="D324">
        <f>'insurance final cleaned'!G557</f>
        <v>2</v>
      </c>
      <c r="E324">
        <f>'insurance final cleaned'!E557</f>
        <v>81</v>
      </c>
      <c r="F324">
        <f>'insurance final cleaned'!L557</f>
        <v>0</v>
      </c>
      <c r="G324">
        <f>'insurance final cleaned'!M557</f>
        <v>1</v>
      </c>
      <c r="H324">
        <f>'insurance final cleaned'!N557</f>
        <v>0</v>
      </c>
      <c r="I324">
        <f>'insurance final cleaned'!O557</f>
        <v>0</v>
      </c>
      <c r="J324">
        <f>'insurance final cleaned'!P557</f>
        <v>0.23221926997408315</v>
      </c>
      <c r="K324">
        <f>'insurance final cleaned'!Q557</f>
        <v>0</v>
      </c>
      <c r="L324">
        <f>'insurance final cleaned'!R557</f>
        <v>0</v>
      </c>
      <c r="M324">
        <f>'insurance final cleaned'!S557</f>
        <v>1</v>
      </c>
    </row>
    <row r="325" spans="1:13" x14ac:dyDescent="0.3">
      <c r="A325">
        <f>'insurance final cleaned'!J30</f>
        <v>1621.88</v>
      </c>
      <c r="B325">
        <f>'insurance final cleaned'!B30</f>
        <v>58</v>
      </c>
      <c r="C325">
        <f>'insurance final cleaned'!D30</f>
        <v>31.1</v>
      </c>
      <c r="D325">
        <f>'insurance final cleaned'!G30</f>
        <v>0</v>
      </c>
      <c r="E325">
        <f>'insurance final cleaned'!E30</f>
        <v>87</v>
      </c>
      <c r="F325">
        <f>'insurance final cleaned'!L30</f>
        <v>0</v>
      </c>
      <c r="G325">
        <f>'insurance final cleaned'!M30</f>
        <v>1</v>
      </c>
      <c r="H325">
        <f>'insurance final cleaned'!N30</f>
        <v>0</v>
      </c>
      <c r="I325">
        <f>'insurance final cleaned'!O30</f>
        <v>0</v>
      </c>
      <c r="J325">
        <f>'insurance final cleaned'!P30</f>
        <v>0.23266182722786288</v>
      </c>
      <c r="K325">
        <f>'insurance final cleaned'!Q30</f>
        <v>0</v>
      </c>
      <c r="L325">
        <f>'insurance final cleaned'!R30</f>
        <v>0</v>
      </c>
      <c r="M325">
        <f>'insurance final cleaned'!S30</f>
        <v>1</v>
      </c>
    </row>
    <row r="326" spans="1:13" x14ac:dyDescent="0.3">
      <c r="A326">
        <f>'insurance final cleaned'!J612</f>
        <v>8522</v>
      </c>
      <c r="B326">
        <f>'insurance final cleaned'!B612</f>
        <v>27</v>
      </c>
      <c r="C326">
        <f>'insurance final cleaned'!D612</f>
        <v>34.4</v>
      </c>
      <c r="D326">
        <f>'insurance final cleaned'!G612</f>
        <v>3</v>
      </c>
      <c r="E326">
        <f>'insurance final cleaned'!E612</f>
        <v>85</v>
      </c>
      <c r="F326">
        <f>'insurance final cleaned'!L612</f>
        <v>0</v>
      </c>
      <c r="G326">
        <f>'insurance final cleaned'!M612</f>
        <v>0</v>
      </c>
      <c r="H326">
        <f>'insurance final cleaned'!N612</f>
        <v>1</v>
      </c>
      <c r="I326">
        <f>'insurance final cleaned'!O612</f>
        <v>0</v>
      </c>
      <c r="J326">
        <f>'insurance final cleaned'!P612</f>
        <v>0.23410701831756464</v>
      </c>
      <c r="K326">
        <f>'insurance final cleaned'!Q612</f>
        <v>0</v>
      </c>
      <c r="L326">
        <f>'insurance final cleaned'!R612</f>
        <v>0</v>
      </c>
      <c r="M326">
        <f>'insurance final cleaned'!S612</f>
        <v>1</v>
      </c>
    </row>
    <row r="327" spans="1:13" x14ac:dyDescent="0.3">
      <c r="A327">
        <f>'insurance final cleaned'!J952</f>
        <v>14001.13</v>
      </c>
      <c r="B327">
        <f>'insurance final cleaned'!B952</f>
        <v>32</v>
      </c>
      <c r="C327">
        <f>'insurance final cleaned'!D952</f>
        <v>27.7</v>
      </c>
      <c r="D327">
        <f>'insurance final cleaned'!G952</f>
        <v>3</v>
      </c>
      <c r="E327">
        <f>'insurance final cleaned'!E952</f>
        <v>86</v>
      </c>
      <c r="F327">
        <f>'insurance final cleaned'!L952</f>
        <v>0</v>
      </c>
      <c r="G327">
        <f>'insurance final cleaned'!M952</f>
        <v>1</v>
      </c>
      <c r="H327">
        <f>'insurance final cleaned'!N952</f>
        <v>0</v>
      </c>
      <c r="I327">
        <f>'insurance final cleaned'!O952</f>
        <v>0</v>
      </c>
      <c r="J327">
        <f>'insurance final cleaned'!P952</f>
        <v>0.2341916775828472</v>
      </c>
      <c r="K327">
        <f>'insurance final cleaned'!Q952</f>
        <v>0</v>
      </c>
      <c r="L327">
        <f>'insurance final cleaned'!R952</f>
        <v>1</v>
      </c>
      <c r="M327">
        <f>'insurance final cleaned'!S952</f>
        <v>1</v>
      </c>
    </row>
    <row r="328" spans="1:13" x14ac:dyDescent="0.3">
      <c r="A328">
        <f>'insurance final cleaned'!J849</f>
        <v>11987.17</v>
      </c>
      <c r="B328">
        <f>'insurance final cleaned'!B849</f>
        <v>24</v>
      </c>
      <c r="C328">
        <f>'insurance final cleaned'!D849</f>
        <v>33.9</v>
      </c>
      <c r="D328">
        <f>'insurance final cleaned'!G849</f>
        <v>3</v>
      </c>
      <c r="E328">
        <f>'insurance final cleaned'!E849</f>
        <v>81</v>
      </c>
      <c r="F328">
        <f>'insurance final cleaned'!L849</f>
        <v>0</v>
      </c>
      <c r="G328">
        <f>'insurance final cleaned'!M849</f>
        <v>1</v>
      </c>
      <c r="H328">
        <f>'insurance final cleaned'!N849</f>
        <v>0</v>
      </c>
      <c r="I328">
        <f>'insurance final cleaned'!O849</f>
        <v>0</v>
      </c>
      <c r="J328">
        <f>'insurance final cleaned'!P849</f>
        <v>0.23467734328852707</v>
      </c>
      <c r="K328">
        <f>'insurance final cleaned'!Q849</f>
        <v>0</v>
      </c>
      <c r="L328">
        <f>'insurance final cleaned'!R849</f>
        <v>1</v>
      </c>
      <c r="M328">
        <f>'insurance final cleaned'!S849</f>
        <v>0</v>
      </c>
    </row>
    <row r="329" spans="1:13" x14ac:dyDescent="0.3">
      <c r="A329">
        <f>'insurance final cleaned'!J895</f>
        <v>12815.44</v>
      </c>
      <c r="B329">
        <f>'insurance final cleaned'!B895</f>
        <v>39</v>
      </c>
      <c r="C329">
        <f>'insurance final cleaned'!D895</f>
        <v>26.5</v>
      </c>
      <c r="D329">
        <f>'insurance final cleaned'!G895</f>
        <v>0</v>
      </c>
      <c r="E329">
        <f>'insurance final cleaned'!E895</f>
        <v>94</v>
      </c>
      <c r="F329">
        <f>'insurance final cleaned'!L895</f>
        <v>0</v>
      </c>
      <c r="G329">
        <f>'insurance final cleaned'!M895</f>
        <v>0</v>
      </c>
      <c r="H329">
        <f>'insurance final cleaned'!N895</f>
        <v>0</v>
      </c>
      <c r="I329">
        <f>'insurance final cleaned'!O895</f>
        <v>0</v>
      </c>
      <c r="J329">
        <f>'insurance final cleaned'!P895</f>
        <v>0.23496111797336894</v>
      </c>
      <c r="K329">
        <f>'insurance final cleaned'!Q895</f>
        <v>0</v>
      </c>
      <c r="L329">
        <f>'insurance final cleaned'!R895</f>
        <v>0</v>
      </c>
      <c r="M329">
        <f>'insurance final cleaned'!S895</f>
        <v>1</v>
      </c>
    </row>
    <row r="330" spans="1:13" x14ac:dyDescent="0.3">
      <c r="A330">
        <f>'insurance final cleaned'!J918</f>
        <v>13217.09</v>
      </c>
      <c r="B330">
        <f>'insurance final cleaned'!B918</f>
        <v>43</v>
      </c>
      <c r="C330">
        <f>'insurance final cleaned'!D918</f>
        <v>27.6</v>
      </c>
      <c r="D330">
        <f>'insurance final cleaned'!G918</f>
        <v>0</v>
      </c>
      <c r="E330">
        <f>'insurance final cleaned'!E918</f>
        <v>105</v>
      </c>
      <c r="F330">
        <f>'insurance final cleaned'!L918</f>
        <v>0</v>
      </c>
      <c r="G330">
        <f>'insurance final cleaned'!M918</f>
        <v>0</v>
      </c>
      <c r="H330">
        <f>'insurance final cleaned'!N918</f>
        <v>0</v>
      </c>
      <c r="I330">
        <f>'insurance final cleaned'!O918</f>
        <v>0</v>
      </c>
      <c r="J330">
        <f>'insurance final cleaned'!P918</f>
        <v>0.23510850089754531</v>
      </c>
      <c r="K330">
        <f>'insurance final cleaned'!Q918</f>
        <v>0</v>
      </c>
      <c r="L330">
        <f>'insurance final cleaned'!R918</f>
        <v>1</v>
      </c>
      <c r="M330">
        <f>'insurance final cleaned'!S918</f>
        <v>1</v>
      </c>
    </row>
    <row r="331" spans="1:13" x14ac:dyDescent="0.3">
      <c r="A331">
        <f>'insurance final cleaned'!J739</f>
        <v>10422.92</v>
      </c>
      <c r="B331">
        <f>'insurance final cleaned'!B739</f>
        <v>30</v>
      </c>
      <c r="C331">
        <f>'insurance final cleaned'!D739</f>
        <v>24</v>
      </c>
      <c r="D331">
        <f>'insurance final cleaned'!G739</f>
        <v>0</v>
      </c>
      <c r="E331">
        <f>'insurance final cleaned'!E739</f>
        <v>86</v>
      </c>
      <c r="F331">
        <f>'insurance final cleaned'!L739</f>
        <v>0</v>
      </c>
      <c r="G331">
        <f>'insurance final cleaned'!M739</f>
        <v>0</v>
      </c>
      <c r="H331">
        <f>'insurance final cleaned'!N739</f>
        <v>0</v>
      </c>
      <c r="I331">
        <f>'insurance final cleaned'!O739</f>
        <v>0</v>
      </c>
      <c r="J331">
        <f>'insurance final cleaned'!P739</f>
        <v>0.2375561451013154</v>
      </c>
      <c r="K331">
        <f>'insurance final cleaned'!Q739</f>
        <v>0</v>
      </c>
      <c r="L331">
        <f>'insurance final cleaned'!R739</f>
        <v>0</v>
      </c>
      <c r="M331">
        <f>'insurance final cleaned'!S739</f>
        <v>0</v>
      </c>
    </row>
    <row r="332" spans="1:13" x14ac:dyDescent="0.3">
      <c r="A332">
        <f>'insurance final cleaned'!J916</f>
        <v>13143.86</v>
      </c>
      <c r="B332">
        <f>'insurance final cleaned'!B916</f>
        <v>19</v>
      </c>
      <c r="C332">
        <f>'insurance final cleaned'!D916</f>
        <v>33.9</v>
      </c>
      <c r="D332">
        <f>'insurance final cleaned'!G916</f>
        <v>0</v>
      </c>
      <c r="E332">
        <f>'insurance final cleaned'!E916</f>
        <v>80</v>
      </c>
      <c r="F332">
        <f>'insurance final cleaned'!L916</f>
        <v>0</v>
      </c>
      <c r="G332">
        <f>'insurance final cleaned'!M916</f>
        <v>0</v>
      </c>
      <c r="H332">
        <f>'insurance final cleaned'!N916</f>
        <v>0</v>
      </c>
      <c r="I332">
        <f>'insurance final cleaned'!O916</f>
        <v>0</v>
      </c>
      <c r="J332">
        <f>'insurance final cleaned'!P916</f>
        <v>0.23843113837358887</v>
      </c>
      <c r="K332">
        <f>'insurance final cleaned'!Q916</f>
        <v>0</v>
      </c>
      <c r="L332">
        <f>'insurance final cleaned'!R916</f>
        <v>1</v>
      </c>
      <c r="M332">
        <f>'insurance final cleaned'!S916</f>
        <v>0</v>
      </c>
    </row>
    <row r="333" spans="1:13" x14ac:dyDescent="0.3">
      <c r="A333">
        <f>'insurance final cleaned'!J862</f>
        <v>12231.61</v>
      </c>
      <c r="B333">
        <f>'insurance final cleaned'!B862</f>
        <v>37</v>
      </c>
      <c r="C333">
        <f>'insurance final cleaned'!D862</f>
        <v>33.4</v>
      </c>
      <c r="D333">
        <f>'insurance final cleaned'!G862</f>
        <v>0</v>
      </c>
      <c r="E333">
        <f>'insurance final cleaned'!E862</f>
        <v>84</v>
      </c>
      <c r="F333">
        <f>'insurance final cleaned'!L862</f>
        <v>0</v>
      </c>
      <c r="G333">
        <f>'insurance final cleaned'!M862</f>
        <v>0</v>
      </c>
      <c r="H333">
        <f>'insurance final cleaned'!N862</f>
        <v>0</v>
      </c>
      <c r="I333">
        <f>'insurance final cleaned'!O862</f>
        <v>1</v>
      </c>
      <c r="J333">
        <f>'insurance final cleaned'!P862</f>
        <v>0.23851134087283621</v>
      </c>
      <c r="K333">
        <f>'insurance final cleaned'!Q862</f>
        <v>0</v>
      </c>
      <c r="L333">
        <f>'insurance final cleaned'!R862</f>
        <v>1</v>
      </c>
      <c r="M333">
        <f>'insurance final cleaned'!S862</f>
        <v>1</v>
      </c>
    </row>
    <row r="334" spans="1:13" x14ac:dyDescent="0.3">
      <c r="A334">
        <f>'insurance final cleaned'!J623</f>
        <v>8601.33</v>
      </c>
      <c r="B334">
        <f>'insurance final cleaned'!B623</f>
        <v>39</v>
      </c>
      <c r="C334">
        <f>'insurance final cleaned'!D623</f>
        <v>27.2</v>
      </c>
      <c r="D334">
        <f>'insurance final cleaned'!G623</f>
        <v>0</v>
      </c>
      <c r="E334">
        <f>'insurance final cleaned'!E623</f>
        <v>95</v>
      </c>
      <c r="F334">
        <f>'insurance final cleaned'!L623</f>
        <v>0</v>
      </c>
      <c r="G334">
        <f>'insurance final cleaned'!M623</f>
        <v>1</v>
      </c>
      <c r="H334">
        <f>'insurance final cleaned'!N623</f>
        <v>0</v>
      </c>
      <c r="I334">
        <f>'insurance final cleaned'!O623</f>
        <v>0</v>
      </c>
      <c r="J334">
        <f>'insurance final cleaned'!P623</f>
        <v>0.23875479028379987</v>
      </c>
      <c r="K334">
        <f>'insurance final cleaned'!Q623</f>
        <v>0</v>
      </c>
      <c r="L334">
        <f>'insurance final cleaned'!R623</f>
        <v>1</v>
      </c>
      <c r="M334">
        <f>'insurance final cleaned'!S623</f>
        <v>1</v>
      </c>
    </row>
    <row r="335" spans="1:13" x14ac:dyDescent="0.3">
      <c r="A335">
        <f>'insurance final cleaned'!J1318</f>
        <v>47269.85</v>
      </c>
      <c r="B335">
        <f>'insurance final cleaned'!B1318</f>
        <v>41</v>
      </c>
      <c r="C335">
        <f>'insurance final cleaned'!D1318</f>
        <v>41.8</v>
      </c>
      <c r="D335">
        <f>'insurance final cleaned'!G1318</f>
        <v>2</v>
      </c>
      <c r="E335">
        <f>'insurance final cleaned'!E1318</f>
        <v>109</v>
      </c>
      <c r="F335">
        <f>'insurance final cleaned'!L1318</f>
        <v>41.8</v>
      </c>
      <c r="G335">
        <f>'insurance final cleaned'!M1318</f>
        <v>1</v>
      </c>
      <c r="H335">
        <f>'insurance final cleaned'!N1318</f>
        <v>0</v>
      </c>
      <c r="I335">
        <f>'insurance final cleaned'!O1318</f>
        <v>0</v>
      </c>
      <c r="J335">
        <f>'insurance final cleaned'!P1318</f>
        <v>0.23903185805584271</v>
      </c>
      <c r="K335">
        <f>'insurance final cleaned'!Q1318</f>
        <v>1</v>
      </c>
      <c r="L335">
        <f>'insurance final cleaned'!R1318</f>
        <v>1</v>
      </c>
      <c r="M335">
        <f>'insurance final cleaned'!S1318</f>
        <v>0</v>
      </c>
    </row>
    <row r="336" spans="1:13" x14ac:dyDescent="0.3">
      <c r="A336">
        <f>'insurance final cleaned'!J813</f>
        <v>11512.41</v>
      </c>
      <c r="B336">
        <f>'insurance final cleaned'!B813</f>
        <v>59</v>
      </c>
      <c r="C336">
        <f>'insurance final cleaned'!D813</f>
        <v>32.299999999999997</v>
      </c>
      <c r="D336">
        <f>'insurance final cleaned'!G813</f>
        <v>1</v>
      </c>
      <c r="E336">
        <f>'insurance final cleaned'!E813</f>
        <v>97</v>
      </c>
      <c r="F336">
        <f>'insurance final cleaned'!L813</f>
        <v>0</v>
      </c>
      <c r="G336">
        <f>'insurance final cleaned'!M813</f>
        <v>0</v>
      </c>
      <c r="H336">
        <f>'insurance final cleaned'!N813</f>
        <v>0</v>
      </c>
      <c r="I336">
        <f>'insurance final cleaned'!O813</f>
        <v>0</v>
      </c>
      <c r="J336">
        <f>'insurance final cleaned'!P813</f>
        <v>0.2397500590002507</v>
      </c>
      <c r="K336">
        <f>'insurance final cleaned'!Q813</f>
        <v>0</v>
      </c>
      <c r="L336">
        <f>'insurance final cleaned'!R813</f>
        <v>1</v>
      </c>
      <c r="M336">
        <f>'insurance final cleaned'!S813</f>
        <v>1</v>
      </c>
    </row>
    <row r="337" spans="1:13" x14ac:dyDescent="0.3">
      <c r="A337">
        <f>'insurance final cleaned'!J177</f>
        <v>2755.02</v>
      </c>
      <c r="B337">
        <f>'insurance final cleaned'!B177</f>
        <v>59</v>
      </c>
      <c r="C337">
        <f>'insurance final cleaned'!D177</f>
        <v>39.799999999999997</v>
      </c>
      <c r="D337">
        <f>'insurance final cleaned'!G177</f>
        <v>0</v>
      </c>
      <c r="E337">
        <f>'insurance final cleaned'!E177</f>
        <v>81</v>
      </c>
      <c r="F337">
        <f>'insurance final cleaned'!L177</f>
        <v>0</v>
      </c>
      <c r="G337">
        <f>'insurance final cleaned'!M177</f>
        <v>0</v>
      </c>
      <c r="H337">
        <f>'insurance final cleaned'!N177</f>
        <v>0</v>
      </c>
      <c r="I337">
        <f>'insurance final cleaned'!O177</f>
        <v>0</v>
      </c>
      <c r="J337">
        <f>'insurance final cleaned'!P177</f>
        <v>0.24027142442851401</v>
      </c>
      <c r="K337">
        <f>'insurance final cleaned'!Q177</f>
        <v>0</v>
      </c>
      <c r="L337">
        <f>'insurance final cleaned'!R177</f>
        <v>1</v>
      </c>
      <c r="M337">
        <f>'insurance final cleaned'!S177</f>
        <v>1</v>
      </c>
    </row>
    <row r="338" spans="1:13" x14ac:dyDescent="0.3">
      <c r="A338">
        <f>'insurance final cleaned'!J86</f>
        <v>1964.78</v>
      </c>
      <c r="B338">
        <f>'insurance final cleaned'!B86</f>
        <v>36</v>
      </c>
      <c r="C338">
        <f>'insurance final cleaned'!D86</f>
        <v>22</v>
      </c>
      <c r="D338">
        <f>'insurance final cleaned'!G86</f>
        <v>1</v>
      </c>
      <c r="E338">
        <f>'insurance final cleaned'!E86</f>
        <v>88</v>
      </c>
      <c r="F338">
        <f>'insurance final cleaned'!L86</f>
        <v>0</v>
      </c>
      <c r="G338">
        <f>'insurance final cleaned'!M86</f>
        <v>0</v>
      </c>
      <c r="H338">
        <f>'insurance final cleaned'!N86</f>
        <v>1</v>
      </c>
      <c r="I338">
        <f>'insurance final cleaned'!O86</f>
        <v>0</v>
      </c>
      <c r="J338">
        <f>'insurance final cleaned'!P86</f>
        <v>0.24090551391846826</v>
      </c>
      <c r="K338">
        <f>'insurance final cleaned'!Q86</f>
        <v>0</v>
      </c>
      <c r="L338">
        <f>'insurance final cleaned'!R86</f>
        <v>1</v>
      </c>
      <c r="M338">
        <f>'insurance final cleaned'!S86</f>
        <v>0</v>
      </c>
    </row>
    <row r="339" spans="1:13" x14ac:dyDescent="0.3">
      <c r="A339">
        <f>'insurance final cleaned'!J1182</f>
        <v>30184.94</v>
      </c>
      <c r="B339">
        <f>'insurance final cleaned'!B1182</f>
        <v>39</v>
      </c>
      <c r="C339">
        <f>'insurance final cleaned'!D1182</f>
        <v>29.8</v>
      </c>
      <c r="D339">
        <f>'insurance final cleaned'!G1182</f>
        <v>3</v>
      </c>
      <c r="E339">
        <f>'insurance final cleaned'!E1182</f>
        <v>110</v>
      </c>
      <c r="F339">
        <f>'insurance final cleaned'!L1182</f>
        <v>29.8</v>
      </c>
      <c r="G339">
        <f>'insurance final cleaned'!M1182</f>
        <v>0</v>
      </c>
      <c r="H339">
        <f>'insurance final cleaned'!N1182</f>
        <v>0</v>
      </c>
      <c r="I339">
        <f>'insurance final cleaned'!O1182</f>
        <v>0</v>
      </c>
      <c r="J339">
        <f>'insurance final cleaned'!P1182</f>
        <v>0.24132965506802362</v>
      </c>
      <c r="K339">
        <f>'insurance final cleaned'!Q1182</f>
        <v>1</v>
      </c>
      <c r="L339">
        <f>'insurance final cleaned'!R1182</f>
        <v>0</v>
      </c>
      <c r="M339">
        <f>'insurance final cleaned'!S1182</f>
        <v>0</v>
      </c>
    </row>
    <row r="340" spans="1:13" x14ac:dyDescent="0.3">
      <c r="A340">
        <f>'insurance final cleaned'!J245</f>
        <v>3597.6</v>
      </c>
      <c r="B340">
        <f>'insurance final cleaned'!B245</f>
        <v>48</v>
      </c>
      <c r="C340">
        <f>'insurance final cleaned'!D245</f>
        <v>37.1</v>
      </c>
      <c r="D340">
        <f>'insurance final cleaned'!G245</f>
        <v>3</v>
      </c>
      <c r="E340">
        <f>'insurance final cleaned'!E245</f>
        <v>97</v>
      </c>
      <c r="F340">
        <f>'insurance final cleaned'!L245</f>
        <v>0</v>
      </c>
      <c r="G340">
        <f>'insurance final cleaned'!M245</f>
        <v>0</v>
      </c>
      <c r="H340">
        <f>'insurance final cleaned'!N245</f>
        <v>1</v>
      </c>
      <c r="I340">
        <f>'insurance final cleaned'!O245</f>
        <v>0</v>
      </c>
      <c r="J340">
        <f>'insurance final cleaned'!P245</f>
        <v>0.24212570451049931</v>
      </c>
      <c r="K340">
        <f>'insurance final cleaned'!Q245</f>
        <v>0</v>
      </c>
      <c r="L340">
        <f>'insurance final cleaned'!R245</f>
        <v>0</v>
      </c>
      <c r="M340">
        <f>'insurance final cleaned'!S245</f>
        <v>0</v>
      </c>
    </row>
    <row r="341" spans="1:13" x14ac:dyDescent="0.3">
      <c r="A341">
        <f>'insurance final cleaned'!J174</f>
        <v>2730.11</v>
      </c>
      <c r="B341">
        <f>'insurance final cleaned'!B174</f>
        <v>34</v>
      </c>
      <c r="C341">
        <f>'insurance final cleaned'!D174</f>
        <v>39.6</v>
      </c>
      <c r="D341">
        <f>'insurance final cleaned'!G174</f>
        <v>1</v>
      </c>
      <c r="E341">
        <f>'insurance final cleaned'!E174</f>
        <v>91</v>
      </c>
      <c r="F341">
        <f>'insurance final cleaned'!L174</f>
        <v>0</v>
      </c>
      <c r="G341">
        <f>'insurance final cleaned'!M174</f>
        <v>0</v>
      </c>
      <c r="H341">
        <f>'insurance final cleaned'!N174</f>
        <v>0</v>
      </c>
      <c r="I341">
        <f>'insurance final cleaned'!O174</f>
        <v>1</v>
      </c>
      <c r="J341">
        <f>'insurance final cleaned'!P174</f>
        <v>0.24228186579258293</v>
      </c>
      <c r="K341">
        <f>'insurance final cleaned'!Q174</f>
        <v>0</v>
      </c>
      <c r="L341">
        <f>'insurance final cleaned'!R174</f>
        <v>1</v>
      </c>
      <c r="M341">
        <f>'insurance final cleaned'!S174</f>
        <v>1</v>
      </c>
    </row>
    <row r="342" spans="1:13" x14ac:dyDescent="0.3">
      <c r="A342">
        <f>'insurance final cleaned'!J1226</f>
        <v>36898.730000000003</v>
      </c>
      <c r="B342">
        <f>'insurance final cleaned'!B1226</f>
        <v>60</v>
      </c>
      <c r="C342">
        <f>'insurance final cleaned'!D1226</f>
        <v>32.5</v>
      </c>
      <c r="D342">
        <f>'insurance final cleaned'!G1226</f>
        <v>0</v>
      </c>
      <c r="E342">
        <f>'insurance final cleaned'!E1226</f>
        <v>97</v>
      </c>
      <c r="F342">
        <f>'insurance final cleaned'!L1226</f>
        <v>32.5</v>
      </c>
      <c r="G342">
        <f>'insurance final cleaned'!M1226</f>
        <v>0</v>
      </c>
      <c r="H342">
        <f>'insurance final cleaned'!N1226</f>
        <v>0</v>
      </c>
      <c r="I342">
        <f>'insurance final cleaned'!O1226</f>
        <v>1</v>
      </c>
      <c r="J342">
        <f>'insurance final cleaned'!P1226</f>
        <v>0.24261995740139164</v>
      </c>
      <c r="K342">
        <f>'insurance final cleaned'!Q1226</f>
        <v>1</v>
      </c>
      <c r="L342">
        <f>'insurance final cleaned'!R1226</f>
        <v>0</v>
      </c>
      <c r="M342">
        <f>'insurance final cleaned'!S1226</f>
        <v>1</v>
      </c>
    </row>
    <row r="343" spans="1:13" x14ac:dyDescent="0.3">
      <c r="A343">
        <f>'insurance final cleaned'!J1158</f>
        <v>27037.91</v>
      </c>
      <c r="B343">
        <f>'insurance final cleaned'!B1158</f>
        <v>46</v>
      </c>
      <c r="C343">
        <f>'insurance final cleaned'!D1158</f>
        <v>23</v>
      </c>
      <c r="D343">
        <f>'insurance final cleaned'!G1158</f>
        <v>0</v>
      </c>
      <c r="E343">
        <f>'insurance final cleaned'!E1158</f>
        <v>137</v>
      </c>
      <c r="F343">
        <f>'insurance final cleaned'!L1158</f>
        <v>23</v>
      </c>
      <c r="G343">
        <f>'insurance final cleaned'!M1158</f>
        <v>1</v>
      </c>
      <c r="H343">
        <f>'insurance final cleaned'!N1158</f>
        <v>0</v>
      </c>
      <c r="I343">
        <f>'insurance final cleaned'!O1158</f>
        <v>0</v>
      </c>
      <c r="J343">
        <f>'insurance final cleaned'!P1158</f>
        <v>0.24284015829426686</v>
      </c>
      <c r="K343">
        <f>'insurance final cleaned'!Q1158</f>
        <v>1</v>
      </c>
      <c r="L343">
        <f>'insurance final cleaned'!R1158</f>
        <v>1</v>
      </c>
      <c r="M343">
        <f>'insurance final cleaned'!S1158</f>
        <v>1</v>
      </c>
    </row>
    <row r="344" spans="1:13" x14ac:dyDescent="0.3">
      <c r="A344">
        <f>'insurance final cleaned'!J280</f>
        <v>4133.6400000000003</v>
      </c>
      <c r="B344">
        <f>'insurance final cleaned'!B280</f>
        <v>49</v>
      </c>
      <c r="C344">
        <f>'insurance final cleaned'!D280</f>
        <v>25.9</v>
      </c>
      <c r="D344">
        <f>'insurance final cleaned'!G280</f>
        <v>1</v>
      </c>
      <c r="E344">
        <f>'insurance final cleaned'!E280</f>
        <v>80</v>
      </c>
      <c r="F344">
        <f>'insurance final cleaned'!L280</f>
        <v>0</v>
      </c>
      <c r="G344">
        <f>'insurance final cleaned'!M280</f>
        <v>0</v>
      </c>
      <c r="H344">
        <f>'insurance final cleaned'!N280</f>
        <v>0</v>
      </c>
      <c r="I344">
        <f>'insurance final cleaned'!O280</f>
        <v>1</v>
      </c>
      <c r="J344">
        <f>'insurance final cleaned'!P280</f>
        <v>0.24333557995404387</v>
      </c>
      <c r="K344">
        <f>'insurance final cleaned'!Q280</f>
        <v>0</v>
      </c>
      <c r="L344">
        <f>'insurance final cleaned'!R280</f>
        <v>1</v>
      </c>
      <c r="M344">
        <f>'insurance final cleaned'!S280</f>
        <v>1</v>
      </c>
    </row>
    <row r="345" spans="1:13" x14ac:dyDescent="0.3">
      <c r="A345">
        <f>'insurance final cleaned'!J1152</f>
        <v>26140.36</v>
      </c>
      <c r="B345">
        <f>'insurance final cleaned'!B1152</f>
        <v>55</v>
      </c>
      <c r="C345">
        <f>'insurance final cleaned'!D1152</f>
        <v>27.1</v>
      </c>
      <c r="D345">
        <f>'insurance final cleaned'!G1152</f>
        <v>1</v>
      </c>
      <c r="E345">
        <f>'insurance final cleaned'!E1152</f>
        <v>135</v>
      </c>
      <c r="F345">
        <f>'insurance final cleaned'!L1152</f>
        <v>0</v>
      </c>
      <c r="G345">
        <f>'insurance final cleaned'!M1152</f>
        <v>0</v>
      </c>
      <c r="H345">
        <f>'insurance final cleaned'!N1152</f>
        <v>1</v>
      </c>
      <c r="I345">
        <f>'insurance final cleaned'!O1152</f>
        <v>0</v>
      </c>
      <c r="J345">
        <f>'insurance final cleaned'!P1152</f>
        <v>0.24440983271486372</v>
      </c>
      <c r="K345">
        <f>'insurance final cleaned'!Q1152</f>
        <v>0</v>
      </c>
      <c r="L345">
        <f>'insurance final cleaned'!R1152</f>
        <v>0</v>
      </c>
      <c r="M345">
        <f>'insurance final cleaned'!S1152</f>
        <v>1</v>
      </c>
    </row>
    <row r="346" spans="1:13" x14ac:dyDescent="0.3">
      <c r="A346">
        <f>'insurance final cleaned'!J633</f>
        <v>8733.23</v>
      </c>
      <c r="B346">
        <f>'insurance final cleaned'!B633</f>
        <v>21</v>
      </c>
      <c r="C346">
        <f>'insurance final cleaned'!D633</f>
        <v>40.4</v>
      </c>
      <c r="D346">
        <f>'insurance final cleaned'!G633</f>
        <v>2</v>
      </c>
      <c r="E346">
        <f>'insurance final cleaned'!E633</f>
        <v>98</v>
      </c>
      <c r="F346">
        <f>'insurance final cleaned'!L633</f>
        <v>0</v>
      </c>
      <c r="G346">
        <f>'insurance final cleaned'!M633</f>
        <v>0</v>
      </c>
      <c r="H346">
        <f>'insurance final cleaned'!N633</f>
        <v>0</v>
      </c>
      <c r="I346">
        <f>'insurance final cleaned'!O633</f>
        <v>1</v>
      </c>
      <c r="J346">
        <f>'insurance final cleaned'!P633</f>
        <v>0.24733370035961244</v>
      </c>
      <c r="K346">
        <f>'insurance final cleaned'!Q633</f>
        <v>0</v>
      </c>
      <c r="L346">
        <f>'insurance final cleaned'!R633</f>
        <v>0</v>
      </c>
      <c r="M346">
        <f>'insurance final cleaned'!S633</f>
        <v>0</v>
      </c>
    </row>
    <row r="347" spans="1:13" x14ac:dyDescent="0.3">
      <c r="A347">
        <f>'insurance final cleaned'!J495</f>
        <v>6799.46</v>
      </c>
      <c r="B347">
        <f>'insurance final cleaned'!B495</f>
        <v>37</v>
      </c>
      <c r="C347">
        <f>'insurance final cleaned'!D495</f>
        <v>28.5</v>
      </c>
      <c r="D347">
        <f>'insurance final cleaned'!G495</f>
        <v>5</v>
      </c>
      <c r="E347">
        <f>'insurance final cleaned'!E495</f>
        <v>81</v>
      </c>
      <c r="F347">
        <f>'insurance final cleaned'!L495</f>
        <v>0</v>
      </c>
      <c r="G347">
        <f>'insurance final cleaned'!M495</f>
        <v>1</v>
      </c>
      <c r="H347">
        <f>'insurance final cleaned'!N495</f>
        <v>0</v>
      </c>
      <c r="I347">
        <f>'insurance final cleaned'!O495</f>
        <v>0</v>
      </c>
      <c r="J347">
        <f>'insurance final cleaned'!P495</f>
        <v>0.24748272166063157</v>
      </c>
      <c r="K347">
        <f>'insurance final cleaned'!Q495</f>
        <v>0</v>
      </c>
      <c r="L347">
        <f>'insurance final cleaned'!R495</f>
        <v>0</v>
      </c>
      <c r="M347">
        <f>'insurance final cleaned'!S495</f>
        <v>0</v>
      </c>
    </row>
    <row r="348" spans="1:13" x14ac:dyDescent="0.3">
      <c r="A348">
        <f>'insurance final cleaned'!J1006</f>
        <v>16586.5</v>
      </c>
      <c r="B348">
        <f>'insurance final cleaned'!B1006</f>
        <v>44</v>
      </c>
      <c r="C348">
        <f>'insurance final cleaned'!D1006</f>
        <v>31</v>
      </c>
      <c r="D348">
        <f>'insurance final cleaned'!G1006</f>
        <v>0</v>
      </c>
      <c r="E348">
        <f>'insurance final cleaned'!E1006</f>
        <v>88</v>
      </c>
      <c r="F348">
        <f>'insurance final cleaned'!L1006</f>
        <v>0</v>
      </c>
      <c r="G348">
        <f>'insurance final cleaned'!M1006</f>
        <v>1</v>
      </c>
      <c r="H348">
        <f>'insurance final cleaned'!N1006</f>
        <v>0</v>
      </c>
      <c r="I348">
        <f>'insurance final cleaned'!O1006</f>
        <v>0</v>
      </c>
      <c r="J348">
        <f>'insurance final cleaned'!P1006</f>
        <v>0.24792950367926714</v>
      </c>
      <c r="K348">
        <f>'insurance final cleaned'!Q1006</f>
        <v>0</v>
      </c>
      <c r="L348">
        <f>'insurance final cleaned'!R1006</f>
        <v>0</v>
      </c>
      <c r="M348">
        <f>'insurance final cleaned'!S1006</f>
        <v>0</v>
      </c>
    </row>
    <row r="349" spans="1:13" x14ac:dyDescent="0.3">
      <c r="A349">
        <f>'insurance final cleaned'!J228</f>
        <v>3393.36</v>
      </c>
      <c r="B349">
        <f>'insurance final cleaned'!B228</f>
        <v>35</v>
      </c>
      <c r="C349">
        <f>'insurance final cleaned'!D228</f>
        <v>38.700000000000003</v>
      </c>
      <c r="D349">
        <f>'insurance final cleaned'!G228</f>
        <v>2</v>
      </c>
      <c r="E349">
        <f>'insurance final cleaned'!E228</f>
        <v>85</v>
      </c>
      <c r="F349">
        <f>'insurance final cleaned'!L228</f>
        <v>0</v>
      </c>
      <c r="G349">
        <f>'insurance final cleaned'!M228</f>
        <v>1</v>
      </c>
      <c r="H349">
        <f>'insurance final cleaned'!N228</f>
        <v>0</v>
      </c>
      <c r="I349">
        <f>'insurance final cleaned'!O228</f>
        <v>0</v>
      </c>
      <c r="J349">
        <f>'insurance final cleaned'!P228</f>
        <v>0.24881866215841253</v>
      </c>
      <c r="K349">
        <f>'insurance final cleaned'!Q228</f>
        <v>0</v>
      </c>
      <c r="L349">
        <f>'insurance final cleaned'!R228</f>
        <v>0</v>
      </c>
      <c r="M349">
        <f>'insurance final cleaned'!S228</f>
        <v>1</v>
      </c>
    </row>
    <row r="350" spans="1:13" x14ac:dyDescent="0.3">
      <c r="A350">
        <f>'insurance final cleaned'!J227</f>
        <v>3392.98</v>
      </c>
      <c r="B350">
        <f>'insurance final cleaned'!B227</f>
        <v>60</v>
      </c>
      <c r="C350">
        <f>'insurance final cleaned'!D227</f>
        <v>29.9</v>
      </c>
      <c r="D350">
        <f>'insurance final cleaned'!G227</f>
        <v>1</v>
      </c>
      <c r="E350">
        <f>'insurance final cleaned'!E227</f>
        <v>82</v>
      </c>
      <c r="F350">
        <f>'insurance final cleaned'!L227</f>
        <v>0</v>
      </c>
      <c r="G350">
        <f>'insurance final cleaned'!M227</f>
        <v>1</v>
      </c>
      <c r="H350">
        <f>'insurance final cleaned'!N227</f>
        <v>0</v>
      </c>
      <c r="I350">
        <f>'insurance final cleaned'!O227</f>
        <v>0</v>
      </c>
      <c r="J350">
        <f>'insurance final cleaned'!P227</f>
        <v>0.24903318871557967</v>
      </c>
      <c r="K350">
        <f>'insurance final cleaned'!Q227</f>
        <v>0</v>
      </c>
      <c r="L350">
        <f>'insurance final cleaned'!R227</f>
        <v>1</v>
      </c>
      <c r="M350">
        <f>'insurance final cleaned'!S227</f>
        <v>1</v>
      </c>
    </row>
    <row r="351" spans="1:13" x14ac:dyDescent="0.3">
      <c r="A351">
        <f>'insurance final cleaned'!J435</f>
        <v>6079.67</v>
      </c>
      <c r="B351">
        <f>'insurance final cleaned'!B435</f>
        <v>36</v>
      </c>
      <c r="C351">
        <f>'insurance final cleaned'!D435</f>
        <v>37.1</v>
      </c>
      <c r="D351">
        <f>'insurance final cleaned'!G435</f>
        <v>1</v>
      </c>
      <c r="E351">
        <f>'insurance final cleaned'!E435</f>
        <v>88</v>
      </c>
      <c r="F351">
        <f>'insurance final cleaned'!L435</f>
        <v>0</v>
      </c>
      <c r="G351">
        <f>'insurance final cleaned'!M435</f>
        <v>1</v>
      </c>
      <c r="H351">
        <f>'insurance final cleaned'!N435</f>
        <v>0</v>
      </c>
      <c r="I351">
        <f>'insurance final cleaned'!O435</f>
        <v>0</v>
      </c>
      <c r="J351">
        <f>'insurance final cleaned'!P435</f>
        <v>0.24909488696284821</v>
      </c>
      <c r="K351">
        <f>'insurance final cleaned'!Q435</f>
        <v>0</v>
      </c>
      <c r="L351">
        <f>'insurance final cleaned'!R435</f>
        <v>0</v>
      </c>
      <c r="M351">
        <f>'insurance final cleaned'!S435</f>
        <v>0</v>
      </c>
    </row>
    <row r="352" spans="1:13" x14ac:dyDescent="0.3">
      <c r="A352">
        <f>'insurance final cleaned'!J1038</f>
        <v>18648.419999999998</v>
      </c>
      <c r="B352">
        <f>'insurance final cleaned'!B1038</f>
        <v>38</v>
      </c>
      <c r="C352">
        <f>'insurance final cleaned'!D1038</f>
        <v>29.8</v>
      </c>
      <c r="D352">
        <f>'insurance final cleaned'!G1038</f>
        <v>0</v>
      </c>
      <c r="E352">
        <f>'insurance final cleaned'!E1038</f>
        <v>87</v>
      </c>
      <c r="F352">
        <f>'insurance final cleaned'!L1038</f>
        <v>29.8</v>
      </c>
      <c r="G352">
        <f>'insurance final cleaned'!M1038</f>
        <v>0</v>
      </c>
      <c r="H352">
        <f>'insurance final cleaned'!N1038</f>
        <v>0</v>
      </c>
      <c r="I352">
        <f>'insurance final cleaned'!O1038</f>
        <v>0</v>
      </c>
      <c r="J352">
        <f>'insurance final cleaned'!P1038</f>
        <v>0.24909798915030534</v>
      </c>
      <c r="K352">
        <f>'insurance final cleaned'!Q1038</f>
        <v>1</v>
      </c>
      <c r="L352">
        <f>'insurance final cleaned'!R1038</f>
        <v>1</v>
      </c>
      <c r="M352">
        <f>'insurance final cleaned'!S1038</f>
        <v>0</v>
      </c>
    </row>
    <row r="353" spans="1:13" x14ac:dyDescent="0.3">
      <c r="A353">
        <f>'insurance final cleaned'!J476</f>
        <v>6571.54</v>
      </c>
      <c r="B353">
        <f>'insurance final cleaned'!B476</f>
        <v>55</v>
      </c>
      <c r="C353">
        <f>'insurance final cleaned'!D476</f>
        <v>34.799999999999997</v>
      </c>
      <c r="D353">
        <f>'insurance final cleaned'!G476</f>
        <v>2</v>
      </c>
      <c r="E353">
        <f>'insurance final cleaned'!E476</f>
        <v>80</v>
      </c>
      <c r="F353">
        <f>'insurance final cleaned'!L476</f>
        <v>0</v>
      </c>
      <c r="G353">
        <f>'insurance final cleaned'!M476</f>
        <v>0</v>
      </c>
      <c r="H353">
        <f>'insurance final cleaned'!N476</f>
        <v>1</v>
      </c>
      <c r="I353">
        <f>'insurance final cleaned'!O476</f>
        <v>0</v>
      </c>
      <c r="J353">
        <f>'insurance final cleaned'!P476</f>
        <v>0.24997582071116453</v>
      </c>
      <c r="K353">
        <f>'insurance final cleaned'!Q476</f>
        <v>0</v>
      </c>
      <c r="L353">
        <f>'insurance final cleaned'!R476</f>
        <v>1</v>
      </c>
      <c r="M353">
        <f>'insurance final cleaned'!S476</f>
        <v>1</v>
      </c>
    </row>
    <row r="354" spans="1:13" x14ac:dyDescent="0.3">
      <c r="A354">
        <f>'insurance final cleaned'!J1285</f>
        <v>42560.43</v>
      </c>
      <c r="B354">
        <f>'insurance final cleaned'!B1285</f>
        <v>28</v>
      </c>
      <c r="C354">
        <f>'insurance final cleaned'!D1285</f>
        <v>38.1</v>
      </c>
      <c r="D354">
        <f>'insurance final cleaned'!G1285</f>
        <v>2</v>
      </c>
      <c r="E354">
        <f>'insurance final cleaned'!E1285</f>
        <v>125</v>
      </c>
      <c r="F354">
        <f>'insurance final cleaned'!L1285</f>
        <v>38.1</v>
      </c>
      <c r="G354">
        <f>'insurance final cleaned'!M1285</f>
        <v>1</v>
      </c>
      <c r="H354">
        <f>'insurance final cleaned'!N1285</f>
        <v>0</v>
      </c>
      <c r="I354">
        <f>'insurance final cleaned'!O1285</f>
        <v>0</v>
      </c>
      <c r="J354">
        <f>'insurance final cleaned'!P1285</f>
        <v>0.25100581418828338</v>
      </c>
      <c r="K354">
        <f>'insurance final cleaned'!Q1285</f>
        <v>1</v>
      </c>
      <c r="L354">
        <f>'insurance final cleaned'!R1285</f>
        <v>1</v>
      </c>
      <c r="M354">
        <f>'insurance final cleaned'!S1285</f>
        <v>0</v>
      </c>
    </row>
    <row r="355" spans="1:13" x14ac:dyDescent="0.3">
      <c r="A355">
        <f>'insurance final cleaned'!J1178</f>
        <v>29330.98</v>
      </c>
      <c r="B355">
        <f>'insurance final cleaned'!B1178</f>
        <v>47</v>
      </c>
      <c r="C355">
        <f>'insurance final cleaned'!D1178</f>
        <v>26.9</v>
      </c>
      <c r="D355">
        <f>'insurance final cleaned'!G1178</f>
        <v>0</v>
      </c>
      <c r="E355">
        <f>'insurance final cleaned'!E1178</f>
        <v>114</v>
      </c>
      <c r="F355">
        <f>'insurance final cleaned'!L1178</f>
        <v>26.9</v>
      </c>
      <c r="G355">
        <f>'insurance final cleaned'!M1178</f>
        <v>0</v>
      </c>
      <c r="H355">
        <f>'insurance final cleaned'!N1178</f>
        <v>0</v>
      </c>
      <c r="I355">
        <f>'insurance final cleaned'!O1178</f>
        <v>1</v>
      </c>
      <c r="J355">
        <f>'insurance final cleaned'!P1178</f>
        <v>0.25180919204139907</v>
      </c>
      <c r="K355">
        <f>'insurance final cleaned'!Q1178</f>
        <v>1</v>
      </c>
      <c r="L355">
        <f>'insurance final cleaned'!R1178</f>
        <v>1</v>
      </c>
      <c r="M355">
        <f>'insurance final cleaned'!S1178</f>
        <v>1</v>
      </c>
    </row>
    <row r="356" spans="1:13" x14ac:dyDescent="0.3">
      <c r="A356">
        <f>'insurance final cleaned'!J211</f>
        <v>3208.79</v>
      </c>
      <c r="B356">
        <f>'insurance final cleaned'!B211</f>
        <v>33</v>
      </c>
      <c r="C356">
        <f>'insurance final cleaned'!D211</f>
        <v>20.8</v>
      </c>
      <c r="D356">
        <f>'insurance final cleaned'!G211</f>
        <v>1</v>
      </c>
      <c r="E356">
        <f>'insurance final cleaned'!E211</f>
        <v>87</v>
      </c>
      <c r="F356">
        <f>'insurance final cleaned'!L211</f>
        <v>0</v>
      </c>
      <c r="G356">
        <f>'insurance final cleaned'!M211</f>
        <v>0</v>
      </c>
      <c r="H356">
        <f>'insurance final cleaned'!N211</f>
        <v>1</v>
      </c>
      <c r="I356">
        <f>'insurance final cleaned'!O211</f>
        <v>0</v>
      </c>
      <c r="J356">
        <f>'insurance final cleaned'!P211</f>
        <v>0.25195381911307047</v>
      </c>
      <c r="K356">
        <f>'insurance final cleaned'!Q211</f>
        <v>0</v>
      </c>
      <c r="L356">
        <f>'insurance final cleaned'!R211</f>
        <v>1</v>
      </c>
      <c r="M356">
        <f>'insurance final cleaned'!S211</f>
        <v>1</v>
      </c>
    </row>
    <row r="357" spans="1:13" x14ac:dyDescent="0.3">
      <c r="A357">
        <f>'insurance final cleaned'!J1065</f>
        <v>19749.38</v>
      </c>
      <c r="B357">
        <f>'insurance final cleaned'!B1065</f>
        <v>30</v>
      </c>
      <c r="C357">
        <f>'insurance final cleaned'!D1065</f>
        <v>27.8</v>
      </c>
      <c r="D357">
        <f>'insurance final cleaned'!G1065</f>
        <v>3</v>
      </c>
      <c r="E357">
        <f>'insurance final cleaned'!E1065</f>
        <v>97</v>
      </c>
      <c r="F357">
        <f>'insurance final cleaned'!L1065</f>
        <v>0</v>
      </c>
      <c r="G357">
        <f>'insurance final cleaned'!M1065</f>
        <v>1</v>
      </c>
      <c r="H357">
        <f>'insurance final cleaned'!N1065</f>
        <v>0</v>
      </c>
      <c r="I357">
        <f>'insurance final cleaned'!O1065</f>
        <v>0</v>
      </c>
      <c r="J357">
        <f>'insurance final cleaned'!P1065</f>
        <v>0.25365936573510484</v>
      </c>
      <c r="K357">
        <f>'insurance final cleaned'!Q1065</f>
        <v>0</v>
      </c>
      <c r="L357">
        <f>'insurance final cleaned'!R1065</f>
        <v>0</v>
      </c>
      <c r="M357">
        <f>'insurance final cleaned'!S1065</f>
        <v>1</v>
      </c>
    </row>
    <row r="358" spans="1:13" x14ac:dyDescent="0.3">
      <c r="A358">
        <f>'insurance final cleaned'!J908</f>
        <v>13019.16</v>
      </c>
      <c r="B358">
        <f>'insurance final cleaned'!B908</f>
        <v>46</v>
      </c>
      <c r="C358">
        <f>'insurance final cleaned'!D908</f>
        <v>32.4</v>
      </c>
      <c r="D358">
        <f>'insurance final cleaned'!G908</f>
        <v>1</v>
      </c>
      <c r="E358">
        <f>'insurance final cleaned'!E908</f>
        <v>108</v>
      </c>
      <c r="F358">
        <f>'insurance final cleaned'!L908</f>
        <v>0</v>
      </c>
      <c r="G358">
        <f>'insurance final cleaned'!M908</f>
        <v>0</v>
      </c>
      <c r="H358">
        <f>'insurance final cleaned'!N908</f>
        <v>0</v>
      </c>
      <c r="I358">
        <f>'insurance final cleaned'!O908</f>
        <v>0</v>
      </c>
      <c r="J358">
        <f>'insurance final cleaned'!P908</f>
        <v>0.25431175642969572</v>
      </c>
      <c r="K358">
        <f>'insurance final cleaned'!Q908</f>
        <v>0</v>
      </c>
      <c r="L358">
        <f>'insurance final cleaned'!R908</f>
        <v>0</v>
      </c>
      <c r="M358">
        <f>'insurance final cleaned'!S908</f>
        <v>1</v>
      </c>
    </row>
    <row r="359" spans="1:13" x14ac:dyDescent="0.3">
      <c r="A359">
        <f>'insurance final cleaned'!J1236</f>
        <v>37701.879999999997</v>
      </c>
      <c r="B359">
        <f>'insurance final cleaned'!B1236</f>
        <v>47</v>
      </c>
      <c r="C359">
        <f>'insurance final cleaned'!D1236</f>
        <v>31.9</v>
      </c>
      <c r="D359">
        <f>'insurance final cleaned'!G1236</f>
        <v>1</v>
      </c>
      <c r="E359">
        <f>'insurance final cleaned'!E1236</f>
        <v>89</v>
      </c>
      <c r="F359">
        <f>'insurance final cleaned'!L1236</f>
        <v>31.9</v>
      </c>
      <c r="G359">
        <f>'insurance final cleaned'!M1236</f>
        <v>0</v>
      </c>
      <c r="H359">
        <f>'insurance final cleaned'!N1236</f>
        <v>0</v>
      </c>
      <c r="I359">
        <f>'insurance final cleaned'!O1236</f>
        <v>0</v>
      </c>
      <c r="J359">
        <f>'insurance final cleaned'!P1236</f>
        <v>0.25546890856152338</v>
      </c>
      <c r="K359">
        <f>'insurance final cleaned'!Q1236</f>
        <v>1</v>
      </c>
      <c r="L359">
        <f>'insurance final cleaned'!R1236</f>
        <v>1</v>
      </c>
      <c r="M359">
        <f>'insurance final cleaned'!S1236</f>
        <v>1</v>
      </c>
    </row>
    <row r="360" spans="1:13" x14ac:dyDescent="0.3">
      <c r="A360">
        <f>'insurance final cleaned'!J536</f>
        <v>7345.73</v>
      </c>
      <c r="B360">
        <f>'insurance final cleaned'!B536</f>
        <v>60</v>
      </c>
      <c r="C360">
        <f>'insurance final cleaned'!D536</f>
        <v>35.6</v>
      </c>
      <c r="D360">
        <f>'insurance final cleaned'!G536</f>
        <v>1</v>
      </c>
      <c r="E360">
        <f>'insurance final cleaned'!E536</f>
        <v>80</v>
      </c>
      <c r="F360">
        <f>'insurance final cleaned'!L536</f>
        <v>0</v>
      </c>
      <c r="G360">
        <f>'insurance final cleaned'!M536</f>
        <v>1</v>
      </c>
      <c r="H360">
        <f>'insurance final cleaned'!N536</f>
        <v>0</v>
      </c>
      <c r="I360">
        <f>'insurance final cleaned'!O536</f>
        <v>0</v>
      </c>
      <c r="J360">
        <f>'insurance final cleaned'!P536</f>
        <v>0.25550640828618509</v>
      </c>
      <c r="K360">
        <f>'insurance final cleaned'!Q536</f>
        <v>0</v>
      </c>
      <c r="L360">
        <f>'insurance final cleaned'!R536</f>
        <v>0</v>
      </c>
      <c r="M360">
        <f>'insurance final cleaned'!S536</f>
        <v>1</v>
      </c>
    </row>
    <row r="361" spans="1:13" x14ac:dyDescent="0.3">
      <c r="A361">
        <f>'insurance final cleaned'!J559</f>
        <v>7682.67</v>
      </c>
      <c r="B361">
        <f>'insurance final cleaned'!B559</f>
        <v>45</v>
      </c>
      <c r="C361">
        <f>'insurance final cleaned'!D559</f>
        <v>33</v>
      </c>
      <c r="D361">
        <f>'insurance final cleaned'!G559</f>
        <v>3</v>
      </c>
      <c r="E361">
        <f>'insurance final cleaned'!E559</f>
        <v>87</v>
      </c>
      <c r="F361">
        <f>'insurance final cleaned'!L559</f>
        <v>0</v>
      </c>
      <c r="G361">
        <f>'insurance final cleaned'!M559</f>
        <v>1</v>
      </c>
      <c r="H361">
        <f>'insurance final cleaned'!N559</f>
        <v>0</v>
      </c>
      <c r="I361">
        <f>'insurance final cleaned'!O559</f>
        <v>0</v>
      </c>
      <c r="J361">
        <f>'insurance final cleaned'!P559</f>
        <v>0.25731442785498726</v>
      </c>
      <c r="K361">
        <f>'insurance final cleaned'!Q559</f>
        <v>0</v>
      </c>
      <c r="L361">
        <f>'insurance final cleaned'!R559</f>
        <v>0</v>
      </c>
      <c r="M361">
        <f>'insurance final cleaned'!S559</f>
        <v>1</v>
      </c>
    </row>
    <row r="362" spans="1:13" x14ac:dyDescent="0.3">
      <c r="A362">
        <f>'insurance final cleaned'!J25</f>
        <v>1534.3</v>
      </c>
      <c r="B362">
        <f>'insurance final cleaned'!B25</f>
        <v>42</v>
      </c>
      <c r="C362">
        <f>'insurance final cleaned'!D25</f>
        <v>36.9</v>
      </c>
      <c r="D362">
        <f>'insurance final cleaned'!G25</f>
        <v>0</v>
      </c>
      <c r="E362">
        <f>'insurance final cleaned'!E25</f>
        <v>93</v>
      </c>
      <c r="F362">
        <f>'insurance final cleaned'!L25</f>
        <v>0</v>
      </c>
      <c r="G362">
        <f>'insurance final cleaned'!M25</f>
        <v>1</v>
      </c>
      <c r="H362">
        <f>'insurance final cleaned'!N25</f>
        <v>0</v>
      </c>
      <c r="I362">
        <f>'insurance final cleaned'!O25</f>
        <v>0</v>
      </c>
      <c r="J362">
        <f>'insurance final cleaned'!P25</f>
        <v>0.25790375303336643</v>
      </c>
      <c r="K362">
        <f>'insurance final cleaned'!Q25</f>
        <v>0</v>
      </c>
      <c r="L362">
        <f>'insurance final cleaned'!R25</f>
        <v>0</v>
      </c>
      <c r="M362">
        <f>'insurance final cleaned'!S25</f>
        <v>0</v>
      </c>
    </row>
    <row r="363" spans="1:13" x14ac:dyDescent="0.3">
      <c r="A363">
        <f>'insurance final cleaned'!J52</f>
        <v>1704.57</v>
      </c>
      <c r="B363">
        <f>'insurance final cleaned'!B52</f>
        <v>45</v>
      </c>
      <c r="C363">
        <f>'insurance final cleaned'!D52</f>
        <v>23</v>
      </c>
      <c r="D363">
        <f>'insurance final cleaned'!G52</f>
        <v>0</v>
      </c>
      <c r="E363">
        <f>'insurance final cleaned'!E52</f>
        <v>81</v>
      </c>
      <c r="F363">
        <f>'insurance final cleaned'!L52</f>
        <v>0</v>
      </c>
      <c r="G363">
        <f>'insurance final cleaned'!M52</f>
        <v>0</v>
      </c>
      <c r="H363">
        <f>'insurance final cleaned'!N52</f>
        <v>0</v>
      </c>
      <c r="I363">
        <f>'insurance final cleaned'!O52</f>
        <v>0</v>
      </c>
      <c r="J363">
        <f>'insurance final cleaned'!P52</f>
        <v>0.26083144871018193</v>
      </c>
      <c r="K363">
        <f>'insurance final cleaned'!Q52</f>
        <v>0</v>
      </c>
      <c r="L363">
        <f>'insurance final cleaned'!R52</f>
        <v>1</v>
      </c>
      <c r="M363">
        <f>'insurance final cleaned'!S52</f>
        <v>0</v>
      </c>
    </row>
    <row r="364" spans="1:13" x14ac:dyDescent="0.3">
      <c r="A364">
        <f>'insurance final cleaned'!J11</f>
        <v>1163.46</v>
      </c>
      <c r="B364">
        <f>'insurance final cleaned'!B11</f>
        <v>30</v>
      </c>
      <c r="C364">
        <f>'insurance final cleaned'!D11</f>
        <v>53.1</v>
      </c>
      <c r="D364">
        <f>'insurance final cleaned'!G11</f>
        <v>0</v>
      </c>
      <c r="E364">
        <f>'insurance final cleaned'!E11</f>
        <v>97</v>
      </c>
      <c r="F364">
        <f>'insurance final cleaned'!L11</f>
        <v>0</v>
      </c>
      <c r="G364">
        <f>'insurance final cleaned'!M11</f>
        <v>0</v>
      </c>
      <c r="H364">
        <f>'insurance final cleaned'!N11</f>
        <v>0</v>
      </c>
      <c r="I364">
        <f>'insurance final cleaned'!O11</f>
        <v>1</v>
      </c>
      <c r="J364">
        <f>'insurance final cleaned'!P11</f>
        <v>0.2611333124392059</v>
      </c>
      <c r="K364">
        <f>'insurance final cleaned'!Q11</f>
        <v>0</v>
      </c>
      <c r="L364">
        <f>'insurance final cleaned'!R11</f>
        <v>0</v>
      </c>
      <c r="M364">
        <f>'insurance final cleaned'!S11</f>
        <v>0</v>
      </c>
    </row>
    <row r="365" spans="1:13" x14ac:dyDescent="0.3">
      <c r="A365">
        <f>'insurance final cleaned'!J173</f>
        <v>2727.4</v>
      </c>
      <c r="B365">
        <f>'insurance final cleaned'!B173</f>
        <v>23</v>
      </c>
      <c r="C365">
        <f>'insurance final cleaned'!D173</f>
        <v>30.6</v>
      </c>
      <c r="D365">
        <f>'insurance final cleaned'!G173</f>
        <v>0</v>
      </c>
      <c r="E365">
        <f>'insurance final cleaned'!E173</f>
        <v>96</v>
      </c>
      <c r="F365">
        <f>'insurance final cleaned'!L173</f>
        <v>0</v>
      </c>
      <c r="G365">
        <f>'insurance final cleaned'!M173</f>
        <v>1</v>
      </c>
      <c r="H365">
        <f>'insurance final cleaned'!N173</f>
        <v>0</v>
      </c>
      <c r="I365">
        <f>'insurance final cleaned'!O173</f>
        <v>0</v>
      </c>
      <c r="J365">
        <f>'insurance final cleaned'!P173</f>
        <v>0.2617770335002424</v>
      </c>
      <c r="K365">
        <f>'insurance final cleaned'!Q173</f>
        <v>0</v>
      </c>
      <c r="L365">
        <f>'insurance final cleaned'!R173</f>
        <v>0</v>
      </c>
      <c r="M365">
        <f>'insurance final cleaned'!S173</f>
        <v>0</v>
      </c>
    </row>
    <row r="366" spans="1:13" x14ac:dyDescent="0.3">
      <c r="A366">
        <f>'insurance final cleaned'!J896</f>
        <v>12829.46</v>
      </c>
      <c r="B366">
        <f>'insurance final cleaned'!B896</f>
        <v>38</v>
      </c>
      <c r="C366">
        <f>'insurance final cleaned'!D896</f>
        <v>17.3</v>
      </c>
      <c r="D366">
        <f>'insurance final cleaned'!G896</f>
        <v>2</v>
      </c>
      <c r="E366">
        <f>'insurance final cleaned'!E896</f>
        <v>82</v>
      </c>
      <c r="F366">
        <f>'insurance final cleaned'!L896</f>
        <v>17.3</v>
      </c>
      <c r="G366">
        <f>'insurance final cleaned'!M896</f>
        <v>0</v>
      </c>
      <c r="H366">
        <f>'insurance final cleaned'!N896</f>
        <v>0</v>
      </c>
      <c r="I366">
        <f>'insurance final cleaned'!O896</f>
        <v>0</v>
      </c>
      <c r="J366">
        <f>'insurance final cleaned'!P896</f>
        <v>0.26194316172946575</v>
      </c>
      <c r="K366">
        <f>'insurance final cleaned'!Q896</f>
        <v>1</v>
      </c>
      <c r="L366">
        <f>'insurance final cleaned'!R896</f>
        <v>1</v>
      </c>
      <c r="M366">
        <f>'insurance final cleaned'!S896</f>
        <v>0</v>
      </c>
    </row>
    <row r="367" spans="1:13" x14ac:dyDescent="0.3">
      <c r="A367">
        <f>'insurance final cleaned'!J837</f>
        <v>11842.62</v>
      </c>
      <c r="B367">
        <f>'insurance final cleaned'!B837</f>
        <v>33</v>
      </c>
      <c r="C367">
        <f>'insurance final cleaned'!D837</f>
        <v>31.8</v>
      </c>
      <c r="D367">
        <f>'insurance final cleaned'!G837</f>
        <v>0</v>
      </c>
      <c r="E367">
        <f>'insurance final cleaned'!E837</f>
        <v>95</v>
      </c>
      <c r="F367">
        <f>'insurance final cleaned'!L837</f>
        <v>0</v>
      </c>
      <c r="G367">
        <f>'insurance final cleaned'!M837</f>
        <v>0</v>
      </c>
      <c r="H367">
        <f>'insurance final cleaned'!N837</f>
        <v>0</v>
      </c>
      <c r="I367">
        <f>'insurance final cleaned'!O837</f>
        <v>1</v>
      </c>
      <c r="J367">
        <f>'insurance final cleaned'!P837</f>
        <v>0.26231032396717391</v>
      </c>
      <c r="K367">
        <f>'insurance final cleaned'!Q837</f>
        <v>0</v>
      </c>
      <c r="L367">
        <f>'insurance final cleaned'!R837</f>
        <v>0</v>
      </c>
      <c r="M367">
        <f>'insurance final cleaned'!S837</f>
        <v>1</v>
      </c>
    </row>
    <row r="368" spans="1:13" x14ac:dyDescent="0.3">
      <c r="A368">
        <f>'insurance final cleaned'!J816</f>
        <v>11538.42</v>
      </c>
      <c r="B368">
        <f>'insurance final cleaned'!B816</f>
        <v>57</v>
      </c>
      <c r="C368">
        <f>'insurance final cleaned'!D816</f>
        <v>46.7</v>
      </c>
      <c r="D368">
        <f>'insurance final cleaned'!G816</f>
        <v>2</v>
      </c>
      <c r="E368">
        <f>'insurance final cleaned'!E816</f>
        <v>101</v>
      </c>
      <c r="F368">
        <f>'insurance final cleaned'!L816</f>
        <v>0</v>
      </c>
      <c r="G368">
        <f>'insurance final cleaned'!M816</f>
        <v>0</v>
      </c>
      <c r="H368">
        <f>'insurance final cleaned'!N816</f>
        <v>1</v>
      </c>
      <c r="I368">
        <f>'insurance final cleaned'!O816</f>
        <v>0</v>
      </c>
      <c r="J368">
        <f>'insurance final cleaned'!P816</f>
        <v>0.26283983379003661</v>
      </c>
      <c r="K368">
        <f>'insurance final cleaned'!Q816</f>
        <v>0</v>
      </c>
      <c r="L368">
        <f>'insurance final cleaned'!R816</f>
        <v>1</v>
      </c>
      <c r="M368">
        <f>'insurance final cleaned'!S816</f>
        <v>1</v>
      </c>
    </row>
    <row r="369" spans="1:13" x14ac:dyDescent="0.3">
      <c r="A369">
        <f>'insurance final cleaned'!J566</f>
        <v>7742.11</v>
      </c>
      <c r="B369">
        <f>'insurance final cleaned'!B566</f>
        <v>18</v>
      </c>
      <c r="C369">
        <f>'insurance final cleaned'!D566</f>
        <v>26.6</v>
      </c>
      <c r="D369">
        <f>'insurance final cleaned'!G566</f>
        <v>1</v>
      </c>
      <c r="E369">
        <f>'insurance final cleaned'!E566</f>
        <v>95</v>
      </c>
      <c r="F369">
        <f>'insurance final cleaned'!L566</f>
        <v>0</v>
      </c>
      <c r="G369">
        <f>'insurance final cleaned'!M566</f>
        <v>1</v>
      </c>
      <c r="H369">
        <f>'insurance final cleaned'!N566</f>
        <v>0</v>
      </c>
      <c r="I369">
        <f>'insurance final cleaned'!O566</f>
        <v>0</v>
      </c>
      <c r="J369">
        <f>'insurance final cleaned'!P566</f>
        <v>0.26392853726927812</v>
      </c>
      <c r="K369">
        <f>'insurance final cleaned'!Q566</f>
        <v>0</v>
      </c>
      <c r="L369">
        <f>'insurance final cleaned'!R566</f>
        <v>0</v>
      </c>
      <c r="M369">
        <f>'insurance final cleaned'!S566</f>
        <v>0</v>
      </c>
    </row>
    <row r="370" spans="1:13" x14ac:dyDescent="0.3">
      <c r="A370">
        <f>'insurance final cleaned'!J1191</f>
        <v>33307.550000000003</v>
      </c>
      <c r="B370">
        <f>'insurance final cleaned'!B1191</f>
        <v>33</v>
      </c>
      <c r="C370">
        <f>'insurance final cleaned'!D1191</f>
        <v>30</v>
      </c>
      <c r="D370">
        <f>'insurance final cleaned'!G1191</f>
        <v>0</v>
      </c>
      <c r="E370">
        <f>'insurance final cleaned'!E1191</f>
        <v>81</v>
      </c>
      <c r="F370">
        <f>'insurance final cleaned'!L1191</f>
        <v>30</v>
      </c>
      <c r="G370">
        <f>'insurance final cleaned'!M1191</f>
        <v>0</v>
      </c>
      <c r="H370">
        <f>'insurance final cleaned'!N1191</f>
        <v>0</v>
      </c>
      <c r="I370">
        <f>'insurance final cleaned'!O1191</f>
        <v>1</v>
      </c>
      <c r="J370">
        <f>'insurance final cleaned'!P1191</f>
        <v>0.26465417369665212</v>
      </c>
      <c r="K370">
        <f>'insurance final cleaned'!Q1191</f>
        <v>1</v>
      </c>
      <c r="L370">
        <f>'insurance final cleaned'!R1191</f>
        <v>1</v>
      </c>
      <c r="M370">
        <f>'insurance final cleaned'!S1191</f>
        <v>1</v>
      </c>
    </row>
    <row r="371" spans="1:13" x14ac:dyDescent="0.3">
      <c r="A371">
        <f>'insurance final cleaned'!J305</f>
        <v>4428.8900000000003</v>
      </c>
      <c r="B371">
        <f>'insurance final cleaned'!B305</f>
        <v>46</v>
      </c>
      <c r="C371">
        <f>'insurance final cleaned'!D305</f>
        <v>22.5</v>
      </c>
      <c r="D371">
        <f>'insurance final cleaned'!G305</f>
        <v>2</v>
      </c>
      <c r="E371">
        <f>'insurance final cleaned'!E305</f>
        <v>88</v>
      </c>
      <c r="F371">
        <f>'insurance final cleaned'!L305</f>
        <v>0</v>
      </c>
      <c r="G371">
        <f>'insurance final cleaned'!M305</f>
        <v>1</v>
      </c>
      <c r="H371">
        <f>'insurance final cleaned'!N305</f>
        <v>0</v>
      </c>
      <c r="I371">
        <f>'insurance final cleaned'!O305</f>
        <v>0</v>
      </c>
      <c r="J371">
        <f>'insurance final cleaned'!P305</f>
        <v>0.26567897057492373</v>
      </c>
      <c r="K371">
        <f>'insurance final cleaned'!Q305</f>
        <v>0</v>
      </c>
      <c r="L371">
        <f>'insurance final cleaned'!R305</f>
        <v>1</v>
      </c>
      <c r="M371">
        <f>'insurance final cleaned'!S305</f>
        <v>0</v>
      </c>
    </row>
    <row r="372" spans="1:13" x14ac:dyDescent="0.3">
      <c r="A372">
        <f>'insurance final cleaned'!J830</f>
        <v>11743.93</v>
      </c>
      <c r="B372">
        <f>'insurance final cleaned'!B830</f>
        <v>29</v>
      </c>
      <c r="C372">
        <f>'insurance final cleaned'!D830</f>
        <v>34.4</v>
      </c>
      <c r="D372">
        <f>'insurance final cleaned'!G830</f>
        <v>0</v>
      </c>
      <c r="E372">
        <f>'insurance final cleaned'!E830</f>
        <v>108</v>
      </c>
      <c r="F372">
        <f>'insurance final cleaned'!L830</f>
        <v>0</v>
      </c>
      <c r="G372">
        <f>'insurance final cleaned'!M830</f>
        <v>0</v>
      </c>
      <c r="H372">
        <f>'insurance final cleaned'!N830</f>
        <v>0</v>
      </c>
      <c r="I372">
        <f>'insurance final cleaned'!O830</f>
        <v>1</v>
      </c>
      <c r="J372">
        <f>'insurance final cleaned'!P830</f>
        <v>0.26638851871434288</v>
      </c>
      <c r="K372">
        <f>'insurance final cleaned'!Q830</f>
        <v>0</v>
      </c>
      <c r="L372">
        <f>'insurance final cleaned'!R830</f>
        <v>0</v>
      </c>
      <c r="M372">
        <f>'insurance final cleaned'!S830</f>
        <v>0</v>
      </c>
    </row>
    <row r="373" spans="1:13" x14ac:dyDescent="0.3">
      <c r="A373">
        <f>'insurance final cleaned'!J839</f>
        <v>11856.41</v>
      </c>
      <c r="B373">
        <f>'insurance final cleaned'!B839</f>
        <v>50</v>
      </c>
      <c r="C373">
        <f>'insurance final cleaned'!D839</f>
        <v>39.1</v>
      </c>
      <c r="D373">
        <f>'insurance final cleaned'!G839</f>
        <v>0</v>
      </c>
      <c r="E373">
        <f>'insurance final cleaned'!E839</f>
        <v>100</v>
      </c>
      <c r="F373">
        <f>'insurance final cleaned'!L839</f>
        <v>0</v>
      </c>
      <c r="G373">
        <f>'insurance final cleaned'!M839</f>
        <v>1</v>
      </c>
      <c r="H373">
        <f>'insurance final cleaned'!N839</f>
        <v>0</v>
      </c>
      <c r="I373">
        <f>'insurance final cleaned'!O839</f>
        <v>0</v>
      </c>
      <c r="J373">
        <f>'insurance final cleaned'!P839</f>
        <v>0.2700266392382088</v>
      </c>
      <c r="K373">
        <f>'insurance final cleaned'!Q839</f>
        <v>0</v>
      </c>
      <c r="L373">
        <f>'insurance final cleaned'!R839</f>
        <v>0</v>
      </c>
      <c r="M373">
        <f>'insurance final cleaned'!S839</f>
        <v>1</v>
      </c>
    </row>
    <row r="374" spans="1:13" x14ac:dyDescent="0.3">
      <c r="A374">
        <f>'insurance final cleaned'!J398</f>
        <v>5425.02</v>
      </c>
      <c r="B374">
        <f>'insurance final cleaned'!B398</f>
        <v>41</v>
      </c>
      <c r="C374">
        <f>'insurance final cleaned'!D398</f>
        <v>31.1</v>
      </c>
      <c r="D374">
        <f>'insurance final cleaned'!G398</f>
        <v>3</v>
      </c>
      <c r="E374">
        <f>'insurance final cleaned'!E398</f>
        <v>86</v>
      </c>
      <c r="F374">
        <f>'insurance final cleaned'!L398</f>
        <v>0</v>
      </c>
      <c r="G374">
        <f>'insurance final cleaned'!M398</f>
        <v>0</v>
      </c>
      <c r="H374">
        <f>'insurance final cleaned'!N398</f>
        <v>0</v>
      </c>
      <c r="I374">
        <f>'insurance final cleaned'!O398</f>
        <v>1</v>
      </c>
      <c r="J374">
        <f>'insurance final cleaned'!P398</f>
        <v>0.27017089269747263</v>
      </c>
      <c r="K374">
        <f>'insurance final cleaned'!Q398</f>
        <v>0</v>
      </c>
      <c r="L374">
        <f>'insurance final cleaned'!R398</f>
        <v>1</v>
      </c>
      <c r="M374">
        <f>'insurance final cleaned'!S398</f>
        <v>0</v>
      </c>
    </row>
    <row r="375" spans="1:13" x14ac:dyDescent="0.3">
      <c r="A375">
        <f>'insurance final cleaned'!J889</f>
        <v>12644.59</v>
      </c>
      <c r="B375">
        <f>'insurance final cleaned'!B889</f>
        <v>59</v>
      </c>
      <c r="C375">
        <f>'insurance final cleaned'!D889</f>
        <v>35.1</v>
      </c>
      <c r="D375">
        <f>'insurance final cleaned'!G889</f>
        <v>0</v>
      </c>
      <c r="E375">
        <f>'insurance final cleaned'!E889</f>
        <v>84</v>
      </c>
      <c r="F375">
        <f>'insurance final cleaned'!L889</f>
        <v>0</v>
      </c>
      <c r="G375">
        <f>'insurance final cleaned'!M889</f>
        <v>0</v>
      </c>
      <c r="H375">
        <f>'insurance final cleaned'!N889</f>
        <v>1</v>
      </c>
      <c r="I375">
        <f>'insurance final cleaned'!O889</f>
        <v>0</v>
      </c>
      <c r="J375">
        <f>'insurance final cleaned'!P889</f>
        <v>0.27101614075765446</v>
      </c>
      <c r="K375">
        <f>'insurance final cleaned'!Q889</f>
        <v>0</v>
      </c>
      <c r="L375">
        <f>'insurance final cleaned'!R889</f>
        <v>1</v>
      </c>
      <c r="M375">
        <f>'insurance final cleaned'!S889</f>
        <v>1</v>
      </c>
    </row>
    <row r="376" spans="1:13" x14ac:dyDescent="0.3">
      <c r="A376">
        <f>'insurance final cleaned'!J28</f>
        <v>1615.77</v>
      </c>
      <c r="B376">
        <f>'insurance final cleaned'!B28</f>
        <v>36</v>
      </c>
      <c r="C376">
        <f>'insurance final cleaned'!D28</f>
        <v>26.7</v>
      </c>
      <c r="D376">
        <f>'insurance final cleaned'!G28</f>
        <v>0</v>
      </c>
      <c r="E376">
        <f>'insurance final cleaned'!E28</f>
        <v>97</v>
      </c>
      <c r="F376">
        <f>'insurance final cleaned'!L28</f>
        <v>0</v>
      </c>
      <c r="G376">
        <f>'insurance final cleaned'!M28</f>
        <v>1</v>
      </c>
      <c r="H376">
        <f>'insurance final cleaned'!N28</f>
        <v>0</v>
      </c>
      <c r="I376">
        <f>'insurance final cleaned'!O28</f>
        <v>0</v>
      </c>
      <c r="J376">
        <f>'insurance final cleaned'!P28</f>
        <v>0.2715218724151347</v>
      </c>
      <c r="K376">
        <f>'insurance final cleaned'!Q28</f>
        <v>0</v>
      </c>
      <c r="L376">
        <f>'insurance final cleaned'!R28</f>
        <v>1</v>
      </c>
      <c r="M376">
        <f>'insurance final cleaned'!S28</f>
        <v>1</v>
      </c>
    </row>
    <row r="377" spans="1:13" x14ac:dyDescent="0.3">
      <c r="A377">
        <f>'insurance final cleaned'!J961</f>
        <v>14256.19</v>
      </c>
      <c r="B377">
        <f>'insurance final cleaned'!B961</f>
        <v>51</v>
      </c>
      <c r="C377">
        <f>'insurance final cleaned'!D961</f>
        <v>26.2</v>
      </c>
      <c r="D377">
        <f>'insurance final cleaned'!G961</f>
        <v>0</v>
      </c>
      <c r="E377">
        <f>'insurance final cleaned'!E961</f>
        <v>106</v>
      </c>
      <c r="F377">
        <f>'insurance final cleaned'!L961</f>
        <v>0</v>
      </c>
      <c r="G377">
        <f>'insurance final cleaned'!M961</f>
        <v>0</v>
      </c>
      <c r="H377">
        <f>'insurance final cleaned'!N961</f>
        <v>0</v>
      </c>
      <c r="I377">
        <f>'insurance final cleaned'!O961</f>
        <v>1</v>
      </c>
      <c r="J377">
        <f>'insurance final cleaned'!P961</f>
        <v>0.27221603184700416</v>
      </c>
      <c r="K377">
        <f>'insurance final cleaned'!Q961</f>
        <v>0</v>
      </c>
      <c r="L377">
        <f>'insurance final cleaned'!R961</f>
        <v>1</v>
      </c>
      <c r="M377">
        <f>'insurance final cleaned'!S961</f>
        <v>1</v>
      </c>
    </row>
    <row r="378" spans="1:13" x14ac:dyDescent="0.3">
      <c r="A378">
        <f>'insurance final cleaned'!J924</f>
        <v>13393.76</v>
      </c>
      <c r="B378">
        <f>'insurance final cleaned'!B924</f>
        <v>28</v>
      </c>
      <c r="C378">
        <f>'insurance final cleaned'!D924</f>
        <v>33.1</v>
      </c>
      <c r="D378">
        <f>'insurance final cleaned'!G924</f>
        <v>0</v>
      </c>
      <c r="E378">
        <f>'insurance final cleaned'!E924</f>
        <v>84</v>
      </c>
      <c r="F378">
        <f>'insurance final cleaned'!L924</f>
        <v>0</v>
      </c>
      <c r="G378">
        <f>'insurance final cleaned'!M924</f>
        <v>0</v>
      </c>
      <c r="H378">
        <f>'insurance final cleaned'!N924</f>
        <v>1</v>
      </c>
      <c r="I378">
        <f>'insurance final cleaned'!O924</f>
        <v>0</v>
      </c>
      <c r="J378">
        <f>'insurance final cleaned'!P924</f>
        <v>0.27281154941150765</v>
      </c>
      <c r="K378">
        <f>'insurance final cleaned'!Q924</f>
        <v>0</v>
      </c>
      <c r="L378">
        <f>'insurance final cleaned'!R924</f>
        <v>0</v>
      </c>
      <c r="M378">
        <f>'insurance final cleaned'!S924</f>
        <v>0</v>
      </c>
    </row>
    <row r="379" spans="1:13" x14ac:dyDescent="0.3">
      <c r="A379">
        <f>'insurance final cleaned'!J433</f>
        <v>6059.17</v>
      </c>
      <c r="B379">
        <f>'insurance final cleaned'!B433</f>
        <v>38</v>
      </c>
      <c r="C379">
        <f>'insurance final cleaned'!D433</f>
        <v>29.4</v>
      </c>
      <c r="D379">
        <f>'insurance final cleaned'!G433</f>
        <v>4</v>
      </c>
      <c r="E379">
        <f>'insurance final cleaned'!E433</f>
        <v>96</v>
      </c>
      <c r="F379">
        <f>'insurance final cleaned'!L433</f>
        <v>0</v>
      </c>
      <c r="G379">
        <f>'insurance final cleaned'!M433</f>
        <v>0</v>
      </c>
      <c r="H379">
        <f>'insurance final cleaned'!N433</f>
        <v>1</v>
      </c>
      <c r="I379">
        <f>'insurance final cleaned'!O433</f>
        <v>0</v>
      </c>
      <c r="J379">
        <f>'insurance final cleaned'!P433</f>
        <v>0.27428084062006963</v>
      </c>
      <c r="K379">
        <f>'insurance final cleaned'!Q433</f>
        <v>0</v>
      </c>
      <c r="L379">
        <f>'insurance final cleaned'!R433</f>
        <v>0</v>
      </c>
      <c r="M379">
        <f>'insurance final cleaned'!S433</f>
        <v>0</v>
      </c>
    </row>
    <row r="380" spans="1:13" x14ac:dyDescent="0.3">
      <c r="A380">
        <f>'insurance final cleaned'!J94</f>
        <v>1986.93</v>
      </c>
      <c r="B380">
        <f>'insurance final cleaned'!B94</f>
        <v>41</v>
      </c>
      <c r="C380">
        <f>'insurance final cleaned'!D94</f>
        <v>35.9</v>
      </c>
      <c r="D380">
        <f>'insurance final cleaned'!G94</f>
        <v>0</v>
      </c>
      <c r="E380">
        <f>'insurance final cleaned'!E94</f>
        <v>97</v>
      </c>
      <c r="F380">
        <f>'insurance final cleaned'!L94</f>
        <v>0</v>
      </c>
      <c r="G380">
        <f>'insurance final cleaned'!M94</f>
        <v>1</v>
      </c>
      <c r="H380">
        <f>'insurance final cleaned'!N94</f>
        <v>0</v>
      </c>
      <c r="I380">
        <f>'insurance final cleaned'!O94</f>
        <v>0</v>
      </c>
      <c r="J380">
        <f>'insurance final cleaned'!P94</f>
        <v>0.27509808147604642</v>
      </c>
      <c r="K380">
        <f>'insurance final cleaned'!Q94</f>
        <v>0</v>
      </c>
      <c r="L380">
        <f>'insurance final cleaned'!R94</f>
        <v>0</v>
      </c>
      <c r="M380">
        <f>'insurance final cleaned'!S94</f>
        <v>0</v>
      </c>
    </row>
    <row r="381" spans="1:13" x14ac:dyDescent="0.3">
      <c r="A381">
        <f>'insurance final cleaned'!J841</f>
        <v>11881.36</v>
      </c>
      <c r="B381">
        <f>'insurance final cleaned'!B841</f>
        <v>39</v>
      </c>
      <c r="C381">
        <f>'insurance final cleaned'!D841</f>
        <v>29.7</v>
      </c>
      <c r="D381">
        <f>'insurance final cleaned'!G841</f>
        <v>2</v>
      </c>
      <c r="E381">
        <f>'insurance final cleaned'!E841</f>
        <v>103</v>
      </c>
      <c r="F381">
        <f>'insurance final cleaned'!L841</f>
        <v>0</v>
      </c>
      <c r="G381">
        <f>'insurance final cleaned'!M841</f>
        <v>0</v>
      </c>
      <c r="H381">
        <f>'insurance final cleaned'!N841</f>
        <v>1</v>
      </c>
      <c r="I381">
        <f>'insurance final cleaned'!O841</f>
        <v>0</v>
      </c>
      <c r="J381">
        <f>'insurance final cleaned'!P841</f>
        <v>0.27557332865669548</v>
      </c>
      <c r="K381">
        <f>'insurance final cleaned'!Q841</f>
        <v>0</v>
      </c>
      <c r="L381">
        <f>'insurance final cleaned'!R841</f>
        <v>0</v>
      </c>
      <c r="M381">
        <f>'insurance final cleaned'!S841</f>
        <v>1</v>
      </c>
    </row>
    <row r="382" spans="1:13" x14ac:dyDescent="0.3">
      <c r="A382">
        <f>'insurance final cleaned'!J121</f>
        <v>2203.7399999999998</v>
      </c>
      <c r="B382">
        <f>'insurance final cleaned'!B121</f>
        <v>32</v>
      </c>
      <c r="C382">
        <f>'insurance final cleaned'!D121</f>
        <v>30.3</v>
      </c>
      <c r="D382">
        <f>'insurance final cleaned'!G121</f>
        <v>0</v>
      </c>
      <c r="E382">
        <f>'insurance final cleaned'!E121</f>
        <v>94</v>
      </c>
      <c r="F382">
        <f>'insurance final cleaned'!L121</f>
        <v>0</v>
      </c>
      <c r="G382">
        <f>'insurance final cleaned'!M121</f>
        <v>1</v>
      </c>
      <c r="H382">
        <f>'insurance final cleaned'!N121</f>
        <v>0</v>
      </c>
      <c r="I382">
        <f>'insurance final cleaned'!O121</f>
        <v>0</v>
      </c>
      <c r="J382">
        <f>'insurance final cleaned'!P121</f>
        <v>0.27570706585478666</v>
      </c>
      <c r="K382">
        <f>'insurance final cleaned'!Q121</f>
        <v>0</v>
      </c>
      <c r="L382">
        <f>'insurance final cleaned'!R121</f>
        <v>1</v>
      </c>
      <c r="M382">
        <f>'insurance final cleaned'!S121</f>
        <v>1</v>
      </c>
    </row>
    <row r="383" spans="1:13" x14ac:dyDescent="0.3">
      <c r="A383">
        <f>'insurance final cleaned'!J1280</f>
        <v>42111.66</v>
      </c>
      <c r="B383">
        <f>'insurance final cleaned'!B1280</f>
        <v>35</v>
      </c>
      <c r="C383">
        <f>'insurance final cleaned'!D1280</f>
        <v>35.5</v>
      </c>
      <c r="D383">
        <f>'insurance final cleaned'!G1280</f>
        <v>0</v>
      </c>
      <c r="E383">
        <f>'insurance final cleaned'!E1280</f>
        <v>135</v>
      </c>
      <c r="F383">
        <f>'insurance final cleaned'!L1280</f>
        <v>35.5</v>
      </c>
      <c r="G383">
        <f>'insurance final cleaned'!M1280</f>
        <v>0</v>
      </c>
      <c r="H383">
        <f>'insurance final cleaned'!N1280</f>
        <v>0</v>
      </c>
      <c r="I383">
        <f>'insurance final cleaned'!O1280</f>
        <v>0</v>
      </c>
      <c r="J383">
        <f>'insurance final cleaned'!P1280</f>
        <v>0.27578371854228534</v>
      </c>
      <c r="K383">
        <f>'insurance final cleaned'!Q1280</f>
        <v>1</v>
      </c>
      <c r="L383">
        <f>'insurance final cleaned'!R1280</f>
        <v>0</v>
      </c>
      <c r="M383">
        <f>'insurance final cleaned'!S1280</f>
        <v>1</v>
      </c>
    </row>
    <row r="384" spans="1:13" x14ac:dyDescent="0.3">
      <c r="A384">
        <f>'insurance final cleaned'!J175</f>
        <v>2731.91</v>
      </c>
      <c r="B384">
        <f>'insurance final cleaned'!B175</f>
        <v>29</v>
      </c>
      <c r="C384">
        <f>'insurance final cleaned'!D175</f>
        <v>23.2</v>
      </c>
      <c r="D384">
        <f>'insurance final cleaned'!G175</f>
        <v>0</v>
      </c>
      <c r="E384">
        <f>'insurance final cleaned'!E175</f>
        <v>80</v>
      </c>
      <c r="F384">
        <f>'insurance final cleaned'!L175</f>
        <v>0</v>
      </c>
      <c r="G384">
        <f>'insurance final cleaned'!M175</f>
        <v>1</v>
      </c>
      <c r="H384">
        <f>'insurance final cleaned'!N175</f>
        <v>0</v>
      </c>
      <c r="I384">
        <f>'insurance final cleaned'!O175</f>
        <v>0</v>
      </c>
      <c r="J384">
        <f>'insurance final cleaned'!P175</f>
        <v>0.27592997279615228</v>
      </c>
      <c r="K384">
        <f>'insurance final cleaned'!Q175</f>
        <v>0</v>
      </c>
      <c r="L384">
        <f>'insurance final cleaned'!R175</f>
        <v>0</v>
      </c>
      <c r="M384">
        <f>'insurance final cleaned'!S175</f>
        <v>1</v>
      </c>
    </row>
    <row r="385" spans="1:13" x14ac:dyDescent="0.3">
      <c r="A385">
        <f>'insurance final cleaned'!J647</f>
        <v>8964.06</v>
      </c>
      <c r="B385">
        <f>'insurance final cleaned'!B647</f>
        <v>38</v>
      </c>
      <c r="C385">
        <f>'insurance final cleaned'!D647</f>
        <v>31.4</v>
      </c>
      <c r="D385">
        <f>'insurance final cleaned'!G647</f>
        <v>1</v>
      </c>
      <c r="E385">
        <f>'insurance final cleaned'!E647</f>
        <v>98</v>
      </c>
      <c r="F385">
        <f>'insurance final cleaned'!L647</f>
        <v>0</v>
      </c>
      <c r="G385">
        <f>'insurance final cleaned'!M647</f>
        <v>0</v>
      </c>
      <c r="H385">
        <f>'insurance final cleaned'!N647</f>
        <v>0</v>
      </c>
      <c r="I385">
        <f>'insurance final cleaned'!O647</f>
        <v>0</v>
      </c>
      <c r="J385">
        <f>'insurance final cleaned'!P647</f>
        <v>0.2760674702098832</v>
      </c>
      <c r="K385">
        <f>'insurance final cleaned'!Q647</f>
        <v>0</v>
      </c>
      <c r="L385">
        <f>'insurance final cleaned'!R647</f>
        <v>1</v>
      </c>
      <c r="M385">
        <f>'insurance final cleaned'!S647</f>
        <v>0</v>
      </c>
    </row>
    <row r="386" spans="1:13" x14ac:dyDescent="0.3">
      <c r="A386">
        <f>'insurance final cleaned'!J953</f>
        <v>14001.29</v>
      </c>
      <c r="B386">
        <f>'insurance final cleaned'!B953</f>
        <v>50</v>
      </c>
      <c r="C386">
        <f>'insurance final cleaned'!D953</f>
        <v>27.8</v>
      </c>
      <c r="D386">
        <f>'insurance final cleaned'!G953</f>
        <v>3</v>
      </c>
      <c r="E386">
        <f>'insurance final cleaned'!E953</f>
        <v>80</v>
      </c>
      <c r="F386">
        <f>'insurance final cleaned'!L953</f>
        <v>0</v>
      </c>
      <c r="G386">
        <f>'insurance final cleaned'!M953</f>
        <v>1</v>
      </c>
      <c r="H386">
        <f>'insurance final cleaned'!N953</f>
        <v>0</v>
      </c>
      <c r="I386">
        <f>'insurance final cleaned'!O953</f>
        <v>0</v>
      </c>
      <c r="J386">
        <f>'insurance final cleaned'!P953</f>
        <v>0.27711184503055286</v>
      </c>
      <c r="K386">
        <f>'insurance final cleaned'!Q953</f>
        <v>0</v>
      </c>
      <c r="L386">
        <f>'insurance final cleaned'!R953</f>
        <v>1</v>
      </c>
      <c r="M386">
        <f>'insurance final cleaned'!S953</f>
        <v>1</v>
      </c>
    </row>
    <row r="387" spans="1:13" x14ac:dyDescent="0.3">
      <c r="A387">
        <f>'insurance final cleaned'!J412</f>
        <v>5662.23</v>
      </c>
      <c r="B387">
        <f>'insurance final cleaned'!B412</f>
        <v>25</v>
      </c>
      <c r="C387">
        <f>'insurance final cleaned'!D412</f>
        <v>41.8</v>
      </c>
      <c r="D387">
        <f>'insurance final cleaned'!G412</f>
        <v>0</v>
      </c>
      <c r="E387">
        <f>'insurance final cleaned'!E412</f>
        <v>95</v>
      </c>
      <c r="F387">
        <f>'insurance final cleaned'!L412</f>
        <v>0</v>
      </c>
      <c r="G387">
        <f>'insurance final cleaned'!M412</f>
        <v>1</v>
      </c>
      <c r="H387">
        <f>'insurance final cleaned'!N412</f>
        <v>0</v>
      </c>
      <c r="I387">
        <f>'insurance final cleaned'!O412</f>
        <v>0</v>
      </c>
      <c r="J387">
        <f>'insurance final cleaned'!P412</f>
        <v>0.27773764879903762</v>
      </c>
      <c r="K387">
        <f>'insurance final cleaned'!Q412</f>
        <v>0</v>
      </c>
      <c r="L387">
        <f>'insurance final cleaned'!R412</f>
        <v>1</v>
      </c>
      <c r="M387">
        <f>'insurance final cleaned'!S412</f>
        <v>1</v>
      </c>
    </row>
    <row r="388" spans="1:13" x14ac:dyDescent="0.3">
      <c r="A388">
        <f>'insurance final cleaned'!J457</f>
        <v>6356.27</v>
      </c>
      <c r="B388">
        <f>'insurance final cleaned'!B457</f>
        <v>40</v>
      </c>
      <c r="C388">
        <f>'insurance final cleaned'!D457</f>
        <v>45.4</v>
      </c>
      <c r="D388">
        <f>'insurance final cleaned'!G457</f>
        <v>2</v>
      </c>
      <c r="E388">
        <f>'insurance final cleaned'!E457</f>
        <v>91</v>
      </c>
      <c r="F388">
        <f>'insurance final cleaned'!L457</f>
        <v>0</v>
      </c>
      <c r="G388">
        <f>'insurance final cleaned'!M457</f>
        <v>1</v>
      </c>
      <c r="H388">
        <f>'insurance final cleaned'!N457</f>
        <v>0</v>
      </c>
      <c r="I388">
        <f>'insurance final cleaned'!O457</f>
        <v>0</v>
      </c>
      <c r="J388">
        <f>'insurance final cleaned'!P457</f>
        <v>0.27786509575024199</v>
      </c>
      <c r="K388">
        <f>'insurance final cleaned'!Q457</f>
        <v>0</v>
      </c>
      <c r="L388">
        <f>'insurance final cleaned'!R457</f>
        <v>0</v>
      </c>
      <c r="M388">
        <f>'insurance final cleaned'!S457</f>
        <v>0</v>
      </c>
    </row>
    <row r="389" spans="1:13" x14ac:dyDescent="0.3">
      <c r="A389">
        <f>'insurance final cleaned'!J236</f>
        <v>3537.7</v>
      </c>
      <c r="B389">
        <f>'insurance final cleaned'!B236</f>
        <v>21</v>
      </c>
      <c r="C389">
        <f>'insurance final cleaned'!D236</f>
        <v>28.5</v>
      </c>
      <c r="D389">
        <f>'insurance final cleaned'!G236</f>
        <v>2</v>
      </c>
      <c r="E389">
        <f>'insurance final cleaned'!E236</f>
        <v>98</v>
      </c>
      <c r="F389">
        <f>'insurance final cleaned'!L236</f>
        <v>0</v>
      </c>
      <c r="G389">
        <f>'insurance final cleaned'!M236</f>
        <v>0</v>
      </c>
      <c r="H389">
        <f>'insurance final cleaned'!N236</f>
        <v>0</v>
      </c>
      <c r="I389">
        <f>'insurance final cleaned'!O236</f>
        <v>1</v>
      </c>
      <c r="J389">
        <f>'insurance final cleaned'!P236</f>
        <v>0.28053263683359719</v>
      </c>
      <c r="K389">
        <f>'insurance final cleaned'!Q236</f>
        <v>0</v>
      </c>
      <c r="L389">
        <f>'insurance final cleaned'!R236</f>
        <v>1</v>
      </c>
      <c r="M389">
        <f>'insurance final cleaned'!S236</f>
        <v>0</v>
      </c>
    </row>
    <row r="390" spans="1:13" x14ac:dyDescent="0.3">
      <c r="A390">
        <f>'insurance final cleaned'!J203</f>
        <v>3167.46</v>
      </c>
      <c r="B390">
        <f>'insurance final cleaned'!B203</f>
        <v>59</v>
      </c>
      <c r="C390">
        <f>'insurance final cleaned'!D203</f>
        <v>16.8</v>
      </c>
      <c r="D390">
        <f>'insurance final cleaned'!G203</f>
        <v>1</v>
      </c>
      <c r="E390">
        <f>'insurance final cleaned'!E203</f>
        <v>96</v>
      </c>
      <c r="F390">
        <f>'insurance final cleaned'!L203</f>
        <v>0</v>
      </c>
      <c r="G390">
        <f>'insurance final cleaned'!M203</f>
        <v>0</v>
      </c>
      <c r="H390">
        <f>'insurance final cleaned'!N203</f>
        <v>0</v>
      </c>
      <c r="I390">
        <f>'insurance final cleaned'!O203</f>
        <v>0</v>
      </c>
      <c r="J390">
        <f>'insurance final cleaned'!P203</f>
        <v>0.28159003615623102</v>
      </c>
      <c r="K390">
        <f>'insurance final cleaned'!Q203</f>
        <v>0</v>
      </c>
      <c r="L390">
        <f>'insurance final cleaned'!R203</f>
        <v>1</v>
      </c>
      <c r="M390">
        <f>'insurance final cleaned'!S203</f>
        <v>1</v>
      </c>
    </row>
    <row r="391" spans="1:13" x14ac:dyDescent="0.3">
      <c r="A391">
        <f>'insurance final cleaned'!J624</f>
        <v>8603.82</v>
      </c>
      <c r="B391">
        <f>'insurance final cleaned'!B624</f>
        <v>36</v>
      </c>
      <c r="C391">
        <f>'insurance final cleaned'!D624</f>
        <v>23.6</v>
      </c>
      <c r="D391">
        <f>'insurance final cleaned'!G624</f>
        <v>2</v>
      </c>
      <c r="E391">
        <f>'insurance final cleaned'!E624</f>
        <v>86</v>
      </c>
      <c r="F391">
        <f>'insurance final cleaned'!L624</f>
        <v>0</v>
      </c>
      <c r="G391">
        <f>'insurance final cleaned'!M624</f>
        <v>0</v>
      </c>
      <c r="H391">
        <f>'insurance final cleaned'!N624</f>
        <v>0</v>
      </c>
      <c r="I391">
        <f>'insurance final cleaned'!O624</f>
        <v>0</v>
      </c>
      <c r="J391">
        <f>'insurance final cleaned'!P624</f>
        <v>0.28194304924452906</v>
      </c>
      <c r="K391">
        <f>'insurance final cleaned'!Q624</f>
        <v>0</v>
      </c>
      <c r="L391">
        <f>'insurance final cleaned'!R624</f>
        <v>0</v>
      </c>
      <c r="M391">
        <f>'insurance final cleaned'!S624</f>
        <v>0</v>
      </c>
    </row>
    <row r="392" spans="1:13" x14ac:dyDescent="0.3">
      <c r="A392">
        <f>'insurance final cleaned'!J450</f>
        <v>6272.48</v>
      </c>
      <c r="B392">
        <f>'insurance final cleaned'!B450</f>
        <v>24</v>
      </c>
      <c r="C392">
        <f>'insurance final cleaned'!D450</f>
        <v>21.8</v>
      </c>
      <c r="D392">
        <f>'insurance final cleaned'!G450</f>
        <v>1</v>
      </c>
      <c r="E392">
        <f>'insurance final cleaned'!E450</f>
        <v>83</v>
      </c>
      <c r="F392">
        <f>'insurance final cleaned'!L450</f>
        <v>0</v>
      </c>
      <c r="G392">
        <f>'insurance final cleaned'!M450</f>
        <v>1</v>
      </c>
      <c r="H392">
        <f>'insurance final cleaned'!N450</f>
        <v>0</v>
      </c>
      <c r="I392">
        <f>'insurance final cleaned'!O450</f>
        <v>0</v>
      </c>
      <c r="J392">
        <f>'insurance final cleaned'!P450</f>
        <v>0.28443668046403703</v>
      </c>
      <c r="K392">
        <f>'insurance final cleaned'!Q450</f>
        <v>0</v>
      </c>
      <c r="L392">
        <f>'insurance final cleaned'!R450</f>
        <v>1</v>
      </c>
      <c r="M392">
        <f>'insurance final cleaned'!S450</f>
        <v>0</v>
      </c>
    </row>
    <row r="393" spans="1:13" x14ac:dyDescent="0.3">
      <c r="A393">
        <f>'insurance final cleaned'!J1284</f>
        <v>42303.69</v>
      </c>
      <c r="B393">
        <f>'insurance final cleaned'!B1284</f>
        <v>42</v>
      </c>
      <c r="C393">
        <f>'insurance final cleaned'!D1284</f>
        <v>30.7</v>
      </c>
      <c r="D393">
        <f>'insurance final cleaned'!G1284</f>
        <v>0</v>
      </c>
      <c r="E393">
        <f>'insurance final cleaned'!E1284</f>
        <v>117</v>
      </c>
      <c r="F393">
        <f>'insurance final cleaned'!L1284</f>
        <v>30.7</v>
      </c>
      <c r="G393">
        <f>'insurance final cleaned'!M1284</f>
        <v>0</v>
      </c>
      <c r="H393">
        <f>'insurance final cleaned'!N1284</f>
        <v>0</v>
      </c>
      <c r="I393">
        <f>'insurance final cleaned'!O1284</f>
        <v>0</v>
      </c>
      <c r="J393">
        <f>'insurance final cleaned'!P1284</f>
        <v>0.28450907543512993</v>
      </c>
      <c r="K393">
        <f>'insurance final cleaned'!Q1284</f>
        <v>1</v>
      </c>
      <c r="L393">
        <f>'insurance final cleaned'!R1284</f>
        <v>1</v>
      </c>
      <c r="M393">
        <f>'insurance final cleaned'!S1284</f>
        <v>0</v>
      </c>
    </row>
    <row r="394" spans="1:13" x14ac:dyDescent="0.3">
      <c r="A394">
        <f>'insurance final cleaned'!J387</f>
        <v>5325.65</v>
      </c>
      <c r="B394">
        <f>'insurance final cleaned'!B387</f>
        <v>49</v>
      </c>
      <c r="C394">
        <f>'insurance final cleaned'!D387</f>
        <v>30.9</v>
      </c>
      <c r="D394">
        <f>'insurance final cleaned'!G387</f>
        <v>3</v>
      </c>
      <c r="E394">
        <f>'insurance final cleaned'!E387</f>
        <v>90</v>
      </c>
      <c r="F394">
        <f>'insurance final cleaned'!L387</f>
        <v>0</v>
      </c>
      <c r="G394">
        <f>'insurance final cleaned'!M387</f>
        <v>0</v>
      </c>
      <c r="H394">
        <f>'insurance final cleaned'!N387</f>
        <v>1</v>
      </c>
      <c r="I394">
        <f>'insurance final cleaned'!O387</f>
        <v>0</v>
      </c>
      <c r="J394">
        <f>'insurance final cleaned'!P387</f>
        <v>0.28528952812556085</v>
      </c>
      <c r="K394">
        <f>'insurance final cleaned'!Q387</f>
        <v>0</v>
      </c>
      <c r="L394">
        <f>'insurance final cleaned'!R387</f>
        <v>1</v>
      </c>
      <c r="M394">
        <f>'insurance final cleaned'!S387</f>
        <v>1</v>
      </c>
    </row>
    <row r="395" spans="1:13" x14ac:dyDescent="0.3">
      <c r="A395">
        <f>'insurance final cleaned'!J1254</f>
        <v>39597.410000000003</v>
      </c>
      <c r="B395">
        <f>'insurance final cleaned'!B1254</f>
        <v>37</v>
      </c>
      <c r="C395">
        <f>'insurance final cleaned'!D1254</f>
        <v>30.8</v>
      </c>
      <c r="D395">
        <f>'insurance final cleaned'!G1254</f>
        <v>3</v>
      </c>
      <c r="E395">
        <f>'insurance final cleaned'!E1254</f>
        <v>125</v>
      </c>
      <c r="F395">
        <f>'insurance final cleaned'!L1254</f>
        <v>30.8</v>
      </c>
      <c r="G395">
        <f>'insurance final cleaned'!M1254</f>
        <v>0</v>
      </c>
      <c r="H395">
        <f>'insurance final cleaned'!N1254</f>
        <v>0</v>
      </c>
      <c r="I395">
        <f>'insurance final cleaned'!O1254</f>
        <v>0</v>
      </c>
      <c r="J395">
        <f>'insurance final cleaned'!P1254</f>
        <v>0.28686996804202869</v>
      </c>
      <c r="K395">
        <f>'insurance final cleaned'!Q1254</f>
        <v>1</v>
      </c>
      <c r="L395">
        <f>'insurance final cleaned'!R1254</f>
        <v>1</v>
      </c>
      <c r="M395">
        <f>'insurance final cleaned'!S1254</f>
        <v>0</v>
      </c>
    </row>
    <row r="396" spans="1:13" x14ac:dyDescent="0.3">
      <c r="A396">
        <f>'insurance final cleaned'!J881</f>
        <v>12574.05</v>
      </c>
      <c r="B396">
        <f>'insurance final cleaned'!B881</f>
        <v>36</v>
      </c>
      <c r="C396">
        <f>'insurance final cleaned'!D881</f>
        <v>43.4</v>
      </c>
      <c r="D396">
        <f>'insurance final cleaned'!G881</f>
        <v>0</v>
      </c>
      <c r="E396">
        <f>'insurance final cleaned'!E881</f>
        <v>96</v>
      </c>
      <c r="F396">
        <f>'insurance final cleaned'!L881</f>
        <v>0</v>
      </c>
      <c r="G396">
        <f>'insurance final cleaned'!M881</f>
        <v>0</v>
      </c>
      <c r="H396">
        <f>'insurance final cleaned'!N881</f>
        <v>1</v>
      </c>
      <c r="I396">
        <f>'insurance final cleaned'!O881</f>
        <v>0</v>
      </c>
      <c r="J396">
        <f>'insurance final cleaned'!P881</f>
        <v>0.28734938088017681</v>
      </c>
      <c r="K396">
        <f>'insurance final cleaned'!Q881</f>
        <v>0</v>
      </c>
      <c r="L396">
        <f>'insurance final cleaned'!R881</f>
        <v>0</v>
      </c>
      <c r="M396">
        <f>'insurance final cleaned'!S881</f>
        <v>0</v>
      </c>
    </row>
    <row r="397" spans="1:13" x14ac:dyDescent="0.3">
      <c r="A397">
        <f>'insurance final cleaned'!J682</f>
        <v>9504.31</v>
      </c>
      <c r="B397">
        <f>'insurance final cleaned'!B682</f>
        <v>43</v>
      </c>
      <c r="C397">
        <f>'insurance final cleaned'!D682</f>
        <v>41.5</v>
      </c>
      <c r="D397">
        <f>'insurance final cleaned'!G682</f>
        <v>0</v>
      </c>
      <c r="E397">
        <f>'insurance final cleaned'!E682</f>
        <v>82</v>
      </c>
      <c r="F397">
        <f>'insurance final cleaned'!L682</f>
        <v>0</v>
      </c>
      <c r="G397">
        <f>'insurance final cleaned'!M682</f>
        <v>1</v>
      </c>
      <c r="H397">
        <f>'insurance final cleaned'!N682</f>
        <v>0</v>
      </c>
      <c r="I397">
        <f>'insurance final cleaned'!O682</f>
        <v>0</v>
      </c>
      <c r="J397">
        <f>'insurance final cleaned'!P682</f>
        <v>0.28796114049733157</v>
      </c>
      <c r="K397">
        <f>'insurance final cleaned'!Q682</f>
        <v>0</v>
      </c>
      <c r="L397">
        <f>'insurance final cleaned'!R682</f>
        <v>0</v>
      </c>
      <c r="M397">
        <f>'insurance final cleaned'!S682</f>
        <v>0</v>
      </c>
    </row>
    <row r="398" spans="1:13" x14ac:dyDescent="0.3">
      <c r="A398">
        <f>'insurance final cleaned'!J718</f>
        <v>10072.06</v>
      </c>
      <c r="B398">
        <f>'insurance final cleaned'!B718</f>
        <v>40</v>
      </c>
      <c r="C398">
        <f>'insurance final cleaned'!D718</f>
        <v>30.5</v>
      </c>
      <c r="D398">
        <f>'insurance final cleaned'!G718</f>
        <v>0</v>
      </c>
      <c r="E398">
        <f>'insurance final cleaned'!E718</f>
        <v>91</v>
      </c>
      <c r="F398">
        <f>'insurance final cleaned'!L718</f>
        <v>0</v>
      </c>
      <c r="G398">
        <f>'insurance final cleaned'!M718</f>
        <v>0</v>
      </c>
      <c r="H398">
        <f>'insurance final cleaned'!N718</f>
        <v>0</v>
      </c>
      <c r="I398">
        <f>'insurance final cleaned'!O718</f>
        <v>0</v>
      </c>
      <c r="J398">
        <f>'insurance final cleaned'!P718</f>
        <v>0.2887211434907434</v>
      </c>
      <c r="K398">
        <f>'insurance final cleaned'!Q718</f>
        <v>0</v>
      </c>
      <c r="L398">
        <f>'insurance final cleaned'!R718</f>
        <v>0</v>
      </c>
      <c r="M398">
        <f>'insurance final cleaned'!S718</f>
        <v>0</v>
      </c>
    </row>
    <row r="399" spans="1:13" x14ac:dyDescent="0.3">
      <c r="A399">
        <f>'insurance final cleaned'!J84</f>
        <v>1909.53</v>
      </c>
      <c r="B399">
        <f>'insurance final cleaned'!B84</f>
        <v>42</v>
      </c>
      <c r="C399">
        <f>'insurance final cleaned'!D84</f>
        <v>31.3</v>
      </c>
      <c r="D399">
        <f>'insurance final cleaned'!G84</f>
        <v>0</v>
      </c>
      <c r="E399">
        <f>'insurance final cleaned'!E84</f>
        <v>98</v>
      </c>
      <c r="F399">
        <f>'insurance final cleaned'!L84</f>
        <v>0</v>
      </c>
      <c r="G399">
        <f>'insurance final cleaned'!M84</f>
        <v>0</v>
      </c>
      <c r="H399">
        <f>'insurance final cleaned'!N84</f>
        <v>0</v>
      </c>
      <c r="I399">
        <f>'insurance final cleaned'!O84</f>
        <v>1</v>
      </c>
      <c r="J399">
        <f>'insurance final cleaned'!P84</f>
        <v>0.28984155963512848</v>
      </c>
      <c r="K399">
        <f>'insurance final cleaned'!Q84</f>
        <v>0</v>
      </c>
      <c r="L399">
        <f>'insurance final cleaned'!R84</f>
        <v>0</v>
      </c>
      <c r="M399">
        <f>'insurance final cleaned'!S84</f>
        <v>0</v>
      </c>
    </row>
    <row r="400" spans="1:13" x14ac:dyDescent="0.3">
      <c r="A400">
        <f>'insurance final cleaned'!J377</f>
        <v>5240.7700000000004</v>
      </c>
      <c r="B400">
        <f>'insurance final cleaned'!B377</f>
        <v>46</v>
      </c>
      <c r="C400">
        <f>'insurance final cleaned'!D377</f>
        <v>31</v>
      </c>
      <c r="D400">
        <f>'insurance final cleaned'!G377</f>
        <v>1</v>
      </c>
      <c r="E400">
        <f>'insurance final cleaned'!E377</f>
        <v>84</v>
      </c>
      <c r="F400">
        <f>'insurance final cleaned'!L377</f>
        <v>0</v>
      </c>
      <c r="G400">
        <f>'insurance final cleaned'!M377</f>
        <v>0</v>
      </c>
      <c r="H400">
        <f>'insurance final cleaned'!N377</f>
        <v>1</v>
      </c>
      <c r="I400">
        <f>'insurance final cleaned'!O377</f>
        <v>0</v>
      </c>
      <c r="J400">
        <f>'insurance final cleaned'!P377</f>
        <v>0.29056181126276182</v>
      </c>
      <c r="K400">
        <f>'insurance final cleaned'!Q377</f>
        <v>0</v>
      </c>
      <c r="L400">
        <f>'insurance final cleaned'!R377</f>
        <v>0</v>
      </c>
      <c r="M400">
        <f>'insurance final cleaned'!S377</f>
        <v>1</v>
      </c>
    </row>
    <row r="401" spans="1:13" x14ac:dyDescent="0.3">
      <c r="A401">
        <f>'insurance final cleaned'!J875</f>
        <v>12475.35</v>
      </c>
      <c r="B401">
        <f>'insurance final cleaned'!B875</f>
        <v>39</v>
      </c>
      <c r="C401">
        <f>'insurance final cleaned'!D875</f>
        <v>21.5</v>
      </c>
      <c r="D401">
        <f>'insurance final cleaned'!G875</f>
        <v>3</v>
      </c>
      <c r="E401">
        <f>'insurance final cleaned'!E875</f>
        <v>86</v>
      </c>
      <c r="F401">
        <f>'insurance final cleaned'!L875</f>
        <v>0</v>
      </c>
      <c r="G401">
        <f>'insurance final cleaned'!M875</f>
        <v>0</v>
      </c>
      <c r="H401">
        <f>'insurance final cleaned'!N875</f>
        <v>0</v>
      </c>
      <c r="I401">
        <f>'insurance final cleaned'!O875</f>
        <v>1</v>
      </c>
      <c r="J401">
        <f>'insurance final cleaned'!P875</f>
        <v>0.29132089246621695</v>
      </c>
      <c r="K401">
        <f>'insurance final cleaned'!Q875</f>
        <v>0</v>
      </c>
      <c r="L401">
        <f>'insurance final cleaned'!R875</f>
        <v>0</v>
      </c>
      <c r="M401">
        <f>'insurance final cleaned'!S875</f>
        <v>1</v>
      </c>
    </row>
    <row r="402" spans="1:13" x14ac:dyDescent="0.3">
      <c r="A402">
        <f>'insurance final cleaned'!J104</f>
        <v>2117.34</v>
      </c>
      <c r="B402">
        <f>'insurance final cleaned'!B104</f>
        <v>59</v>
      </c>
      <c r="C402">
        <f>'insurance final cleaned'!D104</f>
        <v>22.5</v>
      </c>
      <c r="D402">
        <f>'insurance final cleaned'!G104</f>
        <v>0</v>
      </c>
      <c r="E402">
        <f>'insurance final cleaned'!E104</f>
        <v>87</v>
      </c>
      <c r="F402">
        <f>'insurance final cleaned'!L104</f>
        <v>0</v>
      </c>
      <c r="G402">
        <f>'insurance final cleaned'!M104</f>
        <v>0</v>
      </c>
      <c r="H402">
        <f>'insurance final cleaned'!N104</f>
        <v>0</v>
      </c>
      <c r="I402">
        <f>'insurance final cleaned'!O104</f>
        <v>1</v>
      </c>
      <c r="J402">
        <f>'insurance final cleaned'!P104</f>
        <v>0.29315891196537713</v>
      </c>
      <c r="K402">
        <f>'insurance final cleaned'!Q104</f>
        <v>0</v>
      </c>
      <c r="L402">
        <f>'insurance final cleaned'!R104</f>
        <v>0</v>
      </c>
      <c r="M402">
        <f>'insurance final cleaned'!S104</f>
        <v>1</v>
      </c>
    </row>
    <row r="403" spans="1:13" x14ac:dyDescent="0.3">
      <c r="A403">
        <f>'insurance final cleaned'!J728</f>
        <v>10214.64</v>
      </c>
      <c r="B403">
        <f>'insurance final cleaned'!B728</f>
        <v>30</v>
      </c>
      <c r="C403">
        <f>'insurance final cleaned'!D728</f>
        <v>29.9</v>
      </c>
      <c r="D403">
        <f>'insurance final cleaned'!G728</f>
        <v>0</v>
      </c>
      <c r="E403">
        <f>'insurance final cleaned'!E728</f>
        <v>90</v>
      </c>
      <c r="F403">
        <f>'insurance final cleaned'!L728</f>
        <v>0</v>
      </c>
      <c r="G403">
        <f>'insurance final cleaned'!M728</f>
        <v>0</v>
      </c>
      <c r="H403">
        <f>'insurance final cleaned'!N728</f>
        <v>1</v>
      </c>
      <c r="I403">
        <f>'insurance final cleaned'!O728</f>
        <v>0</v>
      </c>
      <c r="J403">
        <f>'insurance final cleaned'!P728</f>
        <v>0.29323070166135745</v>
      </c>
      <c r="K403">
        <f>'insurance final cleaned'!Q728</f>
        <v>0</v>
      </c>
      <c r="L403">
        <f>'insurance final cleaned'!R728</f>
        <v>0</v>
      </c>
      <c r="M403">
        <f>'insurance final cleaned'!S728</f>
        <v>0</v>
      </c>
    </row>
    <row r="404" spans="1:13" x14ac:dyDescent="0.3">
      <c r="A404">
        <f>'insurance final cleaned'!J186</f>
        <v>2867.12</v>
      </c>
      <c r="B404">
        <f>'insurance final cleaned'!B186</f>
        <v>48</v>
      </c>
      <c r="C404">
        <f>'insurance final cleaned'!D186</f>
        <v>27.9</v>
      </c>
      <c r="D404">
        <f>'insurance final cleaned'!G186</f>
        <v>0</v>
      </c>
      <c r="E404">
        <f>'insurance final cleaned'!E186</f>
        <v>82</v>
      </c>
      <c r="F404">
        <f>'insurance final cleaned'!L186</f>
        <v>0</v>
      </c>
      <c r="G404">
        <f>'insurance final cleaned'!M186</f>
        <v>1</v>
      </c>
      <c r="H404">
        <f>'insurance final cleaned'!N186</f>
        <v>0</v>
      </c>
      <c r="I404">
        <f>'insurance final cleaned'!O186</f>
        <v>0</v>
      </c>
      <c r="J404">
        <f>'insurance final cleaned'!P186</f>
        <v>0.29595098484054516</v>
      </c>
      <c r="K404">
        <f>'insurance final cleaned'!Q186</f>
        <v>0</v>
      </c>
      <c r="L404">
        <f>'insurance final cleaned'!R186</f>
        <v>1</v>
      </c>
      <c r="M404">
        <f>'insurance final cleaned'!S186</f>
        <v>0</v>
      </c>
    </row>
    <row r="405" spans="1:13" x14ac:dyDescent="0.3">
      <c r="A405">
        <f>'insurance final cleaned'!J977</f>
        <v>14478.33</v>
      </c>
      <c r="B405">
        <f>'insurance final cleaned'!B977</f>
        <v>50</v>
      </c>
      <c r="C405">
        <f>'insurance final cleaned'!D977</f>
        <v>25.5</v>
      </c>
      <c r="D405">
        <f>'insurance final cleaned'!G977</f>
        <v>5</v>
      </c>
      <c r="E405">
        <f>'insurance final cleaned'!E977</f>
        <v>84</v>
      </c>
      <c r="F405">
        <f>'insurance final cleaned'!L977</f>
        <v>0</v>
      </c>
      <c r="G405">
        <f>'insurance final cleaned'!M977</f>
        <v>1</v>
      </c>
      <c r="H405">
        <f>'insurance final cleaned'!N977</f>
        <v>0</v>
      </c>
      <c r="I405">
        <f>'insurance final cleaned'!O977</f>
        <v>0</v>
      </c>
      <c r="J405">
        <f>'insurance final cleaned'!P977</f>
        <v>0.29673962120876751</v>
      </c>
      <c r="K405">
        <f>'insurance final cleaned'!Q977</f>
        <v>0</v>
      </c>
      <c r="L405">
        <f>'insurance final cleaned'!R977</f>
        <v>0</v>
      </c>
      <c r="M405">
        <f>'insurance final cleaned'!S977</f>
        <v>0</v>
      </c>
    </row>
    <row r="406" spans="1:13" x14ac:dyDescent="0.3">
      <c r="A406">
        <f>'insurance final cleaned'!J665</f>
        <v>9282.48</v>
      </c>
      <c r="B406">
        <f>'insurance final cleaned'!B665</f>
        <v>23</v>
      </c>
      <c r="C406">
        <f>'insurance final cleaned'!D665</f>
        <v>25.8</v>
      </c>
      <c r="D406">
        <f>'insurance final cleaned'!G665</f>
        <v>1</v>
      </c>
      <c r="E406">
        <f>'insurance final cleaned'!E665</f>
        <v>88</v>
      </c>
      <c r="F406">
        <f>'insurance final cleaned'!L665</f>
        <v>0</v>
      </c>
      <c r="G406">
        <f>'insurance final cleaned'!M665</f>
        <v>0</v>
      </c>
      <c r="H406">
        <f>'insurance final cleaned'!N665</f>
        <v>0</v>
      </c>
      <c r="I406">
        <f>'insurance final cleaned'!O665</f>
        <v>0</v>
      </c>
      <c r="J406">
        <f>'insurance final cleaned'!P665</f>
        <v>0.30255982010414262</v>
      </c>
      <c r="K406">
        <f>'insurance final cleaned'!Q665</f>
        <v>0</v>
      </c>
      <c r="L406">
        <f>'insurance final cleaned'!R665</f>
        <v>1</v>
      </c>
      <c r="M406">
        <f>'insurance final cleaned'!S665</f>
        <v>0</v>
      </c>
    </row>
    <row r="407" spans="1:13" x14ac:dyDescent="0.3">
      <c r="A407">
        <f>'insurance final cleaned'!J261</f>
        <v>3877.3</v>
      </c>
      <c r="B407">
        <f>'insurance final cleaned'!B261</f>
        <v>18</v>
      </c>
      <c r="C407">
        <f>'insurance final cleaned'!D261</f>
        <v>30.9</v>
      </c>
      <c r="D407">
        <f>'insurance final cleaned'!G261</f>
        <v>2</v>
      </c>
      <c r="E407">
        <f>'insurance final cleaned'!E261</f>
        <v>92</v>
      </c>
      <c r="F407">
        <f>'insurance final cleaned'!L261</f>
        <v>0</v>
      </c>
      <c r="G407">
        <f>'insurance final cleaned'!M261</f>
        <v>0</v>
      </c>
      <c r="H407">
        <f>'insurance final cleaned'!N261</f>
        <v>0</v>
      </c>
      <c r="I407">
        <f>'insurance final cleaned'!O261</f>
        <v>1</v>
      </c>
      <c r="J407">
        <f>'insurance final cleaned'!P261</f>
        <v>0.30353083846409623</v>
      </c>
      <c r="K407">
        <f>'insurance final cleaned'!Q261</f>
        <v>0</v>
      </c>
      <c r="L407">
        <f>'insurance final cleaned'!R261</f>
        <v>0</v>
      </c>
      <c r="M407">
        <f>'insurance final cleaned'!S261</f>
        <v>0</v>
      </c>
    </row>
    <row r="408" spans="1:13" x14ac:dyDescent="0.3">
      <c r="A408">
        <f>'insurance final cleaned'!J1060</f>
        <v>19521.97</v>
      </c>
      <c r="B408">
        <f>'insurance final cleaned'!B1060</f>
        <v>40</v>
      </c>
      <c r="C408">
        <f>'insurance final cleaned'!D1060</f>
        <v>28.4</v>
      </c>
      <c r="D408">
        <f>'insurance final cleaned'!G1060</f>
        <v>1</v>
      </c>
      <c r="E408">
        <f>'insurance final cleaned'!E1060</f>
        <v>109</v>
      </c>
      <c r="F408">
        <f>'insurance final cleaned'!L1060</f>
        <v>28.4</v>
      </c>
      <c r="G408">
        <f>'insurance final cleaned'!M1060</f>
        <v>1</v>
      </c>
      <c r="H408">
        <f>'insurance final cleaned'!N1060</f>
        <v>0</v>
      </c>
      <c r="I408">
        <f>'insurance final cleaned'!O1060</f>
        <v>0</v>
      </c>
      <c r="J408">
        <f>'insurance final cleaned'!P1060</f>
        <v>0.30357821384052863</v>
      </c>
      <c r="K408">
        <f>'insurance final cleaned'!Q1060</f>
        <v>1</v>
      </c>
      <c r="L408">
        <f>'insurance final cleaned'!R1060</f>
        <v>1</v>
      </c>
      <c r="M408">
        <f>'insurance final cleaned'!S1060</f>
        <v>1</v>
      </c>
    </row>
    <row r="409" spans="1:13" x14ac:dyDescent="0.3">
      <c r="A409">
        <f>'insurance final cleaned'!J998</f>
        <v>16115.3</v>
      </c>
      <c r="B409">
        <f>'insurance final cleaned'!B998</f>
        <v>29</v>
      </c>
      <c r="C409">
        <f>'insurance final cleaned'!D998</f>
        <v>21.9</v>
      </c>
      <c r="D409">
        <f>'insurance final cleaned'!G998</f>
        <v>0</v>
      </c>
      <c r="E409">
        <f>'insurance final cleaned'!E998</f>
        <v>92</v>
      </c>
      <c r="F409">
        <f>'insurance final cleaned'!L998</f>
        <v>21.9</v>
      </c>
      <c r="G409">
        <f>'insurance final cleaned'!M998</f>
        <v>0</v>
      </c>
      <c r="H409">
        <f>'insurance final cleaned'!N998</f>
        <v>0</v>
      </c>
      <c r="I409">
        <f>'insurance final cleaned'!O998</f>
        <v>0</v>
      </c>
      <c r="J409">
        <f>'insurance final cleaned'!P998</f>
        <v>0.30369136671902763</v>
      </c>
      <c r="K409">
        <f>'insurance final cleaned'!Q998</f>
        <v>1</v>
      </c>
      <c r="L409">
        <f>'insurance final cleaned'!R998</f>
        <v>1</v>
      </c>
      <c r="M409">
        <f>'insurance final cleaned'!S998</f>
        <v>1</v>
      </c>
    </row>
    <row r="410" spans="1:13" x14ac:dyDescent="0.3">
      <c r="A410">
        <f>'insurance final cleaned'!J1164</f>
        <v>27533.91</v>
      </c>
      <c r="B410">
        <f>'insurance final cleaned'!B1164</f>
        <v>49</v>
      </c>
      <c r="C410">
        <f>'insurance final cleaned'!D1164</f>
        <v>29.8</v>
      </c>
      <c r="D410">
        <f>'insurance final cleaned'!G1164</f>
        <v>0</v>
      </c>
      <c r="E410">
        <f>'insurance final cleaned'!E1164</f>
        <v>92</v>
      </c>
      <c r="F410">
        <f>'insurance final cleaned'!L1164</f>
        <v>29.8</v>
      </c>
      <c r="G410">
        <f>'insurance final cleaned'!M1164</f>
        <v>1</v>
      </c>
      <c r="H410">
        <f>'insurance final cleaned'!N1164</f>
        <v>0</v>
      </c>
      <c r="I410">
        <f>'insurance final cleaned'!O1164</f>
        <v>0</v>
      </c>
      <c r="J410">
        <f>'insurance final cleaned'!P1164</f>
        <v>0.30419071245323215</v>
      </c>
      <c r="K410">
        <f>'insurance final cleaned'!Q1164</f>
        <v>1</v>
      </c>
      <c r="L410">
        <f>'insurance final cleaned'!R1164</f>
        <v>1</v>
      </c>
      <c r="M410">
        <f>'insurance final cleaned'!S1164</f>
        <v>1</v>
      </c>
    </row>
    <row r="411" spans="1:13" x14ac:dyDescent="0.3">
      <c r="A411">
        <f>'insurance final cleaned'!J375</f>
        <v>5209.58</v>
      </c>
      <c r="B411">
        <f>'insurance final cleaned'!B375</f>
        <v>32</v>
      </c>
      <c r="C411">
        <f>'insurance final cleaned'!D375</f>
        <v>22.5</v>
      </c>
      <c r="D411">
        <f>'insurance final cleaned'!G375</f>
        <v>3</v>
      </c>
      <c r="E411">
        <f>'insurance final cleaned'!E375</f>
        <v>93</v>
      </c>
      <c r="F411">
        <f>'insurance final cleaned'!L375</f>
        <v>0</v>
      </c>
      <c r="G411">
        <f>'insurance final cleaned'!M375</f>
        <v>1</v>
      </c>
      <c r="H411">
        <f>'insurance final cleaned'!N375</f>
        <v>0</v>
      </c>
      <c r="I411">
        <f>'insurance final cleaned'!O375</f>
        <v>0</v>
      </c>
      <c r="J411">
        <f>'insurance final cleaned'!P375</f>
        <v>0.30501916668656937</v>
      </c>
      <c r="K411">
        <f>'insurance final cleaned'!Q375</f>
        <v>0</v>
      </c>
      <c r="L411">
        <f>'insurance final cleaned'!R375</f>
        <v>0</v>
      </c>
      <c r="M411">
        <f>'insurance final cleaned'!S375</f>
        <v>0</v>
      </c>
    </row>
    <row r="412" spans="1:13" x14ac:dyDescent="0.3">
      <c r="A412">
        <f>'insurance final cleaned'!J899</f>
        <v>12925.89</v>
      </c>
      <c r="B412">
        <f>'insurance final cleaned'!B899</f>
        <v>40</v>
      </c>
      <c r="C412">
        <f>'insurance final cleaned'!D899</f>
        <v>29.7</v>
      </c>
      <c r="D412">
        <f>'insurance final cleaned'!G899</f>
        <v>2</v>
      </c>
      <c r="E412">
        <f>'insurance final cleaned'!E899</f>
        <v>87</v>
      </c>
      <c r="F412">
        <f>'insurance final cleaned'!L899</f>
        <v>0</v>
      </c>
      <c r="G412">
        <f>'insurance final cleaned'!M899</f>
        <v>1</v>
      </c>
      <c r="H412">
        <f>'insurance final cleaned'!N899</f>
        <v>0</v>
      </c>
      <c r="I412">
        <f>'insurance final cleaned'!O899</f>
        <v>0</v>
      </c>
      <c r="J412">
        <f>'insurance final cleaned'!P899</f>
        <v>0.30560670509688426</v>
      </c>
      <c r="K412">
        <f>'insurance final cleaned'!Q899</f>
        <v>0</v>
      </c>
      <c r="L412">
        <f>'insurance final cleaned'!R899</f>
        <v>1</v>
      </c>
      <c r="M412">
        <f>'insurance final cleaned'!S899</f>
        <v>0</v>
      </c>
    </row>
    <row r="413" spans="1:13" x14ac:dyDescent="0.3">
      <c r="A413">
        <f>'insurance final cleaned'!J312</f>
        <v>4454.3999999999996</v>
      </c>
      <c r="B413">
        <f>'insurance final cleaned'!B312</f>
        <v>43</v>
      </c>
      <c r="C413">
        <f>'insurance final cleaned'!D312</f>
        <v>27.8</v>
      </c>
      <c r="D413">
        <f>'insurance final cleaned'!G312</f>
        <v>1</v>
      </c>
      <c r="E413">
        <f>'insurance final cleaned'!E312</f>
        <v>81</v>
      </c>
      <c r="F413">
        <f>'insurance final cleaned'!L312</f>
        <v>0</v>
      </c>
      <c r="G413">
        <f>'insurance final cleaned'!M312</f>
        <v>0</v>
      </c>
      <c r="H413">
        <f>'insurance final cleaned'!N312</f>
        <v>0</v>
      </c>
      <c r="I413">
        <f>'insurance final cleaned'!O312</f>
        <v>1</v>
      </c>
      <c r="J413">
        <f>'insurance final cleaned'!P312</f>
        <v>0.30624309657682758</v>
      </c>
      <c r="K413">
        <f>'insurance final cleaned'!Q312</f>
        <v>0</v>
      </c>
      <c r="L413">
        <f>'insurance final cleaned'!R312</f>
        <v>0</v>
      </c>
      <c r="M413">
        <f>'insurance final cleaned'!S312</f>
        <v>0</v>
      </c>
    </row>
    <row r="414" spans="1:13" x14ac:dyDescent="0.3">
      <c r="A414">
        <f>'insurance final cleaned'!J466</f>
        <v>6435.62</v>
      </c>
      <c r="B414">
        <f>'insurance final cleaned'!B466</f>
        <v>20</v>
      </c>
      <c r="C414">
        <f>'insurance final cleaned'!D466</f>
        <v>46.5</v>
      </c>
      <c r="D414">
        <f>'insurance final cleaned'!G466</f>
        <v>3</v>
      </c>
      <c r="E414">
        <f>'insurance final cleaned'!E466</f>
        <v>89</v>
      </c>
      <c r="F414">
        <f>'insurance final cleaned'!L466</f>
        <v>0</v>
      </c>
      <c r="G414">
        <f>'insurance final cleaned'!M466</f>
        <v>1</v>
      </c>
      <c r="H414">
        <f>'insurance final cleaned'!N466</f>
        <v>0</v>
      </c>
      <c r="I414">
        <f>'insurance final cleaned'!O466</f>
        <v>0</v>
      </c>
      <c r="J414">
        <f>'insurance final cleaned'!P466</f>
        <v>0.31116141109369544</v>
      </c>
      <c r="K414">
        <f>'insurance final cleaned'!Q466</f>
        <v>0</v>
      </c>
      <c r="L414">
        <f>'insurance final cleaned'!R466</f>
        <v>0</v>
      </c>
      <c r="M414">
        <f>'insurance final cleaned'!S466</f>
        <v>0</v>
      </c>
    </row>
    <row r="415" spans="1:13" x14ac:dyDescent="0.3">
      <c r="A415">
        <f>'insurance final cleaned'!J1047</f>
        <v>18972.5</v>
      </c>
      <c r="B415">
        <f>'insurance final cleaned'!B1047</f>
        <v>19</v>
      </c>
      <c r="C415">
        <f>'insurance final cleaned'!D1047</f>
        <v>25.3</v>
      </c>
      <c r="D415">
        <f>'insurance final cleaned'!G1047</f>
        <v>2</v>
      </c>
      <c r="E415">
        <f>'insurance final cleaned'!E1047</f>
        <v>95</v>
      </c>
      <c r="F415">
        <f>'insurance final cleaned'!L1047</f>
        <v>25.3</v>
      </c>
      <c r="G415">
        <f>'insurance final cleaned'!M1047</f>
        <v>1</v>
      </c>
      <c r="H415">
        <f>'insurance final cleaned'!N1047</f>
        <v>0</v>
      </c>
      <c r="I415">
        <f>'insurance final cleaned'!O1047</f>
        <v>0</v>
      </c>
      <c r="J415">
        <f>'insurance final cleaned'!P1047</f>
        <v>0.3111843269490735</v>
      </c>
      <c r="K415">
        <f>'insurance final cleaned'!Q1047</f>
        <v>1</v>
      </c>
      <c r="L415">
        <f>'insurance final cleaned'!R1047</f>
        <v>0</v>
      </c>
      <c r="M415">
        <f>'insurance final cleaned'!S1047</f>
        <v>0</v>
      </c>
    </row>
    <row r="416" spans="1:13" x14ac:dyDescent="0.3">
      <c r="A416">
        <f>'insurance final cleaned'!J318</f>
        <v>4518.83</v>
      </c>
      <c r="B416">
        <f>'insurance final cleaned'!B318</f>
        <v>35</v>
      </c>
      <c r="C416">
        <f>'insurance final cleaned'!D318</f>
        <v>34.700000000000003</v>
      </c>
      <c r="D416">
        <f>'insurance final cleaned'!G318</f>
        <v>0</v>
      </c>
      <c r="E416">
        <f>'insurance final cleaned'!E318</f>
        <v>83</v>
      </c>
      <c r="F416">
        <f>'insurance final cleaned'!L318</f>
        <v>0</v>
      </c>
      <c r="G416">
        <f>'insurance final cleaned'!M318</f>
        <v>1</v>
      </c>
      <c r="H416">
        <f>'insurance final cleaned'!N318</f>
        <v>0</v>
      </c>
      <c r="I416">
        <f>'insurance final cleaned'!O318</f>
        <v>0</v>
      </c>
      <c r="J416">
        <f>'insurance final cleaned'!P318</f>
        <v>0.31134271747985687</v>
      </c>
      <c r="K416">
        <f>'insurance final cleaned'!Q318</f>
        <v>0</v>
      </c>
      <c r="L416">
        <f>'insurance final cleaned'!R318</f>
        <v>1</v>
      </c>
      <c r="M416">
        <f>'insurance final cleaned'!S318</f>
        <v>0</v>
      </c>
    </row>
    <row r="417" spans="1:13" x14ac:dyDescent="0.3">
      <c r="A417">
        <f>'insurance final cleaned'!J356</f>
        <v>4906.41</v>
      </c>
      <c r="B417">
        <f>'insurance final cleaned'!B356</f>
        <v>48</v>
      </c>
      <c r="C417">
        <f>'insurance final cleaned'!D356</f>
        <v>20.2</v>
      </c>
      <c r="D417">
        <f>'insurance final cleaned'!G356</f>
        <v>2</v>
      </c>
      <c r="E417">
        <f>'insurance final cleaned'!E356</f>
        <v>97</v>
      </c>
      <c r="F417">
        <f>'insurance final cleaned'!L356</f>
        <v>0</v>
      </c>
      <c r="G417">
        <f>'insurance final cleaned'!M356</f>
        <v>0</v>
      </c>
      <c r="H417">
        <f>'insurance final cleaned'!N356</f>
        <v>0</v>
      </c>
      <c r="I417">
        <f>'insurance final cleaned'!O356</f>
        <v>1</v>
      </c>
      <c r="J417">
        <f>'insurance final cleaned'!P356</f>
        <v>0.31192707833483291</v>
      </c>
      <c r="K417">
        <f>'insurance final cleaned'!Q356</f>
        <v>0</v>
      </c>
      <c r="L417">
        <f>'insurance final cleaned'!R356</f>
        <v>0</v>
      </c>
      <c r="M417">
        <f>'insurance final cleaned'!S356</f>
        <v>1</v>
      </c>
    </row>
    <row r="418" spans="1:13" x14ac:dyDescent="0.3">
      <c r="A418">
        <f>'insurance final cleaned'!J205</f>
        <v>3172.02</v>
      </c>
      <c r="B418">
        <f>'insurance final cleaned'!B205</f>
        <v>35</v>
      </c>
      <c r="C418">
        <f>'insurance final cleaned'!D205</f>
        <v>33.4</v>
      </c>
      <c r="D418">
        <f>'insurance final cleaned'!G205</f>
        <v>0</v>
      </c>
      <c r="E418">
        <f>'insurance final cleaned'!E205</f>
        <v>99</v>
      </c>
      <c r="F418">
        <f>'insurance final cleaned'!L205</f>
        <v>0</v>
      </c>
      <c r="G418">
        <f>'insurance final cleaned'!M205</f>
        <v>0</v>
      </c>
      <c r="H418">
        <f>'insurance final cleaned'!N205</f>
        <v>1</v>
      </c>
      <c r="I418">
        <f>'insurance final cleaned'!O205</f>
        <v>0</v>
      </c>
      <c r="J418">
        <f>'insurance final cleaned'!P205</f>
        <v>0.31231580114868362</v>
      </c>
      <c r="K418">
        <f>'insurance final cleaned'!Q205</f>
        <v>0</v>
      </c>
      <c r="L418">
        <f>'insurance final cleaned'!R205</f>
        <v>0</v>
      </c>
      <c r="M418">
        <f>'insurance final cleaned'!S205</f>
        <v>1</v>
      </c>
    </row>
    <row r="419" spans="1:13" x14ac:dyDescent="0.3">
      <c r="A419">
        <f>'insurance final cleaned'!J1058</f>
        <v>19496.72</v>
      </c>
      <c r="B419">
        <f>'insurance final cleaned'!B1058</f>
        <v>21</v>
      </c>
      <c r="C419">
        <f>'insurance final cleaned'!D1058</f>
        <v>39.700000000000003</v>
      </c>
      <c r="D419">
        <f>'insurance final cleaned'!G1058</f>
        <v>4</v>
      </c>
      <c r="E419">
        <f>'insurance final cleaned'!E1058</f>
        <v>107</v>
      </c>
      <c r="F419">
        <f>'insurance final cleaned'!L1058</f>
        <v>0</v>
      </c>
      <c r="G419">
        <f>'insurance final cleaned'!M1058</f>
        <v>0</v>
      </c>
      <c r="H419">
        <f>'insurance final cleaned'!N1058</f>
        <v>0</v>
      </c>
      <c r="I419">
        <f>'insurance final cleaned'!O1058</f>
        <v>0</v>
      </c>
      <c r="J419">
        <f>'insurance final cleaned'!P1058</f>
        <v>0.31495879182630582</v>
      </c>
      <c r="K419">
        <f>'insurance final cleaned'!Q1058</f>
        <v>0</v>
      </c>
      <c r="L419">
        <f>'insurance final cleaned'!R1058</f>
        <v>1</v>
      </c>
      <c r="M419">
        <f>'insurance final cleaned'!S1058</f>
        <v>0</v>
      </c>
    </row>
    <row r="420" spans="1:13" x14ac:dyDescent="0.3">
      <c r="A420">
        <f>'insurance final cleaned'!J709</f>
        <v>9875.68</v>
      </c>
      <c r="B420">
        <f>'insurance final cleaned'!B709</f>
        <v>27</v>
      </c>
      <c r="C420">
        <f>'insurance final cleaned'!D709</f>
        <v>40.700000000000003</v>
      </c>
      <c r="D420">
        <f>'insurance final cleaned'!G709</f>
        <v>0</v>
      </c>
      <c r="E420">
        <f>'insurance final cleaned'!E709</f>
        <v>100</v>
      </c>
      <c r="F420">
        <f>'insurance final cleaned'!L709</f>
        <v>0</v>
      </c>
      <c r="G420">
        <f>'insurance final cleaned'!M709</f>
        <v>0</v>
      </c>
      <c r="H420">
        <f>'insurance final cleaned'!N709</f>
        <v>0</v>
      </c>
      <c r="I420">
        <f>'insurance final cleaned'!O709</f>
        <v>0</v>
      </c>
      <c r="J420">
        <f>'insurance final cleaned'!P709</f>
        <v>0.3150077402409831</v>
      </c>
      <c r="K420">
        <f>'insurance final cleaned'!Q709</f>
        <v>0</v>
      </c>
      <c r="L420">
        <f>'insurance final cleaned'!R709</f>
        <v>0</v>
      </c>
      <c r="M420">
        <f>'insurance final cleaned'!S709</f>
        <v>1</v>
      </c>
    </row>
    <row r="421" spans="1:13" x14ac:dyDescent="0.3">
      <c r="A421">
        <f>'insurance final cleaned'!J657</f>
        <v>9144.57</v>
      </c>
      <c r="B421">
        <f>'insurance final cleaned'!B657</f>
        <v>34</v>
      </c>
      <c r="C421">
        <f>'insurance final cleaned'!D657</f>
        <v>36.700000000000003</v>
      </c>
      <c r="D421">
        <f>'insurance final cleaned'!G657</f>
        <v>0</v>
      </c>
      <c r="E421">
        <f>'insurance final cleaned'!E657</f>
        <v>92</v>
      </c>
      <c r="F421">
        <f>'insurance final cleaned'!L657</f>
        <v>0</v>
      </c>
      <c r="G421">
        <f>'insurance final cleaned'!M657</f>
        <v>0</v>
      </c>
      <c r="H421">
        <f>'insurance final cleaned'!N657</f>
        <v>1</v>
      </c>
      <c r="I421">
        <f>'insurance final cleaned'!O657</f>
        <v>0</v>
      </c>
      <c r="J421">
        <f>'insurance final cleaned'!P657</f>
        <v>0.31505026712788842</v>
      </c>
      <c r="K421">
        <f>'insurance final cleaned'!Q657</f>
        <v>0</v>
      </c>
      <c r="L421">
        <f>'insurance final cleaned'!R657</f>
        <v>0</v>
      </c>
      <c r="M421">
        <f>'insurance final cleaned'!S657</f>
        <v>0</v>
      </c>
    </row>
    <row r="422" spans="1:13" x14ac:dyDescent="0.3">
      <c r="A422">
        <f>'insurance final cleaned'!J933</f>
        <v>13470.86</v>
      </c>
      <c r="B422">
        <f>'insurance final cleaned'!B933</f>
        <v>40</v>
      </c>
      <c r="C422">
        <f>'insurance final cleaned'!D933</f>
        <v>39.200000000000003</v>
      </c>
      <c r="D422">
        <f>'insurance final cleaned'!G933</f>
        <v>0</v>
      </c>
      <c r="E422">
        <f>'insurance final cleaned'!E933</f>
        <v>84</v>
      </c>
      <c r="F422">
        <f>'insurance final cleaned'!L933</f>
        <v>0</v>
      </c>
      <c r="G422">
        <f>'insurance final cleaned'!M933</f>
        <v>0</v>
      </c>
      <c r="H422">
        <f>'insurance final cleaned'!N933</f>
        <v>1</v>
      </c>
      <c r="I422">
        <f>'insurance final cleaned'!O933</f>
        <v>0</v>
      </c>
      <c r="J422">
        <f>'insurance final cleaned'!P933</f>
        <v>0.31516937046112858</v>
      </c>
      <c r="K422">
        <f>'insurance final cleaned'!Q933</f>
        <v>0</v>
      </c>
      <c r="L422">
        <f>'insurance final cleaned'!R933</f>
        <v>0</v>
      </c>
      <c r="M422">
        <f>'insurance final cleaned'!S933</f>
        <v>1</v>
      </c>
    </row>
    <row r="423" spans="1:13" x14ac:dyDescent="0.3">
      <c r="A423">
        <f>'insurance final cleaned'!J97</f>
        <v>2020.55</v>
      </c>
      <c r="B423">
        <f>'insurance final cleaned'!B97</f>
        <v>54</v>
      </c>
      <c r="C423">
        <f>'insurance final cleaned'!D97</f>
        <v>34.9</v>
      </c>
      <c r="D423">
        <f>'insurance final cleaned'!G97</f>
        <v>0</v>
      </c>
      <c r="E423">
        <f>'insurance final cleaned'!E97</f>
        <v>90</v>
      </c>
      <c r="F423">
        <f>'insurance final cleaned'!L97</f>
        <v>0</v>
      </c>
      <c r="G423">
        <f>'insurance final cleaned'!M97</f>
        <v>1</v>
      </c>
      <c r="H423">
        <f>'insurance final cleaned'!N97</f>
        <v>0</v>
      </c>
      <c r="I423">
        <f>'insurance final cleaned'!O97</f>
        <v>0</v>
      </c>
      <c r="J423">
        <f>'insurance final cleaned'!P97</f>
        <v>0.31618421958672371</v>
      </c>
      <c r="K423">
        <f>'insurance final cleaned'!Q97</f>
        <v>0</v>
      </c>
      <c r="L423">
        <f>'insurance final cleaned'!R97</f>
        <v>0</v>
      </c>
      <c r="M423">
        <f>'insurance final cleaned'!S97</f>
        <v>1</v>
      </c>
    </row>
    <row r="424" spans="1:13" x14ac:dyDescent="0.3">
      <c r="A424">
        <f>'insurance final cleaned'!J164</f>
        <v>2680.95</v>
      </c>
      <c r="B424">
        <f>'insurance final cleaned'!B164</f>
        <v>47</v>
      </c>
      <c r="C424">
        <f>'insurance final cleaned'!D164</f>
        <v>17.7</v>
      </c>
      <c r="D424">
        <f>'insurance final cleaned'!G164</f>
        <v>0</v>
      </c>
      <c r="E424">
        <f>'insurance final cleaned'!E164</f>
        <v>92</v>
      </c>
      <c r="F424">
        <f>'insurance final cleaned'!L164</f>
        <v>0</v>
      </c>
      <c r="G424">
        <f>'insurance final cleaned'!M164</f>
        <v>0</v>
      </c>
      <c r="H424">
        <f>'insurance final cleaned'!N164</f>
        <v>0</v>
      </c>
      <c r="I424">
        <f>'insurance final cleaned'!O164</f>
        <v>1</v>
      </c>
      <c r="J424">
        <f>'insurance final cleaned'!P164</f>
        <v>0.3163583833559237</v>
      </c>
      <c r="K424">
        <f>'insurance final cleaned'!Q164</f>
        <v>0</v>
      </c>
      <c r="L424">
        <f>'insurance final cleaned'!R164</f>
        <v>1</v>
      </c>
      <c r="M424">
        <f>'insurance final cleaned'!S164</f>
        <v>0</v>
      </c>
    </row>
    <row r="425" spans="1:13" x14ac:dyDescent="0.3">
      <c r="A425">
        <f>'insurance final cleaned'!J1088</f>
        <v>21223.68</v>
      </c>
      <c r="B425">
        <f>'insurance final cleaned'!B1088</f>
        <v>44</v>
      </c>
      <c r="C425">
        <f>'insurance final cleaned'!D1088</f>
        <v>24.4</v>
      </c>
      <c r="D425">
        <f>'insurance final cleaned'!G1088</f>
        <v>0</v>
      </c>
      <c r="E425">
        <f>'insurance final cleaned'!E1088</f>
        <v>110</v>
      </c>
      <c r="F425">
        <f>'insurance final cleaned'!L1088</f>
        <v>24.4</v>
      </c>
      <c r="G425">
        <f>'insurance final cleaned'!M1088</f>
        <v>1</v>
      </c>
      <c r="H425">
        <f>'insurance final cleaned'!N1088</f>
        <v>0</v>
      </c>
      <c r="I425">
        <f>'insurance final cleaned'!O1088</f>
        <v>0</v>
      </c>
      <c r="J425">
        <f>'insurance final cleaned'!P1088</f>
        <v>0.31731662602157718</v>
      </c>
      <c r="K425">
        <f>'insurance final cleaned'!Q1088</f>
        <v>1</v>
      </c>
      <c r="L425">
        <f>'insurance final cleaned'!R1088</f>
        <v>0</v>
      </c>
      <c r="M425">
        <f>'insurance final cleaned'!S1088</f>
        <v>0</v>
      </c>
    </row>
    <row r="426" spans="1:13" x14ac:dyDescent="0.3">
      <c r="A426">
        <f>'insurance final cleaned'!J413</f>
        <v>5693.43</v>
      </c>
      <c r="B426">
        <f>'insurance final cleaned'!B413</f>
        <v>26</v>
      </c>
      <c r="C426">
        <f>'insurance final cleaned'!D413</f>
        <v>20</v>
      </c>
      <c r="D426">
        <f>'insurance final cleaned'!G413</f>
        <v>3</v>
      </c>
      <c r="E426">
        <f>'insurance final cleaned'!E413</f>
        <v>94</v>
      </c>
      <c r="F426">
        <f>'insurance final cleaned'!L413</f>
        <v>0</v>
      </c>
      <c r="G426">
        <f>'insurance final cleaned'!M413</f>
        <v>0</v>
      </c>
      <c r="H426">
        <f>'insurance final cleaned'!N413</f>
        <v>0</v>
      </c>
      <c r="I426">
        <f>'insurance final cleaned'!O413</f>
        <v>1</v>
      </c>
      <c r="J426">
        <f>'insurance final cleaned'!P413</f>
        <v>0.31785834701317217</v>
      </c>
      <c r="K426">
        <f>'insurance final cleaned'!Q413</f>
        <v>0</v>
      </c>
      <c r="L426">
        <f>'insurance final cleaned'!R413</f>
        <v>1</v>
      </c>
      <c r="M426">
        <f>'insurance final cleaned'!S413</f>
        <v>1</v>
      </c>
    </row>
    <row r="427" spans="1:13" x14ac:dyDescent="0.3">
      <c r="A427">
        <f>'insurance final cleaned'!J1050</f>
        <v>19107.78</v>
      </c>
      <c r="B427">
        <f>'insurance final cleaned'!B1050</f>
        <v>50</v>
      </c>
      <c r="C427">
        <f>'insurance final cleaned'!D1050</f>
        <v>27.9</v>
      </c>
      <c r="D427">
        <f>'insurance final cleaned'!G1050</f>
        <v>1</v>
      </c>
      <c r="E427">
        <f>'insurance final cleaned'!E1050</f>
        <v>83</v>
      </c>
      <c r="F427">
        <f>'insurance final cleaned'!L1050</f>
        <v>27.9</v>
      </c>
      <c r="G427">
        <f>'insurance final cleaned'!M1050</f>
        <v>1</v>
      </c>
      <c r="H427">
        <f>'insurance final cleaned'!N1050</f>
        <v>0</v>
      </c>
      <c r="I427">
        <f>'insurance final cleaned'!O1050</f>
        <v>0</v>
      </c>
      <c r="J427">
        <f>'insurance final cleaned'!P1050</f>
        <v>0.31869052301986722</v>
      </c>
      <c r="K427">
        <f>'insurance final cleaned'!Q1050</f>
        <v>1</v>
      </c>
      <c r="L427">
        <f>'insurance final cleaned'!R1050</f>
        <v>0</v>
      </c>
      <c r="M427">
        <f>'insurance final cleaned'!S1050</f>
        <v>1</v>
      </c>
    </row>
    <row r="428" spans="1:13" x14ac:dyDescent="0.3">
      <c r="A428">
        <f>'insurance final cleaned'!J1100</f>
        <v>21880.82</v>
      </c>
      <c r="B428">
        <f>'insurance final cleaned'!B1100</f>
        <v>58</v>
      </c>
      <c r="C428">
        <f>'insurance final cleaned'!D1100</f>
        <v>24.7</v>
      </c>
      <c r="D428">
        <f>'insurance final cleaned'!G1100</f>
        <v>2</v>
      </c>
      <c r="E428">
        <f>'insurance final cleaned'!E1100</f>
        <v>82</v>
      </c>
      <c r="F428">
        <f>'insurance final cleaned'!L1100</f>
        <v>24.7</v>
      </c>
      <c r="G428">
        <f>'insurance final cleaned'!M1100</f>
        <v>0</v>
      </c>
      <c r="H428">
        <f>'insurance final cleaned'!N1100</f>
        <v>0</v>
      </c>
      <c r="I428">
        <f>'insurance final cleaned'!O1100</f>
        <v>1</v>
      </c>
      <c r="J428">
        <f>'insurance final cleaned'!P1100</f>
        <v>0.31912301106968632</v>
      </c>
      <c r="K428">
        <f>'insurance final cleaned'!Q1100</f>
        <v>1</v>
      </c>
      <c r="L428">
        <f>'insurance final cleaned'!R1100</f>
        <v>0</v>
      </c>
      <c r="M428">
        <f>'insurance final cleaned'!S1100</f>
        <v>1</v>
      </c>
    </row>
    <row r="429" spans="1:13" x14ac:dyDescent="0.3">
      <c r="A429">
        <f>'insurance final cleaned'!J306</f>
        <v>4433.3900000000003</v>
      </c>
      <c r="B429">
        <f>'insurance final cleaned'!B306</f>
        <v>32</v>
      </c>
      <c r="C429">
        <f>'insurance final cleaned'!D306</f>
        <v>31.7</v>
      </c>
      <c r="D429">
        <f>'insurance final cleaned'!G306</f>
        <v>2</v>
      </c>
      <c r="E429">
        <f>'insurance final cleaned'!E306</f>
        <v>83</v>
      </c>
      <c r="F429">
        <f>'insurance final cleaned'!L306</f>
        <v>0</v>
      </c>
      <c r="G429">
        <f>'insurance final cleaned'!M306</f>
        <v>0</v>
      </c>
      <c r="H429">
        <f>'insurance final cleaned'!N306</f>
        <v>0</v>
      </c>
      <c r="I429">
        <f>'insurance final cleaned'!O306</f>
        <v>1</v>
      </c>
      <c r="J429">
        <f>'insurance final cleaned'!P306</f>
        <v>0.31971687612859923</v>
      </c>
      <c r="K429">
        <f>'insurance final cleaned'!Q306</f>
        <v>0</v>
      </c>
      <c r="L429">
        <f>'insurance final cleaned'!R306</f>
        <v>1</v>
      </c>
      <c r="M429">
        <f>'insurance final cleaned'!S306</f>
        <v>0</v>
      </c>
    </row>
    <row r="430" spans="1:13" x14ac:dyDescent="0.3">
      <c r="A430">
        <f>'insurance final cleaned'!J1113</f>
        <v>23065.42</v>
      </c>
      <c r="B430">
        <f>'insurance final cleaned'!B1113</f>
        <v>27</v>
      </c>
      <c r="C430">
        <f>'insurance final cleaned'!D1113</f>
        <v>27.8</v>
      </c>
      <c r="D430">
        <f>'insurance final cleaned'!G1113</f>
        <v>0</v>
      </c>
      <c r="E430">
        <f>'insurance final cleaned'!E1113</f>
        <v>87</v>
      </c>
      <c r="F430">
        <f>'insurance final cleaned'!L1113</f>
        <v>27.8</v>
      </c>
      <c r="G430">
        <f>'insurance final cleaned'!M1113</f>
        <v>1</v>
      </c>
      <c r="H430">
        <f>'insurance final cleaned'!N1113</f>
        <v>0</v>
      </c>
      <c r="I430">
        <f>'insurance final cleaned'!O1113</f>
        <v>0</v>
      </c>
      <c r="J430">
        <f>'insurance final cleaned'!P1113</f>
        <v>0.32163931061481355</v>
      </c>
      <c r="K430">
        <f>'insurance final cleaned'!Q1113</f>
        <v>1</v>
      </c>
      <c r="L430">
        <f>'insurance final cleaned'!R1113</f>
        <v>1</v>
      </c>
      <c r="M430">
        <f>'insurance final cleaned'!S1113</f>
        <v>1</v>
      </c>
    </row>
    <row r="431" spans="1:13" x14ac:dyDescent="0.3">
      <c r="A431">
        <f>'insurance final cleaned'!J467</f>
        <v>6455.86</v>
      </c>
      <c r="B431">
        <f>'insurance final cleaned'!B467</f>
        <v>28</v>
      </c>
      <c r="C431">
        <f>'insurance final cleaned'!D467</f>
        <v>27.8</v>
      </c>
      <c r="D431">
        <f>'insurance final cleaned'!G467</f>
        <v>2</v>
      </c>
      <c r="E431">
        <f>'insurance final cleaned'!E467</f>
        <v>93</v>
      </c>
      <c r="F431">
        <f>'insurance final cleaned'!L467</f>
        <v>0</v>
      </c>
      <c r="G431">
        <f>'insurance final cleaned'!M467</f>
        <v>0</v>
      </c>
      <c r="H431">
        <f>'insurance final cleaned'!N467</f>
        <v>0</v>
      </c>
      <c r="I431">
        <f>'insurance final cleaned'!O467</f>
        <v>1</v>
      </c>
      <c r="J431">
        <f>'insurance final cleaned'!P467</f>
        <v>0.32275373599914314</v>
      </c>
      <c r="K431">
        <f>'insurance final cleaned'!Q467</f>
        <v>0</v>
      </c>
      <c r="L431">
        <f>'insurance final cleaned'!R467</f>
        <v>1</v>
      </c>
      <c r="M431">
        <f>'insurance final cleaned'!S467</f>
        <v>0</v>
      </c>
    </row>
    <row r="432" spans="1:13" x14ac:dyDescent="0.3">
      <c r="A432">
        <f>'insurance final cleaned'!J456</f>
        <v>6338.08</v>
      </c>
      <c r="B432">
        <f>'insurance final cleaned'!B456</f>
        <v>24</v>
      </c>
      <c r="C432">
        <f>'insurance final cleaned'!D456</f>
        <v>32.299999999999997</v>
      </c>
      <c r="D432">
        <f>'insurance final cleaned'!G456</f>
        <v>2</v>
      </c>
      <c r="E432">
        <f>'insurance final cleaned'!E456</f>
        <v>92</v>
      </c>
      <c r="F432">
        <f>'insurance final cleaned'!L456</f>
        <v>0</v>
      </c>
      <c r="G432">
        <f>'insurance final cleaned'!M456</f>
        <v>1</v>
      </c>
      <c r="H432">
        <f>'insurance final cleaned'!N456</f>
        <v>0</v>
      </c>
      <c r="I432">
        <f>'insurance final cleaned'!O456</f>
        <v>0</v>
      </c>
      <c r="J432">
        <f>'insurance final cleaned'!P456</f>
        <v>0.32579835420920134</v>
      </c>
      <c r="K432">
        <f>'insurance final cleaned'!Q456</f>
        <v>0</v>
      </c>
      <c r="L432">
        <f>'insurance final cleaned'!R456</f>
        <v>1</v>
      </c>
      <c r="M432">
        <f>'insurance final cleaned'!S456</f>
        <v>0</v>
      </c>
    </row>
    <row r="433" spans="1:13" x14ac:dyDescent="0.3">
      <c r="A433">
        <f>'insurance final cleaned'!J328</f>
        <v>4646.76</v>
      </c>
      <c r="B433">
        <f>'insurance final cleaned'!B328</f>
        <v>18</v>
      </c>
      <c r="C433">
        <f>'insurance final cleaned'!D328</f>
        <v>30.8</v>
      </c>
      <c r="D433">
        <f>'insurance final cleaned'!G328</f>
        <v>0</v>
      </c>
      <c r="E433">
        <f>'insurance final cleaned'!E328</f>
        <v>97</v>
      </c>
      <c r="F433">
        <f>'insurance final cleaned'!L328</f>
        <v>0</v>
      </c>
      <c r="G433">
        <f>'insurance final cleaned'!M328</f>
        <v>0</v>
      </c>
      <c r="H433">
        <f>'insurance final cleaned'!N328</f>
        <v>1</v>
      </c>
      <c r="I433">
        <f>'insurance final cleaned'!O328</f>
        <v>0</v>
      </c>
      <c r="J433">
        <f>'insurance final cleaned'!P328</f>
        <v>0.32602663748153105</v>
      </c>
      <c r="K433">
        <f>'insurance final cleaned'!Q328</f>
        <v>0</v>
      </c>
      <c r="L433">
        <f>'insurance final cleaned'!R328</f>
        <v>1</v>
      </c>
      <c r="M433">
        <f>'insurance final cleaned'!S328</f>
        <v>0</v>
      </c>
    </row>
    <row r="434" spans="1:13" x14ac:dyDescent="0.3">
      <c r="A434">
        <f>'insurance final cleaned'!J799</f>
        <v>11353.23</v>
      </c>
      <c r="B434">
        <f>'insurance final cleaned'!B799</f>
        <v>33</v>
      </c>
      <c r="C434">
        <f>'insurance final cleaned'!D799</f>
        <v>31.5</v>
      </c>
      <c r="D434">
        <f>'insurance final cleaned'!G799</f>
        <v>0</v>
      </c>
      <c r="E434">
        <f>'insurance final cleaned'!E799</f>
        <v>108</v>
      </c>
      <c r="F434">
        <f>'insurance final cleaned'!L799</f>
        <v>0</v>
      </c>
      <c r="G434">
        <f>'insurance final cleaned'!M799</f>
        <v>0</v>
      </c>
      <c r="H434">
        <f>'insurance final cleaned'!N799</f>
        <v>0</v>
      </c>
      <c r="I434">
        <f>'insurance final cleaned'!O799</f>
        <v>1</v>
      </c>
      <c r="J434">
        <f>'insurance final cleaned'!P799</f>
        <v>0.32820899331689846</v>
      </c>
      <c r="K434">
        <f>'insurance final cleaned'!Q799</f>
        <v>0</v>
      </c>
      <c r="L434">
        <f>'insurance final cleaned'!R799</f>
        <v>0</v>
      </c>
      <c r="M434">
        <f>'insurance final cleaned'!S799</f>
        <v>0</v>
      </c>
    </row>
    <row r="435" spans="1:13" x14ac:dyDescent="0.3">
      <c r="A435">
        <f>'insurance final cleaned'!J384</f>
        <v>5267.82</v>
      </c>
      <c r="B435">
        <f>'insurance final cleaned'!B384</f>
        <v>52</v>
      </c>
      <c r="C435">
        <f>'insurance final cleaned'!D384</f>
        <v>26.9</v>
      </c>
      <c r="D435">
        <f>'insurance final cleaned'!G384</f>
        <v>0</v>
      </c>
      <c r="E435">
        <f>'insurance final cleaned'!E384</f>
        <v>96</v>
      </c>
      <c r="F435">
        <f>'insurance final cleaned'!L384</f>
        <v>0</v>
      </c>
      <c r="G435">
        <f>'insurance final cleaned'!M384</f>
        <v>0</v>
      </c>
      <c r="H435">
        <f>'insurance final cleaned'!N384</f>
        <v>0</v>
      </c>
      <c r="I435">
        <f>'insurance final cleaned'!O384</f>
        <v>1</v>
      </c>
      <c r="J435">
        <f>'insurance final cleaned'!P384</f>
        <v>0.328866896502925</v>
      </c>
      <c r="K435">
        <f>'insurance final cleaned'!Q384</f>
        <v>0</v>
      </c>
      <c r="L435">
        <f>'insurance final cleaned'!R384</f>
        <v>0</v>
      </c>
      <c r="M435">
        <f>'insurance final cleaned'!S384</f>
        <v>1</v>
      </c>
    </row>
    <row r="436" spans="1:13" x14ac:dyDescent="0.3">
      <c r="A436">
        <f>'insurance final cleaned'!J287</f>
        <v>4234.93</v>
      </c>
      <c r="B436">
        <f>'insurance final cleaned'!B287</f>
        <v>27</v>
      </c>
      <c r="C436">
        <f>'insurance final cleaned'!D287</f>
        <v>30.1</v>
      </c>
      <c r="D436">
        <f>'insurance final cleaned'!G287</f>
        <v>3</v>
      </c>
      <c r="E436">
        <f>'insurance final cleaned'!E287</f>
        <v>81</v>
      </c>
      <c r="F436">
        <f>'insurance final cleaned'!L287</f>
        <v>0</v>
      </c>
      <c r="G436">
        <f>'insurance final cleaned'!M287</f>
        <v>0</v>
      </c>
      <c r="H436">
        <f>'insurance final cleaned'!N287</f>
        <v>1</v>
      </c>
      <c r="I436">
        <f>'insurance final cleaned'!O287</f>
        <v>0</v>
      </c>
      <c r="J436">
        <f>'insurance final cleaned'!P287</f>
        <v>0.32912007432873969</v>
      </c>
      <c r="K436">
        <f>'insurance final cleaned'!Q287</f>
        <v>0</v>
      </c>
      <c r="L436">
        <f>'insurance final cleaned'!R287</f>
        <v>0</v>
      </c>
      <c r="M436">
        <f>'insurance final cleaned'!S287</f>
        <v>1</v>
      </c>
    </row>
    <row r="437" spans="1:13" x14ac:dyDescent="0.3">
      <c r="A437">
        <f>'insurance final cleaned'!J198</f>
        <v>3062.51</v>
      </c>
      <c r="B437">
        <f>'insurance final cleaned'!B198</f>
        <v>30</v>
      </c>
      <c r="C437">
        <f>'insurance final cleaned'!D198</f>
        <v>30.9</v>
      </c>
      <c r="D437">
        <f>'insurance final cleaned'!G198</f>
        <v>0</v>
      </c>
      <c r="E437">
        <f>'insurance final cleaned'!E198</f>
        <v>89</v>
      </c>
      <c r="F437">
        <f>'insurance final cleaned'!L198</f>
        <v>0</v>
      </c>
      <c r="G437">
        <f>'insurance final cleaned'!M198</f>
        <v>0</v>
      </c>
      <c r="H437">
        <f>'insurance final cleaned'!N198</f>
        <v>0</v>
      </c>
      <c r="I437">
        <f>'insurance final cleaned'!O198</f>
        <v>1</v>
      </c>
      <c r="J437">
        <f>'insurance final cleaned'!P198</f>
        <v>0.33013776486653734</v>
      </c>
      <c r="K437">
        <f>'insurance final cleaned'!Q198</f>
        <v>0</v>
      </c>
      <c r="L437">
        <f>'insurance final cleaned'!R198</f>
        <v>1</v>
      </c>
      <c r="M437">
        <f>'insurance final cleaned'!S198</f>
        <v>0</v>
      </c>
    </row>
    <row r="438" spans="1:13" x14ac:dyDescent="0.3">
      <c r="A438">
        <f>'insurance final cleaned'!J808</f>
        <v>11436.74</v>
      </c>
      <c r="B438">
        <f>'insurance final cleaned'!B808</f>
        <v>59</v>
      </c>
      <c r="C438">
        <f>'insurance final cleaned'!D808</f>
        <v>36.4</v>
      </c>
      <c r="D438">
        <f>'insurance final cleaned'!G808</f>
        <v>3</v>
      </c>
      <c r="E438">
        <f>'insurance final cleaned'!E808</f>
        <v>91</v>
      </c>
      <c r="F438">
        <f>'insurance final cleaned'!L808</f>
        <v>0</v>
      </c>
      <c r="G438">
        <f>'insurance final cleaned'!M808</f>
        <v>0</v>
      </c>
      <c r="H438">
        <f>'insurance final cleaned'!N808</f>
        <v>0</v>
      </c>
      <c r="I438">
        <f>'insurance final cleaned'!O808</f>
        <v>1</v>
      </c>
      <c r="J438">
        <f>'insurance final cleaned'!P808</f>
        <v>0.3310421898115351</v>
      </c>
      <c r="K438">
        <f>'insurance final cleaned'!Q808</f>
        <v>0</v>
      </c>
      <c r="L438">
        <f>'insurance final cleaned'!R808</f>
        <v>0</v>
      </c>
      <c r="M438">
        <f>'insurance final cleaned'!S808</f>
        <v>1</v>
      </c>
    </row>
    <row r="439" spans="1:13" x14ac:dyDescent="0.3">
      <c r="A439">
        <f>'insurance final cleaned'!J586</f>
        <v>8162.72</v>
      </c>
      <c r="B439">
        <f>'insurance final cleaned'!B586</f>
        <v>29</v>
      </c>
      <c r="C439">
        <f>'insurance final cleaned'!D586</f>
        <v>30.9</v>
      </c>
      <c r="D439">
        <f>'insurance final cleaned'!G586</f>
        <v>4</v>
      </c>
      <c r="E439">
        <f>'insurance final cleaned'!E586</f>
        <v>89</v>
      </c>
      <c r="F439">
        <f>'insurance final cleaned'!L586</f>
        <v>0</v>
      </c>
      <c r="G439">
        <f>'insurance final cleaned'!M586</f>
        <v>0</v>
      </c>
      <c r="H439">
        <f>'insurance final cleaned'!N586</f>
        <v>0</v>
      </c>
      <c r="I439">
        <f>'insurance final cleaned'!O586</f>
        <v>1</v>
      </c>
      <c r="J439">
        <f>'insurance final cleaned'!P586</f>
        <v>0.33155251833741506</v>
      </c>
      <c r="K439">
        <f>'insurance final cleaned'!Q586</f>
        <v>0</v>
      </c>
      <c r="L439">
        <f>'insurance final cleaned'!R586</f>
        <v>1</v>
      </c>
      <c r="M439">
        <f>'insurance final cleaned'!S586</f>
        <v>0</v>
      </c>
    </row>
    <row r="440" spans="1:13" x14ac:dyDescent="0.3">
      <c r="A440">
        <f>'insurance final cleaned'!J218</f>
        <v>3279.87</v>
      </c>
      <c r="B440">
        <f>'insurance final cleaned'!B218</f>
        <v>26</v>
      </c>
      <c r="C440">
        <f>'insurance final cleaned'!D218</f>
        <v>25.7</v>
      </c>
      <c r="D440">
        <f>'insurance final cleaned'!G218</f>
        <v>2</v>
      </c>
      <c r="E440">
        <f>'insurance final cleaned'!E218</f>
        <v>91</v>
      </c>
      <c r="F440">
        <f>'insurance final cleaned'!L218</f>
        <v>0</v>
      </c>
      <c r="G440">
        <f>'insurance final cleaned'!M218</f>
        <v>0</v>
      </c>
      <c r="H440">
        <f>'insurance final cleaned'!N218</f>
        <v>0</v>
      </c>
      <c r="I440">
        <f>'insurance final cleaned'!O218</f>
        <v>0</v>
      </c>
      <c r="J440">
        <f>'insurance final cleaned'!P218</f>
        <v>0.33164619165575171</v>
      </c>
      <c r="K440">
        <f>'insurance final cleaned'!Q218</f>
        <v>0</v>
      </c>
      <c r="L440">
        <f>'insurance final cleaned'!R218</f>
        <v>0</v>
      </c>
      <c r="M440">
        <f>'insurance final cleaned'!S218</f>
        <v>0</v>
      </c>
    </row>
    <row r="441" spans="1:13" x14ac:dyDescent="0.3">
      <c r="A441">
        <f>'insurance final cleaned'!J376</f>
        <v>5227.99</v>
      </c>
      <c r="B441">
        <f>'insurance final cleaned'!B376</f>
        <v>38</v>
      </c>
      <c r="C441">
        <f>'insurance final cleaned'!D376</f>
        <v>26.1</v>
      </c>
      <c r="D441">
        <f>'insurance final cleaned'!G376</f>
        <v>0</v>
      </c>
      <c r="E441">
        <f>'insurance final cleaned'!E376</f>
        <v>81</v>
      </c>
      <c r="F441">
        <f>'insurance final cleaned'!L376</f>
        <v>0</v>
      </c>
      <c r="G441">
        <f>'insurance final cleaned'!M376</f>
        <v>1</v>
      </c>
      <c r="H441">
        <f>'insurance final cleaned'!N376</f>
        <v>0</v>
      </c>
      <c r="I441">
        <f>'insurance final cleaned'!O376</f>
        <v>0</v>
      </c>
      <c r="J441">
        <f>'insurance final cleaned'!P376</f>
        <v>0.33216565532989184</v>
      </c>
      <c r="K441">
        <f>'insurance final cleaned'!Q376</f>
        <v>0</v>
      </c>
      <c r="L441">
        <f>'insurance final cleaned'!R376</f>
        <v>1</v>
      </c>
      <c r="M441">
        <f>'insurance final cleaned'!S376</f>
        <v>1</v>
      </c>
    </row>
    <row r="442" spans="1:13" x14ac:dyDescent="0.3">
      <c r="A442">
        <f>'insurance final cleaned'!J814</f>
        <v>11520.1</v>
      </c>
      <c r="B442">
        <f>'insurance final cleaned'!B814</f>
        <v>45</v>
      </c>
      <c r="C442">
        <f>'insurance final cleaned'!D814</f>
        <v>24.4</v>
      </c>
      <c r="D442">
        <f>'insurance final cleaned'!G814</f>
        <v>4</v>
      </c>
      <c r="E442">
        <f>'insurance final cleaned'!E814</f>
        <v>103</v>
      </c>
      <c r="F442">
        <f>'insurance final cleaned'!L814</f>
        <v>0</v>
      </c>
      <c r="G442">
        <f>'insurance final cleaned'!M814</f>
        <v>0</v>
      </c>
      <c r="H442">
        <f>'insurance final cleaned'!N814</f>
        <v>0</v>
      </c>
      <c r="I442">
        <f>'insurance final cleaned'!O814</f>
        <v>1</v>
      </c>
      <c r="J442">
        <f>'insurance final cleaned'!P814</f>
        <v>0.33341748070936883</v>
      </c>
      <c r="K442">
        <f>'insurance final cleaned'!Q814</f>
        <v>0</v>
      </c>
      <c r="L442">
        <f>'insurance final cleaned'!R814</f>
        <v>1</v>
      </c>
      <c r="M442">
        <f>'insurance final cleaned'!S814</f>
        <v>0</v>
      </c>
    </row>
    <row r="443" spans="1:13" x14ac:dyDescent="0.3">
      <c r="A443">
        <f>'insurance final cleaned'!J942</f>
        <v>13831.12</v>
      </c>
      <c r="B443">
        <f>'insurance final cleaned'!B942</f>
        <v>43</v>
      </c>
      <c r="C443">
        <f>'insurance final cleaned'!D942</f>
        <v>40.5</v>
      </c>
      <c r="D443">
        <f>'insurance final cleaned'!G942</f>
        <v>0</v>
      </c>
      <c r="E443">
        <f>'insurance final cleaned'!E942</f>
        <v>99</v>
      </c>
      <c r="F443">
        <f>'insurance final cleaned'!L942</f>
        <v>0</v>
      </c>
      <c r="G443">
        <f>'insurance final cleaned'!M942</f>
        <v>1</v>
      </c>
      <c r="H443">
        <f>'insurance final cleaned'!N942</f>
        <v>0</v>
      </c>
      <c r="I443">
        <f>'insurance final cleaned'!O942</f>
        <v>0</v>
      </c>
      <c r="J443">
        <f>'insurance final cleaned'!P942</f>
        <v>0.33361037022715134</v>
      </c>
      <c r="K443">
        <f>'insurance final cleaned'!Q942</f>
        <v>0</v>
      </c>
      <c r="L443">
        <f>'insurance final cleaned'!R942</f>
        <v>1</v>
      </c>
      <c r="M443">
        <f>'insurance final cleaned'!S942</f>
        <v>0</v>
      </c>
    </row>
    <row r="444" spans="1:13" x14ac:dyDescent="0.3">
      <c r="A444">
        <f>'insurance final cleaned'!J1075</f>
        <v>20296.86</v>
      </c>
      <c r="B444">
        <f>'insurance final cleaned'!B1075</f>
        <v>46</v>
      </c>
      <c r="C444">
        <f>'insurance final cleaned'!D1075</f>
        <v>25.6</v>
      </c>
      <c r="D444">
        <f>'insurance final cleaned'!G1075</f>
        <v>1</v>
      </c>
      <c r="E444">
        <f>'insurance final cleaned'!E1075</f>
        <v>100</v>
      </c>
      <c r="F444">
        <f>'insurance final cleaned'!L1075</f>
        <v>25.6</v>
      </c>
      <c r="G444">
        <f>'insurance final cleaned'!M1075</f>
        <v>0</v>
      </c>
      <c r="H444">
        <f>'insurance final cleaned'!N1075</f>
        <v>0</v>
      </c>
      <c r="I444">
        <f>'insurance final cleaned'!O1075</f>
        <v>0</v>
      </c>
      <c r="J444">
        <f>'insurance final cleaned'!P1075</f>
        <v>0.33399945241833928</v>
      </c>
      <c r="K444">
        <f>'insurance final cleaned'!Q1075</f>
        <v>1</v>
      </c>
      <c r="L444">
        <f>'insurance final cleaned'!R1075</f>
        <v>1</v>
      </c>
      <c r="M444">
        <f>'insurance final cleaned'!S1075</f>
        <v>1</v>
      </c>
    </row>
    <row r="445" spans="1:13" x14ac:dyDescent="0.3">
      <c r="A445">
        <f>'insurance final cleaned'!J474</f>
        <v>6555.07</v>
      </c>
      <c r="B445">
        <f>'insurance final cleaned'!B474</f>
        <v>31</v>
      </c>
      <c r="C445">
        <f>'insurance final cleaned'!D474</f>
        <v>27.3</v>
      </c>
      <c r="D445">
        <f>'insurance final cleaned'!G474</f>
        <v>1</v>
      </c>
      <c r="E445">
        <f>'insurance final cleaned'!E474</f>
        <v>86</v>
      </c>
      <c r="F445">
        <f>'insurance final cleaned'!L474</f>
        <v>0</v>
      </c>
      <c r="G445">
        <f>'insurance final cleaned'!M474</f>
        <v>1</v>
      </c>
      <c r="H445">
        <f>'insurance final cleaned'!N474</f>
        <v>0</v>
      </c>
      <c r="I445">
        <f>'insurance final cleaned'!O474</f>
        <v>0</v>
      </c>
      <c r="J445">
        <f>'insurance final cleaned'!P474</f>
        <v>0.33495614885290725</v>
      </c>
      <c r="K445">
        <f>'insurance final cleaned'!Q474</f>
        <v>0</v>
      </c>
      <c r="L445">
        <f>'insurance final cleaned'!R474</f>
        <v>1</v>
      </c>
      <c r="M445">
        <f>'insurance final cleaned'!S474</f>
        <v>1</v>
      </c>
    </row>
    <row r="446" spans="1:13" x14ac:dyDescent="0.3">
      <c r="A446">
        <f>'insurance final cleaned'!J381</f>
        <v>5257.51</v>
      </c>
      <c r="B446">
        <f>'insurance final cleaned'!B381</f>
        <v>20</v>
      </c>
      <c r="C446">
        <f>'insurance final cleaned'!D381</f>
        <v>24.6</v>
      </c>
      <c r="D446">
        <f>'insurance final cleaned'!G381</f>
        <v>2</v>
      </c>
      <c r="E446">
        <f>'insurance final cleaned'!E381</f>
        <v>92</v>
      </c>
      <c r="F446">
        <f>'insurance final cleaned'!L381</f>
        <v>0</v>
      </c>
      <c r="G446">
        <f>'insurance final cleaned'!M381</f>
        <v>0</v>
      </c>
      <c r="H446">
        <f>'insurance final cleaned'!N381</f>
        <v>0</v>
      </c>
      <c r="I446">
        <f>'insurance final cleaned'!O381</f>
        <v>1</v>
      </c>
      <c r="J446">
        <f>'insurance final cleaned'!P381</f>
        <v>0.33549873657816021</v>
      </c>
      <c r="K446">
        <f>'insurance final cleaned'!Q381</f>
        <v>0</v>
      </c>
      <c r="L446">
        <f>'insurance final cleaned'!R381</f>
        <v>0</v>
      </c>
      <c r="M446">
        <f>'insurance final cleaned'!S381</f>
        <v>0</v>
      </c>
    </row>
    <row r="447" spans="1:13" x14ac:dyDescent="0.3">
      <c r="A447">
        <f>'insurance final cleaned'!J98</f>
        <v>2026.97</v>
      </c>
      <c r="B447">
        <f>'insurance final cleaned'!B98</f>
        <v>44</v>
      </c>
      <c r="C447">
        <f>'insurance final cleaned'!D98</f>
        <v>39.5</v>
      </c>
      <c r="D447">
        <f>'insurance final cleaned'!G98</f>
        <v>0</v>
      </c>
      <c r="E447">
        <f>'insurance final cleaned'!E98</f>
        <v>93</v>
      </c>
      <c r="F447">
        <f>'insurance final cleaned'!L98</f>
        <v>0</v>
      </c>
      <c r="G447">
        <f>'insurance final cleaned'!M98</f>
        <v>1</v>
      </c>
      <c r="H447">
        <f>'insurance final cleaned'!N98</f>
        <v>0</v>
      </c>
      <c r="I447">
        <f>'insurance final cleaned'!O98</f>
        <v>0</v>
      </c>
      <c r="J447">
        <f>'insurance final cleaned'!P98</f>
        <v>0.33562609812554933</v>
      </c>
      <c r="K447">
        <f>'insurance final cleaned'!Q98</f>
        <v>0</v>
      </c>
      <c r="L447">
        <f>'insurance final cleaned'!R98</f>
        <v>1</v>
      </c>
      <c r="M447">
        <f>'insurance final cleaned'!S98</f>
        <v>1</v>
      </c>
    </row>
    <row r="448" spans="1:13" x14ac:dyDescent="0.3">
      <c r="A448">
        <f>'insurance final cleaned'!J877</f>
        <v>12485.8</v>
      </c>
      <c r="B448">
        <f>'insurance final cleaned'!B877</f>
        <v>28</v>
      </c>
      <c r="C448">
        <f>'insurance final cleaned'!D877</f>
        <v>40.799999999999997</v>
      </c>
      <c r="D448">
        <f>'insurance final cleaned'!G877</f>
        <v>3</v>
      </c>
      <c r="E448">
        <f>'insurance final cleaned'!E877</f>
        <v>87</v>
      </c>
      <c r="F448">
        <f>'insurance final cleaned'!L877</f>
        <v>0</v>
      </c>
      <c r="G448">
        <f>'insurance final cleaned'!M877</f>
        <v>1</v>
      </c>
      <c r="H448">
        <f>'insurance final cleaned'!N877</f>
        <v>0</v>
      </c>
      <c r="I448">
        <f>'insurance final cleaned'!O877</f>
        <v>0</v>
      </c>
      <c r="J448">
        <f>'insurance final cleaned'!P877</f>
        <v>0.33684331514223842</v>
      </c>
      <c r="K448">
        <f>'insurance final cleaned'!Q877</f>
        <v>0</v>
      </c>
      <c r="L448">
        <f>'insurance final cleaned'!R877</f>
        <v>1</v>
      </c>
      <c r="M448">
        <f>'insurance final cleaned'!S877</f>
        <v>1</v>
      </c>
    </row>
    <row r="449" spans="1:13" x14ac:dyDescent="0.3">
      <c r="A449">
        <f>'insurance final cleaned'!J558</f>
        <v>7650.77</v>
      </c>
      <c r="B449">
        <f>'insurance final cleaned'!B558</f>
        <v>52</v>
      </c>
      <c r="C449">
        <f>'insurance final cleaned'!D558</f>
        <v>41.3</v>
      </c>
      <c r="D449">
        <f>'insurance final cleaned'!G558</f>
        <v>1</v>
      </c>
      <c r="E449">
        <f>'insurance final cleaned'!E558</f>
        <v>95</v>
      </c>
      <c r="F449">
        <f>'insurance final cleaned'!L558</f>
        <v>0</v>
      </c>
      <c r="G449">
        <f>'insurance final cleaned'!M558</f>
        <v>1</v>
      </c>
      <c r="H449">
        <f>'insurance final cleaned'!N558</f>
        <v>0</v>
      </c>
      <c r="I449">
        <f>'insurance final cleaned'!O558</f>
        <v>0</v>
      </c>
      <c r="J449">
        <f>'insurance final cleaned'!P558</f>
        <v>0.33690411755254868</v>
      </c>
      <c r="K449">
        <f>'insurance final cleaned'!Q558</f>
        <v>0</v>
      </c>
      <c r="L449">
        <f>'insurance final cleaned'!R558</f>
        <v>0</v>
      </c>
      <c r="M449">
        <f>'insurance final cleaned'!S558</f>
        <v>1</v>
      </c>
    </row>
    <row r="450" spans="1:13" x14ac:dyDescent="0.3">
      <c r="A450">
        <f>'insurance final cleaned'!J923</f>
        <v>13390.56</v>
      </c>
      <c r="B450">
        <f>'insurance final cleaned'!B923</f>
        <v>27</v>
      </c>
      <c r="C450">
        <f>'insurance final cleaned'!D923</f>
        <v>30.8</v>
      </c>
      <c r="D450">
        <f>'insurance final cleaned'!G923</f>
        <v>0</v>
      </c>
      <c r="E450">
        <f>'insurance final cleaned'!E923</f>
        <v>98</v>
      </c>
      <c r="F450">
        <f>'insurance final cleaned'!L923</f>
        <v>0</v>
      </c>
      <c r="G450">
        <f>'insurance final cleaned'!M923</f>
        <v>0</v>
      </c>
      <c r="H450">
        <f>'insurance final cleaned'!N923</f>
        <v>1</v>
      </c>
      <c r="I450">
        <f>'insurance final cleaned'!O923</f>
        <v>0</v>
      </c>
      <c r="J450">
        <f>'insurance final cleaned'!P923</f>
        <v>0.33757382996327667</v>
      </c>
      <c r="K450">
        <f>'insurance final cleaned'!Q923</f>
        <v>0</v>
      </c>
      <c r="L450">
        <f>'insurance final cleaned'!R923</f>
        <v>0</v>
      </c>
      <c r="M450">
        <f>'insurance final cleaned'!S923</f>
        <v>0</v>
      </c>
    </row>
    <row r="451" spans="1:13" x14ac:dyDescent="0.3">
      <c r="A451">
        <f>'insurance final cleaned'!J688</f>
        <v>9617.66</v>
      </c>
      <c r="B451">
        <f>'insurance final cleaned'!B688</f>
        <v>40</v>
      </c>
      <c r="C451">
        <f>'insurance final cleaned'!D688</f>
        <v>27.5</v>
      </c>
      <c r="D451">
        <f>'insurance final cleaned'!G688</f>
        <v>1</v>
      </c>
      <c r="E451">
        <f>'insurance final cleaned'!E688</f>
        <v>81</v>
      </c>
      <c r="F451">
        <f>'insurance final cleaned'!L688</f>
        <v>0</v>
      </c>
      <c r="G451">
        <f>'insurance final cleaned'!M688</f>
        <v>0</v>
      </c>
      <c r="H451">
        <f>'insurance final cleaned'!N688</f>
        <v>0</v>
      </c>
      <c r="I451">
        <f>'insurance final cleaned'!O688</f>
        <v>0</v>
      </c>
      <c r="J451">
        <f>'insurance final cleaned'!P688</f>
        <v>0.33785954385444783</v>
      </c>
      <c r="K451">
        <f>'insurance final cleaned'!Q688</f>
        <v>0</v>
      </c>
      <c r="L451">
        <f>'insurance final cleaned'!R688</f>
        <v>1</v>
      </c>
      <c r="M451">
        <f>'insurance final cleaned'!S688</f>
        <v>0</v>
      </c>
    </row>
    <row r="452" spans="1:13" x14ac:dyDescent="0.3">
      <c r="A452">
        <f>'insurance final cleaned'!J1207</f>
        <v>34828.65</v>
      </c>
      <c r="B452">
        <f>'insurance final cleaned'!B1207</f>
        <v>20</v>
      </c>
      <c r="C452">
        <f>'insurance final cleaned'!D1207</f>
        <v>34.9</v>
      </c>
      <c r="D452">
        <f>'insurance final cleaned'!G1207</f>
        <v>0</v>
      </c>
      <c r="E452">
        <f>'insurance final cleaned'!E1207</f>
        <v>124</v>
      </c>
      <c r="F452">
        <f>'insurance final cleaned'!L1207</f>
        <v>34.9</v>
      </c>
      <c r="G452">
        <f>'insurance final cleaned'!M1207</f>
        <v>0</v>
      </c>
      <c r="H452">
        <f>'insurance final cleaned'!N1207</f>
        <v>1</v>
      </c>
      <c r="I452">
        <f>'insurance final cleaned'!O1207</f>
        <v>0</v>
      </c>
      <c r="J452">
        <f>'insurance final cleaned'!P1207</f>
        <v>0.33818212239035395</v>
      </c>
      <c r="K452">
        <f>'insurance final cleaned'!Q1207</f>
        <v>1</v>
      </c>
      <c r="L452">
        <f>'insurance final cleaned'!R1207</f>
        <v>1</v>
      </c>
      <c r="M452">
        <f>'insurance final cleaned'!S1207</f>
        <v>0</v>
      </c>
    </row>
    <row r="453" spans="1:13" x14ac:dyDescent="0.3">
      <c r="A453">
        <f>'insurance final cleaned'!J151</f>
        <v>2494.02</v>
      </c>
      <c r="B453">
        <f>'insurance final cleaned'!B151</f>
        <v>22</v>
      </c>
      <c r="C453">
        <f>'insurance final cleaned'!D151</f>
        <v>30.5</v>
      </c>
      <c r="D453">
        <f>'insurance final cleaned'!G151</f>
        <v>0</v>
      </c>
      <c r="E453">
        <f>'insurance final cleaned'!E151</f>
        <v>82</v>
      </c>
      <c r="F453">
        <f>'insurance final cleaned'!L151</f>
        <v>0</v>
      </c>
      <c r="G453">
        <f>'insurance final cleaned'!M151</f>
        <v>0</v>
      </c>
      <c r="H453">
        <f>'insurance final cleaned'!N151</f>
        <v>1</v>
      </c>
      <c r="I453">
        <f>'insurance final cleaned'!O151</f>
        <v>0</v>
      </c>
      <c r="J453">
        <f>'insurance final cleaned'!P151</f>
        <v>0.33903340613784771</v>
      </c>
      <c r="K453">
        <f>'insurance final cleaned'!Q151</f>
        <v>0</v>
      </c>
      <c r="L453">
        <f>'insurance final cleaned'!R151</f>
        <v>0</v>
      </c>
      <c r="M453">
        <f>'insurance final cleaned'!S151</f>
        <v>0</v>
      </c>
    </row>
    <row r="454" spans="1:13" x14ac:dyDescent="0.3">
      <c r="A454">
        <f>'insurance final cleaned'!J578</f>
        <v>8059.68</v>
      </c>
      <c r="B454">
        <f>'insurance final cleaned'!B578</f>
        <v>44</v>
      </c>
      <c r="C454">
        <f>'insurance final cleaned'!D578</f>
        <v>28.7</v>
      </c>
      <c r="D454">
        <f>'insurance final cleaned'!G578</f>
        <v>3</v>
      </c>
      <c r="E454">
        <f>'insurance final cleaned'!E578</f>
        <v>88</v>
      </c>
      <c r="F454">
        <f>'insurance final cleaned'!L578</f>
        <v>0</v>
      </c>
      <c r="G454">
        <f>'insurance final cleaned'!M578</f>
        <v>0</v>
      </c>
      <c r="H454">
        <f>'insurance final cleaned'!N578</f>
        <v>0</v>
      </c>
      <c r="I454">
        <f>'insurance final cleaned'!O578</f>
        <v>1</v>
      </c>
      <c r="J454">
        <f>'insurance final cleaned'!P578</f>
        <v>0.33932227653689184</v>
      </c>
      <c r="K454">
        <f>'insurance final cleaned'!Q578</f>
        <v>0</v>
      </c>
      <c r="L454">
        <f>'insurance final cleaned'!R578</f>
        <v>0</v>
      </c>
      <c r="M454">
        <f>'insurance final cleaned'!S578</f>
        <v>1</v>
      </c>
    </row>
    <row r="455" spans="1:13" x14ac:dyDescent="0.3">
      <c r="A455">
        <f>'insurance final cleaned'!J503</f>
        <v>6948.7</v>
      </c>
      <c r="B455">
        <f>'insurance final cleaned'!B503</f>
        <v>40</v>
      </c>
      <c r="C455">
        <f>'insurance final cleaned'!D503</f>
        <v>39.5</v>
      </c>
      <c r="D455">
        <f>'insurance final cleaned'!G503</f>
        <v>0</v>
      </c>
      <c r="E455">
        <f>'insurance final cleaned'!E503</f>
        <v>88</v>
      </c>
      <c r="F455">
        <f>'insurance final cleaned'!L503</f>
        <v>0</v>
      </c>
      <c r="G455">
        <f>'insurance final cleaned'!M503</f>
        <v>0</v>
      </c>
      <c r="H455">
        <f>'insurance final cleaned'!N503</f>
        <v>0</v>
      </c>
      <c r="I455">
        <f>'insurance final cleaned'!O503</f>
        <v>1</v>
      </c>
      <c r="J455">
        <f>'insurance final cleaned'!P503</f>
        <v>0.33959514388721646</v>
      </c>
      <c r="K455">
        <f>'insurance final cleaned'!Q503</f>
        <v>0</v>
      </c>
      <c r="L455">
        <f>'insurance final cleaned'!R503</f>
        <v>0</v>
      </c>
      <c r="M455">
        <f>'insurance final cleaned'!S503</f>
        <v>0</v>
      </c>
    </row>
    <row r="456" spans="1:13" x14ac:dyDescent="0.3">
      <c r="A456">
        <f>'insurance final cleaned'!J1024</f>
        <v>17748.509999999998</v>
      </c>
      <c r="B456">
        <f>'insurance final cleaned'!B1024</f>
        <v>58</v>
      </c>
      <c r="C456">
        <f>'insurance final cleaned'!D1024</f>
        <v>28.9</v>
      </c>
      <c r="D456">
        <f>'insurance final cleaned'!G1024</f>
        <v>0</v>
      </c>
      <c r="E456">
        <f>'insurance final cleaned'!E1024</f>
        <v>83</v>
      </c>
      <c r="F456">
        <f>'insurance final cleaned'!L1024</f>
        <v>28.9</v>
      </c>
      <c r="G456">
        <f>'insurance final cleaned'!M1024</f>
        <v>0</v>
      </c>
      <c r="H456">
        <f>'insurance final cleaned'!N1024</f>
        <v>0</v>
      </c>
      <c r="I456">
        <f>'insurance final cleaned'!O1024</f>
        <v>1</v>
      </c>
      <c r="J456">
        <f>'insurance final cleaned'!P1024</f>
        <v>0.34053136527610384</v>
      </c>
      <c r="K456">
        <f>'insurance final cleaned'!Q1024</f>
        <v>1</v>
      </c>
      <c r="L456">
        <f>'insurance final cleaned'!R1024</f>
        <v>1</v>
      </c>
      <c r="M456">
        <f>'insurance final cleaned'!S1024</f>
        <v>1</v>
      </c>
    </row>
    <row r="457" spans="1:13" x14ac:dyDescent="0.3">
      <c r="A457">
        <f>'insurance final cleaned'!J465</f>
        <v>6414.18</v>
      </c>
      <c r="B457">
        <f>'insurance final cleaned'!B465</f>
        <v>51</v>
      </c>
      <c r="C457">
        <f>'insurance final cleaned'!D465</f>
        <v>27.7</v>
      </c>
      <c r="D457">
        <f>'insurance final cleaned'!G465</f>
        <v>3</v>
      </c>
      <c r="E457">
        <f>'insurance final cleaned'!E465</f>
        <v>81</v>
      </c>
      <c r="F457">
        <f>'insurance final cleaned'!L465</f>
        <v>0</v>
      </c>
      <c r="G457">
        <f>'insurance final cleaned'!M465</f>
        <v>0</v>
      </c>
      <c r="H457">
        <f>'insurance final cleaned'!N465</f>
        <v>1</v>
      </c>
      <c r="I457">
        <f>'insurance final cleaned'!O465</f>
        <v>0</v>
      </c>
      <c r="J457">
        <f>'insurance final cleaned'!P465</f>
        <v>0.34107501028659759</v>
      </c>
      <c r="K457">
        <f>'insurance final cleaned'!Q465</f>
        <v>0</v>
      </c>
      <c r="L457">
        <f>'insurance final cleaned'!R465</f>
        <v>0</v>
      </c>
      <c r="M457">
        <f>'insurance final cleaned'!S465</f>
        <v>1</v>
      </c>
    </row>
    <row r="458" spans="1:13" x14ac:dyDescent="0.3">
      <c r="A458">
        <f>'insurance final cleaned'!J486</f>
        <v>6686.43</v>
      </c>
      <c r="B458">
        <f>'insurance final cleaned'!B486</f>
        <v>55</v>
      </c>
      <c r="C458">
        <f>'insurance final cleaned'!D486</f>
        <v>23.4</v>
      </c>
      <c r="D458">
        <f>'insurance final cleaned'!G486</f>
        <v>2</v>
      </c>
      <c r="E458">
        <f>'insurance final cleaned'!E486</f>
        <v>85</v>
      </c>
      <c r="F458">
        <f>'insurance final cleaned'!L486</f>
        <v>0</v>
      </c>
      <c r="G458">
        <f>'insurance final cleaned'!M486</f>
        <v>0</v>
      </c>
      <c r="H458">
        <f>'insurance final cleaned'!N486</f>
        <v>0</v>
      </c>
      <c r="I458">
        <f>'insurance final cleaned'!O486</f>
        <v>1</v>
      </c>
      <c r="J458">
        <f>'insurance final cleaned'!P486</f>
        <v>0.34155336774940759</v>
      </c>
      <c r="K458">
        <f>'insurance final cleaned'!Q486</f>
        <v>0</v>
      </c>
      <c r="L458">
        <f>'insurance final cleaned'!R486</f>
        <v>1</v>
      </c>
      <c r="M458">
        <f>'insurance final cleaned'!S486</f>
        <v>1</v>
      </c>
    </row>
    <row r="459" spans="1:13" x14ac:dyDescent="0.3">
      <c r="A459">
        <f>'insurance final cleaned'!J147</f>
        <v>2464.62</v>
      </c>
      <c r="B459">
        <f>'insurance final cleaned'!B147</f>
        <v>29</v>
      </c>
      <c r="C459">
        <f>'insurance final cleaned'!D147</f>
        <v>27.7</v>
      </c>
      <c r="D459">
        <f>'insurance final cleaned'!G147</f>
        <v>0</v>
      </c>
      <c r="E459">
        <f>'insurance final cleaned'!E147</f>
        <v>80</v>
      </c>
      <c r="F459">
        <f>'insurance final cleaned'!L147</f>
        <v>0</v>
      </c>
      <c r="G459">
        <f>'insurance final cleaned'!M147</f>
        <v>1</v>
      </c>
      <c r="H459">
        <f>'insurance final cleaned'!N147</f>
        <v>0</v>
      </c>
      <c r="I459">
        <f>'insurance final cleaned'!O147</f>
        <v>0</v>
      </c>
      <c r="J459">
        <f>'insurance final cleaned'!P147</f>
        <v>0.34337383796364507</v>
      </c>
      <c r="K459">
        <f>'insurance final cleaned'!Q147</f>
        <v>0</v>
      </c>
      <c r="L459">
        <f>'insurance final cleaned'!R147</f>
        <v>1</v>
      </c>
      <c r="M459">
        <f>'insurance final cleaned'!S147</f>
        <v>1</v>
      </c>
    </row>
    <row r="460" spans="1:13" x14ac:dyDescent="0.3">
      <c r="A460">
        <f>'insurance final cleaned'!J313</f>
        <v>4462.72</v>
      </c>
      <c r="B460">
        <f>'insurance final cleaned'!B313</f>
        <v>37</v>
      </c>
      <c r="C460">
        <f>'insurance final cleaned'!D313</f>
        <v>33.799999999999997</v>
      </c>
      <c r="D460">
        <f>'insurance final cleaned'!G313</f>
        <v>1</v>
      </c>
      <c r="E460">
        <f>'insurance final cleaned'!E313</f>
        <v>90</v>
      </c>
      <c r="F460">
        <f>'insurance final cleaned'!L313</f>
        <v>0</v>
      </c>
      <c r="G460">
        <f>'insurance final cleaned'!M313</f>
        <v>0</v>
      </c>
      <c r="H460">
        <f>'insurance final cleaned'!N313</f>
        <v>0</v>
      </c>
      <c r="I460">
        <f>'insurance final cleaned'!O313</f>
        <v>1</v>
      </c>
      <c r="J460">
        <f>'insurance final cleaned'!P313</f>
        <v>0.34461493449137992</v>
      </c>
      <c r="K460">
        <f>'insurance final cleaned'!Q313</f>
        <v>0</v>
      </c>
      <c r="L460">
        <f>'insurance final cleaned'!R313</f>
        <v>0</v>
      </c>
      <c r="M460">
        <f>'insurance final cleaned'!S313</f>
        <v>0</v>
      </c>
    </row>
    <row r="461" spans="1:13" x14ac:dyDescent="0.3">
      <c r="A461">
        <f>'insurance final cleaned'!J670</f>
        <v>9304.7000000000007</v>
      </c>
      <c r="B461">
        <f>'insurance final cleaned'!B670</f>
        <v>39</v>
      </c>
      <c r="C461">
        <f>'insurance final cleaned'!D670</f>
        <v>37.5</v>
      </c>
      <c r="D461">
        <f>'insurance final cleaned'!G670</f>
        <v>2</v>
      </c>
      <c r="E461">
        <f>'insurance final cleaned'!E670</f>
        <v>90</v>
      </c>
      <c r="F461">
        <f>'insurance final cleaned'!L670</f>
        <v>0</v>
      </c>
      <c r="G461">
        <f>'insurance final cleaned'!M670</f>
        <v>1</v>
      </c>
      <c r="H461">
        <f>'insurance final cleaned'!N670</f>
        <v>0</v>
      </c>
      <c r="I461">
        <f>'insurance final cleaned'!O670</f>
        <v>0</v>
      </c>
      <c r="J461">
        <f>'insurance final cleaned'!P670</f>
        <v>0.34570918809360496</v>
      </c>
      <c r="K461">
        <f>'insurance final cleaned'!Q670</f>
        <v>0</v>
      </c>
      <c r="L461">
        <f>'insurance final cleaned'!R670</f>
        <v>1</v>
      </c>
      <c r="M461">
        <f>'insurance final cleaned'!S670</f>
        <v>0</v>
      </c>
    </row>
    <row r="462" spans="1:13" x14ac:dyDescent="0.3">
      <c r="A462">
        <f>'insurance final cleaned'!J127</f>
        <v>2219.4499999999998</v>
      </c>
      <c r="B462">
        <f>'insurance final cleaned'!B127</f>
        <v>53</v>
      </c>
      <c r="C462">
        <f>'insurance final cleaned'!D127</f>
        <v>37.299999999999997</v>
      </c>
      <c r="D462">
        <f>'insurance final cleaned'!G127</f>
        <v>1</v>
      </c>
      <c r="E462">
        <f>'insurance final cleaned'!E127</f>
        <v>88</v>
      </c>
      <c r="F462">
        <f>'insurance final cleaned'!L127</f>
        <v>0</v>
      </c>
      <c r="G462">
        <f>'insurance final cleaned'!M127</f>
        <v>1</v>
      </c>
      <c r="H462">
        <f>'insurance final cleaned'!N127</f>
        <v>0</v>
      </c>
      <c r="I462">
        <f>'insurance final cleaned'!O127</f>
        <v>0</v>
      </c>
      <c r="J462">
        <f>'insurance final cleaned'!P127</f>
        <v>0.34574930489144995</v>
      </c>
      <c r="K462">
        <f>'insurance final cleaned'!Q127</f>
        <v>0</v>
      </c>
      <c r="L462">
        <f>'insurance final cleaned'!R127</f>
        <v>1</v>
      </c>
      <c r="M462">
        <f>'insurance final cleaned'!S127</f>
        <v>1</v>
      </c>
    </row>
    <row r="463" spans="1:13" x14ac:dyDescent="0.3">
      <c r="A463">
        <f>'insurance final cleaned'!J1039</f>
        <v>18765.88</v>
      </c>
      <c r="B463">
        <f>'insurance final cleaned'!B1039</f>
        <v>58</v>
      </c>
      <c r="C463">
        <f>'insurance final cleaned'!D1039</f>
        <v>23.7</v>
      </c>
      <c r="D463">
        <f>'insurance final cleaned'!G1039</f>
        <v>3</v>
      </c>
      <c r="E463">
        <f>'insurance final cleaned'!E1039</f>
        <v>95</v>
      </c>
      <c r="F463">
        <f>'insurance final cleaned'!L1039</f>
        <v>23.7</v>
      </c>
      <c r="G463">
        <f>'insurance final cleaned'!M1039</f>
        <v>0</v>
      </c>
      <c r="H463">
        <f>'insurance final cleaned'!N1039</f>
        <v>0</v>
      </c>
      <c r="I463">
        <f>'insurance final cleaned'!O1039</f>
        <v>1</v>
      </c>
      <c r="J463">
        <f>'insurance final cleaned'!P1039</f>
        <v>0.34625664025882241</v>
      </c>
      <c r="K463">
        <f>'insurance final cleaned'!Q1039</f>
        <v>1</v>
      </c>
      <c r="L463">
        <f>'insurance final cleaned'!R1039</f>
        <v>0</v>
      </c>
      <c r="M463">
        <f>'insurance final cleaned'!S1039</f>
        <v>1</v>
      </c>
    </row>
    <row r="464" spans="1:13" x14ac:dyDescent="0.3">
      <c r="A464">
        <f>'insurance final cleaned'!J597</f>
        <v>8302.5400000000009</v>
      </c>
      <c r="B464">
        <f>'insurance final cleaned'!B597</f>
        <v>27</v>
      </c>
      <c r="C464">
        <f>'insurance final cleaned'!D597</f>
        <v>22.1</v>
      </c>
      <c r="D464">
        <f>'insurance final cleaned'!G597</f>
        <v>2</v>
      </c>
      <c r="E464">
        <f>'insurance final cleaned'!E597</f>
        <v>81</v>
      </c>
      <c r="F464">
        <f>'insurance final cleaned'!L597</f>
        <v>0</v>
      </c>
      <c r="G464">
        <f>'insurance final cleaned'!M597</f>
        <v>0</v>
      </c>
      <c r="H464">
        <f>'insurance final cleaned'!N597</f>
        <v>0</v>
      </c>
      <c r="I464">
        <f>'insurance final cleaned'!O597</f>
        <v>0</v>
      </c>
      <c r="J464">
        <f>'insurance final cleaned'!P597</f>
        <v>0.34651771884892102</v>
      </c>
      <c r="K464">
        <f>'insurance final cleaned'!Q597</f>
        <v>0</v>
      </c>
      <c r="L464">
        <f>'insurance final cleaned'!R597</f>
        <v>0</v>
      </c>
      <c r="M464">
        <f>'insurance final cleaned'!S597</f>
        <v>0</v>
      </c>
    </row>
    <row r="465" spans="1:13" x14ac:dyDescent="0.3">
      <c r="A465">
        <f>'insurance final cleaned'!J194</f>
        <v>3021.81</v>
      </c>
      <c r="B465">
        <f>'insurance final cleaned'!B194</f>
        <v>55</v>
      </c>
      <c r="C465">
        <f>'insurance final cleaned'!D194</f>
        <v>34.5</v>
      </c>
      <c r="D465">
        <f>'insurance final cleaned'!G194</f>
        <v>0</v>
      </c>
      <c r="E465">
        <f>'insurance final cleaned'!E194</f>
        <v>87</v>
      </c>
      <c r="F465">
        <f>'insurance final cleaned'!L194</f>
        <v>0</v>
      </c>
      <c r="G465">
        <f>'insurance final cleaned'!M194</f>
        <v>0</v>
      </c>
      <c r="H465">
        <f>'insurance final cleaned'!N194</f>
        <v>0</v>
      </c>
      <c r="I465">
        <f>'insurance final cleaned'!O194</f>
        <v>1</v>
      </c>
      <c r="J465">
        <f>'insurance final cleaned'!P194</f>
        <v>0.34680328816467521</v>
      </c>
      <c r="K465">
        <f>'insurance final cleaned'!Q194</f>
        <v>0</v>
      </c>
      <c r="L465">
        <f>'insurance final cleaned'!R194</f>
        <v>1</v>
      </c>
      <c r="M465">
        <f>'insurance final cleaned'!S194</f>
        <v>1</v>
      </c>
    </row>
    <row r="466" spans="1:13" x14ac:dyDescent="0.3">
      <c r="A466">
        <f>'insurance final cleaned'!J315</f>
        <v>4466.62</v>
      </c>
      <c r="B466">
        <f>'insurance final cleaned'!B315</f>
        <v>45</v>
      </c>
      <c r="C466">
        <f>'insurance final cleaned'!D315</f>
        <v>35</v>
      </c>
      <c r="D466">
        <f>'insurance final cleaned'!G315</f>
        <v>3</v>
      </c>
      <c r="E466">
        <f>'insurance final cleaned'!E315</f>
        <v>91</v>
      </c>
      <c r="F466">
        <f>'insurance final cleaned'!L315</f>
        <v>0</v>
      </c>
      <c r="G466">
        <f>'insurance final cleaned'!M315</f>
        <v>0</v>
      </c>
      <c r="H466">
        <f>'insurance final cleaned'!N315</f>
        <v>0</v>
      </c>
      <c r="I466">
        <f>'insurance final cleaned'!O315</f>
        <v>1</v>
      </c>
      <c r="J466">
        <f>'insurance final cleaned'!P315</f>
        <v>0.34740694877686384</v>
      </c>
      <c r="K466">
        <f>'insurance final cleaned'!Q315</f>
        <v>0</v>
      </c>
      <c r="L466">
        <f>'insurance final cleaned'!R315</f>
        <v>1</v>
      </c>
      <c r="M466">
        <f>'insurance final cleaned'!S315</f>
        <v>1</v>
      </c>
    </row>
    <row r="467" spans="1:13" x14ac:dyDescent="0.3">
      <c r="A467">
        <f>'insurance final cleaned'!J627</f>
        <v>8606.2199999999993</v>
      </c>
      <c r="B467">
        <f>'insurance final cleaned'!B627</f>
        <v>26</v>
      </c>
      <c r="C467">
        <f>'insurance final cleaned'!D627</f>
        <v>27.4</v>
      </c>
      <c r="D467">
        <f>'insurance final cleaned'!G627</f>
        <v>3</v>
      </c>
      <c r="E467">
        <f>'insurance final cleaned'!E627</f>
        <v>92</v>
      </c>
      <c r="F467">
        <f>'insurance final cleaned'!L627</f>
        <v>0</v>
      </c>
      <c r="G467">
        <f>'insurance final cleaned'!M627</f>
        <v>0</v>
      </c>
      <c r="H467">
        <f>'insurance final cleaned'!N627</f>
        <v>0</v>
      </c>
      <c r="I467">
        <f>'insurance final cleaned'!O627</f>
        <v>0</v>
      </c>
      <c r="J467">
        <f>'insurance final cleaned'!P627</f>
        <v>0.34799482288025041</v>
      </c>
      <c r="K467">
        <f>'insurance final cleaned'!Q627</f>
        <v>0</v>
      </c>
      <c r="L467">
        <f>'insurance final cleaned'!R627</f>
        <v>0</v>
      </c>
      <c r="M467">
        <f>'insurance final cleaned'!S627</f>
        <v>0</v>
      </c>
    </row>
    <row r="468" spans="1:13" x14ac:dyDescent="0.3">
      <c r="A468">
        <f>'insurance final cleaned'!J658</f>
        <v>9174.14</v>
      </c>
      <c r="B468">
        <f>'insurance final cleaned'!B658</f>
        <v>46</v>
      </c>
      <c r="C468">
        <f>'insurance final cleaned'!D658</f>
        <v>31.6</v>
      </c>
      <c r="D468">
        <f>'insurance final cleaned'!G658</f>
        <v>0</v>
      </c>
      <c r="E468">
        <f>'insurance final cleaned'!E658</f>
        <v>91</v>
      </c>
      <c r="F468">
        <f>'insurance final cleaned'!L658</f>
        <v>0</v>
      </c>
      <c r="G468">
        <f>'insurance final cleaned'!M658</f>
        <v>0</v>
      </c>
      <c r="H468">
        <f>'insurance final cleaned'!N658</f>
        <v>0</v>
      </c>
      <c r="I468">
        <f>'insurance final cleaned'!O658</f>
        <v>1</v>
      </c>
      <c r="J468">
        <f>'insurance final cleaned'!P658</f>
        <v>0.34806360968648165</v>
      </c>
      <c r="K468">
        <f>'insurance final cleaned'!Q658</f>
        <v>0</v>
      </c>
      <c r="L468">
        <f>'insurance final cleaned'!R658</f>
        <v>0</v>
      </c>
      <c r="M468">
        <f>'insurance final cleaned'!S658</f>
        <v>0</v>
      </c>
    </row>
    <row r="469" spans="1:13" x14ac:dyDescent="0.3">
      <c r="A469">
        <f>'insurance final cleaned'!J556</f>
        <v>7639.42</v>
      </c>
      <c r="B469">
        <f>'insurance final cleaned'!B556</f>
        <v>34</v>
      </c>
      <c r="C469">
        <f>'insurance final cleaned'!D556</f>
        <v>33.200000000000003</v>
      </c>
      <c r="D469">
        <f>'insurance final cleaned'!G556</f>
        <v>1</v>
      </c>
      <c r="E469">
        <f>'insurance final cleaned'!E556</f>
        <v>83</v>
      </c>
      <c r="F469">
        <f>'insurance final cleaned'!L556</f>
        <v>0</v>
      </c>
      <c r="G469">
        <f>'insurance final cleaned'!M556</f>
        <v>1</v>
      </c>
      <c r="H469">
        <f>'insurance final cleaned'!N556</f>
        <v>0</v>
      </c>
      <c r="I469">
        <f>'insurance final cleaned'!O556</f>
        <v>0</v>
      </c>
      <c r="J469">
        <f>'insurance final cleaned'!P556</f>
        <v>0.34874038733057777</v>
      </c>
      <c r="K469">
        <f>'insurance final cleaned'!Q556</f>
        <v>0</v>
      </c>
      <c r="L469">
        <f>'insurance final cleaned'!R556</f>
        <v>0</v>
      </c>
      <c r="M469">
        <f>'insurance final cleaned'!S556</f>
        <v>1</v>
      </c>
    </row>
    <row r="470" spans="1:13" x14ac:dyDescent="0.3">
      <c r="A470">
        <f>'insurance final cleaned'!J686</f>
        <v>9566.99</v>
      </c>
      <c r="B470">
        <f>'insurance final cleaned'!B686</f>
        <v>56</v>
      </c>
      <c r="C470">
        <f>'insurance final cleaned'!D686</f>
        <v>22.6</v>
      </c>
      <c r="D470">
        <f>'insurance final cleaned'!G686</f>
        <v>1</v>
      </c>
      <c r="E470">
        <f>'insurance final cleaned'!E686</f>
        <v>97</v>
      </c>
      <c r="F470">
        <f>'insurance final cleaned'!L686</f>
        <v>0</v>
      </c>
      <c r="G470">
        <f>'insurance final cleaned'!M686</f>
        <v>0</v>
      </c>
      <c r="H470">
        <f>'insurance final cleaned'!N686</f>
        <v>0</v>
      </c>
      <c r="I470">
        <f>'insurance final cleaned'!O686</f>
        <v>1</v>
      </c>
      <c r="J470">
        <f>'insurance final cleaned'!P686</f>
        <v>0.35137717723944484</v>
      </c>
      <c r="K470">
        <f>'insurance final cleaned'!Q686</f>
        <v>0</v>
      </c>
      <c r="L470">
        <f>'insurance final cleaned'!R686</f>
        <v>0</v>
      </c>
      <c r="M470">
        <f>'insurance final cleaned'!S686</f>
        <v>1</v>
      </c>
    </row>
    <row r="471" spans="1:13" x14ac:dyDescent="0.3">
      <c r="A471">
        <f>'insurance final cleaned'!J1163</f>
        <v>27375.9</v>
      </c>
      <c r="B471">
        <f>'insurance final cleaned'!B1163</f>
        <v>22</v>
      </c>
      <c r="C471">
        <f>'insurance final cleaned'!D1163</f>
        <v>22.4</v>
      </c>
      <c r="D471">
        <f>'insurance final cleaned'!G1163</f>
        <v>2</v>
      </c>
      <c r="E471">
        <f>'insurance final cleaned'!E1163</f>
        <v>137</v>
      </c>
      <c r="F471">
        <f>'insurance final cleaned'!L1163</f>
        <v>0</v>
      </c>
      <c r="G471">
        <f>'insurance final cleaned'!M1163</f>
        <v>0</v>
      </c>
      <c r="H471">
        <f>'insurance final cleaned'!N1163</f>
        <v>0</v>
      </c>
      <c r="I471">
        <f>'insurance final cleaned'!O1163</f>
        <v>0</v>
      </c>
      <c r="J471">
        <f>'insurance final cleaned'!P1163</f>
        <v>0.35158145651887329</v>
      </c>
      <c r="K471">
        <f>'insurance final cleaned'!Q1163</f>
        <v>0</v>
      </c>
      <c r="L471">
        <f>'insurance final cleaned'!R1163</f>
        <v>1</v>
      </c>
      <c r="M471">
        <f>'insurance final cleaned'!S1163</f>
        <v>0</v>
      </c>
    </row>
    <row r="472" spans="1:13" x14ac:dyDescent="0.3">
      <c r="A472">
        <f>'insurance final cleaned'!J950</f>
        <v>13974.46</v>
      </c>
      <c r="B472">
        <f>'insurance final cleaned'!B950</f>
        <v>31</v>
      </c>
      <c r="C472">
        <f>'insurance final cleaned'!D950</f>
        <v>31.4</v>
      </c>
      <c r="D472">
        <f>'insurance final cleaned'!G950</f>
        <v>0</v>
      </c>
      <c r="E472">
        <f>'insurance final cleaned'!E950</f>
        <v>82</v>
      </c>
      <c r="F472">
        <f>'insurance final cleaned'!L950</f>
        <v>0</v>
      </c>
      <c r="G472">
        <f>'insurance final cleaned'!M950</f>
        <v>0</v>
      </c>
      <c r="H472">
        <f>'insurance final cleaned'!N950</f>
        <v>0</v>
      </c>
      <c r="I472">
        <f>'insurance final cleaned'!O950</f>
        <v>0</v>
      </c>
      <c r="J472">
        <f>'insurance final cleaned'!P950</f>
        <v>0.35173578195728805</v>
      </c>
      <c r="K472">
        <f>'insurance final cleaned'!Q950</f>
        <v>0</v>
      </c>
      <c r="L472">
        <f>'insurance final cleaned'!R950</f>
        <v>0</v>
      </c>
      <c r="M472">
        <f>'insurance final cleaned'!S950</f>
        <v>0</v>
      </c>
    </row>
    <row r="473" spans="1:13" x14ac:dyDescent="0.3">
      <c r="A473">
        <f>'insurance final cleaned'!J54</f>
        <v>1705.62</v>
      </c>
      <c r="B473">
        <f>'insurance final cleaned'!B54</f>
        <v>30</v>
      </c>
      <c r="C473">
        <f>'insurance final cleaned'!D54</f>
        <v>23.8</v>
      </c>
      <c r="D473">
        <f>'insurance final cleaned'!G54</f>
        <v>0</v>
      </c>
      <c r="E473">
        <f>'insurance final cleaned'!E54</f>
        <v>91</v>
      </c>
      <c r="F473">
        <f>'insurance final cleaned'!L54</f>
        <v>0</v>
      </c>
      <c r="G473">
        <f>'insurance final cleaned'!M54</f>
        <v>0</v>
      </c>
      <c r="H473">
        <f>'insurance final cleaned'!N54</f>
        <v>0</v>
      </c>
      <c r="I473">
        <f>'insurance final cleaned'!O54</f>
        <v>1</v>
      </c>
      <c r="J473">
        <f>'insurance final cleaned'!P54</f>
        <v>0.35218364411163128</v>
      </c>
      <c r="K473">
        <f>'insurance final cleaned'!Q54</f>
        <v>0</v>
      </c>
      <c r="L473">
        <f>'insurance final cleaned'!R54</f>
        <v>1</v>
      </c>
      <c r="M473">
        <f>'insurance final cleaned'!S54</f>
        <v>0</v>
      </c>
    </row>
    <row r="474" spans="1:13" x14ac:dyDescent="0.3">
      <c r="A474">
        <f>'insurance final cleaned'!J1235</f>
        <v>37607.53</v>
      </c>
      <c r="B474">
        <f>'insurance final cleaned'!B1235</f>
        <v>20</v>
      </c>
      <c r="C474">
        <f>'insurance final cleaned'!D1235</f>
        <v>33.6</v>
      </c>
      <c r="D474">
        <f>'insurance final cleaned'!G1235</f>
        <v>1</v>
      </c>
      <c r="E474">
        <f>'insurance final cleaned'!E1235</f>
        <v>103</v>
      </c>
      <c r="F474">
        <f>'insurance final cleaned'!L1235</f>
        <v>33.6</v>
      </c>
      <c r="G474">
        <f>'insurance final cleaned'!M1235</f>
        <v>0</v>
      </c>
      <c r="H474">
        <f>'insurance final cleaned'!N1235</f>
        <v>0</v>
      </c>
      <c r="I474">
        <f>'insurance final cleaned'!O1235</f>
        <v>0</v>
      </c>
      <c r="J474">
        <f>'insurance final cleaned'!P1235</f>
        <v>0.35254288809200451</v>
      </c>
      <c r="K474">
        <f>'insurance final cleaned'!Q1235</f>
        <v>1</v>
      </c>
      <c r="L474">
        <f>'insurance final cleaned'!R1235</f>
        <v>0</v>
      </c>
      <c r="M474">
        <f>'insurance final cleaned'!S1235</f>
        <v>0</v>
      </c>
    </row>
    <row r="475" spans="1:13" x14ac:dyDescent="0.3">
      <c r="A475">
        <f>'insurance final cleaned'!J742</f>
        <v>10450.549999999999</v>
      </c>
      <c r="B475">
        <f>'insurance final cleaned'!B742</f>
        <v>27</v>
      </c>
      <c r="C475">
        <f>'insurance final cleaned'!D742</f>
        <v>39.6</v>
      </c>
      <c r="D475">
        <f>'insurance final cleaned'!G742</f>
        <v>1</v>
      </c>
      <c r="E475">
        <f>'insurance final cleaned'!E742</f>
        <v>101</v>
      </c>
      <c r="F475">
        <f>'insurance final cleaned'!L742</f>
        <v>0</v>
      </c>
      <c r="G475">
        <f>'insurance final cleaned'!M742</f>
        <v>0</v>
      </c>
      <c r="H475">
        <f>'insurance final cleaned'!N742</f>
        <v>1</v>
      </c>
      <c r="I475">
        <f>'insurance final cleaned'!O742</f>
        <v>0</v>
      </c>
      <c r="J475">
        <f>'insurance final cleaned'!P742</f>
        <v>0.35323868365273792</v>
      </c>
      <c r="K475">
        <f>'insurance final cleaned'!Q742</f>
        <v>0</v>
      </c>
      <c r="L475">
        <f>'insurance final cleaned'!R742</f>
        <v>1</v>
      </c>
      <c r="M475">
        <f>'insurance final cleaned'!S742</f>
        <v>0</v>
      </c>
    </row>
    <row r="476" spans="1:13" x14ac:dyDescent="0.3">
      <c r="A476">
        <f>'insurance final cleaned'!J1022</f>
        <v>17626.240000000002</v>
      </c>
      <c r="B476">
        <f>'insurance final cleaned'!B1022</f>
        <v>60</v>
      </c>
      <c r="C476">
        <f>'insurance final cleaned'!D1022</f>
        <v>23.7</v>
      </c>
      <c r="D476">
        <f>'insurance final cleaned'!G1022</f>
        <v>1</v>
      </c>
      <c r="E476">
        <f>'insurance final cleaned'!E1022</f>
        <v>91</v>
      </c>
      <c r="F476">
        <f>'insurance final cleaned'!L1022</f>
        <v>0</v>
      </c>
      <c r="G476">
        <f>'insurance final cleaned'!M1022</f>
        <v>1</v>
      </c>
      <c r="H476">
        <f>'insurance final cleaned'!N1022</f>
        <v>0</v>
      </c>
      <c r="I476">
        <f>'insurance final cleaned'!O1022</f>
        <v>0</v>
      </c>
      <c r="J476">
        <f>'insurance final cleaned'!P1022</f>
        <v>0.35346988923243816</v>
      </c>
      <c r="K476">
        <f>'insurance final cleaned'!Q1022</f>
        <v>0</v>
      </c>
      <c r="L476">
        <f>'insurance final cleaned'!R1022</f>
        <v>1</v>
      </c>
      <c r="M476">
        <f>'insurance final cleaned'!S1022</f>
        <v>1</v>
      </c>
    </row>
    <row r="477" spans="1:13" x14ac:dyDescent="0.3">
      <c r="A477">
        <f>'insurance final cleaned'!J957</f>
        <v>14133.04</v>
      </c>
      <c r="B477">
        <f>'insurance final cleaned'!B957</f>
        <v>30</v>
      </c>
      <c r="C477">
        <f>'insurance final cleaned'!D957</f>
        <v>38.299999999999997</v>
      </c>
      <c r="D477">
        <f>'insurance final cleaned'!G957</f>
        <v>0</v>
      </c>
      <c r="E477">
        <f>'insurance final cleaned'!E957</f>
        <v>98</v>
      </c>
      <c r="F477">
        <f>'insurance final cleaned'!L957</f>
        <v>0</v>
      </c>
      <c r="G477">
        <f>'insurance final cleaned'!M957</f>
        <v>1</v>
      </c>
      <c r="H477">
        <f>'insurance final cleaned'!N957</f>
        <v>0</v>
      </c>
      <c r="I477">
        <f>'insurance final cleaned'!O957</f>
        <v>0</v>
      </c>
      <c r="J477">
        <f>'insurance final cleaned'!P957</f>
        <v>0.35514705647076883</v>
      </c>
      <c r="K477">
        <f>'insurance final cleaned'!Q957</f>
        <v>0</v>
      </c>
      <c r="L477">
        <f>'insurance final cleaned'!R957</f>
        <v>0</v>
      </c>
      <c r="M477">
        <f>'insurance final cleaned'!S957</f>
        <v>1</v>
      </c>
    </row>
    <row r="478" spans="1:13" x14ac:dyDescent="0.3">
      <c r="A478">
        <f>'insurance final cleaned'!J775</f>
        <v>10982.5</v>
      </c>
      <c r="B478">
        <f>'insurance final cleaned'!B775</f>
        <v>24</v>
      </c>
      <c r="C478">
        <f>'insurance final cleaned'!D775</f>
        <v>40.4</v>
      </c>
      <c r="D478">
        <f>'insurance final cleaned'!G775</f>
        <v>0</v>
      </c>
      <c r="E478">
        <f>'insurance final cleaned'!E775</f>
        <v>89</v>
      </c>
      <c r="F478">
        <f>'insurance final cleaned'!L775</f>
        <v>0</v>
      </c>
      <c r="G478">
        <f>'insurance final cleaned'!M775</f>
        <v>1</v>
      </c>
      <c r="H478">
        <f>'insurance final cleaned'!N775</f>
        <v>0</v>
      </c>
      <c r="I478">
        <f>'insurance final cleaned'!O775</f>
        <v>0</v>
      </c>
      <c r="J478">
        <f>'insurance final cleaned'!P775</f>
        <v>0.35567051256712401</v>
      </c>
      <c r="K478">
        <f>'insurance final cleaned'!Q775</f>
        <v>0</v>
      </c>
      <c r="L478">
        <f>'insurance final cleaned'!R775</f>
        <v>1</v>
      </c>
      <c r="M478">
        <f>'insurance final cleaned'!S775</f>
        <v>0</v>
      </c>
    </row>
    <row r="479" spans="1:13" x14ac:dyDescent="0.3">
      <c r="A479">
        <f>'insurance final cleaned'!J107</f>
        <v>2134.9</v>
      </c>
      <c r="B479">
        <f>'insurance final cleaned'!B107</f>
        <v>43</v>
      </c>
      <c r="C479">
        <f>'insurance final cleaned'!D107</f>
        <v>35.200000000000003</v>
      </c>
      <c r="D479">
        <f>'insurance final cleaned'!G107</f>
        <v>0</v>
      </c>
      <c r="E479">
        <f>'insurance final cleaned'!E107</f>
        <v>80</v>
      </c>
      <c r="F479">
        <f>'insurance final cleaned'!L107</f>
        <v>0</v>
      </c>
      <c r="G479">
        <f>'insurance final cleaned'!M107</f>
        <v>0</v>
      </c>
      <c r="H479">
        <f>'insurance final cleaned'!N107</f>
        <v>0</v>
      </c>
      <c r="I479">
        <f>'insurance final cleaned'!O107</f>
        <v>1</v>
      </c>
      <c r="J479">
        <f>'insurance final cleaned'!P107</f>
        <v>0.35730084165644904</v>
      </c>
      <c r="K479">
        <f>'insurance final cleaned'!Q107</f>
        <v>0</v>
      </c>
      <c r="L479">
        <f>'insurance final cleaned'!R107</f>
        <v>0</v>
      </c>
      <c r="M479">
        <f>'insurance final cleaned'!S107</f>
        <v>1</v>
      </c>
    </row>
    <row r="480" spans="1:13" x14ac:dyDescent="0.3">
      <c r="A480">
        <f>'insurance final cleaned'!J114</f>
        <v>2156.75</v>
      </c>
      <c r="B480">
        <f>'insurance final cleaned'!B114</f>
        <v>43</v>
      </c>
      <c r="C480">
        <f>'insurance final cleaned'!D114</f>
        <v>28.8</v>
      </c>
      <c r="D480">
        <f>'insurance final cleaned'!G114</f>
        <v>0</v>
      </c>
      <c r="E480">
        <f>'insurance final cleaned'!E114</f>
        <v>88</v>
      </c>
      <c r="F480">
        <f>'insurance final cleaned'!L114</f>
        <v>0</v>
      </c>
      <c r="G480">
        <f>'insurance final cleaned'!M114</f>
        <v>1</v>
      </c>
      <c r="H480">
        <f>'insurance final cleaned'!N114</f>
        <v>0</v>
      </c>
      <c r="I480">
        <f>'insurance final cleaned'!O114</f>
        <v>0</v>
      </c>
      <c r="J480">
        <f>'insurance final cleaned'!P114</f>
        <v>0.35738756319234055</v>
      </c>
      <c r="K480">
        <f>'insurance final cleaned'!Q114</f>
        <v>0</v>
      </c>
      <c r="L480">
        <f>'insurance final cleaned'!R114</f>
        <v>1</v>
      </c>
      <c r="M480">
        <f>'insurance final cleaned'!S114</f>
        <v>1</v>
      </c>
    </row>
    <row r="481" spans="1:13" x14ac:dyDescent="0.3">
      <c r="A481">
        <f>'insurance final cleaned'!J1176</f>
        <v>29141.360000000001</v>
      </c>
      <c r="B481">
        <f>'insurance final cleaned'!B1176</f>
        <v>44</v>
      </c>
      <c r="C481">
        <f>'insurance final cleaned'!D1176</f>
        <v>29.1</v>
      </c>
      <c r="D481">
        <f>'insurance final cleaned'!G1176</f>
        <v>0</v>
      </c>
      <c r="E481">
        <f>'insurance final cleaned'!E1176</f>
        <v>139</v>
      </c>
      <c r="F481">
        <f>'insurance final cleaned'!L1176</f>
        <v>29.1</v>
      </c>
      <c r="G481">
        <f>'insurance final cleaned'!M1176</f>
        <v>0</v>
      </c>
      <c r="H481">
        <f>'insurance final cleaned'!N1176</f>
        <v>0</v>
      </c>
      <c r="I481">
        <f>'insurance final cleaned'!O1176</f>
        <v>1</v>
      </c>
      <c r="J481">
        <f>'insurance final cleaned'!P1176</f>
        <v>0.35741906041203375</v>
      </c>
      <c r="K481">
        <f>'insurance final cleaned'!Q1176</f>
        <v>1</v>
      </c>
      <c r="L481">
        <f>'insurance final cleaned'!R1176</f>
        <v>0</v>
      </c>
      <c r="M481">
        <f>'insurance final cleaned'!S1176</f>
        <v>1</v>
      </c>
    </row>
    <row r="482" spans="1:13" x14ac:dyDescent="0.3">
      <c r="A482">
        <f>'insurance final cleaned'!J1210</f>
        <v>35147.53</v>
      </c>
      <c r="B482">
        <f>'insurance final cleaned'!B1210</f>
        <v>23</v>
      </c>
      <c r="C482">
        <f>'insurance final cleaned'!D1210</f>
        <v>28.5</v>
      </c>
      <c r="D482">
        <f>'insurance final cleaned'!G1210</f>
        <v>0</v>
      </c>
      <c r="E482">
        <f>'insurance final cleaned'!E1210</f>
        <v>106</v>
      </c>
      <c r="F482">
        <f>'insurance final cleaned'!L1210</f>
        <v>28.5</v>
      </c>
      <c r="G482">
        <f>'insurance final cleaned'!M1210</f>
        <v>0</v>
      </c>
      <c r="H482">
        <f>'insurance final cleaned'!N1210</f>
        <v>0</v>
      </c>
      <c r="I482">
        <f>'insurance final cleaned'!O1210</f>
        <v>0</v>
      </c>
      <c r="J482">
        <f>'insurance final cleaned'!P1210</f>
        <v>0.35871606298524783</v>
      </c>
      <c r="K482">
        <f>'insurance final cleaned'!Q1210</f>
        <v>1</v>
      </c>
      <c r="L482">
        <f>'insurance final cleaned'!R1210</f>
        <v>0</v>
      </c>
      <c r="M482">
        <f>'insurance final cleaned'!S1210</f>
        <v>0</v>
      </c>
    </row>
    <row r="483" spans="1:13" x14ac:dyDescent="0.3">
      <c r="A483">
        <f>'insurance final cleaned'!J999</f>
        <v>16138.76</v>
      </c>
      <c r="B483">
        <f>'insurance final cleaned'!B999</f>
        <v>30</v>
      </c>
      <c r="C483">
        <f>'insurance final cleaned'!D999</f>
        <v>22.9</v>
      </c>
      <c r="D483">
        <f>'insurance final cleaned'!G999</f>
        <v>0</v>
      </c>
      <c r="E483">
        <f>'insurance final cleaned'!E999</f>
        <v>108</v>
      </c>
      <c r="F483">
        <f>'insurance final cleaned'!L999</f>
        <v>22.9</v>
      </c>
      <c r="G483">
        <f>'insurance final cleaned'!M999</f>
        <v>0</v>
      </c>
      <c r="H483">
        <f>'insurance final cleaned'!N999</f>
        <v>0</v>
      </c>
      <c r="I483">
        <f>'insurance final cleaned'!O999</f>
        <v>0</v>
      </c>
      <c r="J483">
        <f>'insurance final cleaned'!P999</f>
        <v>0.35881099957185791</v>
      </c>
      <c r="K483">
        <f>'insurance final cleaned'!Q999</f>
        <v>1</v>
      </c>
      <c r="L483">
        <f>'insurance final cleaned'!R999</f>
        <v>0</v>
      </c>
      <c r="M483">
        <f>'insurance final cleaned'!S999</f>
        <v>0</v>
      </c>
    </row>
    <row r="484" spans="1:13" x14ac:dyDescent="0.3">
      <c r="A484">
        <f>'insurance final cleaned'!J710</f>
        <v>9877.61</v>
      </c>
      <c r="B484">
        <f>'insurance final cleaned'!B710</f>
        <v>30</v>
      </c>
      <c r="C484">
        <f>'insurance final cleaned'!D710</f>
        <v>37.700000000000003</v>
      </c>
      <c r="D484">
        <f>'insurance final cleaned'!G710</f>
        <v>1</v>
      </c>
      <c r="E484">
        <f>'insurance final cleaned'!E710</f>
        <v>80</v>
      </c>
      <c r="F484">
        <f>'insurance final cleaned'!L710</f>
        <v>0</v>
      </c>
      <c r="G484">
        <f>'insurance final cleaned'!M710</f>
        <v>1</v>
      </c>
      <c r="H484">
        <f>'insurance final cleaned'!N710</f>
        <v>0</v>
      </c>
      <c r="I484">
        <f>'insurance final cleaned'!O710</f>
        <v>0</v>
      </c>
      <c r="J484">
        <f>'insurance final cleaned'!P710</f>
        <v>0.35903863405017178</v>
      </c>
      <c r="K484">
        <f>'insurance final cleaned'!Q710</f>
        <v>0</v>
      </c>
      <c r="L484">
        <f>'insurance final cleaned'!R710</f>
        <v>0</v>
      </c>
      <c r="M484">
        <f>'insurance final cleaned'!S710</f>
        <v>1</v>
      </c>
    </row>
    <row r="485" spans="1:13" x14ac:dyDescent="0.3">
      <c r="A485">
        <f>'insurance final cleaned'!J291</f>
        <v>4260.74</v>
      </c>
      <c r="B485">
        <f>'insurance final cleaned'!B291</f>
        <v>35</v>
      </c>
      <c r="C485">
        <f>'insurance final cleaned'!D291</f>
        <v>30.3</v>
      </c>
      <c r="D485">
        <f>'insurance final cleaned'!G291</f>
        <v>3</v>
      </c>
      <c r="E485">
        <f>'insurance final cleaned'!E291</f>
        <v>80</v>
      </c>
      <c r="F485">
        <f>'insurance final cleaned'!L291</f>
        <v>0</v>
      </c>
      <c r="G485">
        <f>'insurance final cleaned'!M291</f>
        <v>0</v>
      </c>
      <c r="H485">
        <f>'insurance final cleaned'!N291</f>
        <v>1</v>
      </c>
      <c r="I485">
        <f>'insurance final cleaned'!O291</f>
        <v>0</v>
      </c>
      <c r="J485">
        <f>'insurance final cleaned'!P291</f>
        <v>0.36006590174889475</v>
      </c>
      <c r="K485">
        <f>'insurance final cleaned'!Q291</f>
        <v>0</v>
      </c>
      <c r="L485">
        <f>'insurance final cleaned'!R291</f>
        <v>0</v>
      </c>
      <c r="M485">
        <f>'insurance final cleaned'!S291</f>
        <v>0</v>
      </c>
    </row>
    <row r="486" spans="1:13" x14ac:dyDescent="0.3">
      <c r="A486">
        <f>'insurance final cleaned'!J619</f>
        <v>8556.91</v>
      </c>
      <c r="B486">
        <f>'insurance final cleaned'!B619</f>
        <v>60</v>
      </c>
      <c r="C486">
        <f>'insurance final cleaned'!D619</f>
        <v>36</v>
      </c>
      <c r="D486">
        <f>'insurance final cleaned'!G619</f>
        <v>1</v>
      </c>
      <c r="E486">
        <f>'insurance final cleaned'!E619</f>
        <v>90</v>
      </c>
      <c r="F486">
        <f>'insurance final cleaned'!L619</f>
        <v>0</v>
      </c>
      <c r="G486">
        <f>'insurance final cleaned'!M619</f>
        <v>0</v>
      </c>
      <c r="H486">
        <f>'insurance final cleaned'!N619</f>
        <v>1</v>
      </c>
      <c r="I486">
        <f>'insurance final cleaned'!O619</f>
        <v>0</v>
      </c>
      <c r="J486">
        <f>'insurance final cleaned'!P619</f>
        <v>0.36014743129060656</v>
      </c>
      <c r="K486">
        <f>'insurance final cleaned'!Q619</f>
        <v>0</v>
      </c>
      <c r="L486">
        <f>'insurance final cleaned'!R619</f>
        <v>0</v>
      </c>
      <c r="M486">
        <f>'insurance final cleaned'!S619</f>
        <v>1</v>
      </c>
    </row>
    <row r="487" spans="1:13" x14ac:dyDescent="0.3">
      <c r="A487">
        <f>'insurance final cleaned'!J378</f>
        <v>5245.23</v>
      </c>
      <c r="B487">
        <f>'insurance final cleaned'!B378</f>
        <v>57</v>
      </c>
      <c r="C487">
        <f>'insurance final cleaned'!D378</f>
        <v>34.200000000000003</v>
      </c>
      <c r="D487">
        <f>'insurance final cleaned'!G378</f>
        <v>1</v>
      </c>
      <c r="E487">
        <f>'insurance final cleaned'!E378</f>
        <v>93</v>
      </c>
      <c r="F487">
        <f>'insurance final cleaned'!L378</f>
        <v>0</v>
      </c>
      <c r="G487">
        <f>'insurance final cleaned'!M378</f>
        <v>1</v>
      </c>
      <c r="H487">
        <f>'insurance final cleaned'!N378</f>
        <v>0</v>
      </c>
      <c r="I487">
        <f>'insurance final cleaned'!O378</f>
        <v>0</v>
      </c>
      <c r="J487">
        <f>'insurance final cleaned'!P378</f>
        <v>0.36144745838923853</v>
      </c>
      <c r="K487">
        <f>'insurance final cleaned'!Q378</f>
        <v>0</v>
      </c>
      <c r="L487">
        <f>'insurance final cleaned'!R378</f>
        <v>1</v>
      </c>
      <c r="M487">
        <f>'insurance final cleaned'!S378</f>
        <v>1</v>
      </c>
    </row>
    <row r="488" spans="1:13" x14ac:dyDescent="0.3">
      <c r="A488">
        <f>'insurance final cleaned'!J1293</f>
        <v>43813.87</v>
      </c>
      <c r="B488">
        <f>'insurance final cleaned'!B1293</f>
        <v>36</v>
      </c>
      <c r="C488">
        <f>'insurance final cleaned'!D1293</f>
        <v>31.8</v>
      </c>
      <c r="D488">
        <f>'insurance final cleaned'!G1293</f>
        <v>2</v>
      </c>
      <c r="E488">
        <f>'insurance final cleaned'!E1293</f>
        <v>94</v>
      </c>
      <c r="F488">
        <f>'insurance final cleaned'!L1293</f>
        <v>31.8</v>
      </c>
      <c r="G488">
        <f>'insurance final cleaned'!M1293</f>
        <v>1</v>
      </c>
      <c r="H488">
        <f>'insurance final cleaned'!N1293</f>
        <v>0</v>
      </c>
      <c r="I488">
        <f>'insurance final cleaned'!O1293</f>
        <v>0</v>
      </c>
      <c r="J488">
        <f>'insurance final cleaned'!P1293</f>
        <v>0.3627357682288832</v>
      </c>
      <c r="K488">
        <f>'insurance final cleaned'!Q1293</f>
        <v>1</v>
      </c>
      <c r="L488">
        <f>'insurance final cleaned'!R1293</f>
        <v>1</v>
      </c>
      <c r="M488">
        <f>'insurance final cleaned'!S1293</f>
        <v>0</v>
      </c>
    </row>
    <row r="489" spans="1:13" x14ac:dyDescent="0.3">
      <c r="A489">
        <f>'insurance final cleaned'!J490</f>
        <v>6753.04</v>
      </c>
      <c r="B489">
        <f>'insurance final cleaned'!B490</f>
        <v>54</v>
      </c>
      <c r="C489">
        <f>'insurance final cleaned'!D490</f>
        <v>19</v>
      </c>
      <c r="D489">
        <f>'insurance final cleaned'!G490</f>
        <v>3</v>
      </c>
      <c r="E489">
        <f>'insurance final cleaned'!E490</f>
        <v>84</v>
      </c>
      <c r="F489">
        <f>'insurance final cleaned'!L490</f>
        <v>0</v>
      </c>
      <c r="G489">
        <f>'insurance final cleaned'!M490</f>
        <v>1</v>
      </c>
      <c r="H489">
        <f>'insurance final cleaned'!N490</f>
        <v>0</v>
      </c>
      <c r="I489">
        <f>'insurance final cleaned'!O490</f>
        <v>0</v>
      </c>
      <c r="J489">
        <f>'insurance final cleaned'!P490</f>
        <v>0.36365870930526867</v>
      </c>
      <c r="K489">
        <f>'insurance final cleaned'!Q490</f>
        <v>0</v>
      </c>
      <c r="L489">
        <f>'insurance final cleaned'!R490</f>
        <v>1</v>
      </c>
      <c r="M489">
        <f>'insurance final cleaned'!S490</f>
        <v>1</v>
      </c>
    </row>
    <row r="490" spans="1:13" x14ac:dyDescent="0.3">
      <c r="A490">
        <f>'insurance final cleaned'!J580</f>
        <v>8068.19</v>
      </c>
      <c r="B490">
        <f>'insurance final cleaned'!B580</f>
        <v>22</v>
      </c>
      <c r="C490">
        <f>'insurance final cleaned'!D580</f>
        <v>36.200000000000003</v>
      </c>
      <c r="D490">
        <f>'insurance final cleaned'!G580</f>
        <v>1</v>
      </c>
      <c r="E490">
        <f>'insurance final cleaned'!E580</f>
        <v>100</v>
      </c>
      <c r="F490">
        <f>'insurance final cleaned'!L580</f>
        <v>0</v>
      </c>
      <c r="G490">
        <f>'insurance final cleaned'!M580</f>
        <v>0</v>
      </c>
      <c r="H490">
        <f>'insurance final cleaned'!N580</f>
        <v>1</v>
      </c>
      <c r="I490">
        <f>'insurance final cleaned'!O580</f>
        <v>0</v>
      </c>
      <c r="J490">
        <f>'insurance final cleaned'!P580</f>
        <v>0.36421205017985836</v>
      </c>
      <c r="K490">
        <f>'insurance final cleaned'!Q580</f>
        <v>0</v>
      </c>
      <c r="L490">
        <f>'insurance final cleaned'!R580</f>
        <v>1</v>
      </c>
      <c r="M490">
        <f>'insurance final cleaned'!S580</f>
        <v>0</v>
      </c>
    </row>
    <row r="491" spans="1:13" x14ac:dyDescent="0.3">
      <c r="A491">
        <f>'insurance final cleaned'!J1133</f>
        <v>24535.7</v>
      </c>
      <c r="B491">
        <f>'insurance final cleaned'!B1133</f>
        <v>43</v>
      </c>
      <c r="C491">
        <f>'insurance final cleaned'!D1133</f>
        <v>27.6</v>
      </c>
      <c r="D491">
        <f>'insurance final cleaned'!G1133</f>
        <v>2</v>
      </c>
      <c r="E491">
        <f>'insurance final cleaned'!E1133</f>
        <v>107</v>
      </c>
      <c r="F491">
        <f>'insurance final cleaned'!L1133</f>
        <v>27.6</v>
      </c>
      <c r="G491">
        <f>'insurance final cleaned'!M1133</f>
        <v>0</v>
      </c>
      <c r="H491">
        <f>'insurance final cleaned'!N1133</f>
        <v>0</v>
      </c>
      <c r="I491">
        <f>'insurance final cleaned'!O1133</f>
        <v>1</v>
      </c>
      <c r="J491">
        <f>'insurance final cleaned'!P1133</f>
        <v>0.36484414576336388</v>
      </c>
      <c r="K491">
        <f>'insurance final cleaned'!Q1133</f>
        <v>1</v>
      </c>
      <c r="L491">
        <f>'insurance final cleaned'!R1133</f>
        <v>0</v>
      </c>
      <c r="M491">
        <f>'insurance final cleaned'!S1133</f>
        <v>1</v>
      </c>
    </row>
    <row r="492" spans="1:13" x14ac:dyDescent="0.3">
      <c r="A492">
        <f>'insurance final cleaned'!J782</f>
        <v>11085.59</v>
      </c>
      <c r="B492">
        <f>'insurance final cleaned'!B782</f>
        <v>36</v>
      </c>
      <c r="C492">
        <f>'insurance final cleaned'!D782</f>
        <v>28.1</v>
      </c>
      <c r="D492">
        <f>'insurance final cleaned'!G782</f>
        <v>3</v>
      </c>
      <c r="E492">
        <f>'insurance final cleaned'!E782</f>
        <v>106</v>
      </c>
      <c r="F492">
        <f>'insurance final cleaned'!L782</f>
        <v>0</v>
      </c>
      <c r="G492">
        <f>'insurance final cleaned'!M782</f>
        <v>0</v>
      </c>
      <c r="H492">
        <f>'insurance final cleaned'!N782</f>
        <v>0</v>
      </c>
      <c r="I492">
        <f>'insurance final cleaned'!O782</f>
        <v>1</v>
      </c>
      <c r="J492">
        <f>'insurance final cleaned'!P782</f>
        <v>0.36576950097696492</v>
      </c>
      <c r="K492">
        <f>'insurance final cleaned'!Q782</f>
        <v>0</v>
      </c>
      <c r="L492">
        <f>'insurance final cleaned'!R782</f>
        <v>1</v>
      </c>
      <c r="M492">
        <f>'insurance final cleaned'!S782</f>
        <v>1</v>
      </c>
    </row>
    <row r="493" spans="1:13" x14ac:dyDescent="0.3">
      <c r="A493">
        <f>'insurance final cleaned'!J844</f>
        <v>11931.13</v>
      </c>
      <c r="B493">
        <f>'insurance final cleaned'!B844</f>
        <v>41</v>
      </c>
      <c r="C493">
        <f>'insurance final cleaned'!D844</f>
        <v>25.2</v>
      </c>
      <c r="D493">
        <f>'insurance final cleaned'!G844</f>
        <v>0</v>
      </c>
      <c r="E493">
        <f>'insurance final cleaned'!E844</f>
        <v>101</v>
      </c>
      <c r="F493">
        <f>'insurance final cleaned'!L844</f>
        <v>0</v>
      </c>
      <c r="G493">
        <f>'insurance final cleaned'!M844</f>
        <v>0</v>
      </c>
      <c r="H493">
        <f>'insurance final cleaned'!N844</f>
        <v>0</v>
      </c>
      <c r="I493">
        <f>'insurance final cleaned'!O844</f>
        <v>0</v>
      </c>
      <c r="J493">
        <f>'insurance final cleaned'!P844</f>
        <v>0.36712993877098166</v>
      </c>
      <c r="K493">
        <f>'insurance final cleaned'!Q844</f>
        <v>0</v>
      </c>
      <c r="L493">
        <f>'insurance final cleaned'!R844</f>
        <v>0</v>
      </c>
      <c r="M493">
        <f>'insurance final cleaned'!S844</f>
        <v>0</v>
      </c>
    </row>
    <row r="494" spans="1:13" x14ac:dyDescent="0.3">
      <c r="A494">
        <f>'insurance final cleaned'!J341</f>
        <v>4751.07</v>
      </c>
      <c r="B494">
        <f>'insurance final cleaned'!B341</f>
        <v>19</v>
      </c>
      <c r="C494">
        <f>'insurance final cleaned'!D341</f>
        <v>30.5</v>
      </c>
      <c r="D494">
        <f>'insurance final cleaned'!G341</f>
        <v>1</v>
      </c>
      <c r="E494">
        <f>'insurance final cleaned'!E341</f>
        <v>92</v>
      </c>
      <c r="F494">
        <f>'insurance final cleaned'!L341</f>
        <v>0</v>
      </c>
      <c r="G494">
        <f>'insurance final cleaned'!M341</f>
        <v>0</v>
      </c>
      <c r="H494">
        <f>'insurance final cleaned'!N341</f>
        <v>1</v>
      </c>
      <c r="I494">
        <f>'insurance final cleaned'!O341</f>
        <v>0</v>
      </c>
      <c r="J494">
        <f>'insurance final cleaned'!P341</f>
        <v>0.36907872605744441</v>
      </c>
      <c r="K494">
        <f>'insurance final cleaned'!Q341</f>
        <v>0</v>
      </c>
      <c r="L494">
        <f>'insurance final cleaned'!R341</f>
        <v>1</v>
      </c>
      <c r="M494">
        <f>'insurance final cleaned'!S341</f>
        <v>0</v>
      </c>
    </row>
    <row r="495" spans="1:13" x14ac:dyDescent="0.3">
      <c r="A495">
        <f>'insurance final cleaned'!J199</f>
        <v>3070.81</v>
      </c>
      <c r="B495">
        <f>'insurance final cleaned'!B199</f>
        <v>49</v>
      </c>
      <c r="C495">
        <f>'insurance final cleaned'!D199</f>
        <v>26</v>
      </c>
      <c r="D495">
        <f>'insurance final cleaned'!G199</f>
        <v>0</v>
      </c>
      <c r="E495">
        <f>'insurance final cleaned'!E199</f>
        <v>98</v>
      </c>
      <c r="F495">
        <f>'insurance final cleaned'!L199</f>
        <v>0</v>
      </c>
      <c r="G495">
        <f>'insurance final cleaned'!M199</f>
        <v>0</v>
      </c>
      <c r="H495">
        <f>'insurance final cleaned'!N199</f>
        <v>0</v>
      </c>
      <c r="I495">
        <f>'insurance final cleaned'!O199</f>
        <v>0</v>
      </c>
      <c r="J495">
        <f>'insurance final cleaned'!P199</f>
        <v>0.36955253164278445</v>
      </c>
      <c r="K495">
        <f>'insurance final cleaned'!Q199</f>
        <v>0</v>
      </c>
      <c r="L495">
        <f>'insurance final cleaned'!R199</f>
        <v>1</v>
      </c>
      <c r="M495">
        <f>'insurance final cleaned'!S199</f>
        <v>0</v>
      </c>
    </row>
    <row r="496" spans="1:13" x14ac:dyDescent="0.3">
      <c r="A496">
        <f>'insurance final cleaned'!J968</f>
        <v>14394.4</v>
      </c>
      <c r="B496">
        <f>'insurance final cleaned'!B968</f>
        <v>45</v>
      </c>
      <c r="C496">
        <f>'insurance final cleaned'!D968</f>
        <v>28.8</v>
      </c>
      <c r="D496">
        <f>'insurance final cleaned'!G968</f>
        <v>4</v>
      </c>
      <c r="E496">
        <f>'insurance final cleaned'!E968</f>
        <v>101</v>
      </c>
      <c r="F496">
        <f>'insurance final cleaned'!L968</f>
        <v>0</v>
      </c>
      <c r="G496">
        <f>'insurance final cleaned'!M968</f>
        <v>0</v>
      </c>
      <c r="H496">
        <f>'insurance final cleaned'!N968</f>
        <v>0</v>
      </c>
      <c r="I496">
        <f>'insurance final cleaned'!O968</f>
        <v>0</v>
      </c>
      <c r="J496">
        <f>'insurance final cleaned'!P968</f>
        <v>0.36979829112630613</v>
      </c>
      <c r="K496">
        <f>'insurance final cleaned'!Q968</f>
        <v>0</v>
      </c>
      <c r="L496">
        <f>'insurance final cleaned'!R968</f>
        <v>0</v>
      </c>
      <c r="M496">
        <f>'insurance final cleaned'!S968</f>
        <v>1</v>
      </c>
    </row>
    <row r="497" spans="1:13" x14ac:dyDescent="0.3">
      <c r="A497">
        <f>'insurance final cleaned'!J430</f>
        <v>5976.83</v>
      </c>
      <c r="B497">
        <f>'insurance final cleaned'!B430</f>
        <v>34</v>
      </c>
      <c r="C497">
        <f>'insurance final cleaned'!D430</f>
        <v>30.7</v>
      </c>
      <c r="D497">
        <f>'insurance final cleaned'!G430</f>
        <v>1</v>
      </c>
      <c r="E497">
        <f>'insurance final cleaned'!E430</f>
        <v>90</v>
      </c>
      <c r="F497">
        <f>'insurance final cleaned'!L430</f>
        <v>0</v>
      </c>
      <c r="G497">
        <f>'insurance final cleaned'!M430</f>
        <v>1</v>
      </c>
      <c r="H497">
        <f>'insurance final cleaned'!N430</f>
        <v>0</v>
      </c>
      <c r="I497">
        <f>'insurance final cleaned'!O430</f>
        <v>0</v>
      </c>
      <c r="J497">
        <f>'insurance final cleaned'!P430</f>
        <v>0.37014002525149392</v>
      </c>
      <c r="K497">
        <f>'insurance final cleaned'!Q430</f>
        <v>0</v>
      </c>
      <c r="L497">
        <f>'insurance final cleaned'!R430</f>
        <v>0</v>
      </c>
      <c r="M497">
        <f>'insurance final cleaned'!S430</f>
        <v>1</v>
      </c>
    </row>
    <row r="498" spans="1:13" x14ac:dyDescent="0.3">
      <c r="A498">
        <f>'insurance final cleaned'!J943</f>
        <v>13844.51</v>
      </c>
      <c r="B498">
        <f>'insurance final cleaned'!B943</f>
        <v>52</v>
      </c>
      <c r="C498">
        <f>'insurance final cleaned'!D943</f>
        <v>21.7</v>
      </c>
      <c r="D498">
        <f>'insurance final cleaned'!G943</f>
        <v>0</v>
      </c>
      <c r="E498">
        <f>'insurance final cleaned'!E943</f>
        <v>81</v>
      </c>
      <c r="F498">
        <f>'insurance final cleaned'!L943</f>
        <v>21.7</v>
      </c>
      <c r="G498">
        <f>'insurance final cleaned'!M943</f>
        <v>0</v>
      </c>
      <c r="H498">
        <f>'insurance final cleaned'!N943</f>
        <v>1</v>
      </c>
      <c r="I498">
        <f>'insurance final cleaned'!O943</f>
        <v>0</v>
      </c>
      <c r="J498">
        <f>'insurance final cleaned'!P943</f>
        <v>0.37052939129644424</v>
      </c>
      <c r="K498">
        <f>'insurance final cleaned'!Q943</f>
        <v>1</v>
      </c>
      <c r="L498">
        <f>'insurance final cleaned'!R943</f>
        <v>1</v>
      </c>
      <c r="M498">
        <f>'insurance final cleaned'!S943</f>
        <v>1</v>
      </c>
    </row>
    <row r="499" spans="1:13" x14ac:dyDescent="0.3">
      <c r="A499">
        <f>'insurance final cleaned'!J591</f>
        <v>8240.59</v>
      </c>
      <c r="B499">
        <f>'insurance final cleaned'!B591</f>
        <v>37</v>
      </c>
      <c r="C499">
        <f>'insurance final cleaned'!D591</f>
        <v>33.4</v>
      </c>
      <c r="D499">
        <f>'insurance final cleaned'!G591</f>
        <v>1</v>
      </c>
      <c r="E499">
        <f>'insurance final cleaned'!E591</f>
        <v>100</v>
      </c>
      <c r="F499">
        <f>'insurance final cleaned'!L591</f>
        <v>0</v>
      </c>
      <c r="G499">
        <f>'insurance final cleaned'!M591</f>
        <v>1</v>
      </c>
      <c r="H499">
        <f>'insurance final cleaned'!N591</f>
        <v>0</v>
      </c>
      <c r="I499">
        <f>'insurance final cleaned'!O591</f>
        <v>0</v>
      </c>
      <c r="J499">
        <f>'insurance final cleaned'!P591</f>
        <v>0.3723024842263073</v>
      </c>
      <c r="K499">
        <f>'insurance final cleaned'!Q591</f>
        <v>0</v>
      </c>
      <c r="L499">
        <f>'insurance final cleaned'!R591</f>
        <v>0</v>
      </c>
      <c r="M499">
        <f>'insurance final cleaned'!S591</f>
        <v>1</v>
      </c>
    </row>
    <row r="500" spans="1:13" x14ac:dyDescent="0.3">
      <c r="A500">
        <f>'insurance final cleaned'!J846</f>
        <v>11944.59</v>
      </c>
      <c r="B500">
        <f>'insurance final cleaned'!B846</f>
        <v>36</v>
      </c>
      <c r="C500">
        <f>'insurance final cleaned'!D846</f>
        <v>34.9</v>
      </c>
      <c r="D500">
        <f>'insurance final cleaned'!G846</f>
        <v>0</v>
      </c>
      <c r="E500">
        <f>'insurance final cleaned'!E846</f>
        <v>88</v>
      </c>
      <c r="F500">
        <f>'insurance final cleaned'!L846</f>
        <v>0</v>
      </c>
      <c r="G500">
        <f>'insurance final cleaned'!M846</f>
        <v>0</v>
      </c>
      <c r="H500">
        <f>'insurance final cleaned'!N846</f>
        <v>0</v>
      </c>
      <c r="I500">
        <f>'insurance final cleaned'!O846</f>
        <v>0</v>
      </c>
      <c r="J500">
        <f>'insurance final cleaned'!P846</f>
        <v>0.3730136636609277</v>
      </c>
      <c r="K500">
        <f>'insurance final cleaned'!Q846</f>
        <v>0</v>
      </c>
      <c r="L500">
        <f>'insurance final cleaned'!R846</f>
        <v>1</v>
      </c>
      <c r="M500">
        <f>'insurance final cleaned'!S846</f>
        <v>0</v>
      </c>
    </row>
    <row r="501" spans="1:13" x14ac:dyDescent="0.3">
      <c r="A501">
        <f>'insurance final cleaned'!J1240</f>
        <v>38245.589999999997</v>
      </c>
      <c r="B501">
        <f>'insurance final cleaned'!B1240</f>
        <v>42</v>
      </c>
      <c r="C501">
        <f>'insurance final cleaned'!D1240</f>
        <v>26.1</v>
      </c>
      <c r="D501">
        <f>'insurance final cleaned'!G1240</f>
        <v>1</v>
      </c>
      <c r="E501">
        <f>'insurance final cleaned'!E1240</f>
        <v>131</v>
      </c>
      <c r="F501">
        <f>'insurance final cleaned'!L1240</f>
        <v>26.1</v>
      </c>
      <c r="G501">
        <f>'insurance final cleaned'!M1240</f>
        <v>1</v>
      </c>
      <c r="H501">
        <f>'insurance final cleaned'!N1240</f>
        <v>0</v>
      </c>
      <c r="I501">
        <f>'insurance final cleaned'!O1240</f>
        <v>0</v>
      </c>
      <c r="J501">
        <f>'insurance final cleaned'!P1240</f>
        <v>0.37357127596459772</v>
      </c>
      <c r="K501">
        <f>'insurance final cleaned'!Q1240</f>
        <v>1</v>
      </c>
      <c r="L501">
        <f>'insurance final cleaned'!R1240</f>
        <v>1</v>
      </c>
      <c r="M501">
        <f>'insurance final cleaned'!S1240</f>
        <v>0</v>
      </c>
    </row>
    <row r="502" spans="1:13" x14ac:dyDescent="0.3">
      <c r="A502">
        <f>'insurance final cleaned'!J1079</f>
        <v>20709.02</v>
      </c>
      <c r="B502">
        <f>'insurance final cleaned'!B1079</f>
        <v>19</v>
      </c>
      <c r="C502">
        <f>'insurance final cleaned'!D1079</f>
        <v>40.299999999999997</v>
      </c>
      <c r="D502">
        <f>'insurance final cleaned'!G1079</f>
        <v>0</v>
      </c>
      <c r="E502">
        <f>'insurance final cleaned'!E1079</f>
        <v>110</v>
      </c>
      <c r="F502">
        <f>'insurance final cleaned'!L1079</f>
        <v>0</v>
      </c>
      <c r="G502">
        <f>'insurance final cleaned'!M1079</f>
        <v>0</v>
      </c>
      <c r="H502">
        <f>'insurance final cleaned'!N1079</f>
        <v>0</v>
      </c>
      <c r="I502">
        <f>'insurance final cleaned'!O1079</f>
        <v>0</v>
      </c>
      <c r="J502">
        <f>'insurance final cleaned'!P1079</f>
        <v>0.37445135397687146</v>
      </c>
      <c r="K502">
        <f>'insurance final cleaned'!Q1079</f>
        <v>0</v>
      </c>
      <c r="L502">
        <f>'insurance final cleaned'!R1079</f>
        <v>0</v>
      </c>
      <c r="M502">
        <f>'insurance final cleaned'!S1079</f>
        <v>0</v>
      </c>
    </row>
    <row r="503" spans="1:13" x14ac:dyDescent="0.3">
      <c r="A503">
        <f>'insurance final cleaned'!J930</f>
        <v>13457.96</v>
      </c>
      <c r="B503">
        <f>'insurance final cleaned'!B930</f>
        <v>53</v>
      </c>
      <c r="C503">
        <f>'insurance final cleaned'!D930</f>
        <v>29.9</v>
      </c>
      <c r="D503">
        <f>'insurance final cleaned'!G930</f>
        <v>0</v>
      </c>
      <c r="E503">
        <f>'insurance final cleaned'!E930</f>
        <v>87</v>
      </c>
      <c r="F503">
        <f>'insurance final cleaned'!L930</f>
        <v>0</v>
      </c>
      <c r="G503">
        <f>'insurance final cleaned'!M930</f>
        <v>1</v>
      </c>
      <c r="H503">
        <f>'insurance final cleaned'!N930</f>
        <v>0</v>
      </c>
      <c r="I503">
        <f>'insurance final cleaned'!O930</f>
        <v>0</v>
      </c>
      <c r="J503">
        <f>'insurance final cleaned'!P930</f>
        <v>0.37506707162587316</v>
      </c>
      <c r="K503">
        <f>'insurance final cleaned'!Q930</f>
        <v>0</v>
      </c>
      <c r="L503">
        <f>'insurance final cleaned'!R930</f>
        <v>0</v>
      </c>
      <c r="M503">
        <f>'insurance final cleaned'!S930</f>
        <v>1</v>
      </c>
    </row>
    <row r="504" spans="1:13" x14ac:dyDescent="0.3">
      <c r="A504">
        <f>'insurance final cleaned'!J948</f>
        <v>13919.82</v>
      </c>
      <c r="B504">
        <f>'insurance final cleaned'!B948</f>
        <v>20</v>
      </c>
      <c r="C504">
        <f>'insurance final cleaned'!D948</f>
        <v>33.1</v>
      </c>
      <c r="D504">
        <f>'insurance final cleaned'!G948</f>
        <v>3</v>
      </c>
      <c r="E504">
        <f>'insurance final cleaned'!E948</f>
        <v>99</v>
      </c>
      <c r="F504">
        <f>'insurance final cleaned'!L948</f>
        <v>0</v>
      </c>
      <c r="G504">
        <f>'insurance final cleaned'!M948</f>
        <v>1</v>
      </c>
      <c r="H504">
        <f>'insurance final cleaned'!N948</f>
        <v>0</v>
      </c>
      <c r="I504">
        <f>'insurance final cleaned'!O948</f>
        <v>0</v>
      </c>
      <c r="J504">
        <f>'insurance final cleaned'!P948</f>
        <v>0.37795639960279548</v>
      </c>
      <c r="K504">
        <f>'insurance final cleaned'!Q948</f>
        <v>0</v>
      </c>
      <c r="L504">
        <f>'insurance final cleaned'!R948</f>
        <v>0</v>
      </c>
      <c r="M504">
        <f>'insurance final cleaned'!S948</f>
        <v>0</v>
      </c>
    </row>
    <row r="505" spans="1:13" x14ac:dyDescent="0.3">
      <c r="A505">
        <f>'insurance final cleaned'!J622</f>
        <v>8596.83</v>
      </c>
      <c r="B505">
        <f>'insurance final cleaned'!B622</f>
        <v>43</v>
      </c>
      <c r="C505">
        <f>'insurance final cleaned'!D622</f>
        <v>34.299999999999997</v>
      </c>
      <c r="D505">
        <f>'insurance final cleaned'!G622</f>
        <v>5</v>
      </c>
      <c r="E505">
        <f>'insurance final cleaned'!E622</f>
        <v>96</v>
      </c>
      <c r="F505">
        <f>'insurance final cleaned'!L622</f>
        <v>0</v>
      </c>
      <c r="G505">
        <f>'insurance final cleaned'!M622</f>
        <v>1</v>
      </c>
      <c r="H505">
        <f>'insurance final cleaned'!N622</f>
        <v>0</v>
      </c>
      <c r="I505">
        <f>'insurance final cleaned'!O622</f>
        <v>0</v>
      </c>
      <c r="J505">
        <f>'insurance final cleaned'!P622</f>
        <v>0.37832933572546779</v>
      </c>
      <c r="K505">
        <f>'insurance final cleaned'!Q622</f>
        <v>0</v>
      </c>
      <c r="L505">
        <f>'insurance final cleaned'!R622</f>
        <v>0</v>
      </c>
      <c r="M505">
        <f>'insurance final cleaned'!S622</f>
        <v>1</v>
      </c>
    </row>
    <row r="506" spans="1:13" x14ac:dyDescent="0.3">
      <c r="A506">
        <f>'insurance final cleaned'!J213</f>
        <v>3227.12</v>
      </c>
      <c r="B506">
        <f>'insurance final cleaned'!B213</f>
        <v>36</v>
      </c>
      <c r="C506">
        <f>'insurance final cleaned'!D213</f>
        <v>34</v>
      </c>
      <c r="D506">
        <f>'insurance final cleaned'!G213</f>
        <v>1</v>
      </c>
      <c r="E506">
        <f>'insurance final cleaned'!E213</f>
        <v>88</v>
      </c>
      <c r="F506">
        <f>'insurance final cleaned'!L213</f>
        <v>0</v>
      </c>
      <c r="G506">
        <f>'insurance final cleaned'!M213</f>
        <v>1</v>
      </c>
      <c r="H506">
        <f>'insurance final cleaned'!N213</f>
        <v>0</v>
      </c>
      <c r="I506">
        <f>'insurance final cleaned'!O213</f>
        <v>0</v>
      </c>
      <c r="J506">
        <f>'insurance final cleaned'!P213</f>
        <v>0.37844699623953371</v>
      </c>
      <c r="K506">
        <f>'insurance final cleaned'!Q213</f>
        <v>0</v>
      </c>
      <c r="L506">
        <f>'insurance final cleaned'!R213</f>
        <v>1</v>
      </c>
      <c r="M506">
        <f>'insurance final cleaned'!S213</f>
        <v>1</v>
      </c>
    </row>
    <row r="507" spans="1:13" x14ac:dyDescent="0.3">
      <c r="A507">
        <f>'insurance final cleaned'!J988</f>
        <v>15230.32</v>
      </c>
      <c r="B507">
        <f>'insurance final cleaned'!B988</f>
        <v>55</v>
      </c>
      <c r="C507">
        <f>'insurance final cleaned'!D988</f>
        <v>38.1</v>
      </c>
      <c r="D507">
        <f>'insurance final cleaned'!G988</f>
        <v>2</v>
      </c>
      <c r="E507">
        <f>'insurance final cleaned'!E988</f>
        <v>91</v>
      </c>
      <c r="F507">
        <f>'insurance final cleaned'!L988</f>
        <v>0</v>
      </c>
      <c r="G507">
        <f>'insurance final cleaned'!M988</f>
        <v>0</v>
      </c>
      <c r="H507">
        <f>'insurance final cleaned'!N988</f>
        <v>0</v>
      </c>
      <c r="I507">
        <f>'insurance final cleaned'!O988</f>
        <v>0</v>
      </c>
      <c r="J507">
        <f>'insurance final cleaned'!P988</f>
        <v>0.37933413077097322</v>
      </c>
      <c r="K507">
        <f>'insurance final cleaned'!Q988</f>
        <v>0</v>
      </c>
      <c r="L507">
        <f>'insurance final cleaned'!R988</f>
        <v>0</v>
      </c>
      <c r="M507">
        <f>'insurance final cleaned'!S988</f>
        <v>1</v>
      </c>
    </row>
    <row r="508" spans="1:13" x14ac:dyDescent="0.3">
      <c r="A508">
        <f>'insurance final cleaned'!J631</f>
        <v>8688.86</v>
      </c>
      <c r="B508">
        <f>'insurance final cleaned'!B631</f>
        <v>30</v>
      </c>
      <c r="C508">
        <f>'insurance final cleaned'!D631</f>
        <v>22.5</v>
      </c>
      <c r="D508">
        <f>'insurance final cleaned'!G631</f>
        <v>0</v>
      </c>
      <c r="E508">
        <f>'insurance final cleaned'!E631</f>
        <v>97</v>
      </c>
      <c r="F508">
        <f>'insurance final cleaned'!L631</f>
        <v>0</v>
      </c>
      <c r="G508">
        <f>'insurance final cleaned'!M631</f>
        <v>0</v>
      </c>
      <c r="H508">
        <f>'insurance final cleaned'!N631</f>
        <v>0</v>
      </c>
      <c r="I508">
        <f>'insurance final cleaned'!O631</f>
        <v>0</v>
      </c>
      <c r="J508">
        <f>'insurance final cleaned'!P631</f>
        <v>0.38104264198268378</v>
      </c>
      <c r="K508">
        <f>'insurance final cleaned'!Q631</f>
        <v>0</v>
      </c>
      <c r="L508">
        <f>'insurance final cleaned'!R631</f>
        <v>1</v>
      </c>
      <c r="M508">
        <f>'insurance final cleaned'!S631</f>
        <v>0</v>
      </c>
    </row>
    <row r="509" spans="1:13" x14ac:dyDescent="0.3">
      <c r="A509">
        <f>'insurance final cleaned'!J1316</f>
        <v>46889.26</v>
      </c>
      <c r="B509">
        <f>'insurance final cleaned'!B1316</f>
        <v>22</v>
      </c>
      <c r="C509">
        <f>'insurance final cleaned'!D1316</f>
        <v>33.9</v>
      </c>
      <c r="D509">
        <f>'insurance final cleaned'!G1316</f>
        <v>0</v>
      </c>
      <c r="E509">
        <f>'insurance final cleaned'!E1316</f>
        <v>97</v>
      </c>
      <c r="F509">
        <f>'insurance final cleaned'!L1316</f>
        <v>33.9</v>
      </c>
      <c r="G509">
        <f>'insurance final cleaned'!M1316</f>
        <v>1</v>
      </c>
      <c r="H509">
        <f>'insurance final cleaned'!N1316</f>
        <v>0</v>
      </c>
      <c r="I509">
        <f>'insurance final cleaned'!O1316</f>
        <v>0</v>
      </c>
      <c r="J509">
        <f>'insurance final cleaned'!P1316</f>
        <v>0.38250589334140117</v>
      </c>
      <c r="K509">
        <f>'insurance final cleaned'!Q1316</f>
        <v>1</v>
      </c>
      <c r="L509">
        <f>'insurance final cleaned'!R1316</f>
        <v>0</v>
      </c>
      <c r="M509">
        <f>'insurance final cleaned'!S1316</f>
        <v>0</v>
      </c>
    </row>
    <row r="510" spans="1:13" x14ac:dyDescent="0.3">
      <c r="A510">
        <f>'insurance final cleaned'!J610</f>
        <v>8516.83</v>
      </c>
      <c r="B510">
        <f>'insurance final cleaned'!B610</f>
        <v>59</v>
      </c>
      <c r="C510">
        <f>'insurance final cleaned'!D610</f>
        <v>28.6</v>
      </c>
      <c r="D510">
        <f>'insurance final cleaned'!G610</f>
        <v>2</v>
      </c>
      <c r="E510">
        <f>'insurance final cleaned'!E610</f>
        <v>80</v>
      </c>
      <c r="F510">
        <f>'insurance final cleaned'!L610</f>
        <v>0</v>
      </c>
      <c r="G510">
        <f>'insurance final cleaned'!M610</f>
        <v>1</v>
      </c>
      <c r="H510">
        <f>'insurance final cleaned'!N610</f>
        <v>0</v>
      </c>
      <c r="I510">
        <f>'insurance final cleaned'!O610</f>
        <v>0</v>
      </c>
      <c r="J510">
        <f>'insurance final cleaned'!P610</f>
        <v>0.38286602178461027</v>
      </c>
      <c r="K510">
        <f>'insurance final cleaned'!Q610</f>
        <v>0</v>
      </c>
      <c r="L510">
        <f>'insurance final cleaned'!R610</f>
        <v>1</v>
      </c>
      <c r="M510">
        <f>'insurance final cleaned'!S610</f>
        <v>1</v>
      </c>
    </row>
    <row r="511" spans="1:13" x14ac:dyDescent="0.3">
      <c r="A511">
        <f>'insurance final cleaned'!J994</f>
        <v>15820.7</v>
      </c>
      <c r="B511">
        <f>'insurance final cleaned'!B994</f>
        <v>30</v>
      </c>
      <c r="C511">
        <f>'insurance final cleaned'!D994</f>
        <v>19.3</v>
      </c>
      <c r="D511">
        <f>'insurance final cleaned'!G994</f>
        <v>0</v>
      </c>
      <c r="E511">
        <f>'insurance final cleaned'!E994</f>
        <v>84</v>
      </c>
      <c r="F511">
        <f>'insurance final cleaned'!L994</f>
        <v>19.3</v>
      </c>
      <c r="G511">
        <f>'insurance final cleaned'!M994</f>
        <v>0</v>
      </c>
      <c r="H511">
        <f>'insurance final cleaned'!N994</f>
        <v>1</v>
      </c>
      <c r="I511">
        <f>'insurance final cleaned'!O994</f>
        <v>0</v>
      </c>
      <c r="J511">
        <f>'insurance final cleaned'!P994</f>
        <v>0.38388488049750524</v>
      </c>
      <c r="K511">
        <f>'insurance final cleaned'!Q994</f>
        <v>1</v>
      </c>
      <c r="L511">
        <f>'insurance final cleaned'!R994</f>
        <v>1</v>
      </c>
      <c r="M511">
        <f>'insurance final cleaned'!S994</f>
        <v>0</v>
      </c>
    </row>
    <row r="512" spans="1:13" x14ac:dyDescent="0.3">
      <c r="A512">
        <f>'insurance final cleaned'!J367</f>
        <v>5031.2700000000004</v>
      </c>
      <c r="B512">
        <f>'insurance final cleaned'!B367</f>
        <v>35</v>
      </c>
      <c r="C512">
        <f>'insurance final cleaned'!D367</f>
        <v>27.6</v>
      </c>
      <c r="D512">
        <f>'insurance final cleaned'!G367</f>
        <v>2</v>
      </c>
      <c r="E512">
        <f>'insurance final cleaned'!E367</f>
        <v>100</v>
      </c>
      <c r="F512">
        <f>'insurance final cleaned'!L367</f>
        <v>0</v>
      </c>
      <c r="G512">
        <f>'insurance final cleaned'!M367</f>
        <v>1</v>
      </c>
      <c r="H512">
        <f>'insurance final cleaned'!N367</f>
        <v>0</v>
      </c>
      <c r="I512">
        <f>'insurance final cleaned'!O367</f>
        <v>0</v>
      </c>
      <c r="J512">
        <f>'insurance final cleaned'!P367</f>
        <v>0.38434193133638739</v>
      </c>
      <c r="K512">
        <f>'insurance final cleaned'!Q367</f>
        <v>0</v>
      </c>
      <c r="L512">
        <f>'insurance final cleaned'!R367</f>
        <v>0</v>
      </c>
      <c r="M512">
        <f>'insurance final cleaned'!S367</f>
        <v>0</v>
      </c>
    </row>
    <row r="513" spans="1:13" x14ac:dyDescent="0.3">
      <c r="A513">
        <f>'insurance final cleaned'!J1083</f>
        <v>20878.78</v>
      </c>
      <c r="B513">
        <f>'insurance final cleaned'!B1083</f>
        <v>42</v>
      </c>
      <c r="C513">
        <f>'insurance final cleaned'!D1083</f>
        <v>33.299999999999997</v>
      </c>
      <c r="D513">
        <f>'insurance final cleaned'!G1083</f>
        <v>0</v>
      </c>
      <c r="E513">
        <f>'insurance final cleaned'!E1083</f>
        <v>107</v>
      </c>
      <c r="F513">
        <f>'insurance final cleaned'!L1083</f>
        <v>0</v>
      </c>
      <c r="G513">
        <f>'insurance final cleaned'!M1083</f>
        <v>0</v>
      </c>
      <c r="H513">
        <f>'insurance final cleaned'!N1083</f>
        <v>0</v>
      </c>
      <c r="I513">
        <f>'insurance final cleaned'!O1083</f>
        <v>0</v>
      </c>
      <c r="J513">
        <f>'insurance final cleaned'!P1083</f>
        <v>0.38447898185287399</v>
      </c>
      <c r="K513">
        <f>'insurance final cleaned'!Q1083</f>
        <v>0</v>
      </c>
      <c r="L513">
        <f>'insurance final cleaned'!R1083</f>
        <v>0</v>
      </c>
      <c r="M513">
        <f>'insurance final cleaned'!S1083</f>
        <v>1</v>
      </c>
    </row>
    <row r="514" spans="1:13" x14ac:dyDescent="0.3">
      <c r="A514">
        <f>'insurance final cleaned'!J530</f>
        <v>7265.7</v>
      </c>
      <c r="B514">
        <f>'insurance final cleaned'!B530</f>
        <v>48</v>
      </c>
      <c r="C514">
        <f>'insurance final cleaned'!D530</f>
        <v>37.1</v>
      </c>
      <c r="D514">
        <f>'insurance final cleaned'!G530</f>
        <v>2</v>
      </c>
      <c r="E514">
        <f>'insurance final cleaned'!E530</f>
        <v>81</v>
      </c>
      <c r="F514">
        <f>'insurance final cleaned'!L530</f>
        <v>0</v>
      </c>
      <c r="G514">
        <f>'insurance final cleaned'!M530</f>
        <v>0</v>
      </c>
      <c r="H514">
        <f>'insurance final cleaned'!N530</f>
        <v>0</v>
      </c>
      <c r="I514">
        <f>'insurance final cleaned'!O530</f>
        <v>1</v>
      </c>
      <c r="J514">
        <f>'insurance final cleaned'!P530</f>
        <v>0.38592253371442031</v>
      </c>
      <c r="K514">
        <f>'insurance final cleaned'!Q530</f>
        <v>0</v>
      </c>
      <c r="L514">
        <f>'insurance final cleaned'!R530</f>
        <v>1</v>
      </c>
      <c r="M514">
        <f>'insurance final cleaned'!S530</f>
        <v>0</v>
      </c>
    </row>
    <row r="515" spans="1:13" x14ac:dyDescent="0.3">
      <c r="A515">
        <f>'insurance final cleaned'!J859</f>
        <v>12146.97</v>
      </c>
      <c r="B515">
        <f>'insurance final cleaned'!B859</f>
        <v>23</v>
      </c>
      <c r="C515">
        <f>'insurance final cleaned'!D859</f>
        <v>28.9</v>
      </c>
      <c r="D515">
        <f>'insurance final cleaned'!G859</f>
        <v>0</v>
      </c>
      <c r="E515">
        <f>'insurance final cleaned'!E859</f>
        <v>83</v>
      </c>
      <c r="F515">
        <f>'insurance final cleaned'!L859</f>
        <v>0</v>
      </c>
      <c r="G515">
        <f>'insurance final cleaned'!M859</f>
        <v>0</v>
      </c>
      <c r="H515">
        <f>'insurance final cleaned'!N859</f>
        <v>1</v>
      </c>
      <c r="I515">
        <f>'insurance final cleaned'!O859</f>
        <v>0</v>
      </c>
      <c r="J515">
        <f>'insurance final cleaned'!P859</f>
        <v>0.38622751220598472</v>
      </c>
      <c r="K515">
        <f>'insurance final cleaned'!Q859</f>
        <v>0</v>
      </c>
      <c r="L515">
        <f>'insurance final cleaned'!R859</f>
        <v>1</v>
      </c>
      <c r="M515">
        <f>'insurance final cleaned'!S859</f>
        <v>0</v>
      </c>
    </row>
    <row r="516" spans="1:13" x14ac:dyDescent="0.3">
      <c r="A516">
        <f>'insurance final cleaned'!J357</f>
        <v>4915.0600000000004</v>
      </c>
      <c r="B516">
        <f>'insurance final cleaned'!B357</f>
        <v>38</v>
      </c>
      <c r="C516">
        <f>'insurance final cleaned'!D357</f>
        <v>30.1</v>
      </c>
      <c r="D516">
        <f>'insurance final cleaned'!G357</f>
        <v>5</v>
      </c>
      <c r="E516">
        <f>'insurance final cleaned'!E357</f>
        <v>87</v>
      </c>
      <c r="F516">
        <f>'insurance final cleaned'!L357</f>
        <v>0</v>
      </c>
      <c r="G516">
        <f>'insurance final cleaned'!M357</f>
        <v>1</v>
      </c>
      <c r="H516">
        <f>'insurance final cleaned'!N357</f>
        <v>0</v>
      </c>
      <c r="I516">
        <f>'insurance final cleaned'!O357</f>
        <v>0</v>
      </c>
      <c r="J516">
        <f>'insurance final cleaned'!P357</f>
        <v>0.38652465405631387</v>
      </c>
      <c r="K516">
        <f>'insurance final cleaned'!Q357</f>
        <v>0</v>
      </c>
      <c r="L516">
        <f>'insurance final cleaned'!R357</f>
        <v>0</v>
      </c>
      <c r="M516">
        <f>'insurance final cleaned'!S357</f>
        <v>0</v>
      </c>
    </row>
    <row r="517" spans="1:13" x14ac:dyDescent="0.3">
      <c r="A517">
        <f>'insurance final cleaned'!J408</f>
        <v>5594.85</v>
      </c>
      <c r="B517">
        <f>'insurance final cleaned'!B408</f>
        <v>43</v>
      </c>
      <c r="C517">
        <f>'insurance final cleaned'!D408</f>
        <v>33.299999999999997</v>
      </c>
      <c r="D517">
        <f>'insurance final cleaned'!G408</f>
        <v>1</v>
      </c>
      <c r="E517">
        <f>'insurance final cleaned'!E408</f>
        <v>94</v>
      </c>
      <c r="F517">
        <f>'insurance final cleaned'!L408</f>
        <v>0</v>
      </c>
      <c r="G517">
        <f>'insurance final cleaned'!M408</f>
        <v>1</v>
      </c>
      <c r="H517">
        <f>'insurance final cleaned'!N408</f>
        <v>0</v>
      </c>
      <c r="I517">
        <f>'insurance final cleaned'!O408</f>
        <v>0</v>
      </c>
      <c r="J517">
        <f>'insurance final cleaned'!P408</f>
        <v>0.38653019604457151</v>
      </c>
      <c r="K517">
        <f>'insurance final cleaned'!Q408</f>
        <v>0</v>
      </c>
      <c r="L517">
        <f>'insurance final cleaned'!R408</f>
        <v>1</v>
      </c>
      <c r="M517">
        <f>'insurance final cleaned'!S408</f>
        <v>1</v>
      </c>
    </row>
    <row r="518" spans="1:13" x14ac:dyDescent="0.3">
      <c r="A518">
        <f>'insurance final cleaned'!J493</f>
        <v>6781.35</v>
      </c>
      <c r="B518">
        <f>'insurance final cleaned'!B493</f>
        <v>40</v>
      </c>
      <c r="C518">
        <f>'insurance final cleaned'!D493</f>
        <v>36.1</v>
      </c>
      <c r="D518">
        <f>'insurance final cleaned'!G493</f>
        <v>1</v>
      </c>
      <c r="E518">
        <f>'insurance final cleaned'!E493</f>
        <v>80</v>
      </c>
      <c r="F518">
        <f>'insurance final cleaned'!L493</f>
        <v>0</v>
      </c>
      <c r="G518">
        <f>'insurance final cleaned'!M493</f>
        <v>1</v>
      </c>
      <c r="H518">
        <f>'insurance final cleaned'!N493</f>
        <v>0</v>
      </c>
      <c r="I518">
        <f>'insurance final cleaned'!O493</f>
        <v>0</v>
      </c>
      <c r="J518">
        <f>'insurance final cleaned'!P493</f>
        <v>0.3869130536244858</v>
      </c>
      <c r="K518">
        <f>'insurance final cleaned'!Q493</f>
        <v>0</v>
      </c>
      <c r="L518">
        <f>'insurance final cleaned'!R493</f>
        <v>0</v>
      </c>
      <c r="M518">
        <f>'insurance final cleaned'!S493</f>
        <v>1</v>
      </c>
    </row>
    <row r="519" spans="1:13" x14ac:dyDescent="0.3">
      <c r="A519">
        <f>'insurance final cleaned'!J462</f>
        <v>6393.6</v>
      </c>
      <c r="B519">
        <f>'insurance final cleaned'!B462</f>
        <v>31</v>
      </c>
      <c r="C519">
        <f>'insurance final cleaned'!D462</f>
        <v>29.4</v>
      </c>
      <c r="D519">
        <f>'insurance final cleaned'!G462</f>
        <v>1</v>
      </c>
      <c r="E519">
        <f>'insurance final cleaned'!E462</f>
        <v>99</v>
      </c>
      <c r="F519">
        <f>'insurance final cleaned'!L462</f>
        <v>0</v>
      </c>
      <c r="G519">
        <f>'insurance final cleaned'!M462</f>
        <v>0</v>
      </c>
      <c r="H519">
        <f>'insurance final cleaned'!N462</f>
        <v>0</v>
      </c>
      <c r="I519">
        <f>'insurance final cleaned'!O462</f>
        <v>1</v>
      </c>
      <c r="J519">
        <f>'insurance final cleaned'!P462</f>
        <v>0.38748269193738216</v>
      </c>
      <c r="K519">
        <f>'insurance final cleaned'!Q462</f>
        <v>0</v>
      </c>
      <c r="L519">
        <f>'insurance final cleaned'!R462</f>
        <v>0</v>
      </c>
      <c r="M519">
        <f>'insurance final cleaned'!S462</f>
        <v>0</v>
      </c>
    </row>
    <row r="520" spans="1:13" x14ac:dyDescent="0.3">
      <c r="A520">
        <f>'insurance final cleaned'!J1261</f>
        <v>39871.699999999997</v>
      </c>
      <c r="B520">
        <f>'insurance final cleaned'!B1261</f>
        <v>47</v>
      </c>
      <c r="C520">
        <f>'insurance final cleaned'!D1261</f>
        <v>37.1</v>
      </c>
      <c r="D520">
        <f>'insurance final cleaned'!G1261</f>
        <v>1</v>
      </c>
      <c r="E520">
        <f>'insurance final cleaned'!E1261</f>
        <v>114</v>
      </c>
      <c r="F520">
        <f>'insurance final cleaned'!L1261</f>
        <v>37.1</v>
      </c>
      <c r="G520">
        <f>'insurance final cleaned'!M1261</f>
        <v>1</v>
      </c>
      <c r="H520">
        <f>'insurance final cleaned'!N1261</f>
        <v>0</v>
      </c>
      <c r="I520">
        <f>'insurance final cleaned'!O1261</f>
        <v>0</v>
      </c>
      <c r="J520">
        <f>'insurance final cleaned'!P1261</f>
        <v>0.38772609872503239</v>
      </c>
      <c r="K520">
        <f>'insurance final cleaned'!Q1261</f>
        <v>1</v>
      </c>
      <c r="L520">
        <f>'insurance final cleaned'!R1261</f>
        <v>1</v>
      </c>
      <c r="M520">
        <f>'insurance final cleaned'!S1261</f>
        <v>0</v>
      </c>
    </row>
    <row r="521" spans="1:13" x14ac:dyDescent="0.3">
      <c r="A521">
        <f>'insurance final cleaned'!J842</f>
        <v>11881.97</v>
      </c>
      <c r="B521">
        <f>'insurance final cleaned'!B842</f>
        <v>38</v>
      </c>
      <c r="C521">
        <f>'insurance final cleaned'!D842</f>
        <v>30.1</v>
      </c>
      <c r="D521">
        <f>'insurance final cleaned'!G842</f>
        <v>2</v>
      </c>
      <c r="E521">
        <f>'insurance final cleaned'!E842</f>
        <v>92</v>
      </c>
      <c r="F521">
        <f>'insurance final cleaned'!L842</f>
        <v>0</v>
      </c>
      <c r="G521">
        <f>'insurance final cleaned'!M842</f>
        <v>1</v>
      </c>
      <c r="H521">
        <f>'insurance final cleaned'!N842</f>
        <v>0</v>
      </c>
      <c r="I521">
        <f>'insurance final cleaned'!O842</f>
        <v>0</v>
      </c>
      <c r="J521">
        <f>'insurance final cleaned'!P842</f>
        <v>0.3881577502987722</v>
      </c>
      <c r="K521">
        <f>'insurance final cleaned'!Q842</f>
        <v>0</v>
      </c>
      <c r="L521">
        <f>'insurance final cleaned'!R842</f>
        <v>1</v>
      </c>
      <c r="M521">
        <f>'insurance final cleaned'!S842</f>
        <v>1</v>
      </c>
    </row>
    <row r="522" spans="1:13" x14ac:dyDescent="0.3">
      <c r="A522">
        <f>'insurance final cleaned'!J561</f>
        <v>7727.25</v>
      </c>
      <c r="B522">
        <f>'insurance final cleaned'!B561</f>
        <v>54</v>
      </c>
      <c r="C522">
        <f>'insurance final cleaned'!D561</f>
        <v>34.6</v>
      </c>
      <c r="D522">
        <f>'insurance final cleaned'!G561</f>
        <v>1</v>
      </c>
      <c r="E522">
        <f>'insurance final cleaned'!E561</f>
        <v>83</v>
      </c>
      <c r="F522">
        <f>'insurance final cleaned'!L561</f>
        <v>0</v>
      </c>
      <c r="G522">
        <f>'insurance final cleaned'!M561</f>
        <v>0</v>
      </c>
      <c r="H522">
        <f>'insurance final cleaned'!N561</f>
        <v>0</v>
      </c>
      <c r="I522">
        <f>'insurance final cleaned'!O561</f>
        <v>1</v>
      </c>
      <c r="J522">
        <f>'insurance final cleaned'!P561</f>
        <v>0.3888047625654204</v>
      </c>
      <c r="K522">
        <f>'insurance final cleaned'!Q561</f>
        <v>0</v>
      </c>
      <c r="L522">
        <f>'insurance final cleaned'!R561</f>
        <v>0</v>
      </c>
      <c r="M522">
        <f>'insurance final cleaned'!S561</f>
        <v>1</v>
      </c>
    </row>
    <row r="523" spans="1:13" x14ac:dyDescent="0.3">
      <c r="A523">
        <f>'insurance final cleaned'!J766</f>
        <v>10848.13</v>
      </c>
      <c r="B523">
        <f>'insurance final cleaned'!B766</f>
        <v>31</v>
      </c>
      <c r="C523">
        <f>'insurance final cleaned'!D766</f>
        <v>36.700000000000003</v>
      </c>
      <c r="D523">
        <f>'insurance final cleaned'!G766</f>
        <v>2</v>
      </c>
      <c r="E523">
        <f>'insurance final cleaned'!E766</f>
        <v>103</v>
      </c>
      <c r="F523">
        <f>'insurance final cleaned'!L766</f>
        <v>0</v>
      </c>
      <c r="G523">
        <f>'insurance final cleaned'!M766</f>
        <v>0</v>
      </c>
      <c r="H523">
        <f>'insurance final cleaned'!N766</f>
        <v>0</v>
      </c>
      <c r="I523">
        <f>'insurance final cleaned'!O766</f>
        <v>1</v>
      </c>
      <c r="J523">
        <f>'insurance final cleaned'!P766</f>
        <v>0.38892978454430505</v>
      </c>
      <c r="K523">
        <f>'insurance final cleaned'!Q766</f>
        <v>0</v>
      </c>
      <c r="L523">
        <f>'insurance final cleaned'!R766</f>
        <v>0</v>
      </c>
      <c r="M523">
        <f>'insurance final cleaned'!S766</f>
        <v>1</v>
      </c>
    </row>
    <row r="524" spans="1:13" x14ac:dyDescent="0.3">
      <c r="A524">
        <f>'insurance final cleaned'!J1227</f>
        <v>36910.61</v>
      </c>
      <c r="B524">
        <f>'insurance final cleaned'!B1227</f>
        <v>50</v>
      </c>
      <c r="C524">
        <f>'insurance final cleaned'!D1227</f>
        <v>34.799999999999997</v>
      </c>
      <c r="D524">
        <f>'insurance final cleaned'!G1227</f>
        <v>2</v>
      </c>
      <c r="E524">
        <f>'insurance final cleaned'!E1227</f>
        <v>140</v>
      </c>
      <c r="F524">
        <f>'insurance final cleaned'!L1227</f>
        <v>0</v>
      </c>
      <c r="G524">
        <f>'insurance final cleaned'!M1227</f>
        <v>0</v>
      </c>
      <c r="H524">
        <f>'insurance final cleaned'!N1227</f>
        <v>1</v>
      </c>
      <c r="I524">
        <f>'insurance final cleaned'!O1227</f>
        <v>0</v>
      </c>
      <c r="J524">
        <f>'insurance final cleaned'!P1227</f>
        <v>0.38934980168075239</v>
      </c>
      <c r="K524">
        <f>'insurance final cleaned'!Q1227</f>
        <v>0</v>
      </c>
      <c r="L524">
        <f>'insurance final cleaned'!R1227</f>
        <v>1</v>
      </c>
      <c r="M524">
        <f>'insurance final cleaned'!S1227</f>
        <v>1</v>
      </c>
    </row>
    <row r="525" spans="1:13" x14ac:dyDescent="0.3">
      <c r="A525">
        <f>'insurance final cleaned'!J35</f>
        <v>1629.83</v>
      </c>
      <c r="B525">
        <f>'insurance final cleaned'!B35</f>
        <v>52</v>
      </c>
      <c r="C525">
        <f>'insurance final cleaned'!D35</f>
        <v>36.9</v>
      </c>
      <c r="D525">
        <f>'insurance final cleaned'!G35</f>
        <v>0</v>
      </c>
      <c r="E525">
        <f>'insurance final cleaned'!E35</f>
        <v>81</v>
      </c>
      <c r="F525">
        <f>'insurance final cleaned'!L35</f>
        <v>0</v>
      </c>
      <c r="G525">
        <f>'insurance final cleaned'!M35</f>
        <v>1</v>
      </c>
      <c r="H525">
        <f>'insurance final cleaned'!N35</f>
        <v>0</v>
      </c>
      <c r="I525">
        <f>'insurance final cleaned'!O35</f>
        <v>0</v>
      </c>
      <c r="J525">
        <f>'insurance final cleaned'!P35</f>
        <v>0.39018158623880328</v>
      </c>
      <c r="K525">
        <f>'insurance final cleaned'!Q35</f>
        <v>0</v>
      </c>
      <c r="L525">
        <f>'insurance final cleaned'!R35</f>
        <v>0</v>
      </c>
      <c r="M525">
        <f>'insurance final cleaned'!S35</f>
        <v>1</v>
      </c>
    </row>
    <row r="526" spans="1:13" x14ac:dyDescent="0.3">
      <c r="A526">
        <f>'insurance final cleaned'!J188</f>
        <v>2899.49</v>
      </c>
      <c r="B526">
        <f>'insurance final cleaned'!B188</f>
        <v>25</v>
      </c>
      <c r="C526">
        <f>'insurance final cleaned'!D188</f>
        <v>34.9</v>
      </c>
      <c r="D526">
        <f>'insurance final cleaned'!G188</f>
        <v>0</v>
      </c>
      <c r="E526">
        <f>'insurance final cleaned'!E188</f>
        <v>100</v>
      </c>
      <c r="F526">
        <f>'insurance final cleaned'!L188</f>
        <v>0</v>
      </c>
      <c r="G526">
        <f>'insurance final cleaned'!M188</f>
        <v>0</v>
      </c>
      <c r="H526">
        <f>'insurance final cleaned'!N188</f>
        <v>0</v>
      </c>
      <c r="I526">
        <f>'insurance final cleaned'!O188</f>
        <v>0</v>
      </c>
      <c r="J526">
        <f>'insurance final cleaned'!P188</f>
        <v>0.390819447188546</v>
      </c>
      <c r="K526">
        <f>'insurance final cleaned'!Q188</f>
        <v>0</v>
      </c>
      <c r="L526">
        <f>'insurance final cleaned'!R188</f>
        <v>0</v>
      </c>
      <c r="M526">
        <f>'insurance final cleaned'!S188</f>
        <v>1</v>
      </c>
    </row>
    <row r="527" spans="1:13" x14ac:dyDescent="0.3">
      <c r="A527">
        <f>'insurance final cleaned'!J1328</f>
        <v>48549.18</v>
      </c>
      <c r="B527">
        <f>'insurance final cleaned'!B1328</f>
        <v>26</v>
      </c>
      <c r="C527">
        <f>'insurance final cleaned'!D1328</f>
        <v>40.6</v>
      </c>
      <c r="D527">
        <f>'insurance final cleaned'!G1328</f>
        <v>3</v>
      </c>
      <c r="E527">
        <f>'insurance final cleaned'!E1328</f>
        <v>113</v>
      </c>
      <c r="F527">
        <f>'insurance final cleaned'!L1328</f>
        <v>40.6</v>
      </c>
      <c r="G527">
        <f>'insurance final cleaned'!M1328</f>
        <v>0</v>
      </c>
      <c r="H527">
        <f>'insurance final cleaned'!N1328</f>
        <v>0</v>
      </c>
      <c r="I527">
        <f>'insurance final cleaned'!O1328</f>
        <v>0</v>
      </c>
      <c r="J527">
        <f>'insurance final cleaned'!P1328</f>
        <v>0.39130731716649414</v>
      </c>
      <c r="K527">
        <f>'insurance final cleaned'!Q1328</f>
        <v>1</v>
      </c>
      <c r="L527">
        <f>'insurance final cleaned'!R1328</f>
        <v>1</v>
      </c>
      <c r="M527">
        <f>'insurance final cleaned'!S1328</f>
        <v>0</v>
      </c>
    </row>
    <row r="528" spans="1:13" x14ac:dyDescent="0.3">
      <c r="A528">
        <f>'insurance final cleaned'!J264</f>
        <v>3935.18</v>
      </c>
      <c r="B528">
        <f>'insurance final cleaned'!B264</f>
        <v>36</v>
      </c>
      <c r="C528">
        <f>'insurance final cleaned'!D264</f>
        <v>34.200000000000003</v>
      </c>
      <c r="D528">
        <f>'insurance final cleaned'!G264</f>
        <v>0</v>
      </c>
      <c r="E528">
        <f>'insurance final cleaned'!E264</f>
        <v>96</v>
      </c>
      <c r="F528">
        <f>'insurance final cleaned'!L264</f>
        <v>0</v>
      </c>
      <c r="G528">
        <f>'insurance final cleaned'!M264</f>
        <v>1</v>
      </c>
      <c r="H528">
        <f>'insurance final cleaned'!N264</f>
        <v>0</v>
      </c>
      <c r="I528">
        <f>'insurance final cleaned'!O264</f>
        <v>0</v>
      </c>
      <c r="J528">
        <f>'insurance final cleaned'!P264</f>
        <v>0.39335693578770503</v>
      </c>
      <c r="K528">
        <f>'insurance final cleaned'!Q264</f>
        <v>0</v>
      </c>
      <c r="L528">
        <f>'insurance final cleaned'!R264</f>
        <v>1</v>
      </c>
      <c r="M528">
        <f>'insurance final cleaned'!S264</f>
        <v>0</v>
      </c>
    </row>
    <row r="529" spans="1:13" x14ac:dyDescent="0.3">
      <c r="A529">
        <f>'insurance final cleaned'!J540</f>
        <v>7418.52</v>
      </c>
      <c r="B529">
        <f>'insurance final cleaned'!B540</f>
        <v>49</v>
      </c>
      <c r="C529">
        <f>'insurance final cleaned'!D540</f>
        <v>34.1</v>
      </c>
      <c r="D529">
        <f>'insurance final cleaned'!G540</f>
        <v>3</v>
      </c>
      <c r="E529">
        <f>'insurance final cleaned'!E540</f>
        <v>82</v>
      </c>
      <c r="F529">
        <f>'insurance final cleaned'!L540</f>
        <v>0</v>
      </c>
      <c r="G529">
        <f>'insurance final cleaned'!M540</f>
        <v>0</v>
      </c>
      <c r="H529">
        <f>'insurance final cleaned'!N540</f>
        <v>1</v>
      </c>
      <c r="I529">
        <f>'insurance final cleaned'!O540</f>
        <v>0</v>
      </c>
      <c r="J529">
        <f>'insurance final cleaned'!P540</f>
        <v>0.39480178348864592</v>
      </c>
      <c r="K529">
        <f>'insurance final cleaned'!Q540</f>
        <v>0</v>
      </c>
      <c r="L529">
        <f>'insurance final cleaned'!R540</f>
        <v>0</v>
      </c>
      <c r="M529">
        <f>'insurance final cleaned'!S540</f>
        <v>1</v>
      </c>
    </row>
    <row r="530" spans="1:13" x14ac:dyDescent="0.3">
      <c r="A530">
        <f>'insurance final cleaned'!J584</f>
        <v>8124.41</v>
      </c>
      <c r="B530">
        <f>'insurance final cleaned'!B584</f>
        <v>27</v>
      </c>
      <c r="C530">
        <f>'insurance final cleaned'!D584</f>
        <v>35.9</v>
      </c>
      <c r="D530">
        <f>'insurance final cleaned'!G584</f>
        <v>0</v>
      </c>
      <c r="E530">
        <f>'insurance final cleaned'!E584</f>
        <v>90</v>
      </c>
      <c r="F530">
        <f>'insurance final cleaned'!L584</f>
        <v>0</v>
      </c>
      <c r="G530">
        <f>'insurance final cleaned'!M584</f>
        <v>1</v>
      </c>
      <c r="H530">
        <f>'insurance final cleaned'!N584</f>
        <v>0</v>
      </c>
      <c r="I530">
        <f>'insurance final cleaned'!O584</f>
        <v>0</v>
      </c>
      <c r="J530">
        <f>'insurance final cleaned'!P584</f>
        <v>0.39522568659934265</v>
      </c>
      <c r="K530">
        <f>'insurance final cleaned'!Q584</f>
        <v>0</v>
      </c>
      <c r="L530">
        <f>'insurance final cleaned'!R584</f>
        <v>0</v>
      </c>
      <c r="M530">
        <f>'insurance final cleaned'!S584</f>
        <v>0</v>
      </c>
    </row>
    <row r="531" spans="1:13" x14ac:dyDescent="0.3">
      <c r="A531">
        <f>'insurance final cleaned'!J300</f>
        <v>4357.04</v>
      </c>
      <c r="B531">
        <f>'insurance final cleaned'!B300</f>
        <v>30</v>
      </c>
      <c r="C531">
        <f>'insurance final cleaned'!D300</f>
        <v>29.7</v>
      </c>
      <c r="D531">
        <f>'insurance final cleaned'!G300</f>
        <v>0</v>
      </c>
      <c r="E531">
        <f>'insurance final cleaned'!E300</f>
        <v>93</v>
      </c>
      <c r="F531">
        <f>'insurance final cleaned'!L300</f>
        <v>0</v>
      </c>
      <c r="G531">
        <f>'insurance final cleaned'!M300</f>
        <v>0</v>
      </c>
      <c r="H531">
        <f>'insurance final cleaned'!N300</f>
        <v>0</v>
      </c>
      <c r="I531">
        <f>'insurance final cleaned'!O300</f>
        <v>1</v>
      </c>
      <c r="J531">
        <f>'insurance final cleaned'!P300</f>
        <v>0.39534890039061854</v>
      </c>
      <c r="K531">
        <f>'insurance final cleaned'!Q300</f>
        <v>0</v>
      </c>
      <c r="L531">
        <f>'insurance final cleaned'!R300</f>
        <v>0</v>
      </c>
      <c r="M531">
        <f>'insurance final cleaned'!S300</f>
        <v>1</v>
      </c>
    </row>
    <row r="532" spans="1:13" x14ac:dyDescent="0.3">
      <c r="A532">
        <f>'insurance final cleaned'!J659</f>
        <v>9182.17</v>
      </c>
      <c r="B532">
        <f>'insurance final cleaned'!B659</f>
        <v>56</v>
      </c>
      <c r="C532">
        <f>'insurance final cleaned'!D659</f>
        <v>21.3</v>
      </c>
      <c r="D532">
        <f>'insurance final cleaned'!G659</f>
        <v>1</v>
      </c>
      <c r="E532">
        <f>'insurance final cleaned'!E659</f>
        <v>100</v>
      </c>
      <c r="F532">
        <f>'insurance final cleaned'!L659</f>
        <v>0</v>
      </c>
      <c r="G532">
        <f>'insurance final cleaned'!M659</f>
        <v>0</v>
      </c>
      <c r="H532">
        <f>'insurance final cleaned'!N659</f>
        <v>1</v>
      </c>
      <c r="I532">
        <f>'insurance final cleaned'!O659</f>
        <v>0</v>
      </c>
      <c r="J532">
        <f>'insurance final cleaned'!P659</f>
        <v>0.39658033875187282</v>
      </c>
      <c r="K532">
        <f>'insurance final cleaned'!Q659</f>
        <v>0</v>
      </c>
      <c r="L532">
        <f>'insurance final cleaned'!R659</f>
        <v>0</v>
      </c>
      <c r="M532">
        <f>'insurance final cleaned'!S659</f>
        <v>1</v>
      </c>
    </row>
    <row r="533" spans="1:13" x14ac:dyDescent="0.3">
      <c r="A533">
        <f>'insurance final cleaned'!J51</f>
        <v>1702.46</v>
      </c>
      <c r="B533">
        <f>'insurance final cleaned'!B51</f>
        <v>30</v>
      </c>
      <c r="C533">
        <f>'insurance final cleaned'!D51</f>
        <v>21.5</v>
      </c>
      <c r="D533">
        <f>'insurance final cleaned'!G51</f>
        <v>0</v>
      </c>
      <c r="E533">
        <f>'insurance final cleaned'!E51</f>
        <v>83</v>
      </c>
      <c r="F533">
        <f>'insurance final cleaned'!L51</f>
        <v>0</v>
      </c>
      <c r="G533">
        <f>'insurance final cleaned'!M51</f>
        <v>0</v>
      </c>
      <c r="H533">
        <f>'insurance final cleaned'!N51</f>
        <v>0</v>
      </c>
      <c r="I533">
        <f>'insurance final cleaned'!O51</f>
        <v>0</v>
      </c>
      <c r="J533">
        <f>'insurance final cleaned'!P51</f>
        <v>0.39701724423456686</v>
      </c>
      <c r="K533">
        <f>'insurance final cleaned'!Q51</f>
        <v>0</v>
      </c>
      <c r="L533">
        <f>'insurance final cleaned'!R51</f>
        <v>1</v>
      </c>
      <c r="M533">
        <f>'insurance final cleaned'!S51</f>
        <v>0</v>
      </c>
    </row>
    <row r="534" spans="1:13" x14ac:dyDescent="0.3">
      <c r="A534">
        <f>'insurance final cleaned'!J652</f>
        <v>9048.0300000000007</v>
      </c>
      <c r="B534">
        <f>'insurance final cleaned'!B652</f>
        <v>50</v>
      </c>
      <c r="C534">
        <f>'insurance final cleaned'!D652</f>
        <v>37.1</v>
      </c>
      <c r="D534">
        <f>'insurance final cleaned'!G652</f>
        <v>1</v>
      </c>
      <c r="E534">
        <f>'insurance final cleaned'!E652</f>
        <v>96</v>
      </c>
      <c r="F534">
        <f>'insurance final cleaned'!L652</f>
        <v>0</v>
      </c>
      <c r="G534">
        <f>'insurance final cleaned'!M652</f>
        <v>1</v>
      </c>
      <c r="H534">
        <f>'insurance final cleaned'!N652</f>
        <v>0</v>
      </c>
      <c r="I534">
        <f>'insurance final cleaned'!O652</f>
        <v>0</v>
      </c>
      <c r="J534">
        <f>'insurance final cleaned'!P652</f>
        <v>0.39774049593591831</v>
      </c>
      <c r="K534">
        <f>'insurance final cleaned'!Q652</f>
        <v>0</v>
      </c>
      <c r="L534">
        <f>'insurance final cleaned'!R652</f>
        <v>0</v>
      </c>
      <c r="M534">
        <f>'insurance final cleaned'!S652</f>
        <v>0</v>
      </c>
    </row>
    <row r="535" spans="1:13" x14ac:dyDescent="0.3">
      <c r="A535">
        <f>'insurance final cleaned'!J498</f>
        <v>6858.48</v>
      </c>
      <c r="B535">
        <f>'insurance final cleaned'!B498</f>
        <v>29</v>
      </c>
      <c r="C535">
        <f>'insurance final cleaned'!D498</f>
        <v>23.9</v>
      </c>
      <c r="D535">
        <f>'insurance final cleaned'!G498</f>
        <v>1</v>
      </c>
      <c r="E535">
        <f>'insurance final cleaned'!E498</f>
        <v>84</v>
      </c>
      <c r="F535">
        <f>'insurance final cleaned'!L498</f>
        <v>0</v>
      </c>
      <c r="G535">
        <f>'insurance final cleaned'!M498</f>
        <v>1</v>
      </c>
      <c r="H535">
        <f>'insurance final cleaned'!N498</f>
        <v>0</v>
      </c>
      <c r="I535">
        <f>'insurance final cleaned'!O498</f>
        <v>0</v>
      </c>
      <c r="J535">
        <f>'insurance final cleaned'!P498</f>
        <v>0.39869002709606383</v>
      </c>
      <c r="K535">
        <f>'insurance final cleaned'!Q498</f>
        <v>0</v>
      </c>
      <c r="L535">
        <f>'insurance final cleaned'!R498</f>
        <v>1</v>
      </c>
      <c r="M535">
        <f>'insurance final cleaned'!S498</f>
        <v>0</v>
      </c>
    </row>
    <row r="536" spans="1:13" x14ac:dyDescent="0.3">
      <c r="A536">
        <f>'insurance final cleaned'!J162</f>
        <v>2639.04</v>
      </c>
      <c r="B536">
        <f>'insurance final cleaned'!B162</f>
        <v>42</v>
      </c>
      <c r="C536">
        <f>'insurance final cleaned'!D162</f>
        <v>28.3</v>
      </c>
      <c r="D536">
        <f>'insurance final cleaned'!G162</f>
        <v>1</v>
      </c>
      <c r="E536">
        <f>'insurance final cleaned'!E162</f>
        <v>86</v>
      </c>
      <c r="F536">
        <f>'insurance final cleaned'!L162</f>
        <v>0</v>
      </c>
      <c r="G536">
        <f>'insurance final cleaned'!M162</f>
        <v>0</v>
      </c>
      <c r="H536">
        <f>'insurance final cleaned'!N162</f>
        <v>0</v>
      </c>
      <c r="I536">
        <f>'insurance final cleaned'!O162</f>
        <v>1</v>
      </c>
      <c r="J536">
        <f>'insurance final cleaned'!P162</f>
        <v>0.4005015795438549</v>
      </c>
      <c r="K536">
        <f>'insurance final cleaned'!Q162</f>
        <v>0</v>
      </c>
      <c r="L536">
        <f>'insurance final cleaned'!R162</f>
        <v>1</v>
      </c>
      <c r="M536">
        <f>'insurance final cleaned'!S162</f>
        <v>0</v>
      </c>
    </row>
    <row r="537" spans="1:13" x14ac:dyDescent="0.3">
      <c r="A537">
        <f>'insurance final cleaned'!J1166</f>
        <v>27808.73</v>
      </c>
      <c r="B537">
        <f>'insurance final cleaned'!B1166</f>
        <v>53</v>
      </c>
      <c r="C537">
        <f>'insurance final cleaned'!D1166</f>
        <v>26.3</v>
      </c>
      <c r="D537">
        <f>'insurance final cleaned'!G1166</f>
        <v>0</v>
      </c>
      <c r="E537">
        <f>'insurance final cleaned'!E1166</f>
        <v>119</v>
      </c>
      <c r="F537">
        <f>'insurance final cleaned'!L1166</f>
        <v>26.3</v>
      </c>
      <c r="G537">
        <f>'insurance final cleaned'!M1166</f>
        <v>1</v>
      </c>
      <c r="H537">
        <f>'insurance final cleaned'!N1166</f>
        <v>0</v>
      </c>
      <c r="I537">
        <f>'insurance final cleaned'!O1166</f>
        <v>0</v>
      </c>
      <c r="J537">
        <f>'insurance final cleaned'!P1166</f>
        <v>0.4009533485683745</v>
      </c>
      <c r="K537">
        <f>'insurance final cleaned'!Q1166</f>
        <v>1</v>
      </c>
      <c r="L537">
        <f>'insurance final cleaned'!R1166</f>
        <v>0</v>
      </c>
      <c r="M537">
        <f>'insurance final cleaned'!S1166</f>
        <v>1</v>
      </c>
    </row>
    <row r="538" spans="1:13" x14ac:dyDescent="0.3">
      <c r="A538">
        <f>'insurance final cleaned'!J249</f>
        <v>3704.35</v>
      </c>
      <c r="B538">
        <f>'insurance final cleaned'!B249</f>
        <v>31</v>
      </c>
      <c r="C538">
        <f>'insurance final cleaned'!D249</f>
        <v>30.3</v>
      </c>
      <c r="D538">
        <f>'insurance final cleaned'!G249</f>
        <v>0</v>
      </c>
      <c r="E538">
        <f>'insurance final cleaned'!E249</f>
        <v>92</v>
      </c>
      <c r="F538">
        <f>'insurance final cleaned'!L249</f>
        <v>0</v>
      </c>
      <c r="G538">
        <f>'insurance final cleaned'!M249</f>
        <v>1</v>
      </c>
      <c r="H538">
        <f>'insurance final cleaned'!N249</f>
        <v>0</v>
      </c>
      <c r="I538">
        <f>'insurance final cleaned'!O249</f>
        <v>0</v>
      </c>
      <c r="J538">
        <f>'insurance final cleaned'!P249</f>
        <v>0.40330992842405866</v>
      </c>
      <c r="K538">
        <f>'insurance final cleaned'!Q249</f>
        <v>0</v>
      </c>
      <c r="L538">
        <f>'insurance final cleaned'!R249</f>
        <v>0</v>
      </c>
      <c r="M538">
        <f>'insurance final cleaned'!S249</f>
        <v>0</v>
      </c>
    </row>
    <row r="539" spans="1:13" x14ac:dyDescent="0.3">
      <c r="A539">
        <f>'insurance final cleaned'!J753</f>
        <v>10601.63</v>
      </c>
      <c r="B539">
        <f>'insurance final cleaned'!B753</f>
        <v>49</v>
      </c>
      <c r="C539">
        <f>'insurance final cleaned'!D753</f>
        <v>32.799999999999997</v>
      </c>
      <c r="D539">
        <f>'insurance final cleaned'!G753</f>
        <v>0</v>
      </c>
      <c r="E539">
        <f>'insurance final cleaned'!E753</f>
        <v>89</v>
      </c>
      <c r="F539">
        <f>'insurance final cleaned'!L753</f>
        <v>0</v>
      </c>
      <c r="G539">
        <f>'insurance final cleaned'!M753</f>
        <v>0</v>
      </c>
      <c r="H539">
        <f>'insurance final cleaned'!N753</f>
        <v>0</v>
      </c>
      <c r="I539">
        <f>'insurance final cleaned'!O753</f>
        <v>1</v>
      </c>
      <c r="J539">
        <f>'insurance final cleaned'!P753</f>
        <v>0.4033827961195251</v>
      </c>
      <c r="K539">
        <f>'insurance final cleaned'!Q753</f>
        <v>0</v>
      </c>
      <c r="L539">
        <f>'insurance final cleaned'!R753</f>
        <v>0</v>
      </c>
      <c r="M539">
        <f>'insurance final cleaned'!S753</f>
        <v>0</v>
      </c>
    </row>
    <row r="540" spans="1:13" x14ac:dyDescent="0.3">
      <c r="A540">
        <f>'insurance final cleaned'!J379</f>
        <v>5246.05</v>
      </c>
      <c r="B540">
        <f>'insurance final cleaned'!B379</f>
        <v>57</v>
      </c>
      <c r="C540">
        <f>'insurance final cleaned'!D379</f>
        <v>34.799999999999997</v>
      </c>
      <c r="D540">
        <f>'insurance final cleaned'!G379</f>
        <v>1</v>
      </c>
      <c r="E540">
        <f>'insurance final cleaned'!E379</f>
        <v>96</v>
      </c>
      <c r="F540">
        <f>'insurance final cleaned'!L379</f>
        <v>0</v>
      </c>
      <c r="G540">
        <f>'insurance final cleaned'!M379</f>
        <v>0</v>
      </c>
      <c r="H540">
        <f>'insurance final cleaned'!N379</f>
        <v>1</v>
      </c>
      <c r="I540">
        <f>'insurance final cleaned'!O379</f>
        <v>0</v>
      </c>
      <c r="J540">
        <f>'insurance final cleaned'!P379</f>
        <v>0.40371303470340536</v>
      </c>
      <c r="K540">
        <f>'insurance final cleaned'!Q379</f>
        <v>0</v>
      </c>
      <c r="L540">
        <f>'insurance final cleaned'!R379</f>
        <v>0</v>
      </c>
      <c r="M540">
        <f>'insurance final cleaned'!S379</f>
        <v>1</v>
      </c>
    </row>
    <row r="541" spans="1:13" x14ac:dyDescent="0.3">
      <c r="A541">
        <f>'insurance final cleaned'!J562</f>
        <v>7729.65</v>
      </c>
      <c r="B541">
        <f>'insurance final cleaned'!B562</f>
        <v>50</v>
      </c>
      <c r="C541">
        <f>'insurance final cleaned'!D562</f>
        <v>26.1</v>
      </c>
      <c r="D541">
        <f>'insurance final cleaned'!G562</f>
        <v>2</v>
      </c>
      <c r="E541">
        <f>'insurance final cleaned'!E562</f>
        <v>96</v>
      </c>
      <c r="F541">
        <f>'insurance final cleaned'!L562</f>
        <v>0</v>
      </c>
      <c r="G541">
        <f>'insurance final cleaned'!M562</f>
        <v>1</v>
      </c>
      <c r="H541">
        <f>'insurance final cleaned'!N562</f>
        <v>0</v>
      </c>
      <c r="I541">
        <f>'insurance final cleaned'!O562</f>
        <v>0</v>
      </c>
      <c r="J541">
        <f>'insurance final cleaned'!P562</f>
        <v>0.40376865320885202</v>
      </c>
      <c r="K541">
        <f>'insurance final cleaned'!Q562</f>
        <v>0</v>
      </c>
      <c r="L541">
        <f>'insurance final cleaned'!R562</f>
        <v>1</v>
      </c>
      <c r="M541">
        <f>'insurance final cleaned'!S562</f>
        <v>0</v>
      </c>
    </row>
    <row r="542" spans="1:13" x14ac:dyDescent="0.3">
      <c r="A542">
        <f>'insurance final cleaned'!J463</f>
        <v>6402.29</v>
      </c>
      <c r="B542">
        <f>'insurance final cleaned'!B463</f>
        <v>42</v>
      </c>
      <c r="C542">
        <f>'insurance final cleaned'!D463</f>
        <v>23.5</v>
      </c>
      <c r="D542">
        <f>'insurance final cleaned'!G463</f>
        <v>2</v>
      </c>
      <c r="E542">
        <f>'insurance final cleaned'!E463</f>
        <v>94</v>
      </c>
      <c r="F542">
        <f>'insurance final cleaned'!L463</f>
        <v>0</v>
      </c>
      <c r="G542">
        <f>'insurance final cleaned'!M463</f>
        <v>1</v>
      </c>
      <c r="H542">
        <f>'insurance final cleaned'!N463</f>
        <v>0</v>
      </c>
      <c r="I542">
        <f>'insurance final cleaned'!O463</f>
        <v>0</v>
      </c>
      <c r="J542">
        <f>'insurance final cleaned'!P463</f>
        <v>0.40396672478853735</v>
      </c>
      <c r="K542">
        <f>'insurance final cleaned'!Q463</f>
        <v>0</v>
      </c>
      <c r="L542">
        <f>'insurance final cleaned'!R463</f>
        <v>0</v>
      </c>
      <c r="M542">
        <f>'insurance final cleaned'!S463</f>
        <v>1</v>
      </c>
    </row>
    <row r="543" spans="1:13" x14ac:dyDescent="0.3">
      <c r="A543">
        <f>'insurance final cleaned'!J1277</f>
        <v>41919.1</v>
      </c>
      <c r="B543">
        <f>'insurance final cleaned'!B1277</f>
        <v>37</v>
      </c>
      <c r="C543">
        <f>'insurance final cleaned'!D1277</f>
        <v>32.299999999999997</v>
      </c>
      <c r="D543">
        <f>'insurance final cleaned'!G1277</f>
        <v>1</v>
      </c>
      <c r="E543">
        <f>'insurance final cleaned'!E1277</f>
        <v>115</v>
      </c>
      <c r="F543">
        <f>'insurance final cleaned'!L1277</f>
        <v>32.299999999999997</v>
      </c>
      <c r="G543">
        <f>'insurance final cleaned'!M1277</f>
        <v>0</v>
      </c>
      <c r="H543">
        <f>'insurance final cleaned'!N1277</f>
        <v>0</v>
      </c>
      <c r="I543">
        <f>'insurance final cleaned'!O1277</f>
        <v>0</v>
      </c>
      <c r="J543">
        <f>'insurance final cleaned'!P1277</f>
        <v>0.4049195113844839</v>
      </c>
      <c r="K543">
        <f>'insurance final cleaned'!Q1277</f>
        <v>1</v>
      </c>
      <c r="L543">
        <f>'insurance final cleaned'!R1277</f>
        <v>0</v>
      </c>
      <c r="M543">
        <f>'insurance final cleaned'!S1277</f>
        <v>0</v>
      </c>
    </row>
    <row r="544" spans="1:13" x14ac:dyDescent="0.3">
      <c r="A544">
        <f>'insurance final cleaned'!J349</f>
        <v>4837.58</v>
      </c>
      <c r="B544">
        <f>'insurance final cleaned'!B349</f>
        <v>43</v>
      </c>
      <c r="C544">
        <f>'insurance final cleaned'!D349</f>
        <v>31.6</v>
      </c>
      <c r="D544">
        <f>'insurance final cleaned'!G349</f>
        <v>3</v>
      </c>
      <c r="E544">
        <f>'insurance final cleaned'!E349</f>
        <v>89</v>
      </c>
      <c r="F544">
        <f>'insurance final cleaned'!L349</f>
        <v>0</v>
      </c>
      <c r="G544">
        <f>'insurance final cleaned'!M349</f>
        <v>1</v>
      </c>
      <c r="H544">
        <f>'insurance final cleaned'!N349</f>
        <v>0</v>
      </c>
      <c r="I544">
        <f>'insurance final cleaned'!O349</f>
        <v>0</v>
      </c>
      <c r="J544">
        <f>'insurance final cleaned'!P349</f>
        <v>0.40578946021421758</v>
      </c>
      <c r="K544">
        <f>'insurance final cleaned'!Q349</f>
        <v>0</v>
      </c>
      <c r="L544">
        <f>'insurance final cleaned'!R349</f>
        <v>0</v>
      </c>
      <c r="M544">
        <f>'insurance final cleaned'!S349</f>
        <v>0</v>
      </c>
    </row>
    <row r="545" spans="1:13" x14ac:dyDescent="0.3">
      <c r="A545">
        <f>'insurance final cleaned'!J383</f>
        <v>5266.37</v>
      </c>
      <c r="B545">
        <f>'insurance final cleaned'!B383</f>
        <v>44</v>
      </c>
      <c r="C545">
        <f>'insurance final cleaned'!D383</f>
        <v>25.8</v>
      </c>
      <c r="D545">
        <f>'insurance final cleaned'!G383</f>
        <v>0</v>
      </c>
      <c r="E545">
        <f>'insurance final cleaned'!E383</f>
        <v>90</v>
      </c>
      <c r="F545">
        <f>'insurance final cleaned'!L383</f>
        <v>0</v>
      </c>
      <c r="G545">
        <f>'insurance final cleaned'!M383</f>
        <v>0</v>
      </c>
      <c r="H545">
        <f>'insurance final cleaned'!N383</f>
        <v>0</v>
      </c>
      <c r="I545">
        <f>'insurance final cleaned'!O383</f>
        <v>1</v>
      </c>
      <c r="J545">
        <f>'insurance final cleaned'!P383</f>
        <v>0.40625435592952608</v>
      </c>
      <c r="K545">
        <f>'insurance final cleaned'!Q383</f>
        <v>0</v>
      </c>
      <c r="L545">
        <f>'insurance final cleaned'!R383</f>
        <v>0</v>
      </c>
      <c r="M545">
        <f>'insurance final cleaned'!S383</f>
        <v>1</v>
      </c>
    </row>
    <row r="546" spans="1:13" x14ac:dyDescent="0.3">
      <c r="A546">
        <f>'insurance final cleaned'!J693</f>
        <v>9644.25</v>
      </c>
      <c r="B546">
        <f>'insurance final cleaned'!B693</f>
        <v>42</v>
      </c>
      <c r="C546">
        <f>'insurance final cleaned'!D693</f>
        <v>18.100000000000001</v>
      </c>
      <c r="D546">
        <f>'insurance final cleaned'!G693</f>
        <v>0</v>
      </c>
      <c r="E546">
        <f>'insurance final cleaned'!E693</f>
        <v>84</v>
      </c>
      <c r="F546">
        <f>'insurance final cleaned'!L693</f>
        <v>0</v>
      </c>
      <c r="G546">
        <f>'insurance final cleaned'!M693</f>
        <v>0</v>
      </c>
      <c r="H546">
        <f>'insurance final cleaned'!N693</f>
        <v>0</v>
      </c>
      <c r="I546">
        <f>'insurance final cleaned'!O693</f>
        <v>1</v>
      </c>
      <c r="J546">
        <f>'insurance final cleaned'!P693</f>
        <v>0.40824312508459548</v>
      </c>
      <c r="K546">
        <f>'insurance final cleaned'!Q693</f>
        <v>0</v>
      </c>
      <c r="L546">
        <f>'insurance final cleaned'!R693</f>
        <v>1</v>
      </c>
      <c r="M546">
        <f>'insurance final cleaned'!S693</f>
        <v>1</v>
      </c>
    </row>
    <row r="547" spans="1:13" x14ac:dyDescent="0.3">
      <c r="A547">
        <f>'insurance final cleaned'!J971</f>
        <v>14418.28</v>
      </c>
      <c r="B547">
        <f>'insurance final cleaned'!B971</f>
        <v>31</v>
      </c>
      <c r="C547">
        <f>'insurance final cleaned'!D971</f>
        <v>39.200000000000003</v>
      </c>
      <c r="D547">
        <f>'insurance final cleaned'!G971</f>
        <v>1</v>
      </c>
      <c r="E547">
        <f>'insurance final cleaned'!E971</f>
        <v>91</v>
      </c>
      <c r="F547">
        <f>'insurance final cleaned'!L971</f>
        <v>0</v>
      </c>
      <c r="G547">
        <f>'insurance final cleaned'!M971</f>
        <v>1</v>
      </c>
      <c r="H547">
        <f>'insurance final cleaned'!N971</f>
        <v>0</v>
      </c>
      <c r="I547">
        <f>'insurance final cleaned'!O971</f>
        <v>0</v>
      </c>
      <c r="J547">
        <f>'insurance final cleaned'!P971</f>
        <v>0.4083288455632359</v>
      </c>
      <c r="K547">
        <f>'insurance final cleaned'!Q971</f>
        <v>0</v>
      </c>
      <c r="L547">
        <f>'insurance final cleaned'!R971</f>
        <v>0</v>
      </c>
      <c r="M547">
        <f>'insurance final cleaned'!S971</f>
        <v>0</v>
      </c>
    </row>
    <row r="548" spans="1:13" x14ac:dyDescent="0.3">
      <c r="A548">
        <f>'insurance final cleaned'!J1145</f>
        <v>25517.11</v>
      </c>
      <c r="B548">
        <f>'insurance final cleaned'!B1145</f>
        <v>19</v>
      </c>
      <c r="C548">
        <f>'insurance final cleaned'!D1145</f>
        <v>25.5</v>
      </c>
      <c r="D548">
        <f>'insurance final cleaned'!G1145</f>
        <v>1</v>
      </c>
      <c r="E548">
        <f>'insurance final cleaned'!E1145</f>
        <v>85</v>
      </c>
      <c r="F548">
        <f>'insurance final cleaned'!L1145</f>
        <v>0</v>
      </c>
      <c r="G548">
        <f>'insurance final cleaned'!M1145</f>
        <v>0</v>
      </c>
      <c r="H548">
        <f>'insurance final cleaned'!N1145</f>
        <v>0</v>
      </c>
      <c r="I548">
        <f>'insurance final cleaned'!O1145</f>
        <v>0</v>
      </c>
      <c r="J548">
        <f>'insurance final cleaned'!P1145</f>
        <v>0.41005908486892273</v>
      </c>
      <c r="K548">
        <f>'insurance final cleaned'!Q1145</f>
        <v>0</v>
      </c>
      <c r="L548">
        <f>'insurance final cleaned'!R1145</f>
        <v>1</v>
      </c>
      <c r="M548">
        <f>'insurance final cleaned'!S1145</f>
        <v>0</v>
      </c>
    </row>
    <row r="549" spans="1:13" x14ac:dyDescent="0.3">
      <c r="A549">
        <f>'insurance final cleaned'!J1078</f>
        <v>20630.28</v>
      </c>
      <c r="B549">
        <f>'insurance final cleaned'!B1078</f>
        <v>19</v>
      </c>
      <c r="C549">
        <f>'insurance final cleaned'!D1078</f>
        <v>37.299999999999997</v>
      </c>
      <c r="D549">
        <f>'insurance final cleaned'!G1078</f>
        <v>0</v>
      </c>
      <c r="E549">
        <f>'insurance final cleaned'!E1078</f>
        <v>102</v>
      </c>
      <c r="F549">
        <f>'insurance final cleaned'!L1078</f>
        <v>0</v>
      </c>
      <c r="G549">
        <f>'insurance final cleaned'!M1078</f>
        <v>0</v>
      </c>
      <c r="H549">
        <f>'insurance final cleaned'!N1078</f>
        <v>1</v>
      </c>
      <c r="I549">
        <f>'insurance final cleaned'!O1078</f>
        <v>0</v>
      </c>
      <c r="J549">
        <f>'insurance final cleaned'!P1078</f>
        <v>0.41123347624550843</v>
      </c>
      <c r="K549">
        <f>'insurance final cleaned'!Q1078</f>
        <v>0</v>
      </c>
      <c r="L549">
        <f>'insurance final cleaned'!R1078</f>
        <v>1</v>
      </c>
      <c r="M549">
        <f>'insurance final cleaned'!S1078</f>
        <v>0</v>
      </c>
    </row>
    <row r="550" spans="1:13" x14ac:dyDescent="0.3">
      <c r="A550">
        <f>'insurance final cleaned'!J1052</f>
        <v>19199.939999999999</v>
      </c>
      <c r="B550">
        <f>'insurance final cleaned'!B1052</f>
        <v>43</v>
      </c>
      <c r="C550">
        <f>'insurance final cleaned'!D1052</f>
        <v>25.9</v>
      </c>
      <c r="D550">
        <f>'insurance final cleaned'!G1052</f>
        <v>3</v>
      </c>
      <c r="E550">
        <f>'insurance final cleaned'!E1052</f>
        <v>81</v>
      </c>
      <c r="F550">
        <f>'insurance final cleaned'!L1052</f>
        <v>25.9</v>
      </c>
      <c r="G550">
        <f>'insurance final cleaned'!M1052</f>
        <v>0</v>
      </c>
      <c r="H550">
        <f>'insurance final cleaned'!N1052</f>
        <v>1</v>
      </c>
      <c r="I550">
        <f>'insurance final cleaned'!O1052</f>
        <v>0</v>
      </c>
      <c r="J550">
        <f>'insurance final cleaned'!P1052</f>
        <v>0.41147724391863216</v>
      </c>
      <c r="K550">
        <f>'insurance final cleaned'!Q1052</f>
        <v>1</v>
      </c>
      <c r="L550">
        <f>'insurance final cleaned'!R1052</f>
        <v>0</v>
      </c>
      <c r="M550">
        <f>'insurance final cleaned'!S1052</f>
        <v>0</v>
      </c>
    </row>
    <row r="551" spans="1:13" x14ac:dyDescent="0.3">
      <c r="A551">
        <f>'insurance final cleaned'!J1222</f>
        <v>36307.800000000003</v>
      </c>
      <c r="B551">
        <f>'insurance final cleaned'!B1222</f>
        <v>32</v>
      </c>
      <c r="C551">
        <f>'insurance final cleaned'!D1222</f>
        <v>38.200000000000003</v>
      </c>
      <c r="D551">
        <f>'insurance final cleaned'!G1222</f>
        <v>0</v>
      </c>
      <c r="E551">
        <f>'insurance final cleaned'!E1222</f>
        <v>135</v>
      </c>
      <c r="F551">
        <f>'insurance final cleaned'!L1222</f>
        <v>38.200000000000003</v>
      </c>
      <c r="G551">
        <f>'insurance final cleaned'!M1222</f>
        <v>1</v>
      </c>
      <c r="H551">
        <f>'insurance final cleaned'!N1222</f>
        <v>0</v>
      </c>
      <c r="I551">
        <f>'insurance final cleaned'!O1222</f>
        <v>0</v>
      </c>
      <c r="J551">
        <f>'insurance final cleaned'!P1222</f>
        <v>0.41246856366838203</v>
      </c>
      <c r="K551">
        <f>'insurance final cleaned'!Q1222</f>
        <v>1</v>
      </c>
      <c r="L551">
        <f>'insurance final cleaned'!R1222</f>
        <v>1</v>
      </c>
      <c r="M551">
        <f>'insurance final cleaned'!S1222</f>
        <v>0</v>
      </c>
    </row>
    <row r="552" spans="1:13" x14ac:dyDescent="0.3">
      <c r="A552">
        <f>'insurance final cleaned'!J243</f>
        <v>3591.48</v>
      </c>
      <c r="B552">
        <f>'insurance final cleaned'!B243</f>
        <v>23</v>
      </c>
      <c r="C552">
        <f>'insurance final cleaned'!D243</f>
        <v>32.700000000000003</v>
      </c>
      <c r="D552">
        <f>'insurance final cleaned'!G243</f>
        <v>3</v>
      </c>
      <c r="E552">
        <f>'insurance final cleaned'!E243</f>
        <v>82</v>
      </c>
      <c r="F552">
        <f>'insurance final cleaned'!L243</f>
        <v>0</v>
      </c>
      <c r="G552">
        <f>'insurance final cleaned'!M243</f>
        <v>0</v>
      </c>
      <c r="H552">
        <f>'insurance final cleaned'!N243</f>
        <v>1</v>
      </c>
      <c r="I552">
        <f>'insurance final cleaned'!O243</f>
        <v>0</v>
      </c>
      <c r="J552">
        <f>'insurance final cleaned'!P243</f>
        <v>0.41258132331735597</v>
      </c>
      <c r="K552">
        <f>'insurance final cleaned'!Q243</f>
        <v>0</v>
      </c>
      <c r="L552">
        <f>'insurance final cleaned'!R243</f>
        <v>1</v>
      </c>
      <c r="M552">
        <f>'insurance final cleaned'!S243</f>
        <v>0</v>
      </c>
    </row>
    <row r="553" spans="1:13" x14ac:dyDescent="0.3">
      <c r="A553">
        <f>'insurance final cleaned'!J587</f>
        <v>8211.1</v>
      </c>
      <c r="B553">
        <f>'insurance final cleaned'!B587</f>
        <v>29</v>
      </c>
      <c r="C553">
        <f>'insurance final cleaned'!D587</f>
        <v>24</v>
      </c>
      <c r="D553">
        <f>'insurance final cleaned'!G587</f>
        <v>2</v>
      </c>
      <c r="E553">
        <f>'insurance final cleaned'!E587</f>
        <v>92</v>
      </c>
      <c r="F553">
        <f>'insurance final cleaned'!L587</f>
        <v>0</v>
      </c>
      <c r="G553">
        <f>'insurance final cleaned'!M587</f>
        <v>1</v>
      </c>
      <c r="H553">
        <f>'insurance final cleaned'!N587</f>
        <v>0</v>
      </c>
      <c r="I553">
        <f>'insurance final cleaned'!O587</f>
        <v>0</v>
      </c>
      <c r="J553">
        <f>'insurance final cleaned'!P587</f>
        <v>0.4127000168451016</v>
      </c>
      <c r="K553">
        <f>'insurance final cleaned'!Q587</f>
        <v>0</v>
      </c>
      <c r="L553">
        <f>'insurance final cleaned'!R587</f>
        <v>0</v>
      </c>
      <c r="M553">
        <f>'insurance final cleaned'!S587</f>
        <v>1</v>
      </c>
    </row>
    <row r="554" spans="1:13" x14ac:dyDescent="0.3">
      <c r="A554">
        <f>'insurance final cleaned'!J1311</f>
        <v>46200.99</v>
      </c>
      <c r="B554">
        <f>'insurance final cleaned'!B1311</f>
        <v>47</v>
      </c>
      <c r="C554">
        <f>'insurance final cleaned'!D1311</f>
        <v>43.9</v>
      </c>
      <c r="D554">
        <f>'insurance final cleaned'!G1311</f>
        <v>2</v>
      </c>
      <c r="E554">
        <f>'insurance final cleaned'!E1311</f>
        <v>104</v>
      </c>
      <c r="F554">
        <f>'insurance final cleaned'!L1311</f>
        <v>43.9</v>
      </c>
      <c r="G554">
        <f>'insurance final cleaned'!M1311</f>
        <v>1</v>
      </c>
      <c r="H554">
        <f>'insurance final cleaned'!N1311</f>
        <v>0</v>
      </c>
      <c r="I554">
        <f>'insurance final cleaned'!O1311</f>
        <v>0</v>
      </c>
      <c r="J554">
        <f>'insurance final cleaned'!P1311</f>
        <v>0.41382310201649974</v>
      </c>
      <c r="K554">
        <f>'insurance final cleaned'!Q1311</f>
        <v>1</v>
      </c>
      <c r="L554">
        <f>'insurance final cleaned'!R1311</f>
        <v>0</v>
      </c>
      <c r="M554">
        <f>'insurance final cleaned'!S1311</f>
        <v>1</v>
      </c>
    </row>
    <row r="555" spans="1:13" x14ac:dyDescent="0.3">
      <c r="A555">
        <f>'insurance final cleaned'!J517</f>
        <v>7153.55</v>
      </c>
      <c r="B555">
        <f>'insurance final cleaned'!B517</f>
        <v>27</v>
      </c>
      <c r="C555">
        <f>'insurance final cleaned'!D517</f>
        <v>28.3</v>
      </c>
      <c r="D555">
        <f>'insurance final cleaned'!G517</f>
        <v>1</v>
      </c>
      <c r="E555">
        <f>'insurance final cleaned'!E517</f>
        <v>88</v>
      </c>
      <c r="F555">
        <f>'insurance final cleaned'!L517</f>
        <v>0</v>
      </c>
      <c r="G555">
        <f>'insurance final cleaned'!M517</f>
        <v>0</v>
      </c>
      <c r="H555">
        <f>'insurance final cleaned'!N517</f>
        <v>0</v>
      </c>
      <c r="I555">
        <f>'insurance final cleaned'!O517</f>
        <v>1</v>
      </c>
      <c r="J555">
        <f>'insurance final cleaned'!P517</f>
        <v>0.41620412260715423</v>
      </c>
      <c r="K555">
        <f>'insurance final cleaned'!Q517</f>
        <v>0</v>
      </c>
      <c r="L555">
        <f>'insurance final cleaned'!R517</f>
        <v>0</v>
      </c>
      <c r="M555">
        <f>'insurance final cleaned'!S517</f>
        <v>1</v>
      </c>
    </row>
    <row r="556" spans="1:13" x14ac:dyDescent="0.3">
      <c r="A556">
        <f>'insurance final cleaned'!J1260</f>
        <v>39836.519999999997</v>
      </c>
      <c r="B556">
        <f>'insurance final cleaned'!B1260</f>
        <v>38</v>
      </c>
      <c r="C556">
        <f>'insurance final cleaned'!D1260</f>
        <v>34.799999999999997</v>
      </c>
      <c r="D556">
        <f>'insurance final cleaned'!G1260</f>
        <v>2</v>
      </c>
      <c r="E556">
        <f>'insurance final cleaned'!E1260</f>
        <v>132</v>
      </c>
      <c r="F556">
        <f>'insurance final cleaned'!L1260</f>
        <v>34.799999999999997</v>
      </c>
      <c r="G556">
        <f>'insurance final cleaned'!M1260</f>
        <v>0</v>
      </c>
      <c r="H556">
        <f>'insurance final cleaned'!N1260</f>
        <v>1</v>
      </c>
      <c r="I556">
        <f>'insurance final cleaned'!O1260</f>
        <v>0</v>
      </c>
      <c r="J556">
        <f>'insurance final cleaned'!P1260</f>
        <v>0.41686745604172726</v>
      </c>
      <c r="K556">
        <f>'insurance final cleaned'!Q1260</f>
        <v>1</v>
      </c>
      <c r="L556">
        <f>'insurance final cleaned'!R1260</f>
        <v>0</v>
      </c>
      <c r="M556">
        <f>'insurance final cleaned'!S1260</f>
        <v>1</v>
      </c>
    </row>
    <row r="557" spans="1:13" x14ac:dyDescent="0.3">
      <c r="A557">
        <f>'insurance final cleaned'!J1331</f>
        <v>48824.45</v>
      </c>
      <c r="B557">
        <f>'insurance final cleaned'!B1331</f>
        <v>52</v>
      </c>
      <c r="C557">
        <f>'insurance final cleaned'!D1331</f>
        <v>37.700000000000003</v>
      </c>
      <c r="D557">
        <f>'insurance final cleaned'!G1331</f>
        <v>0</v>
      </c>
      <c r="E557">
        <f>'insurance final cleaned'!E1331</f>
        <v>109</v>
      </c>
      <c r="F557">
        <f>'insurance final cleaned'!L1331</f>
        <v>37.700000000000003</v>
      </c>
      <c r="G557">
        <f>'insurance final cleaned'!M1331</f>
        <v>0</v>
      </c>
      <c r="H557">
        <f>'insurance final cleaned'!N1331</f>
        <v>1</v>
      </c>
      <c r="I557">
        <f>'insurance final cleaned'!O1331</f>
        <v>0</v>
      </c>
      <c r="J557">
        <f>'insurance final cleaned'!P1331</f>
        <v>0.41762442429502145</v>
      </c>
      <c r="K557">
        <f>'insurance final cleaned'!Q1331</f>
        <v>1</v>
      </c>
      <c r="L557">
        <f>'insurance final cleaned'!R1331</f>
        <v>1</v>
      </c>
      <c r="M557">
        <f>'insurance final cleaned'!S1331</f>
        <v>1</v>
      </c>
    </row>
    <row r="558" spans="1:13" x14ac:dyDescent="0.3">
      <c r="A558">
        <f>'insurance final cleaned'!J1080</f>
        <v>20745.990000000002</v>
      </c>
      <c r="B558">
        <f>'insurance final cleaned'!B1080</f>
        <v>39</v>
      </c>
      <c r="C558">
        <f>'insurance final cleaned'!D1080</f>
        <v>28.7</v>
      </c>
      <c r="D558">
        <f>'insurance final cleaned'!G1080</f>
        <v>3</v>
      </c>
      <c r="E558">
        <f>'insurance final cleaned'!E1080</f>
        <v>81</v>
      </c>
      <c r="F558">
        <f>'insurance final cleaned'!L1080</f>
        <v>28.7</v>
      </c>
      <c r="G558">
        <f>'insurance final cleaned'!M1080</f>
        <v>0</v>
      </c>
      <c r="H558">
        <f>'insurance final cleaned'!N1080</f>
        <v>0</v>
      </c>
      <c r="I558">
        <f>'insurance final cleaned'!O1080</f>
        <v>1</v>
      </c>
      <c r="J558">
        <f>'insurance final cleaned'!P1080</f>
        <v>0.41767571915496338</v>
      </c>
      <c r="K558">
        <f>'insurance final cleaned'!Q1080</f>
        <v>1</v>
      </c>
      <c r="L558">
        <f>'insurance final cleaned'!R1080</f>
        <v>0</v>
      </c>
      <c r="M558">
        <f>'insurance final cleaned'!S1080</f>
        <v>0</v>
      </c>
    </row>
    <row r="559" spans="1:13" x14ac:dyDescent="0.3">
      <c r="A559">
        <f>'insurance final cleaned'!J724</f>
        <v>10118.42</v>
      </c>
      <c r="B559">
        <f>'insurance final cleaned'!B724</f>
        <v>36</v>
      </c>
      <c r="C559">
        <f>'insurance final cleaned'!D724</f>
        <v>31.6</v>
      </c>
      <c r="D559">
        <f>'insurance final cleaned'!G724</f>
        <v>2</v>
      </c>
      <c r="E559">
        <f>'insurance final cleaned'!E724</f>
        <v>99</v>
      </c>
      <c r="F559">
        <f>'insurance final cleaned'!L724</f>
        <v>0</v>
      </c>
      <c r="G559">
        <f>'insurance final cleaned'!M724</f>
        <v>0</v>
      </c>
      <c r="H559">
        <f>'insurance final cleaned'!N724</f>
        <v>1</v>
      </c>
      <c r="I559">
        <f>'insurance final cleaned'!O724</f>
        <v>0</v>
      </c>
      <c r="J559">
        <f>'insurance final cleaned'!P724</f>
        <v>0.41777836976460681</v>
      </c>
      <c r="K559">
        <f>'insurance final cleaned'!Q724</f>
        <v>0</v>
      </c>
      <c r="L559">
        <f>'insurance final cleaned'!R724</f>
        <v>0</v>
      </c>
      <c r="M559">
        <f>'insurance final cleaned'!S724</f>
        <v>1</v>
      </c>
    </row>
    <row r="560" spans="1:13" x14ac:dyDescent="0.3">
      <c r="A560">
        <f>'insurance final cleaned'!J289</f>
        <v>4239.8900000000003</v>
      </c>
      <c r="B560">
        <f>'insurance final cleaned'!B289</f>
        <v>35</v>
      </c>
      <c r="C560">
        <f>'insurance final cleaned'!D289</f>
        <v>25.9</v>
      </c>
      <c r="D560">
        <f>'insurance final cleaned'!G289</f>
        <v>1</v>
      </c>
      <c r="E560">
        <f>'insurance final cleaned'!E289</f>
        <v>84</v>
      </c>
      <c r="F560">
        <f>'insurance final cleaned'!L289</f>
        <v>0</v>
      </c>
      <c r="G560">
        <f>'insurance final cleaned'!M289</f>
        <v>0</v>
      </c>
      <c r="H560">
        <f>'insurance final cleaned'!N289</f>
        <v>0</v>
      </c>
      <c r="I560">
        <f>'insurance final cleaned'!O289</f>
        <v>1</v>
      </c>
      <c r="J560">
        <f>'insurance final cleaned'!P289</f>
        <v>0.41985412154330837</v>
      </c>
      <c r="K560">
        <f>'insurance final cleaned'!Q289</f>
        <v>0</v>
      </c>
      <c r="L560">
        <f>'insurance final cleaned'!R289</f>
        <v>1</v>
      </c>
      <c r="M560">
        <f>'insurance final cleaned'!S289</f>
        <v>0</v>
      </c>
    </row>
    <row r="561" spans="1:13" x14ac:dyDescent="0.3">
      <c r="A561">
        <f>'insurance final cleaned'!J44</f>
        <v>1639.56</v>
      </c>
      <c r="B561">
        <f>'insurance final cleaned'!B44</f>
        <v>32</v>
      </c>
      <c r="C561">
        <f>'insurance final cleaned'!D44</f>
        <v>30.6</v>
      </c>
      <c r="D561">
        <f>'insurance final cleaned'!G44</f>
        <v>0</v>
      </c>
      <c r="E561">
        <f>'insurance final cleaned'!E44</f>
        <v>93</v>
      </c>
      <c r="F561">
        <f>'insurance final cleaned'!L44</f>
        <v>0</v>
      </c>
      <c r="G561">
        <f>'insurance final cleaned'!M44</f>
        <v>0</v>
      </c>
      <c r="H561">
        <f>'insurance final cleaned'!N44</f>
        <v>0</v>
      </c>
      <c r="I561">
        <f>'insurance final cleaned'!O44</f>
        <v>1</v>
      </c>
      <c r="J561">
        <f>'insurance final cleaned'!P44</f>
        <v>0.42033475161408984</v>
      </c>
      <c r="K561">
        <f>'insurance final cleaned'!Q44</f>
        <v>0</v>
      </c>
      <c r="L561">
        <f>'insurance final cleaned'!R44</f>
        <v>0</v>
      </c>
      <c r="M561">
        <f>'insurance final cleaned'!S44</f>
        <v>0</v>
      </c>
    </row>
    <row r="562" spans="1:13" x14ac:dyDescent="0.3">
      <c r="A562">
        <f>'insurance final cleaned'!J1242</f>
        <v>38344.57</v>
      </c>
      <c r="B562">
        <f>'insurance final cleaned'!B1242</f>
        <v>34</v>
      </c>
      <c r="C562">
        <f>'insurance final cleaned'!D1242</f>
        <v>39.4</v>
      </c>
      <c r="D562">
        <f>'insurance final cleaned'!G1242</f>
        <v>2</v>
      </c>
      <c r="E562">
        <f>'insurance final cleaned'!E1242</f>
        <v>85</v>
      </c>
      <c r="F562">
        <f>'insurance final cleaned'!L1242</f>
        <v>39.4</v>
      </c>
      <c r="G562">
        <f>'insurance final cleaned'!M1242</f>
        <v>0</v>
      </c>
      <c r="H562">
        <f>'insurance final cleaned'!N1242</f>
        <v>1</v>
      </c>
      <c r="I562">
        <f>'insurance final cleaned'!O1242</f>
        <v>0</v>
      </c>
      <c r="J562">
        <f>'insurance final cleaned'!P1242</f>
        <v>0.42139669322272122</v>
      </c>
      <c r="K562">
        <f>'insurance final cleaned'!Q1242</f>
        <v>1</v>
      </c>
      <c r="L562">
        <f>'insurance final cleaned'!R1242</f>
        <v>0</v>
      </c>
      <c r="M562">
        <f>'insurance final cleaned'!S1242</f>
        <v>0</v>
      </c>
    </row>
    <row r="563" spans="1:13" x14ac:dyDescent="0.3">
      <c r="A563">
        <f>'insurance final cleaned'!J667</f>
        <v>9288.0300000000007</v>
      </c>
      <c r="B563">
        <f>'insurance final cleaned'!B667</f>
        <v>44</v>
      </c>
      <c r="C563">
        <f>'insurance final cleaned'!D667</f>
        <v>29.8</v>
      </c>
      <c r="D563">
        <f>'insurance final cleaned'!G667</f>
        <v>1</v>
      </c>
      <c r="E563">
        <f>'insurance final cleaned'!E667</f>
        <v>82</v>
      </c>
      <c r="F563">
        <f>'insurance final cleaned'!L667</f>
        <v>0</v>
      </c>
      <c r="G563">
        <f>'insurance final cleaned'!M667</f>
        <v>0</v>
      </c>
      <c r="H563">
        <f>'insurance final cleaned'!N667</f>
        <v>0</v>
      </c>
      <c r="I563">
        <f>'insurance final cleaned'!O667</f>
        <v>0</v>
      </c>
      <c r="J563">
        <f>'insurance final cleaned'!P667</f>
        <v>0.42176002573464333</v>
      </c>
      <c r="K563">
        <f>'insurance final cleaned'!Q667</f>
        <v>0</v>
      </c>
      <c r="L563">
        <f>'insurance final cleaned'!R667</f>
        <v>1</v>
      </c>
      <c r="M563">
        <f>'insurance final cleaned'!S667</f>
        <v>0</v>
      </c>
    </row>
    <row r="564" spans="1:13" x14ac:dyDescent="0.3">
      <c r="A564">
        <f>'insurance final cleaned'!J572</f>
        <v>7985.82</v>
      </c>
      <c r="B564">
        <f>'insurance final cleaned'!B572</f>
        <v>51</v>
      </c>
      <c r="C564">
        <f>'insurance final cleaned'!D572</f>
        <v>22.8</v>
      </c>
      <c r="D564">
        <f>'insurance final cleaned'!G572</f>
        <v>3</v>
      </c>
      <c r="E564">
        <f>'insurance final cleaned'!E572</f>
        <v>86</v>
      </c>
      <c r="F564">
        <f>'insurance final cleaned'!L572</f>
        <v>0</v>
      </c>
      <c r="G564">
        <f>'insurance final cleaned'!M572</f>
        <v>0</v>
      </c>
      <c r="H564">
        <f>'insurance final cleaned'!N572</f>
        <v>0</v>
      </c>
      <c r="I564">
        <f>'insurance final cleaned'!O572</f>
        <v>0</v>
      </c>
      <c r="J564">
        <f>'insurance final cleaned'!P572</f>
        <v>0.42231114977886985</v>
      </c>
      <c r="K564">
        <f>'insurance final cleaned'!Q572</f>
        <v>0</v>
      </c>
      <c r="L564">
        <f>'insurance final cleaned'!R572</f>
        <v>1</v>
      </c>
      <c r="M564">
        <f>'insurance final cleaned'!S572</f>
        <v>1</v>
      </c>
    </row>
    <row r="565" spans="1:13" x14ac:dyDescent="0.3">
      <c r="A565">
        <f>'insurance final cleaned'!J626</f>
        <v>8605.36</v>
      </c>
      <c r="B565">
        <f>'insurance final cleaned'!B626</f>
        <v>42</v>
      </c>
      <c r="C565">
        <f>'insurance final cleaned'!D626</f>
        <v>20.399999999999999</v>
      </c>
      <c r="D565">
        <f>'insurance final cleaned'!G626</f>
        <v>3</v>
      </c>
      <c r="E565">
        <f>'insurance final cleaned'!E626</f>
        <v>97</v>
      </c>
      <c r="F565">
        <f>'insurance final cleaned'!L626</f>
        <v>0</v>
      </c>
      <c r="G565">
        <f>'insurance final cleaned'!M626</f>
        <v>1</v>
      </c>
      <c r="H565">
        <f>'insurance final cleaned'!N626</f>
        <v>0</v>
      </c>
      <c r="I565">
        <f>'insurance final cleaned'!O626</f>
        <v>0</v>
      </c>
      <c r="J565">
        <f>'insurance final cleaned'!P626</f>
        <v>0.42267832449339471</v>
      </c>
      <c r="K565">
        <f>'insurance final cleaned'!Q626</f>
        <v>0</v>
      </c>
      <c r="L565">
        <f>'insurance final cleaned'!R626</f>
        <v>0</v>
      </c>
      <c r="M565">
        <f>'insurance final cleaned'!S626</f>
        <v>0</v>
      </c>
    </row>
    <row r="566" spans="1:13" x14ac:dyDescent="0.3">
      <c r="A566">
        <f>'insurance final cleaned'!J1326</f>
        <v>48173.36</v>
      </c>
      <c r="B566">
        <f>'insurance final cleaned'!B1326</f>
        <v>39</v>
      </c>
      <c r="C566">
        <f>'insurance final cleaned'!D1326</f>
        <v>39.9</v>
      </c>
      <c r="D566">
        <f>'insurance final cleaned'!G1326</f>
        <v>0</v>
      </c>
      <c r="E566">
        <f>'insurance final cleaned'!E1326</f>
        <v>115</v>
      </c>
      <c r="F566">
        <f>'insurance final cleaned'!L1326</f>
        <v>39.9</v>
      </c>
      <c r="G566">
        <f>'insurance final cleaned'!M1326</f>
        <v>0</v>
      </c>
      <c r="H566">
        <f>'insurance final cleaned'!N1326</f>
        <v>1</v>
      </c>
      <c r="I566">
        <f>'insurance final cleaned'!O1326</f>
        <v>0</v>
      </c>
      <c r="J566">
        <f>'insurance final cleaned'!P1326</f>
        <v>0.42485586364593519</v>
      </c>
      <c r="K566">
        <f>'insurance final cleaned'!Q1326</f>
        <v>1</v>
      </c>
      <c r="L566">
        <f>'insurance final cleaned'!R1326</f>
        <v>0</v>
      </c>
      <c r="M566">
        <f>'insurance final cleaned'!S1326</f>
        <v>0</v>
      </c>
    </row>
    <row r="567" spans="1:13" x14ac:dyDescent="0.3">
      <c r="A567">
        <f>'insurance final cleaned'!J1281</f>
        <v>42112.24</v>
      </c>
      <c r="B567">
        <f>'insurance final cleaned'!B1281</f>
        <v>37</v>
      </c>
      <c r="C567">
        <f>'insurance final cleaned'!D1281</f>
        <v>45.5</v>
      </c>
      <c r="D567">
        <f>'insurance final cleaned'!G1281</f>
        <v>2</v>
      </c>
      <c r="E567">
        <f>'insurance final cleaned'!E1281</f>
        <v>124</v>
      </c>
      <c r="F567">
        <f>'insurance final cleaned'!L1281</f>
        <v>45.5</v>
      </c>
      <c r="G567">
        <f>'insurance final cleaned'!M1281</f>
        <v>1</v>
      </c>
      <c r="H567">
        <f>'insurance final cleaned'!N1281</f>
        <v>0</v>
      </c>
      <c r="I567">
        <f>'insurance final cleaned'!O1281</f>
        <v>0</v>
      </c>
      <c r="J567">
        <f>'insurance final cleaned'!P1281</f>
        <v>0.42524106316572907</v>
      </c>
      <c r="K567">
        <f>'insurance final cleaned'!Q1281</f>
        <v>1</v>
      </c>
      <c r="L567">
        <f>'insurance final cleaned'!R1281</f>
        <v>1</v>
      </c>
      <c r="M567">
        <f>'insurance final cleaned'!S1281</f>
        <v>0</v>
      </c>
    </row>
    <row r="568" spans="1:13" x14ac:dyDescent="0.3">
      <c r="A568">
        <f>'insurance final cleaned'!J415</f>
        <v>5708.87</v>
      </c>
      <c r="B568">
        <f>'insurance final cleaned'!B415</f>
        <v>43</v>
      </c>
      <c r="C568">
        <f>'insurance final cleaned'!D415</f>
        <v>25.6</v>
      </c>
      <c r="D568">
        <f>'insurance final cleaned'!G415</f>
        <v>4</v>
      </c>
      <c r="E568">
        <f>'insurance final cleaned'!E415</f>
        <v>82</v>
      </c>
      <c r="F568">
        <f>'insurance final cleaned'!L415</f>
        <v>0</v>
      </c>
      <c r="G568">
        <f>'insurance final cleaned'!M415</f>
        <v>0</v>
      </c>
      <c r="H568">
        <f>'insurance final cleaned'!N415</f>
        <v>1</v>
      </c>
      <c r="I568">
        <f>'insurance final cleaned'!O415</f>
        <v>0</v>
      </c>
      <c r="J568">
        <f>'insurance final cleaned'!P415</f>
        <v>0.42689698679767585</v>
      </c>
      <c r="K568">
        <f>'insurance final cleaned'!Q415</f>
        <v>0</v>
      </c>
      <c r="L568">
        <f>'insurance final cleaned'!R415</f>
        <v>0</v>
      </c>
      <c r="M568">
        <f>'insurance final cleaned'!S415</f>
        <v>1</v>
      </c>
    </row>
    <row r="569" spans="1:13" x14ac:dyDescent="0.3">
      <c r="A569">
        <f>'insurance final cleaned'!J1197</f>
        <v>33907.550000000003</v>
      </c>
      <c r="B569">
        <f>'insurance final cleaned'!B1197</f>
        <v>59</v>
      </c>
      <c r="C569">
        <f>'insurance final cleaned'!D1197</f>
        <v>30.4</v>
      </c>
      <c r="D569">
        <f>'insurance final cleaned'!G1197</f>
        <v>0</v>
      </c>
      <c r="E569">
        <f>'insurance final cleaned'!E1197</f>
        <v>80</v>
      </c>
      <c r="F569">
        <f>'insurance final cleaned'!L1197</f>
        <v>30.4</v>
      </c>
      <c r="G569">
        <f>'insurance final cleaned'!M1197</f>
        <v>0</v>
      </c>
      <c r="H569">
        <f>'insurance final cleaned'!N1197</f>
        <v>0</v>
      </c>
      <c r="I569">
        <f>'insurance final cleaned'!O1197</f>
        <v>1</v>
      </c>
      <c r="J569">
        <f>'insurance final cleaned'!P1197</f>
        <v>0.42790332856076196</v>
      </c>
      <c r="K569">
        <f>'insurance final cleaned'!Q1197</f>
        <v>1</v>
      </c>
      <c r="L569">
        <f>'insurance final cleaned'!R1197</f>
        <v>0</v>
      </c>
      <c r="M569">
        <f>'insurance final cleaned'!S1197</f>
        <v>1</v>
      </c>
    </row>
    <row r="570" spans="1:13" x14ac:dyDescent="0.3">
      <c r="A570">
        <f>'insurance final cleaned'!J609</f>
        <v>8515.76</v>
      </c>
      <c r="B570">
        <f>'insurance final cleaned'!B609</f>
        <v>50</v>
      </c>
      <c r="C570">
        <f>'insurance final cleaned'!D609</f>
        <v>27.8</v>
      </c>
      <c r="D570">
        <f>'insurance final cleaned'!G609</f>
        <v>2</v>
      </c>
      <c r="E570">
        <f>'insurance final cleaned'!E609</f>
        <v>80</v>
      </c>
      <c r="F570">
        <f>'insurance final cleaned'!L609</f>
        <v>0</v>
      </c>
      <c r="G570">
        <f>'insurance final cleaned'!M609</f>
        <v>1</v>
      </c>
      <c r="H570">
        <f>'insurance final cleaned'!N609</f>
        <v>0</v>
      </c>
      <c r="I570">
        <f>'insurance final cleaned'!O609</f>
        <v>0</v>
      </c>
      <c r="J570">
        <f>'insurance final cleaned'!P609</f>
        <v>0.43299659821455772</v>
      </c>
      <c r="K570">
        <f>'insurance final cleaned'!Q609</f>
        <v>0</v>
      </c>
      <c r="L570">
        <f>'insurance final cleaned'!R609</f>
        <v>0</v>
      </c>
      <c r="M570">
        <f>'insurance final cleaned'!S609</f>
        <v>1</v>
      </c>
    </row>
    <row r="571" spans="1:13" x14ac:dyDescent="0.3">
      <c r="A571">
        <f>'insurance final cleaned'!J973</f>
        <v>14449.85</v>
      </c>
      <c r="B571">
        <f>'insurance final cleaned'!B973</f>
        <v>56</v>
      </c>
      <c r="C571">
        <f>'insurance final cleaned'!D973</f>
        <v>21.7</v>
      </c>
      <c r="D571">
        <f>'insurance final cleaned'!G973</f>
        <v>0</v>
      </c>
      <c r="E571">
        <f>'insurance final cleaned'!E973</f>
        <v>89</v>
      </c>
      <c r="F571">
        <f>'insurance final cleaned'!L973</f>
        <v>0</v>
      </c>
      <c r="G571">
        <f>'insurance final cleaned'!M973</f>
        <v>0</v>
      </c>
      <c r="H571">
        <f>'insurance final cleaned'!N973</f>
        <v>0</v>
      </c>
      <c r="I571">
        <f>'insurance final cleaned'!O973</f>
        <v>0</v>
      </c>
      <c r="J571">
        <f>'insurance final cleaned'!P973</f>
        <v>0.43321709336639269</v>
      </c>
      <c r="K571">
        <f>'insurance final cleaned'!Q973</f>
        <v>0</v>
      </c>
      <c r="L571">
        <f>'insurance final cleaned'!R973</f>
        <v>1</v>
      </c>
      <c r="M571">
        <f>'insurance final cleaned'!S973</f>
        <v>1</v>
      </c>
    </row>
    <row r="572" spans="1:13" x14ac:dyDescent="0.3">
      <c r="A572">
        <f>'insurance final cleaned'!J891</f>
        <v>12648.7</v>
      </c>
      <c r="B572">
        <f>'insurance final cleaned'!B891</f>
        <v>54</v>
      </c>
      <c r="C572">
        <f>'insurance final cleaned'!D891</f>
        <v>38.1</v>
      </c>
      <c r="D572">
        <f>'insurance final cleaned'!G891</f>
        <v>0</v>
      </c>
      <c r="E572">
        <f>'insurance final cleaned'!E891</f>
        <v>82</v>
      </c>
      <c r="F572">
        <f>'insurance final cleaned'!L891</f>
        <v>0</v>
      </c>
      <c r="G572">
        <f>'insurance final cleaned'!M891</f>
        <v>1</v>
      </c>
      <c r="H572">
        <f>'insurance final cleaned'!N891</f>
        <v>0</v>
      </c>
      <c r="I572">
        <f>'insurance final cleaned'!O891</f>
        <v>0</v>
      </c>
      <c r="J572">
        <f>'insurance final cleaned'!P891</f>
        <v>0.43325474317634294</v>
      </c>
      <c r="K572">
        <f>'insurance final cleaned'!Q891</f>
        <v>0</v>
      </c>
      <c r="L572">
        <f>'insurance final cleaned'!R891</f>
        <v>0</v>
      </c>
      <c r="M572">
        <f>'insurance final cleaned'!S891</f>
        <v>1</v>
      </c>
    </row>
    <row r="573" spans="1:13" x14ac:dyDescent="0.3">
      <c r="A573">
        <f>'insurance final cleaned'!J733</f>
        <v>10325.209999999999</v>
      </c>
      <c r="B573">
        <f>'insurance final cleaned'!B733</f>
        <v>29</v>
      </c>
      <c r="C573">
        <f>'insurance final cleaned'!D733</f>
        <v>38.6</v>
      </c>
      <c r="D573">
        <f>'insurance final cleaned'!G733</f>
        <v>2</v>
      </c>
      <c r="E573">
        <f>'insurance final cleaned'!E733</f>
        <v>82</v>
      </c>
      <c r="F573">
        <f>'insurance final cleaned'!L733</f>
        <v>0</v>
      </c>
      <c r="G573">
        <f>'insurance final cleaned'!M733</f>
        <v>0</v>
      </c>
      <c r="H573">
        <f>'insurance final cleaned'!N733</f>
        <v>1</v>
      </c>
      <c r="I573">
        <f>'insurance final cleaned'!O733</f>
        <v>0</v>
      </c>
      <c r="J573">
        <f>'insurance final cleaned'!P733</f>
        <v>0.4340310564076858</v>
      </c>
      <c r="K573">
        <f>'insurance final cleaned'!Q733</f>
        <v>0</v>
      </c>
      <c r="L573">
        <f>'insurance final cleaned'!R733</f>
        <v>1</v>
      </c>
      <c r="M573">
        <f>'insurance final cleaned'!S733</f>
        <v>0</v>
      </c>
    </row>
    <row r="574" spans="1:13" x14ac:dyDescent="0.3">
      <c r="A574">
        <f>'insurance final cleaned'!J385</f>
        <v>5272.18</v>
      </c>
      <c r="B574">
        <f>'insurance final cleaned'!B385</f>
        <v>32</v>
      </c>
      <c r="C574">
        <f>'insurance final cleaned'!D385</f>
        <v>30</v>
      </c>
      <c r="D574">
        <f>'insurance final cleaned'!G385</f>
        <v>0</v>
      </c>
      <c r="E574">
        <f>'insurance final cleaned'!E385</f>
        <v>88</v>
      </c>
      <c r="F574">
        <f>'insurance final cleaned'!L385</f>
        <v>0</v>
      </c>
      <c r="G574">
        <f>'insurance final cleaned'!M385</f>
        <v>0</v>
      </c>
      <c r="H574">
        <f>'insurance final cleaned'!N385</f>
        <v>0</v>
      </c>
      <c r="I574">
        <f>'insurance final cleaned'!O385</f>
        <v>1</v>
      </c>
      <c r="J574">
        <f>'insurance final cleaned'!P385</f>
        <v>0.43482571101866185</v>
      </c>
      <c r="K574">
        <f>'insurance final cleaned'!Q385</f>
        <v>0</v>
      </c>
      <c r="L574">
        <f>'insurance final cleaned'!R385</f>
        <v>1</v>
      </c>
      <c r="M574">
        <f>'insurance final cleaned'!S385</f>
        <v>1</v>
      </c>
    </row>
    <row r="575" spans="1:13" x14ac:dyDescent="0.3">
      <c r="A575">
        <f>'insurance final cleaned'!J1321</f>
        <v>47403.88</v>
      </c>
      <c r="B575">
        <f>'insurance final cleaned'!B1321</f>
        <v>40</v>
      </c>
      <c r="C575">
        <f>'insurance final cleaned'!D1321</f>
        <v>36.299999999999997</v>
      </c>
      <c r="D575">
        <f>'insurance final cleaned'!G1321</f>
        <v>1</v>
      </c>
      <c r="E575">
        <f>'insurance final cleaned'!E1321</f>
        <v>94</v>
      </c>
      <c r="F575">
        <f>'insurance final cleaned'!L1321</f>
        <v>36.299999999999997</v>
      </c>
      <c r="G575">
        <f>'insurance final cleaned'!M1321</f>
        <v>0</v>
      </c>
      <c r="H575">
        <f>'insurance final cleaned'!N1321</f>
        <v>1</v>
      </c>
      <c r="I575">
        <f>'insurance final cleaned'!O1321</f>
        <v>0</v>
      </c>
      <c r="J575">
        <f>'insurance final cleaned'!P1321</f>
        <v>0.43525797382836107</v>
      </c>
      <c r="K575">
        <f>'insurance final cleaned'!Q1321</f>
        <v>1</v>
      </c>
      <c r="L575">
        <f>'insurance final cleaned'!R1321</f>
        <v>1</v>
      </c>
      <c r="M575">
        <f>'insurance final cleaned'!S1321</f>
        <v>0</v>
      </c>
    </row>
    <row r="576" spans="1:13" x14ac:dyDescent="0.3">
      <c r="A576">
        <f>'insurance final cleaned'!J934</f>
        <v>13555</v>
      </c>
      <c r="B576">
        <f>'insurance final cleaned'!B934</f>
        <v>47</v>
      </c>
      <c r="C576">
        <f>'insurance final cleaned'!D934</f>
        <v>32.1</v>
      </c>
      <c r="D576">
        <f>'insurance final cleaned'!G934</f>
        <v>0</v>
      </c>
      <c r="E576">
        <f>'insurance final cleaned'!E934</f>
        <v>91</v>
      </c>
      <c r="F576">
        <f>'insurance final cleaned'!L934</f>
        <v>0</v>
      </c>
      <c r="G576">
        <f>'insurance final cleaned'!M934</f>
        <v>0</v>
      </c>
      <c r="H576">
        <f>'insurance final cleaned'!N934</f>
        <v>0</v>
      </c>
      <c r="I576">
        <f>'insurance final cleaned'!O934</f>
        <v>0</v>
      </c>
      <c r="J576">
        <f>'insurance final cleaned'!P934</f>
        <v>0.43655620600087919</v>
      </c>
      <c r="K576">
        <f>'insurance final cleaned'!Q934</f>
        <v>0</v>
      </c>
      <c r="L576">
        <f>'insurance final cleaned'!R934</f>
        <v>0</v>
      </c>
      <c r="M576">
        <f>'insurance final cleaned'!S934</f>
        <v>0</v>
      </c>
    </row>
    <row r="577" spans="1:13" x14ac:dyDescent="0.3">
      <c r="A577">
        <f>'insurance final cleaned'!J696</f>
        <v>9722.77</v>
      </c>
      <c r="B577">
        <f>'insurance final cleaned'!B696</f>
        <v>32</v>
      </c>
      <c r="C577">
        <f>'insurance final cleaned'!D696</f>
        <v>33.299999999999997</v>
      </c>
      <c r="D577">
        <f>'insurance final cleaned'!G696</f>
        <v>0</v>
      </c>
      <c r="E577">
        <f>'insurance final cleaned'!E696</f>
        <v>102</v>
      </c>
      <c r="F577">
        <f>'insurance final cleaned'!L696</f>
        <v>0</v>
      </c>
      <c r="G577">
        <f>'insurance final cleaned'!M696</f>
        <v>0</v>
      </c>
      <c r="H577">
        <f>'insurance final cleaned'!N696</f>
        <v>0</v>
      </c>
      <c r="I577">
        <f>'insurance final cleaned'!O696</f>
        <v>0</v>
      </c>
      <c r="J577">
        <f>'insurance final cleaned'!P696</f>
        <v>0.43660924039553428</v>
      </c>
      <c r="K577">
        <f>'insurance final cleaned'!Q696</f>
        <v>0</v>
      </c>
      <c r="L577">
        <f>'insurance final cleaned'!R696</f>
        <v>1</v>
      </c>
      <c r="M577">
        <f>'insurance final cleaned'!S696</f>
        <v>0</v>
      </c>
    </row>
    <row r="578" spans="1:13" x14ac:dyDescent="0.3">
      <c r="A578">
        <f>'insurance final cleaned'!J1130</f>
        <v>24476.48</v>
      </c>
      <c r="B578">
        <f>'insurance final cleaned'!B1130</f>
        <v>45</v>
      </c>
      <c r="C578">
        <f>'insurance final cleaned'!D1130</f>
        <v>30</v>
      </c>
      <c r="D578">
        <f>'insurance final cleaned'!G1130</f>
        <v>0</v>
      </c>
      <c r="E578">
        <f>'insurance final cleaned'!E1130</f>
        <v>84</v>
      </c>
      <c r="F578">
        <f>'insurance final cleaned'!L1130</f>
        <v>0</v>
      </c>
      <c r="G578">
        <f>'insurance final cleaned'!M1130</f>
        <v>0</v>
      </c>
      <c r="H578">
        <f>'insurance final cleaned'!N1130</f>
        <v>0</v>
      </c>
      <c r="I578">
        <f>'insurance final cleaned'!O1130</f>
        <v>1</v>
      </c>
      <c r="J578">
        <f>'insurance final cleaned'!P1130</f>
        <v>0.43700904170251476</v>
      </c>
      <c r="K578">
        <f>'insurance final cleaned'!Q1130</f>
        <v>0</v>
      </c>
      <c r="L578">
        <f>'insurance final cleaned'!R1130</f>
        <v>0</v>
      </c>
      <c r="M578">
        <f>'insurance final cleaned'!S1130</f>
        <v>0</v>
      </c>
    </row>
    <row r="579" spans="1:13" x14ac:dyDescent="0.3">
      <c r="A579">
        <f>'insurance final cleaned'!J368</f>
        <v>5080.1000000000004</v>
      </c>
      <c r="B579">
        <f>'insurance final cleaned'!B368</f>
        <v>24</v>
      </c>
      <c r="C579">
        <f>'insurance final cleaned'!D368</f>
        <v>23.9</v>
      </c>
      <c r="D579">
        <f>'insurance final cleaned'!G368</f>
        <v>5</v>
      </c>
      <c r="E579">
        <f>'insurance final cleaned'!E368</f>
        <v>84</v>
      </c>
      <c r="F579">
        <f>'insurance final cleaned'!L368</f>
        <v>0</v>
      </c>
      <c r="G579">
        <f>'insurance final cleaned'!M368</f>
        <v>0</v>
      </c>
      <c r="H579">
        <f>'insurance final cleaned'!N368</f>
        <v>1</v>
      </c>
      <c r="I579">
        <f>'insurance final cleaned'!O368</f>
        <v>0</v>
      </c>
      <c r="J579">
        <f>'insurance final cleaned'!P368</f>
        <v>0.43800058161054278</v>
      </c>
      <c r="K579">
        <f>'insurance final cleaned'!Q368</f>
        <v>0</v>
      </c>
      <c r="L579">
        <f>'insurance final cleaned'!R368</f>
        <v>0</v>
      </c>
      <c r="M579">
        <f>'insurance final cleaned'!S368</f>
        <v>0</v>
      </c>
    </row>
    <row r="580" spans="1:13" x14ac:dyDescent="0.3">
      <c r="A580">
        <f>'insurance final cleaned'!J416</f>
        <v>5709.16</v>
      </c>
      <c r="B580">
        <f>'insurance final cleaned'!B416</f>
        <v>20</v>
      </c>
      <c r="C580">
        <f>'insurance final cleaned'!D416</f>
        <v>40.299999999999997</v>
      </c>
      <c r="D580">
        <f>'insurance final cleaned'!G416</f>
        <v>0</v>
      </c>
      <c r="E580">
        <f>'insurance final cleaned'!E416</f>
        <v>81</v>
      </c>
      <c r="F580">
        <f>'insurance final cleaned'!L416</f>
        <v>0</v>
      </c>
      <c r="G580">
        <f>'insurance final cleaned'!M416</f>
        <v>1</v>
      </c>
      <c r="H580">
        <f>'insurance final cleaned'!N416</f>
        <v>0</v>
      </c>
      <c r="I580">
        <f>'insurance final cleaned'!O416</f>
        <v>0</v>
      </c>
      <c r="J580">
        <f>'insurance final cleaned'!P416</f>
        <v>0.43960280479459068</v>
      </c>
      <c r="K580">
        <f>'insurance final cleaned'!Q416</f>
        <v>0</v>
      </c>
      <c r="L580">
        <f>'insurance final cleaned'!R416</f>
        <v>1</v>
      </c>
      <c r="M580">
        <f>'insurance final cleaned'!S416</f>
        <v>0</v>
      </c>
    </row>
    <row r="581" spans="1:13" x14ac:dyDescent="0.3">
      <c r="A581">
        <f>'insurance final cleaned'!J522</f>
        <v>7196.87</v>
      </c>
      <c r="B581">
        <f>'insurance final cleaned'!B522</f>
        <v>21</v>
      </c>
      <c r="C581">
        <f>'insurance final cleaned'!D522</f>
        <v>35.299999999999997</v>
      </c>
      <c r="D581">
        <f>'insurance final cleaned'!G522</f>
        <v>3</v>
      </c>
      <c r="E581">
        <f>'insurance final cleaned'!E522</f>
        <v>96</v>
      </c>
      <c r="F581">
        <f>'insurance final cleaned'!L522</f>
        <v>0</v>
      </c>
      <c r="G581">
        <f>'insurance final cleaned'!M522</f>
        <v>0</v>
      </c>
      <c r="H581">
        <f>'insurance final cleaned'!N522</f>
        <v>1</v>
      </c>
      <c r="I581">
        <f>'insurance final cleaned'!O522</f>
        <v>0</v>
      </c>
      <c r="J581">
        <f>'insurance final cleaned'!P522</f>
        <v>0.44061343531627517</v>
      </c>
      <c r="K581">
        <f>'insurance final cleaned'!Q522</f>
        <v>0</v>
      </c>
      <c r="L581">
        <f>'insurance final cleaned'!R522</f>
        <v>0</v>
      </c>
      <c r="M581">
        <f>'insurance final cleaned'!S522</f>
        <v>0</v>
      </c>
    </row>
    <row r="582" spans="1:13" x14ac:dyDescent="0.3">
      <c r="A582">
        <f>'insurance final cleaned'!J502</f>
        <v>6940.91</v>
      </c>
      <c r="B582">
        <f>'insurance final cleaned'!B502</f>
        <v>39</v>
      </c>
      <c r="C582">
        <f>'insurance final cleaned'!D502</f>
        <v>26.3</v>
      </c>
      <c r="D582">
        <f>'insurance final cleaned'!G502</f>
        <v>1</v>
      </c>
      <c r="E582">
        <f>'insurance final cleaned'!E502</f>
        <v>97</v>
      </c>
      <c r="F582">
        <f>'insurance final cleaned'!L502</f>
        <v>0</v>
      </c>
      <c r="G582">
        <f>'insurance final cleaned'!M502</f>
        <v>0</v>
      </c>
      <c r="H582">
        <f>'insurance final cleaned'!N502</f>
        <v>0</v>
      </c>
      <c r="I582">
        <f>'insurance final cleaned'!O502</f>
        <v>1</v>
      </c>
      <c r="J582">
        <f>'insurance final cleaned'!P502</f>
        <v>0.44117181984677045</v>
      </c>
      <c r="K582">
        <f>'insurance final cleaned'!Q502</f>
        <v>0</v>
      </c>
      <c r="L582">
        <f>'insurance final cleaned'!R502</f>
        <v>0</v>
      </c>
      <c r="M582">
        <f>'insurance final cleaned'!S502</f>
        <v>0</v>
      </c>
    </row>
    <row r="583" spans="1:13" x14ac:dyDescent="0.3">
      <c r="A583">
        <f>'insurance final cleaned'!J275</f>
        <v>4040.56</v>
      </c>
      <c r="B583">
        <f>'insurance final cleaned'!B275</f>
        <v>43</v>
      </c>
      <c r="C583">
        <f>'insurance final cleaned'!D275</f>
        <v>29</v>
      </c>
      <c r="D583">
        <f>'insurance final cleaned'!G275</f>
        <v>1</v>
      </c>
      <c r="E583">
        <f>'insurance final cleaned'!E275</f>
        <v>91</v>
      </c>
      <c r="F583">
        <f>'insurance final cleaned'!L275</f>
        <v>0</v>
      </c>
      <c r="G583">
        <f>'insurance final cleaned'!M275</f>
        <v>0</v>
      </c>
      <c r="H583">
        <f>'insurance final cleaned'!N275</f>
        <v>0</v>
      </c>
      <c r="I583">
        <f>'insurance final cleaned'!O275</f>
        <v>0</v>
      </c>
      <c r="J583">
        <f>'insurance final cleaned'!P275</f>
        <v>0.44117816414346744</v>
      </c>
      <c r="K583">
        <f>'insurance final cleaned'!Q275</f>
        <v>0</v>
      </c>
      <c r="L583">
        <f>'insurance final cleaned'!R275</f>
        <v>0</v>
      </c>
      <c r="M583">
        <f>'insurance final cleaned'!S275</f>
        <v>0</v>
      </c>
    </row>
    <row r="584" spans="1:13" x14ac:dyDescent="0.3">
      <c r="A584">
        <f>'insurance final cleaned'!J743</f>
        <v>10461.98</v>
      </c>
      <c r="B584">
        <f>'insurance final cleaned'!B743</f>
        <v>19</v>
      </c>
      <c r="C584">
        <f>'insurance final cleaned'!D743</f>
        <v>31.2</v>
      </c>
      <c r="D584">
        <f>'insurance final cleaned'!G743</f>
        <v>1</v>
      </c>
      <c r="E584">
        <f>'insurance final cleaned'!E743</f>
        <v>98</v>
      </c>
      <c r="F584">
        <f>'insurance final cleaned'!L743</f>
        <v>0</v>
      </c>
      <c r="G584">
        <f>'insurance final cleaned'!M743</f>
        <v>0</v>
      </c>
      <c r="H584">
        <f>'insurance final cleaned'!N743</f>
        <v>0</v>
      </c>
      <c r="I584">
        <f>'insurance final cleaned'!O743</f>
        <v>1</v>
      </c>
      <c r="J584">
        <f>'insurance final cleaned'!P743</f>
        <v>0.44132524779019733</v>
      </c>
      <c r="K584">
        <f>'insurance final cleaned'!Q743</f>
        <v>0</v>
      </c>
      <c r="L584">
        <f>'insurance final cleaned'!R743</f>
        <v>0</v>
      </c>
      <c r="M584">
        <f>'insurance final cleaned'!S743</f>
        <v>0</v>
      </c>
    </row>
    <row r="585" spans="1:13" x14ac:dyDescent="0.3">
      <c r="A585">
        <f>'insurance final cleaned'!J351</f>
        <v>4877.9799999999996</v>
      </c>
      <c r="B585">
        <f>'insurance final cleaned'!B351</f>
        <v>47</v>
      </c>
      <c r="C585">
        <f>'insurance final cleaned'!D351</f>
        <v>26.7</v>
      </c>
      <c r="D585">
        <f>'insurance final cleaned'!G351</f>
        <v>4</v>
      </c>
      <c r="E585">
        <f>'insurance final cleaned'!E351</f>
        <v>93</v>
      </c>
      <c r="F585">
        <f>'insurance final cleaned'!L351</f>
        <v>0</v>
      </c>
      <c r="G585">
        <f>'insurance final cleaned'!M351</f>
        <v>0</v>
      </c>
      <c r="H585">
        <f>'insurance final cleaned'!N351</f>
        <v>0</v>
      </c>
      <c r="I585">
        <f>'insurance final cleaned'!O351</f>
        <v>1</v>
      </c>
      <c r="J585">
        <f>'insurance final cleaned'!P351</f>
        <v>0.44136719690623827</v>
      </c>
      <c r="K585">
        <f>'insurance final cleaned'!Q351</f>
        <v>0</v>
      </c>
      <c r="L585">
        <f>'insurance final cleaned'!R351</f>
        <v>0</v>
      </c>
      <c r="M585">
        <f>'insurance final cleaned'!S351</f>
        <v>0</v>
      </c>
    </row>
    <row r="586" spans="1:13" x14ac:dyDescent="0.3">
      <c r="A586">
        <f>'insurance final cleaned'!J1116</f>
        <v>23244.79</v>
      </c>
      <c r="B586">
        <f>'insurance final cleaned'!B1116</f>
        <v>43</v>
      </c>
      <c r="C586">
        <f>'insurance final cleaned'!D1116</f>
        <v>22.9</v>
      </c>
      <c r="D586">
        <f>'insurance final cleaned'!G1116</f>
        <v>1</v>
      </c>
      <c r="E586">
        <f>'insurance final cleaned'!E1116</f>
        <v>84</v>
      </c>
      <c r="F586">
        <f>'insurance final cleaned'!L1116</f>
        <v>22.9</v>
      </c>
      <c r="G586">
        <f>'insurance final cleaned'!M1116</f>
        <v>1</v>
      </c>
      <c r="H586">
        <f>'insurance final cleaned'!N1116</f>
        <v>0</v>
      </c>
      <c r="I586">
        <f>'insurance final cleaned'!O1116</f>
        <v>0</v>
      </c>
      <c r="J586">
        <f>'insurance final cleaned'!P1116</f>
        <v>0.44217227841046558</v>
      </c>
      <c r="K586">
        <f>'insurance final cleaned'!Q1116</f>
        <v>1</v>
      </c>
      <c r="L586">
        <f>'insurance final cleaned'!R1116</f>
        <v>1</v>
      </c>
      <c r="M586">
        <f>'insurance final cleaned'!S1116</f>
        <v>1</v>
      </c>
    </row>
    <row r="587" spans="1:13" x14ac:dyDescent="0.3">
      <c r="A587">
        <f>'insurance final cleaned'!J705</f>
        <v>9863.4699999999993</v>
      </c>
      <c r="B587">
        <f>'insurance final cleaned'!B705</f>
        <v>19</v>
      </c>
      <c r="C587">
        <f>'insurance final cleaned'!D705</f>
        <v>24.3</v>
      </c>
      <c r="D587">
        <f>'insurance final cleaned'!G705</f>
        <v>0</v>
      </c>
      <c r="E587">
        <f>'insurance final cleaned'!E705</f>
        <v>89</v>
      </c>
      <c r="F587">
        <f>'insurance final cleaned'!L705</f>
        <v>0</v>
      </c>
      <c r="G587">
        <f>'insurance final cleaned'!M705</f>
        <v>0</v>
      </c>
      <c r="H587">
        <f>'insurance final cleaned'!N705</f>
        <v>0</v>
      </c>
      <c r="I587">
        <f>'insurance final cleaned'!O705</f>
        <v>1</v>
      </c>
      <c r="J587">
        <f>'insurance final cleaned'!P705</f>
        <v>0.44234644127671041</v>
      </c>
      <c r="K587">
        <f>'insurance final cleaned'!Q705</f>
        <v>0</v>
      </c>
      <c r="L587">
        <f>'insurance final cleaned'!R705</f>
        <v>1</v>
      </c>
      <c r="M587">
        <f>'insurance final cleaned'!S705</f>
        <v>0</v>
      </c>
    </row>
    <row r="588" spans="1:13" x14ac:dyDescent="0.3">
      <c r="A588">
        <f>'insurance final cleaned'!J204</f>
        <v>3171.61</v>
      </c>
      <c r="B588">
        <f>'insurance final cleaned'!B204</f>
        <v>52</v>
      </c>
      <c r="C588">
        <f>'insurance final cleaned'!D204</f>
        <v>33.1</v>
      </c>
      <c r="D588">
        <f>'insurance final cleaned'!G204</f>
        <v>0</v>
      </c>
      <c r="E588">
        <f>'insurance final cleaned'!E204</f>
        <v>87</v>
      </c>
      <c r="F588">
        <f>'insurance final cleaned'!L204</f>
        <v>0</v>
      </c>
      <c r="G588">
        <f>'insurance final cleaned'!M204</f>
        <v>1</v>
      </c>
      <c r="H588">
        <f>'insurance final cleaned'!N204</f>
        <v>0</v>
      </c>
      <c r="I588">
        <f>'insurance final cleaned'!O204</f>
        <v>0</v>
      </c>
      <c r="J588">
        <f>'insurance final cleaned'!P204</f>
        <v>0.44238605284754717</v>
      </c>
      <c r="K588">
        <f>'insurance final cleaned'!Q204</f>
        <v>0</v>
      </c>
      <c r="L588">
        <f>'insurance final cleaned'!R204</f>
        <v>0</v>
      </c>
      <c r="M588">
        <f>'insurance final cleaned'!S204</f>
        <v>1</v>
      </c>
    </row>
    <row r="589" spans="1:13" x14ac:dyDescent="0.3">
      <c r="A589">
        <f>'insurance final cleaned'!J1341</f>
        <v>63770.43</v>
      </c>
      <c r="B589">
        <f>'insurance final cleaned'!B1341</f>
        <v>30</v>
      </c>
      <c r="C589">
        <f>'insurance final cleaned'!D1341</f>
        <v>47.4</v>
      </c>
      <c r="D589">
        <f>'insurance final cleaned'!G1341</f>
        <v>0</v>
      </c>
      <c r="E589">
        <f>'insurance final cleaned'!E1341</f>
        <v>101</v>
      </c>
      <c r="F589">
        <f>'insurance final cleaned'!L1341</f>
        <v>47.4</v>
      </c>
      <c r="G589">
        <f>'insurance final cleaned'!M1341</f>
        <v>1</v>
      </c>
      <c r="H589">
        <f>'insurance final cleaned'!N1341</f>
        <v>0</v>
      </c>
      <c r="I589">
        <f>'insurance final cleaned'!O1341</f>
        <v>0</v>
      </c>
      <c r="J589">
        <f>'insurance final cleaned'!P1341</f>
        <v>0.44307133850343128</v>
      </c>
      <c r="K589">
        <f>'insurance final cleaned'!Q1341</f>
        <v>1</v>
      </c>
      <c r="L589">
        <f>'insurance final cleaned'!R1341</f>
        <v>0</v>
      </c>
      <c r="M589">
        <f>'insurance final cleaned'!S1341</f>
        <v>1</v>
      </c>
    </row>
    <row r="590" spans="1:13" x14ac:dyDescent="0.3">
      <c r="A590">
        <f>'insurance final cleaned'!J156</f>
        <v>2534.39</v>
      </c>
      <c r="B590">
        <f>'insurance final cleaned'!B156</f>
        <v>33</v>
      </c>
      <c r="C590">
        <f>'insurance final cleaned'!D156</f>
        <v>35.6</v>
      </c>
      <c r="D590">
        <f>'insurance final cleaned'!G156</f>
        <v>0</v>
      </c>
      <c r="E590">
        <f>'insurance final cleaned'!E156</f>
        <v>98</v>
      </c>
      <c r="F590">
        <f>'insurance final cleaned'!L156</f>
        <v>0</v>
      </c>
      <c r="G590">
        <f>'insurance final cleaned'!M156</f>
        <v>0</v>
      </c>
      <c r="H590">
        <f>'insurance final cleaned'!N156</f>
        <v>0</v>
      </c>
      <c r="I590">
        <f>'insurance final cleaned'!O156</f>
        <v>1</v>
      </c>
      <c r="J590">
        <f>'insurance final cleaned'!P156</f>
        <v>0.4435545320548222</v>
      </c>
      <c r="K590">
        <f>'insurance final cleaned'!Q156</f>
        <v>0</v>
      </c>
      <c r="L590">
        <f>'insurance final cleaned'!R156</f>
        <v>0</v>
      </c>
      <c r="M590">
        <f>'insurance final cleaned'!S156</f>
        <v>0</v>
      </c>
    </row>
    <row r="591" spans="1:13" x14ac:dyDescent="0.3">
      <c r="A591">
        <f>'insurance final cleaned'!J582</f>
        <v>8116.27</v>
      </c>
      <c r="B591">
        <f>'insurance final cleaned'!B582</f>
        <v>18</v>
      </c>
      <c r="C591">
        <f>'insurance final cleaned'!D582</f>
        <v>32</v>
      </c>
      <c r="D591">
        <f>'insurance final cleaned'!G582</f>
        <v>2</v>
      </c>
      <c r="E591">
        <f>'insurance final cleaned'!E582</f>
        <v>81</v>
      </c>
      <c r="F591">
        <f>'insurance final cleaned'!L582</f>
        <v>0</v>
      </c>
      <c r="G591">
        <f>'insurance final cleaned'!M582</f>
        <v>0</v>
      </c>
      <c r="H591">
        <f>'insurance final cleaned'!N582</f>
        <v>0</v>
      </c>
      <c r="I591">
        <f>'insurance final cleaned'!O582</f>
        <v>1</v>
      </c>
      <c r="J591">
        <f>'insurance final cleaned'!P582</f>
        <v>0.44371410279416545</v>
      </c>
      <c r="K591">
        <f>'insurance final cleaned'!Q582</f>
        <v>0</v>
      </c>
      <c r="L591">
        <f>'insurance final cleaned'!R582</f>
        <v>1</v>
      </c>
      <c r="M591">
        <f>'insurance final cleaned'!S582</f>
        <v>0</v>
      </c>
    </row>
    <row r="592" spans="1:13" x14ac:dyDescent="0.3">
      <c r="A592">
        <f>'insurance final cleaned'!J1118</f>
        <v>23306.55</v>
      </c>
      <c r="B592">
        <f>'insurance final cleaned'!B1118</f>
        <v>42</v>
      </c>
      <c r="C592">
        <f>'insurance final cleaned'!D1118</f>
        <v>25.6</v>
      </c>
      <c r="D592">
        <f>'insurance final cleaned'!G1118</f>
        <v>2</v>
      </c>
      <c r="E592">
        <f>'insurance final cleaned'!E1118</f>
        <v>106</v>
      </c>
      <c r="F592">
        <f>'insurance final cleaned'!L1118</f>
        <v>25.6</v>
      </c>
      <c r="G592">
        <f>'insurance final cleaned'!M1118</f>
        <v>0</v>
      </c>
      <c r="H592">
        <f>'insurance final cleaned'!N1118</f>
        <v>1</v>
      </c>
      <c r="I592">
        <f>'insurance final cleaned'!O1118</f>
        <v>0</v>
      </c>
      <c r="J592">
        <f>'insurance final cleaned'!P1118</f>
        <v>0.44459381641496265</v>
      </c>
      <c r="K592">
        <f>'insurance final cleaned'!Q1118</f>
        <v>1</v>
      </c>
      <c r="L592">
        <f>'insurance final cleaned'!R1118</f>
        <v>1</v>
      </c>
      <c r="M592">
        <f>'insurance final cleaned'!S1118</f>
        <v>0</v>
      </c>
    </row>
    <row r="593" spans="1:13" x14ac:dyDescent="0.3">
      <c r="A593">
        <f>'insurance final cleaned'!J1109</f>
        <v>22462.04</v>
      </c>
      <c r="B593">
        <f>'insurance final cleaned'!B1109</f>
        <v>32</v>
      </c>
      <c r="C593">
        <f>'insurance final cleaned'!D1109</f>
        <v>29.9</v>
      </c>
      <c r="D593">
        <f>'insurance final cleaned'!G1109</f>
        <v>1</v>
      </c>
      <c r="E593">
        <f>'insurance final cleaned'!E1109</f>
        <v>85</v>
      </c>
      <c r="F593">
        <f>'insurance final cleaned'!L1109</f>
        <v>29.9</v>
      </c>
      <c r="G593">
        <f>'insurance final cleaned'!M1109</f>
        <v>0</v>
      </c>
      <c r="H593">
        <f>'insurance final cleaned'!N1109</f>
        <v>0</v>
      </c>
      <c r="I593">
        <f>'insurance final cleaned'!O1109</f>
        <v>0</v>
      </c>
      <c r="J593">
        <f>'insurance final cleaned'!P1109</f>
        <v>0.4448236776325728</v>
      </c>
      <c r="K593">
        <f>'insurance final cleaned'!Q1109</f>
        <v>1</v>
      </c>
      <c r="L593">
        <f>'insurance final cleaned'!R1109</f>
        <v>1</v>
      </c>
      <c r="M593">
        <f>'insurance final cleaned'!S1109</f>
        <v>0</v>
      </c>
    </row>
    <row r="594" spans="1:13" x14ac:dyDescent="0.3">
      <c r="A594">
        <f>'insurance final cleaned'!J838</f>
        <v>11848.14</v>
      </c>
      <c r="B594">
        <f>'insurance final cleaned'!B838</f>
        <v>26</v>
      </c>
      <c r="C594">
        <f>'insurance final cleaned'!D838</f>
        <v>33.1</v>
      </c>
      <c r="D594">
        <f>'insurance final cleaned'!G838</f>
        <v>0</v>
      </c>
      <c r="E594">
        <f>'insurance final cleaned'!E838</f>
        <v>110</v>
      </c>
      <c r="F594">
        <f>'insurance final cleaned'!L838</f>
        <v>0</v>
      </c>
      <c r="G594">
        <f>'insurance final cleaned'!M838</f>
        <v>0</v>
      </c>
      <c r="H594">
        <f>'insurance final cleaned'!N838</f>
        <v>1</v>
      </c>
      <c r="I594">
        <f>'insurance final cleaned'!O838</f>
        <v>0</v>
      </c>
      <c r="J594">
        <f>'insurance final cleaned'!P838</f>
        <v>0.44491105691042165</v>
      </c>
      <c r="K594">
        <f>'insurance final cleaned'!Q838</f>
        <v>0</v>
      </c>
      <c r="L594">
        <f>'insurance final cleaned'!R838</f>
        <v>0</v>
      </c>
      <c r="M594">
        <f>'insurance final cleaned'!S838</f>
        <v>1</v>
      </c>
    </row>
    <row r="595" spans="1:13" x14ac:dyDescent="0.3">
      <c r="A595">
        <f>'insurance final cleaned'!J685</f>
        <v>9563.0300000000007</v>
      </c>
      <c r="B595">
        <f>'insurance final cleaned'!B685</f>
        <v>34</v>
      </c>
      <c r="C595">
        <f>'insurance final cleaned'!D685</f>
        <v>34.299999999999997</v>
      </c>
      <c r="D595">
        <f>'insurance final cleaned'!G685</f>
        <v>3</v>
      </c>
      <c r="E595">
        <f>'insurance final cleaned'!E685</f>
        <v>105</v>
      </c>
      <c r="F595">
        <f>'insurance final cleaned'!L685</f>
        <v>0</v>
      </c>
      <c r="G595">
        <f>'insurance final cleaned'!M685</f>
        <v>0</v>
      </c>
      <c r="H595">
        <f>'insurance final cleaned'!N685</f>
        <v>1</v>
      </c>
      <c r="I595">
        <f>'insurance final cleaned'!O685</f>
        <v>0</v>
      </c>
      <c r="J595">
        <f>'insurance final cleaned'!P685</f>
        <v>0.44507287311179966</v>
      </c>
      <c r="K595">
        <f>'insurance final cleaned'!Q685</f>
        <v>0</v>
      </c>
      <c r="L595">
        <f>'insurance final cleaned'!R685</f>
        <v>0</v>
      </c>
      <c r="M595">
        <f>'insurance final cleaned'!S685</f>
        <v>0</v>
      </c>
    </row>
    <row r="596" spans="1:13" x14ac:dyDescent="0.3">
      <c r="A596">
        <f>'insurance final cleaned'!J1305</f>
        <v>45702.02</v>
      </c>
      <c r="B596">
        <f>'insurance final cleaned'!B1305</f>
        <v>43</v>
      </c>
      <c r="C596">
        <f>'insurance final cleaned'!D1305</f>
        <v>40.6</v>
      </c>
      <c r="D596">
        <f>'insurance final cleaned'!G1305</f>
        <v>2</v>
      </c>
      <c r="E596">
        <f>'insurance final cleaned'!E1305</f>
        <v>93</v>
      </c>
      <c r="F596">
        <f>'insurance final cleaned'!L1305</f>
        <v>40.6</v>
      </c>
      <c r="G596">
        <f>'insurance final cleaned'!M1305</f>
        <v>0</v>
      </c>
      <c r="H596">
        <f>'insurance final cleaned'!N1305</f>
        <v>0</v>
      </c>
      <c r="I596">
        <f>'insurance final cleaned'!O1305</f>
        <v>1</v>
      </c>
      <c r="J596">
        <f>'insurance final cleaned'!P1305</f>
        <v>0.44576141350309562</v>
      </c>
      <c r="K596">
        <f>'insurance final cleaned'!Q1305</f>
        <v>1</v>
      </c>
      <c r="L596">
        <f>'insurance final cleaned'!R1305</f>
        <v>0</v>
      </c>
      <c r="M596">
        <f>'insurance final cleaned'!S1305</f>
        <v>0</v>
      </c>
    </row>
    <row r="597" spans="1:13" x14ac:dyDescent="0.3">
      <c r="A597">
        <f>'insurance final cleaned'!J1076</f>
        <v>20420.599999999999</v>
      </c>
      <c r="B597">
        <f>'insurance final cleaned'!B1076</f>
        <v>47</v>
      </c>
      <c r="C597">
        <f>'insurance final cleaned'!D1076</f>
        <v>29.8</v>
      </c>
      <c r="D597">
        <f>'insurance final cleaned'!G1076</f>
        <v>0</v>
      </c>
      <c r="E597">
        <f>'insurance final cleaned'!E1076</f>
        <v>89</v>
      </c>
      <c r="F597">
        <f>'insurance final cleaned'!L1076</f>
        <v>0</v>
      </c>
      <c r="G597">
        <f>'insurance final cleaned'!M1076</f>
        <v>0</v>
      </c>
      <c r="H597">
        <f>'insurance final cleaned'!N1076</f>
        <v>1</v>
      </c>
      <c r="I597">
        <f>'insurance final cleaned'!O1076</f>
        <v>0</v>
      </c>
      <c r="J597">
        <f>'insurance final cleaned'!P1076</f>
        <v>0.44643819520836381</v>
      </c>
      <c r="K597">
        <f>'insurance final cleaned'!Q1076</f>
        <v>0</v>
      </c>
      <c r="L597">
        <f>'insurance final cleaned'!R1076</f>
        <v>1</v>
      </c>
      <c r="M597">
        <f>'insurance final cleaned'!S1076</f>
        <v>0</v>
      </c>
    </row>
    <row r="598" spans="1:13" x14ac:dyDescent="0.3">
      <c r="A598">
        <f>'insurance final cleaned'!J134</f>
        <v>2304</v>
      </c>
      <c r="B598">
        <f>'insurance final cleaned'!B134</f>
        <v>49</v>
      </c>
      <c r="C598">
        <f>'insurance final cleaned'!D134</f>
        <v>26.2</v>
      </c>
      <c r="D598">
        <f>'insurance final cleaned'!G134</f>
        <v>2</v>
      </c>
      <c r="E598">
        <f>'insurance final cleaned'!E134</f>
        <v>91</v>
      </c>
      <c r="F598">
        <f>'insurance final cleaned'!L134</f>
        <v>0</v>
      </c>
      <c r="G598">
        <f>'insurance final cleaned'!M134</f>
        <v>1</v>
      </c>
      <c r="H598">
        <f>'insurance final cleaned'!N134</f>
        <v>0</v>
      </c>
      <c r="I598">
        <f>'insurance final cleaned'!O134</f>
        <v>0</v>
      </c>
      <c r="J598">
        <f>'insurance final cleaned'!P134</f>
        <v>0.44817037384513159</v>
      </c>
      <c r="K598">
        <f>'insurance final cleaned'!Q134</f>
        <v>0</v>
      </c>
      <c r="L598">
        <f>'insurance final cleaned'!R134</f>
        <v>0</v>
      </c>
      <c r="M598">
        <f>'insurance final cleaned'!S134</f>
        <v>0</v>
      </c>
    </row>
    <row r="599" spans="1:13" x14ac:dyDescent="0.3">
      <c r="A599">
        <f>'insurance final cleaned'!J353</f>
        <v>4889.04</v>
      </c>
      <c r="B599">
        <f>'insurance final cleaned'!B353</f>
        <v>31</v>
      </c>
      <c r="C599">
        <f>'insurance final cleaned'!D353</f>
        <v>29.9</v>
      </c>
      <c r="D599">
        <f>'insurance final cleaned'!G353</f>
        <v>0</v>
      </c>
      <c r="E599">
        <f>'insurance final cleaned'!E353</f>
        <v>85</v>
      </c>
      <c r="F599">
        <f>'insurance final cleaned'!L353</f>
        <v>0</v>
      </c>
      <c r="G599">
        <f>'insurance final cleaned'!M353</f>
        <v>1</v>
      </c>
      <c r="H599">
        <f>'insurance final cleaned'!N353</f>
        <v>0</v>
      </c>
      <c r="I599">
        <f>'insurance final cleaned'!O353</f>
        <v>0</v>
      </c>
      <c r="J599">
        <f>'insurance final cleaned'!P353</f>
        <v>0.4486019009523563</v>
      </c>
      <c r="K599">
        <f>'insurance final cleaned'!Q353</f>
        <v>0</v>
      </c>
      <c r="L599">
        <f>'insurance final cleaned'!R353</f>
        <v>0</v>
      </c>
      <c r="M599">
        <f>'insurance final cleaned'!S353</f>
        <v>1</v>
      </c>
    </row>
    <row r="600" spans="1:13" x14ac:dyDescent="0.3">
      <c r="A600">
        <f>'insurance final cleaned'!J451</f>
        <v>6282.24</v>
      </c>
      <c r="B600">
        <f>'insurance final cleaned'!B451</f>
        <v>43</v>
      </c>
      <c r="C600">
        <f>'insurance final cleaned'!D451</f>
        <v>28.8</v>
      </c>
      <c r="D600">
        <f>'insurance final cleaned'!G451</f>
        <v>1</v>
      </c>
      <c r="E600">
        <f>'insurance final cleaned'!E451</f>
        <v>93</v>
      </c>
      <c r="F600">
        <f>'insurance final cleaned'!L451</f>
        <v>0</v>
      </c>
      <c r="G600">
        <f>'insurance final cleaned'!M451</f>
        <v>0</v>
      </c>
      <c r="H600">
        <f>'insurance final cleaned'!N451</f>
        <v>1</v>
      </c>
      <c r="I600">
        <f>'insurance final cleaned'!O451</f>
        <v>0</v>
      </c>
      <c r="J600">
        <f>'insurance final cleaned'!P451</f>
        <v>0.44889032807178653</v>
      </c>
      <c r="K600">
        <f>'insurance final cleaned'!Q451</f>
        <v>0</v>
      </c>
      <c r="L600">
        <f>'insurance final cleaned'!R451</f>
        <v>0</v>
      </c>
      <c r="M600">
        <f>'insurance final cleaned'!S451</f>
        <v>0</v>
      </c>
    </row>
    <row r="601" spans="1:13" x14ac:dyDescent="0.3">
      <c r="A601">
        <f>'insurance final cleaned'!J233</f>
        <v>3484.33</v>
      </c>
      <c r="B601">
        <f>'insurance final cleaned'!B233</f>
        <v>35</v>
      </c>
      <c r="C601">
        <f>'insurance final cleaned'!D233</f>
        <v>23.7</v>
      </c>
      <c r="D601">
        <f>'insurance final cleaned'!G233</f>
        <v>2</v>
      </c>
      <c r="E601">
        <f>'insurance final cleaned'!E233</f>
        <v>88</v>
      </c>
      <c r="F601">
        <f>'insurance final cleaned'!L233</f>
        <v>0</v>
      </c>
      <c r="G601">
        <f>'insurance final cleaned'!M233</f>
        <v>0</v>
      </c>
      <c r="H601">
        <f>'insurance final cleaned'!N233</f>
        <v>1</v>
      </c>
      <c r="I601">
        <f>'insurance final cleaned'!O233</f>
        <v>0</v>
      </c>
      <c r="J601">
        <f>'insurance final cleaned'!P233</f>
        <v>0.45073515783653284</v>
      </c>
      <c r="K601">
        <f>'insurance final cleaned'!Q233</f>
        <v>0</v>
      </c>
      <c r="L601">
        <f>'insurance final cleaned'!R233</f>
        <v>0</v>
      </c>
      <c r="M601">
        <f>'insurance final cleaned'!S233</f>
        <v>0</v>
      </c>
    </row>
    <row r="602" spans="1:13" x14ac:dyDescent="0.3">
      <c r="A602">
        <f>'insurance final cleaned'!J620</f>
        <v>8569.86</v>
      </c>
      <c r="B602">
        <f>'insurance final cleaned'!B620</f>
        <v>36</v>
      </c>
      <c r="C602">
        <f>'insurance final cleaned'!D620</f>
        <v>45.3</v>
      </c>
      <c r="D602">
        <f>'insurance final cleaned'!G620</f>
        <v>1</v>
      </c>
      <c r="E602">
        <f>'insurance final cleaned'!E620</f>
        <v>96</v>
      </c>
      <c r="F602">
        <f>'insurance final cleaned'!L620</f>
        <v>0</v>
      </c>
      <c r="G602">
        <f>'insurance final cleaned'!M620</f>
        <v>1</v>
      </c>
      <c r="H602">
        <f>'insurance final cleaned'!N620</f>
        <v>0</v>
      </c>
      <c r="I602">
        <f>'insurance final cleaned'!O620</f>
        <v>0</v>
      </c>
      <c r="J602">
        <f>'insurance final cleaned'!P620</f>
        <v>0.45093606625833527</v>
      </c>
      <c r="K602">
        <f>'insurance final cleaned'!Q620</f>
        <v>0</v>
      </c>
      <c r="L602">
        <f>'insurance final cleaned'!R620</f>
        <v>1</v>
      </c>
      <c r="M602">
        <f>'insurance final cleaned'!S620</f>
        <v>1</v>
      </c>
    </row>
    <row r="603" spans="1:13" x14ac:dyDescent="0.3">
      <c r="A603">
        <f>'insurance final cleaned'!J434</f>
        <v>6067.13</v>
      </c>
      <c r="B603">
        <f>'insurance final cleaned'!B434</f>
        <v>26</v>
      </c>
      <c r="C603">
        <f>'insurance final cleaned'!D434</f>
        <v>28</v>
      </c>
      <c r="D603">
        <f>'insurance final cleaned'!G434</f>
        <v>1</v>
      </c>
      <c r="E603">
        <f>'insurance final cleaned'!E434</f>
        <v>100</v>
      </c>
      <c r="F603">
        <f>'insurance final cleaned'!L434</f>
        <v>0</v>
      </c>
      <c r="G603">
        <f>'insurance final cleaned'!M434</f>
        <v>1</v>
      </c>
      <c r="H603">
        <f>'insurance final cleaned'!N434</f>
        <v>0</v>
      </c>
      <c r="I603">
        <f>'insurance final cleaned'!O434</f>
        <v>0</v>
      </c>
      <c r="J603">
        <f>'insurance final cleaned'!P434</f>
        <v>0.4511619274426858</v>
      </c>
      <c r="K603">
        <f>'insurance final cleaned'!Q434</f>
        <v>0</v>
      </c>
      <c r="L603">
        <f>'insurance final cleaned'!R434</f>
        <v>0</v>
      </c>
      <c r="M603">
        <f>'insurance final cleaned'!S434</f>
        <v>0</v>
      </c>
    </row>
    <row r="604" spans="1:13" x14ac:dyDescent="0.3">
      <c r="A604">
        <f>'insurance final cleaned'!J76</f>
        <v>1837.24</v>
      </c>
      <c r="B604">
        <f>'insurance final cleaned'!B76</f>
        <v>50</v>
      </c>
      <c r="C604">
        <f>'insurance final cleaned'!D76</f>
        <v>24.6</v>
      </c>
      <c r="D604">
        <f>'insurance final cleaned'!G76</f>
        <v>1</v>
      </c>
      <c r="E604">
        <f>'insurance final cleaned'!E76</f>
        <v>90</v>
      </c>
      <c r="F604">
        <f>'insurance final cleaned'!L76</f>
        <v>0</v>
      </c>
      <c r="G604">
        <f>'insurance final cleaned'!M76</f>
        <v>0</v>
      </c>
      <c r="H604">
        <f>'insurance final cleaned'!N76</f>
        <v>1</v>
      </c>
      <c r="I604">
        <f>'insurance final cleaned'!O76</f>
        <v>0</v>
      </c>
      <c r="J604">
        <f>'insurance final cleaned'!P76</f>
        <v>0.45147284683746014</v>
      </c>
      <c r="K604">
        <f>'insurance final cleaned'!Q76</f>
        <v>0</v>
      </c>
      <c r="L604">
        <f>'insurance final cleaned'!R76</f>
        <v>0</v>
      </c>
      <c r="M604">
        <f>'insurance final cleaned'!S76</f>
        <v>0</v>
      </c>
    </row>
    <row r="605" spans="1:13" x14ac:dyDescent="0.3">
      <c r="A605">
        <f>'insurance final cleaned'!J510</f>
        <v>7077.19</v>
      </c>
      <c r="B605">
        <f>'insurance final cleaned'!B510</f>
        <v>33</v>
      </c>
      <c r="C605">
        <f>'insurance final cleaned'!D510</f>
        <v>25.5</v>
      </c>
      <c r="D605">
        <f>'insurance final cleaned'!G510</f>
        <v>1</v>
      </c>
      <c r="E605">
        <f>'insurance final cleaned'!E510</f>
        <v>87</v>
      </c>
      <c r="F605">
        <f>'insurance final cleaned'!L510</f>
        <v>0</v>
      </c>
      <c r="G605">
        <f>'insurance final cleaned'!M510</f>
        <v>1</v>
      </c>
      <c r="H605">
        <f>'insurance final cleaned'!N510</f>
        <v>0</v>
      </c>
      <c r="I605">
        <f>'insurance final cleaned'!O510</f>
        <v>0</v>
      </c>
      <c r="J605">
        <f>'insurance final cleaned'!P510</f>
        <v>0.45175413878373416</v>
      </c>
      <c r="K605">
        <f>'insurance final cleaned'!Q510</f>
        <v>0</v>
      </c>
      <c r="L605">
        <f>'insurance final cleaned'!R510</f>
        <v>0</v>
      </c>
      <c r="M605">
        <f>'insurance final cleaned'!S510</f>
        <v>1</v>
      </c>
    </row>
    <row r="606" spans="1:13" x14ac:dyDescent="0.3">
      <c r="A606">
        <f>'insurance final cleaned'!J1170</f>
        <v>28340.19</v>
      </c>
      <c r="B606">
        <f>'insurance final cleaned'!B1170</f>
        <v>36</v>
      </c>
      <c r="C606">
        <f>'insurance final cleaned'!D1170</f>
        <v>27.6</v>
      </c>
      <c r="D606">
        <f>'insurance final cleaned'!G1170</f>
        <v>1</v>
      </c>
      <c r="E606">
        <f>'insurance final cleaned'!E1170</f>
        <v>118</v>
      </c>
      <c r="F606">
        <f>'insurance final cleaned'!L1170</f>
        <v>0</v>
      </c>
      <c r="G606">
        <f>'insurance final cleaned'!M1170</f>
        <v>0</v>
      </c>
      <c r="H606">
        <f>'insurance final cleaned'!N1170</f>
        <v>0</v>
      </c>
      <c r="I606">
        <f>'insurance final cleaned'!O1170</f>
        <v>1</v>
      </c>
      <c r="J606">
        <f>'insurance final cleaned'!P1170</f>
        <v>0.45291211852919266</v>
      </c>
      <c r="K606">
        <f>'insurance final cleaned'!Q1170</f>
        <v>0</v>
      </c>
      <c r="L606">
        <f>'insurance final cleaned'!R1170</f>
        <v>0</v>
      </c>
      <c r="M606">
        <f>'insurance final cleaned'!S1170</f>
        <v>1</v>
      </c>
    </row>
    <row r="607" spans="1:13" x14ac:dyDescent="0.3">
      <c r="A607">
        <f>'insurance final cleaned'!J642</f>
        <v>8871.15</v>
      </c>
      <c r="B607">
        <f>'insurance final cleaned'!B642</f>
        <v>34</v>
      </c>
      <c r="C607">
        <f>'insurance final cleaned'!D642</f>
        <v>32.200000000000003</v>
      </c>
      <c r="D607">
        <f>'insurance final cleaned'!G642</f>
        <v>1</v>
      </c>
      <c r="E607">
        <f>'insurance final cleaned'!E642</f>
        <v>96</v>
      </c>
      <c r="F607">
        <f>'insurance final cleaned'!L642</f>
        <v>0</v>
      </c>
      <c r="G607">
        <f>'insurance final cleaned'!M642</f>
        <v>1</v>
      </c>
      <c r="H607">
        <f>'insurance final cleaned'!N642</f>
        <v>0</v>
      </c>
      <c r="I607">
        <f>'insurance final cleaned'!O642</f>
        <v>0</v>
      </c>
      <c r="J607">
        <f>'insurance final cleaned'!P642</f>
        <v>0.45398029789004379</v>
      </c>
      <c r="K607">
        <f>'insurance final cleaned'!Q642</f>
        <v>0</v>
      </c>
      <c r="L607">
        <f>'insurance final cleaned'!R642</f>
        <v>1</v>
      </c>
      <c r="M607">
        <f>'insurance final cleaned'!S642</f>
        <v>1</v>
      </c>
    </row>
    <row r="608" spans="1:13" x14ac:dyDescent="0.3">
      <c r="A608">
        <f>'insurance final cleaned'!J1224</f>
        <v>36580.28</v>
      </c>
      <c r="B608">
        <f>'insurance final cleaned'!B1224</f>
        <v>55</v>
      </c>
      <c r="C608">
        <f>'insurance final cleaned'!D1224</f>
        <v>33.299999999999997</v>
      </c>
      <c r="D608">
        <f>'insurance final cleaned'!G1224</f>
        <v>4</v>
      </c>
      <c r="E608">
        <f>'insurance final cleaned'!E1224</f>
        <v>86</v>
      </c>
      <c r="F608">
        <f>'insurance final cleaned'!L1224</f>
        <v>0</v>
      </c>
      <c r="G608">
        <f>'insurance final cleaned'!M1224</f>
        <v>1</v>
      </c>
      <c r="H608">
        <f>'insurance final cleaned'!N1224</f>
        <v>0</v>
      </c>
      <c r="I608">
        <f>'insurance final cleaned'!O1224</f>
        <v>0</v>
      </c>
      <c r="J608">
        <f>'insurance final cleaned'!P1224</f>
        <v>0.45514250025384906</v>
      </c>
      <c r="K608">
        <f>'insurance final cleaned'!Q1224</f>
        <v>0</v>
      </c>
      <c r="L608">
        <f>'insurance final cleaned'!R1224</f>
        <v>0</v>
      </c>
      <c r="M608">
        <f>'insurance final cleaned'!S1224</f>
        <v>1</v>
      </c>
    </row>
    <row r="609" spans="1:13" x14ac:dyDescent="0.3">
      <c r="A609">
        <f>'insurance final cleaned'!J361</f>
        <v>4949.76</v>
      </c>
      <c r="B609">
        <f>'insurance final cleaned'!B361</f>
        <v>46</v>
      </c>
      <c r="C609">
        <f>'insurance final cleaned'!D361</f>
        <v>36.6</v>
      </c>
      <c r="D609">
        <f>'insurance final cleaned'!G361</f>
        <v>2</v>
      </c>
      <c r="E609">
        <f>'insurance final cleaned'!E361</f>
        <v>84</v>
      </c>
      <c r="F609">
        <f>'insurance final cleaned'!L361</f>
        <v>0</v>
      </c>
      <c r="G609">
        <f>'insurance final cleaned'!M361</f>
        <v>1</v>
      </c>
      <c r="H609">
        <f>'insurance final cleaned'!N361</f>
        <v>0</v>
      </c>
      <c r="I609">
        <f>'insurance final cleaned'!O361</f>
        <v>0</v>
      </c>
      <c r="J609">
        <f>'insurance final cleaned'!P361</f>
        <v>0.45664679233616801</v>
      </c>
      <c r="K609">
        <f>'insurance final cleaned'!Q361</f>
        <v>0</v>
      </c>
      <c r="L609">
        <f>'insurance final cleaned'!R361</f>
        <v>1</v>
      </c>
      <c r="M609">
        <f>'insurance final cleaned'!S361</f>
        <v>1</v>
      </c>
    </row>
    <row r="610" spans="1:13" x14ac:dyDescent="0.3">
      <c r="A610">
        <f>'insurance final cleaned'!J707</f>
        <v>9869.81</v>
      </c>
      <c r="B610">
        <f>'insurance final cleaned'!B707</f>
        <v>39</v>
      </c>
      <c r="C610">
        <f>'insurance final cleaned'!D707</f>
        <v>28.9</v>
      </c>
      <c r="D610">
        <f>'insurance final cleaned'!G707</f>
        <v>0</v>
      </c>
      <c r="E610">
        <f>'insurance final cleaned'!E707</f>
        <v>82</v>
      </c>
      <c r="F610">
        <f>'insurance final cleaned'!L707</f>
        <v>0</v>
      </c>
      <c r="G610">
        <f>'insurance final cleaned'!M707</f>
        <v>0</v>
      </c>
      <c r="H610">
        <f>'insurance final cleaned'!N707</f>
        <v>0</v>
      </c>
      <c r="I610">
        <f>'insurance final cleaned'!O707</f>
        <v>1</v>
      </c>
      <c r="J610">
        <f>'insurance final cleaned'!P707</f>
        <v>0.45681323089141279</v>
      </c>
      <c r="K610">
        <f>'insurance final cleaned'!Q707</f>
        <v>0</v>
      </c>
      <c r="L610">
        <f>'insurance final cleaned'!R707</f>
        <v>1</v>
      </c>
      <c r="M610">
        <f>'insurance final cleaned'!S707</f>
        <v>0</v>
      </c>
    </row>
    <row r="611" spans="1:13" x14ac:dyDescent="0.3">
      <c r="A611">
        <f>'insurance final cleaned'!J593</f>
        <v>8269.0400000000009</v>
      </c>
      <c r="B611">
        <f>'insurance final cleaned'!B593</f>
        <v>31</v>
      </c>
      <c r="C611">
        <f>'insurance final cleaned'!D593</f>
        <v>22.8</v>
      </c>
      <c r="D611">
        <f>'insurance final cleaned'!G593</f>
        <v>0</v>
      </c>
      <c r="E611">
        <f>'insurance final cleaned'!E593</f>
        <v>82</v>
      </c>
      <c r="F611">
        <f>'insurance final cleaned'!L593</f>
        <v>0</v>
      </c>
      <c r="G611">
        <f>'insurance final cleaned'!M593</f>
        <v>0</v>
      </c>
      <c r="H611">
        <f>'insurance final cleaned'!N593</f>
        <v>1</v>
      </c>
      <c r="I611">
        <f>'insurance final cleaned'!O593</f>
        <v>0</v>
      </c>
      <c r="J611">
        <f>'insurance final cleaned'!P593</f>
        <v>0.45773229311140307</v>
      </c>
      <c r="K611">
        <f>'insurance final cleaned'!Q593</f>
        <v>0</v>
      </c>
      <c r="L611">
        <f>'insurance final cleaned'!R593</f>
        <v>1</v>
      </c>
      <c r="M611">
        <f>'insurance final cleaned'!S593</f>
        <v>1</v>
      </c>
    </row>
    <row r="612" spans="1:13" x14ac:dyDescent="0.3">
      <c r="A612">
        <f>'insurance final cleaned'!J319</f>
        <v>4527.18</v>
      </c>
      <c r="B612">
        <f>'insurance final cleaned'!B319</f>
        <v>51</v>
      </c>
      <c r="C612">
        <f>'insurance final cleaned'!D319</f>
        <v>28.4</v>
      </c>
      <c r="D612">
        <f>'insurance final cleaned'!G319</f>
        <v>1</v>
      </c>
      <c r="E612">
        <f>'insurance final cleaned'!E319</f>
        <v>93</v>
      </c>
      <c r="F612">
        <f>'insurance final cleaned'!L319</f>
        <v>0</v>
      </c>
      <c r="G612">
        <f>'insurance final cleaned'!M319</f>
        <v>0</v>
      </c>
      <c r="H612">
        <f>'insurance final cleaned'!N319</f>
        <v>0</v>
      </c>
      <c r="I612">
        <f>'insurance final cleaned'!O319</f>
        <v>1</v>
      </c>
      <c r="J612">
        <f>'insurance final cleaned'!P319</f>
        <v>0.45837233120448362</v>
      </c>
      <c r="K612">
        <f>'insurance final cleaned'!Q319</f>
        <v>0</v>
      </c>
      <c r="L612">
        <f>'insurance final cleaned'!R319</f>
        <v>0</v>
      </c>
      <c r="M612">
        <f>'insurance final cleaned'!S319</f>
        <v>1</v>
      </c>
    </row>
    <row r="613" spans="1:13" x14ac:dyDescent="0.3">
      <c r="A613">
        <f>'insurance final cleaned'!J893</f>
        <v>12741.17</v>
      </c>
      <c r="B613">
        <f>'insurance final cleaned'!B893</f>
        <v>34</v>
      </c>
      <c r="C613">
        <f>'insurance final cleaned'!D893</f>
        <v>37</v>
      </c>
      <c r="D613">
        <f>'insurance final cleaned'!G893</f>
        <v>0</v>
      </c>
      <c r="E613">
        <f>'insurance final cleaned'!E893</f>
        <v>92</v>
      </c>
      <c r="F613">
        <f>'insurance final cleaned'!L893</f>
        <v>0</v>
      </c>
      <c r="G613">
        <f>'insurance final cleaned'!M893</f>
        <v>0</v>
      </c>
      <c r="H613">
        <f>'insurance final cleaned'!N893</f>
        <v>0</v>
      </c>
      <c r="I613">
        <f>'insurance final cleaned'!O893</f>
        <v>0</v>
      </c>
      <c r="J613">
        <f>'insurance final cleaned'!P893</f>
        <v>0.4584223857987898</v>
      </c>
      <c r="K613">
        <f>'insurance final cleaned'!Q893</f>
        <v>0</v>
      </c>
      <c r="L613">
        <f>'insurance final cleaned'!R893</f>
        <v>1</v>
      </c>
      <c r="M613">
        <f>'insurance final cleaned'!S893</f>
        <v>0</v>
      </c>
    </row>
    <row r="614" spans="1:13" x14ac:dyDescent="0.3">
      <c r="A614">
        <f>'insurance final cleaned'!J632</f>
        <v>8703.4599999999991</v>
      </c>
      <c r="B614">
        <f>'insurance final cleaned'!B632</f>
        <v>26</v>
      </c>
      <c r="C614">
        <f>'insurance final cleaned'!D632</f>
        <v>28.7</v>
      </c>
      <c r="D614">
        <f>'insurance final cleaned'!G632</f>
        <v>1</v>
      </c>
      <c r="E614">
        <f>'insurance final cleaned'!E632</f>
        <v>93</v>
      </c>
      <c r="F614">
        <f>'insurance final cleaned'!L632</f>
        <v>0</v>
      </c>
      <c r="G614">
        <f>'insurance final cleaned'!M632</f>
        <v>0</v>
      </c>
      <c r="H614">
        <f>'insurance final cleaned'!N632</f>
        <v>1</v>
      </c>
      <c r="I614">
        <f>'insurance final cleaned'!O632</f>
        <v>0</v>
      </c>
      <c r="J614">
        <f>'insurance final cleaned'!P632</f>
        <v>0.45968416262965994</v>
      </c>
      <c r="K614">
        <f>'insurance final cleaned'!Q632</f>
        <v>0</v>
      </c>
      <c r="L614">
        <f>'insurance final cleaned'!R632</f>
        <v>0</v>
      </c>
      <c r="M614">
        <f>'insurance final cleaned'!S632</f>
        <v>0</v>
      </c>
    </row>
    <row r="615" spans="1:13" x14ac:dyDescent="0.3">
      <c r="A615">
        <f>'insurance final cleaned'!J380</f>
        <v>5253.52</v>
      </c>
      <c r="B615">
        <f>'insurance final cleaned'!B380</f>
        <v>23</v>
      </c>
      <c r="C615">
        <f>'insurance final cleaned'!D380</f>
        <v>30.8</v>
      </c>
      <c r="D615">
        <f>'insurance final cleaned'!G380</f>
        <v>3</v>
      </c>
      <c r="E615">
        <f>'insurance final cleaned'!E380</f>
        <v>89</v>
      </c>
      <c r="F615">
        <f>'insurance final cleaned'!L380</f>
        <v>0</v>
      </c>
      <c r="G615">
        <f>'insurance final cleaned'!M380</f>
        <v>0</v>
      </c>
      <c r="H615">
        <f>'insurance final cleaned'!N380</f>
        <v>1</v>
      </c>
      <c r="I615">
        <f>'insurance final cleaned'!O380</f>
        <v>0</v>
      </c>
      <c r="J615">
        <f>'insurance final cleaned'!P380</f>
        <v>0.46053377919364558</v>
      </c>
      <c r="K615">
        <f>'insurance final cleaned'!Q380</f>
        <v>0</v>
      </c>
      <c r="L615">
        <f>'insurance final cleaned'!R380</f>
        <v>1</v>
      </c>
      <c r="M615">
        <f>'insurance final cleaned'!S380</f>
        <v>0</v>
      </c>
    </row>
    <row r="616" spans="1:13" x14ac:dyDescent="0.3">
      <c r="A616">
        <f>'insurance final cleaned'!J1171</f>
        <v>28468.92</v>
      </c>
      <c r="B616">
        <f>'insurance final cleaned'!B1171</f>
        <v>27</v>
      </c>
      <c r="C616">
        <f>'insurance final cleaned'!D1171</f>
        <v>36.700000000000003</v>
      </c>
      <c r="D616">
        <f>'insurance final cleaned'!G1171</f>
        <v>1</v>
      </c>
      <c r="E616">
        <f>'insurance final cleaned'!E1171</f>
        <v>130</v>
      </c>
      <c r="F616">
        <f>'insurance final cleaned'!L1171</f>
        <v>0</v>
      </c>
      <c r="G616">
        <f>'insurance final cleaned'!M1171</f>
        <v>0</v>
      </c>
      <c r="H616">
        <f>'insurance final cleaned'!N1171</f>
        <v>0</v>
      </c>
      <c r="I616">
        <f>'insurance final cleaned'!O1171</f>
        <v>1</v>
      </c>
      <c r="J616">
        <f>'insurance final cleaned'!P1171</f>
        <v>0.46136521606979453</v>
      </c>
      <c r="K616">
        <f>'insurance final cleaned'!Q1171</f>
        <v>0</v>
      </c>
      <c r="L616">
        <f>'insurance final cleaned'!R1171</f>
        <v>0</v>
      </c>
      <c r="M616">
        <f>'insurance final cleaned'!S1171</f>
        <v>0</v>
      </c>
    </row>
    <row r="617" spans="1:13" x14ac:dyDescent="0.3">
      <c r="A617">
        <f>'insurance final cleaned'!J179</f>
        <v>2789.06</v>
      </c>
      <c r="B617">
        <f>'insurance final cleaned'!B179</f>
        <v>49</v>
      </c>
      <c r="C617">
        <f>'insurance final cleaned'!D179</f>
        <v>27.4</v>
      </c>
      <c r="D617">
        <f>'insurance final cleaned'!G179</f>
        <v>1</v>
      </c>
      <c r="E617">
        <f>'insurance final cleaned'!E179</f>
        <v>91</v>
      </c>
      <c r="F617">
        <f>'insurance final cleaned'!L179</f>
        <v>0</v>
      </c>
      <c r="G617">
        <f>'insurance final cleaned'!M179</f>
        <v>0</v>
      </c>
      <c r="H617">
        <f>'insurance final cleaned'!N179</f>
        <v>0</v>
      </c>
      <c r="I617">
        <f>'insurance final cleaned'!O179</f>
        <v>1</v>
      </c>
      <c r="J617">
        <f>'insurance final cleaned'!P179</f>
        <v>0.46241494401556882</v>
      </c>
      <c r="K617">
        <f>'insurance final cleaned'!Q179</f>
        <v>0</v>
      </c>
      <c r="L617">
        <f>'insurance final cleaned'!R179</f>
        <v>0</v>
      </c>
      <c r="M617">
        <f>'insurance final cleaned'!S179</f>
        <v>0</v>
      </c>
    </row>
    <row r="618" spans="1:13" x14ac:dyDescent="0.3">
      <c r="A618">
        <f>'insurance final cleaned'!J458</f>
        <v>6358.78</v>
      </c>
      <c r="B618">
        <f>'insurance final cleaned'!B458</f>
        <v>28</v>
      </c>
      <c r="C618">
        <f>'insurance final cleaned'!D458</f>
        <v>31.3</v>
      </c>
      <c r="D618">
        <f>'insurance final cleaned'!G458</f>
        <v>0</v>
      </c>
      <c r="E618">
        <f>'insurance final cleaned'!E458</f>
        <v>91</v>
      </c>
      <c r="F618">
        <f>'insurance final cleaned'!L458</f>
        <v>0</v>
      </c>
      <c r="G618">
        <f>'insurance final cleaned'!M458</f>
        <v>0</v>
      </c>
      <c r="H618">
        <f>'insurance final cleaned'!N458</f>
        <v>0</v>
      </c>
      <c r="I618">
        <f>'insurance final cleaned'!O458</f>
        <v>1</v>
      </c>
      <c r="J618">
        <f>'insurance final cleaned'!P458</f>
        <v>0.4626795920716712</v>
      </c>
      <c r="K618">
        <f>'insurance final cleaned'!Q458</f>
        <v>0</v>
      </c>
      <c r="L618">
        <f>'insurance final cleaned'!R458</f>
        <v>0</v>
      </c>
      <c r="M618">
        <f>'insurance final cleaned'!S458</f>
        <v>0</v>
      </c>
    </row>
    <row r="619" spans="1:13" x14ac:dyDescent="0.3">
      <c r="A619">
        <f>'insurance final cleaned'!J646</f>
        <v>8944.1200000000008</v>
      </c>
      <c r="B619">
        <f>'insurance final cleaned'!B646</f>
        <v>43</v>
      </c>
      <c r="C619">
        <f>'insurance final cleaned'!D646</f>
        <v>43.9</v>
      </c>
      <c r="D619">
        <f>'insurance final cleaned'!G646</f>
        <v>3</v>
      </c>
      <c r="E619">
        <f>'insurance final cleaned'!E646</f>
        <v>89</v>
      </c>
      <c r="F619">
        <f>'insurance final cleaned'!L646</f>
        <v>0</v>
      </c>
      <c r="G619">
        <f>'insurance final cleaned'!M646</f>
        <v>1</v>
      </c>
      <c r="H619">
        <f>'insurance final cleaned'!N646</f>
        <v>0</v>
      </c>
      <c r="I619">
        <f>'insurance final cleaned'!O646</f>
        <v>0</v>
      </c>
      <c r="J619">
        <f>'insurance final cleaned'!P646</f>
        <v>0.46293394788031328</v>
      </c>
      <c r="K619">
        <f>'insurance final cleaned'!Q646</f>
        <v>0</v>
      </c>
      <c r="L619">
        <f>'insurance final cleaned'!R646</f>
        <v>1</v>
      </c>
      <c r="M619">
        <f>'insurance final cleaned'!S646</f>
        <v>0</v>
      </c>
    </row>
    <row r="620" spans="1:13" x14ac:dyDescent="0.3">
      <c r="A620">
        <f>'insurance final cleaned'!J1308</f>
        <v>46113.51</v>
      </c>
      <c r="B620">
        <f>'insurance final cleaned'!B1308</f>
        <v>43</v>
      </c>
      <c r="C620">
        <f>'insurance final cleaned'!D1308</f>
        <v>47.6</v>
      </c>
      <c r="D620">
        <f>'insurance final cleaned'!G1308</f>
        <v>2</v>
      </c>
      <c r="E620">
        <f>'insurance final cleaned'!E1308</f>
        <v>112</v>
      </c>
      <c r="F620">
        <f>'insurance final cleaned'!L1308</f>
        <v>47.6</v>
      </c>
      <c r="G620">
        <f>'insurance final cleaned'!M1308</f>
        <v>0</v>
      </c>
      <c r="H620">
        <f>'insurance final cleaned'!N1308</f>
        <v>1</v>
      </c>
      <c r="I620">
        <f>'insurance final cleaned'!O1308</f>
        <v>0</v>
      </c>
      <c r="J620">
        <f>'insurance final cleaned'!P1308</f>
        <v>0.46446313775528825</v>
      </c>
      <c r="K620">
        <f>'insurance final cleaned'!Q1308</f>
        <v>1</v>
      </c>
      <c r="L620">
        <f>'insurance final cleaned'!R1308</f>
        <v>1</v>
      </c>
      <c r="M620">
        <f>'insurance final cleaned'!S1308</f>
        <v>1</v>
      </c>
    </row>
    <row r="621" spans="1:13" x14ac:dyDescent="0.3">
      <c r="A621">
        <f>'insurance final cleaned'!J614</f>
        <v>8534.67</v>
      </c>
      <c r="B621">
        <f>'insurance final cleaned'!B614</f>
        <v>28</v>
      </c>
      <c r="C621">
        <f>'insurance final cleaned'!D614</f>
        <v>24.3</v>
      </c>
      <c r="D621">
        <f>'insurance final cleaned'!G614</f>
        <v>0</v>
      </c>
      <c r="E621">
        <f>'insurance final cleaned'!E614</f>
        <v>93</v>
      </c>
      <c r="F621">
        <f>'insurance final cleaned'!L614</f>
        <v>0</v>
      </c>
      <c r="G621">
        <f>'insurance final cleaned'!M614</f>
        <v>0</v>
      </c>
      <c r="H621">
        <f>'insurance final cleaned'!N614</f>
        <v>0</v>
      </c>
      <c r="I621">
        <f>'insurance final cleaned'!O614</f>
        <v>0</v>
      </c>
      <c r="J621">
        <f>'insurance final cleaned'!P614</f>
        <v>0.46618079380097144</v>
      </c>
      <c r="K621">
        <f>'insurance final cleaned'!Q614</f>
        <v>0</v>
      </c>
      <c r="L621">
        <f>'insurance final cleaned'!R614</f>
        <v>1</v>
      </c>
      <c r="M621">
        <f>'insurance final cleaned'!S614</f>
        <v>1</v>
      </c>
    </row>
    <row r="622" spans="1:13" x14ac:dyDescent="0.3">
      <c r="A622">
        <f>'insurance final cleaned'!J564</f>
        <v>7731.86</v>
      </c>
      <c r="B622">
        <f>'insurance final cleaned'!B564</f>
        <v>26</v>
      </c>
      <c r="C622">
        <f>'insurance final cleaned'!D564</f>
        <v>35.799999999999997</v>
      </c>
      <c r="D622">
        <f>'insurance final cleaned'!G564</f>
        <v>0</v>
      </c>
      <c r="E622">
        <f>'insurance final cleaned'!E564</f>
        <v>100</v>
      </c>
      <c r="F622">
        <f>'insurance final cleaned'!L564</f>
        <v>0</v>
      </c>
      <c r="G622">
        <f>'insurance final cleaned'!M564</f>
        <v>0</v>
      </c>
      <c r="H622">
        <f>'insurance final cleaned'!N564</f>
        <v>0</v>
      </c>
      <c r="I622">
        <f>'insurance final cleaned'!O564</f>
        <v>1</v>
      </c>
      <c r="J622">
        <f>'insurance final cleaned'!P564</f>
        <v>0.4667484295596761</v>
      </c>
      <c r="K622">
        <f>'insurance final cleaned'!Q564</f>
        <v>0</v>
      </c>
      <c r="L622">
        <f>'insurance final cleaned'!R564</f>
        <v>1</v>
      </c>
      <c r="M622">
        <f>'insurance final cleaned'!S564</f>
        <v>1</v>
      </c>
    </row>
    <row r="623" spans="1:13" x14ac:dyDescent="0.3">
      <c r="A623">
        <f>'insurance final cleaned'!J1276</f>
        <v>41676.080000000002</v>
      </c>
      <c r="B623">
        <f>'insurance final cleaned'!B1276</f>
        <v>27</v>
      </c>
      <c r="C623">
        <f>'insurance final cleaned'!D1276</f>
        <v>36.200000000000003</v>
      </c>
      <c r="D623">
        <f>'insurance final cleaned'!G1276</f>
        <v>0</v>
      </c>
      <c r="E623">
        <f>'insurance final cleaned'!E1276</f>
        <v>98</v>
      </c>
      <c r="F623">
        <f>'insurance final cleaned'!L1276</f>
        <v>36.200000000000003</v>
      </c>
      <c r="G623">
        <f>'insurance final cleaned'!M1276</f>
        <v>1</v>
      </c>
      <c r="H623">
        <f>'insurance final cleaned'!N1276</f>
        <v>0</v>
      </c>
      <c r="I623">
        <f>'insurance final cleaned'!O1276</f>
        <v>0</v>
      </c>
      <c r="J623">
        <f>'insurance final cleaned'!P1276</f>
        <v>0.46675156597038181</v>
      </c>
      <c r="K623">
        <f>'insurance final cleaned'!Q1276</f>
        <v>1</v>
      </c>
      <c r="L623">
        <f>'insurance final cleaned'!R1276</f>
        <v>0</v>
      </c>
      <c r="M623">
        <f>'insurance final cleaned'!S1276</f>
        <v>0</v>
      </c>
    </row>
    <row r="624" spans="1:13" x14ac:dyDescent="0.3">
      <c r="A624">
        <f>'insurance final cleaned'!J1232</f>
        <v>37270.15</v>
      </c>
      <c r="B624">
        <f>'insurance final cleaned'!B1232</f>
        <v>58</v>
      </c>
      <c r="C624">
        <f>'insurance final cleaned'!D1232</f>
        <v>30.8</v>
      </c>
      <c r="D624">
        <f>'insurance final cleaned'!G1232</f>
        <v>0</v>
      </c>
      <c r="E624">
        <f>'insurance final cleaned'!E1232</f>
        <v>139</v>
      </c>
      <c r="F624">
        <f>'insurance final cleaned'!L1232</f>
        <v>30.8</v>
      </c>
      <c r="G624">
        <f>'insurance final cleaned'!M1232</f>
        <v>0</v>
      </c>
      <c r="H624">
        <f>'insurance final cleaned'!N1232</f>
        <v>0</v>
      </c>
      <c r="I624">
        <f>'insurance final cleaned'!O1232</f>
        <v>0</v>
      </c>
      <c r="J624">
        <f>'insurance final cleaned'!P1232</f>
        <v>0.46702615920441892</v>
      </c>
      <c r="K624">
        <f>'insurance final cleaned'!Q1232</f>
        <v>1</v>
      </c>
      <c r="L624">
        <f>'insurance final cleaned'!R1232</f>
        <v>0</v>
      </c>
      <c r="M624">
        <f>'insurance final cleaned'!S1232</f>
        <v>1</v>
      </c>
    </row>
    <row r="625" spans="1:13" x14ac:dyDescent="0.3">
      <c r="A625">
        <f>'insurance final cleaned'!J927</f>
        <v>13429.04</v>
      </c>
      <c r="B625">
        <f>'insurance final cleaned'!B927</f>
        <v>42</v>
      </c>
      <c r="C625">
        <f>'insurance final cleaned'!D927</f>
        <v>31.2</v>
      </c>
      <c r="D625">
        <f>'insurance final cleaned'!G927</f>
        <v>0</v>
      </c>
      <c r="E625">
        <f>'insurance final cleaned'!E927</f>
        <v>92</v>
      </c>
      <c r="F625">
        <f>'insurance final cleaned'!L927</f>
        <v>0</v>
      </c>
      <c r="G625">
        <f>'insurance final cleaned'!M927</f>
        <v>0</v>
      </c>
      <c r="H625">
        <f>'insurance final cleaned'!N927</f>
        <v>0</v>
      </c>
      <c r="I625">
        <f>'insurance final cleaned'!O927</f>
        <v>1</v>
      </c>
      <c r="J625">
        <f>'insurance final cleaned'!P927</f>
        <v>0.46722964356807606</v>
      </c>
      <c r="K625">
        <f>'insurance final cleaned'!Q927</f>
        <v>0</v>
      </c>
      <c r="L625">
        <f>'insurance final cleaned'!R927</f>
        <v>1</v>
      </c>
      <c r="M625">
        <f>'insurance final cleaned'!S927</f>
        <v>1</v>
      </c>
    </row>
    <row r="626" spans="1:13" x14ac:dyDescent="0.3">
      <c r="A626">
        <f>'insurance final cleaned'!J1122</f>
        <v>23807.24</v>
      </c>
      <c r="B626">
        <f>'insurance final cleaned'!B1122</f>
        <v>47</v>
      </c>
      <c r="C626">
        <f>'insurance final cleaned'!D1122</f>
        <v>25.8</v>
      </c>
      <c r="D626">
        <f>'insurance final cleaned'!G1122</f>
        <v>2</v>
      </c>
      <c r="E626">
        <f>'insurance final cleaned'!E1122</f>
        <v>101</v>
      </c>
      <c r="F626">
        <f>'insurance final cleaned'!L1122</f>
        <v>25.8</v>
      </c>
      <c r="G626">
        <f>'insurance final cleaned'!M1122</f>
        <v>0</v>
      </c>
      <c r="H626">
        <f>'insurance final cleaned'!N1122</f>
        <v>0</v>
      </c>
      <c r="I626">
        <f>'insurance final cleaned'!O1122</f>
        <v>1</v>
      </c>
      <c r="J626">
        <f>'insurance final cleaned'!P1122</f>
        <v>0.46772879683668767</v>
      </c>
      <c r="K626">
        <f>'insurance final cleaned'!Q1122</f>
        <v>1</v>
      </c>
      <c r="L626">
        <f>'insurance final cleaned'!R1122</f>
        <v>1</v>
      </c>
      <c r="M626">
        <f>'insurance final cleaned'!S1122</f>
        <v>0</v>
      </c>
    </row>
    <row r="627" spans="1:13" x14ac:dyDescent="0.3">
      <c r="A627">
        <f>'insurance final cleaned'!J755</f>
        <v>10702.64</v>
      </c>
      <c r="B627">
        <f>'insurance final cleaned'!B755</f>
        <v>38</v>
      </c>
      <c r="C627">
        <f>'insurance final cleaned'!D755</f>
        <v>28.2</v>
      </c>
      <c r="D627">
        <f>'insurance final cleaned'!G755</f>
        <v>3</v>
      </c>
      <c r="E627">
        <f>'insurance final cleaned'!E755</f>
        <v>86</v>
      </c>
      <c r="F627">
        <f>'insurance final cleaned'!L755</f>
        <v>0</v>
      </c>
      <c r="G627">
        <f>'insurance final cleaned'!M755</f>
        <v>1</v>
      </c>
      <c r="H627">
        <f>'insurance final cleaned'!N755</f>
        <v>0</v>
      </c>
      <c r="I627">
        <f>'insurance final cleaned'!O755</f>
        <v>0</v>
      </c>
      <c r="J627">
        <f>'insurance final cleaned'!P755</f>
        <v>0.4680161282893639</v>
      </c>
      <c r="K627">
        <f>'insurance final cleaned'!Q755</f>
        <v>0</v>
      </c>
      <c r="L627">
        <f>'insurance final cleaned'!R755</f>
        <v>0</v>
      </c>
      <c r="M627">
        <f>'insurance final cleaned'!S755</f>
        <v>1</v>
      </c>
    </row>
    <row r="628" spans="1:13" x14ac:dyDescent="0.3">
      <c r="A628">
        <f>'insurance final cleaned'!J904</f>
        <v>12979.36</v>
      </c>
      <c r="B628">
        <f>'insurance final cleaned'!B904</f>
        <v>43</v>
      </c>
      <c r="C628">
        <f>'insurance final cleaned'!D904</f>
        <v>37.4</v>
      </c>
      <c r="D628">
        <f>'insurance final cleaned'!G904</f>
        <v>0</v>
      </c>
      <c r="E628">
        <f>'insurance final cleaned'!E904</f>
        <v>81</v>
      </c>
      <c r="F628">
        <f>'insurance final cleaned'!L904</f>
        <v>0</v>
      </c>
      <c r="G628">
        <f>'insurance final cleaned'!M904</f>
        <v>0</v>
      </c>
      <c r="H628">
        <f>'insurance final cleaned'!N904</f>
        <v>1</v>
      </c>
      <c r="I628">
        <f>'insurance final cleaned'!O904</f>
        <v>0</v>
      </c>
      <c r="J628">
        <f>'insurance final cleaned'!P904</f>
        <v>0.46847108415550343</v>
      </c>
      <c r="K628">
        <f>'insurance final cleaned'!Q904</f>
        <v>0</v>
      </c>
      <c r="L628">
        <f>'insurance final cleaned'!R904</f>
        <v>0</v>
      </c>
      <c r="M628">
        <f>'insurance final cleaned'!S904</f>
        <v>0</v>
      </c>
    </row>
    <row r="629" spans="1:13" x14ac:dyDescent="0.3">
      <c r="A629">
        <f>'insurance final cleaned'!J1136</f>
        <v>24671.66</v>
      </c>
      <c r="B629">
        <f>'insurance final cleaned'!B1136</f>
        <v>36</v>
      </c>
      <c r="C629">
        <f>'insurance final cleaned'!D1136</f>
        <v>29.6</v>
      </c>
      <c r="D629">
        <f>'insurance final cleaned'!G1136</f>
        <v>4</v>
      </c>
      <c r="E629">
        <f>'insurance final cleaned'!E1136</f>
        <v>99</v>
      </c>
      <c r="F629">
        <f>'insurance final cleaned'!L1136</f>
        <v>0</v>
      </c>
      <c r="G629">
        <f>'insurance final cleaned'!M1136</f>
        <v>0</v>
      </c>
      <c r="H629">
        <f>'insurance final cleaned'!N1136</f>
        <v>0</v>
      </c>
      <c r="I629">
        <f>'insurance final cleaned'!O1136</f>
        <v>0</v>
      </c>
      <c r="J629">
        <f>'insurance final cleaned'!P1136</f>
        <v>0.4691538146740748</v>
      </c>
      <c r="K629">
        <f>'insurance final cleaned'!Q1136</f>
        <v>0</v>
      </c>
      <c r="L629">
        <f>'insurance final cleaned'!R1136</f>
        <v>0</v>
      </c>
      <c r="M629">
        <f>'insurance final cleaned'!S1136</f>
        <v>1</v>
      </c>
    </row>
    <row r="630" spans="1:13" x14ac:dyDescent="0.3">
      <c r="A630">
        <f>'insurance final cleaned'!J388</f>
        <v>5327.4</v>
      </c>
      <c r="B630">
        <f>'insurance final cleaned'!B388</f>
        <v>25</v>
      </c>
      <c r="C630">
        <f>'insurance final cleaned'!D388</f>
        <v>32.799999999999997</v>
      </c>
      <c r="D630">
        <f>'insurance final cleaned'!G388</f>
        <v>2</v>
      </c>
      <c r="E630">
        <f>'insurance final cleaned'!E388</f>
        <v>81</v>
      </c>
      <c r="F630">
        <f>'insurance final cleaned'!L388</f>
        <v>0</v>
      </c>
      <c r="G630">
        <f>'insurance final cleaned'!M388</f>
        <v>0</v>
      </c>
      <c r="H630">
        <f>'insurance final cleaned'!N388</f>
        <v>0</v>
      </c>
      <c r="I630">
        <f>'insurance final cleaned'!O388</f>
        <v>1</v>
      </c>
      <c r="J630">
        <f>'insurance final cleaned'!P388</f>
        <v>0.47019009140637114</v>
      </c>
      <c r="K630">
        <f>'insurance final cleaned'!Q388</f>
        <v>0</v>
      </c>
      <c r="L630">
        <f>'insurance final cleaned'!R388</f>
        <v>0</v>
      </c>
      <c r="M630">
        <f>'insurance final cleaned'!S388</f>
        <v>1</v>
      </c>
    </row>
    <row r="631" spans="1:13" x14ac:dyDescent="0.3">
      <c r="A631">
        <f>'insurance final cleaned'!J960</f>
        <v>14254.61</v>
      </c>
      <c r="B631">
        <f>'insurance final cleaned'!B960</f>
        <v>28</v>
      </c>
      <c r="C631">
        <f>'insurance final cleaned'!D960</f>
        <v>25.1</v>
      </c>
      <c r="D631">
        <f>'insurance final cleaned'!G960</f>
        <v>0</v>
      </c>
      <c r="E631">
        <f>'insurance final cleaned'!E960</f>
        <v>103</v>
      </c>
      <c r="F631">
        <f>'insurance final cleaned'!L960</f>
        <v>0</v>
      </c>
      <c r="G631">
        <f>'insurance final cleaned'!M960</f>
        <v>0</v>
      </c>
      <c r="H631">
        <f>'insurance final cleaned'!N960</f>
        <v>0</v>
      </c>
      <c r="I631">
        <f>'insurance final cleaned'!O960</f>
        <v>1</v>
      </c>
      <c r="J631">
        <f>'insurance final cleaned'!P960</f>
        <v>0.47051117616848548</v>
      </c>
      <c r="K631">
        <f>'insurance final cleaned'!Q960</f>
        <v>0</v>
      </c>
      <c r="L631">
        <f>'insurance final cleaned'!R960</f>
        <v>0</v>
      </c>
      <c r="M631">
        <f>'insurance final cleaned'!S960</f>
        <v>1</v>
      </c>
    </row>
    <row r="632" spans="1:13" x14ac:dyDescent="0.3">
      <c r="A632">
        <f>'insurance final cleaned'!J431</f>
        <v>5979.73</v>
      </c>
      <c r="B632">
        <f>'insurance final cleaned'!B431</f>
        <v>38</v>
      </c>
      <c r="C632">
        <f>'insurance final cleaned'!D431</f>
        <v>34.1</v>
      </c>
      <c r="D632">
        <f>'insurance final cleaned'!G431</f>
        <v>0</v>
      </c>
      <c r="E632">
        <f>'insurance final cleaned'!E431</f>
        <v>90</v>
      </c>
      <c r="F632">
        <f>'insurance final cleaned'!L431</f>
        <v>0</v>
      </c>
      <c r="G632">
        <f>'insurance final cleaned'!M431</f>
        <v>0</v>
      </c>
      <c r="H632">
        <f>'insurance final cleaned'!N431</f>
        <v>1</v>
      </c>
      <c r="I632">
        <f>'insurance final cleaned'!O431</f>
        <v>0</v>
      </c>
      <c r="J632">
        <f>'insurance final cleaned'!P431</f>
        <v>0.47196005777648364</v>
      </c>
      <c r="K632">
        <f>'insurance final cleaned'!Q431</f>
        <v>0</v>
      </c>
      <c r="L632">
        <f>'insurance final cleaned'!R431</f>
        <v>0</v>
      </c>
      <c r="M632">
        <f>'insurance final cleaned'!S431</f>
        <v>0</v>
      </c>
    </row>
    <row r="633" spans="1:13" x14ac:dyDescent="0.3">
      <c r="A633">
        <f>'insurance final cleaned'!J391</f>
        <v>5375.04</v>
      </c>
      <c r="B633">
        <f>'insurance final cleaned'!B391</f>
        <v>54</v>
      </c>
      <c r="C633">
        <f>'insurance final cleaned'!D391</f>
        <v>32.9</v>
      </c>
      <c r="D633">
        <f>'insurance final cleaned'!G391</f>
        <v>2</v>
      </c>
      <c r="E633">
        <f>'insurance final cleaned'!E391</f>
        <v>91</v>
      </c>
      <c r="F633">
        <f>'insurance final cleaned'!L391</f>
        <v>0</v>
      </c>
      <c r="G633">
        <f>'insurance final cleaned'!M391</f>
        <v>0</v>
      </c>
      <c r="H633">
        <f>'insurance final cleaned'!N391</f>
        <v>1</v>
      </c>
      <c r="I633">
        <f>'insurance final cleaned'!O391</f>
        <v>0</v>
      </c>
      <c r="J633">
        <f>'insurance final cleaned'!P391</f>
        <v>0.47253183299719526</v>
      </c>
      <c r="K633">
        <f>'insurance final cleaned'!Q391</f>
        <v>0</v>
      </c>
      <c r="L633">
        <f>'insurance final cleaned'!R391</f>
        <v>1</v>
      </c>
      <c r="M633">
        <f>'insurance final cleaned'!S391</f>
        <v>1</v>
      </c>
    </row>
    <row r="634" spans="1:13" x14ac:dyDescent="0.3">
      <c r="A634">
        <f>'insurance final cleaned'!J140</f>
        <v>2396.1</v>
      </c>
      <c r="B634">
        <f>'insurance final cleaned'!B140</f>
        <v>32</v>
      </c>
      <c r="C634">
        <f>'insurance final cleaned'!D140</f>
        <v>24.5</v>
      </c>
      <c r="D634">
        <f>'insurance final cleaned'!G140</f>
        <v>0</v>
      </c>
      <c r="E634">
        <f>'insurance final cleaned'!E140</f>
        <v>90</v>
      </c>
      <c r="F634">
        <f>'insurance final cleaned'!L140</f>
        <v>0</v>
      </c>
      <c r="G634">
        <f>'insurance final cleaned'!M140</f>
        <v>1</v>
      </c>
      <c r="H634">
        <f>'insurance final cleaned'!N140</f>
        <v>0</v>
      </c>
      <c r="I634">
        <f>'insurance final cleaned'!O140</f>
        <v>0</v>
      </c>
      <c r="J634">
        <f>'insurance final cleaned'!P140</f>
        <v>0.4725575772325511</v>
      </c>
      <c r="K634">
        <f>'insurance final cleaned'!Q140</f>
        <v>0</v>
      </c>
      <c r="L634">
        <f>'insurance final cleaned'!R140</f>
        <v>1</v>
      </c>
      <c r="M634">
        <f>'insurance final cleaned'!S140</f>
        <v>0</v>
      </c>
    </row>
    <row r="635" spans="1:13" x14ac:dyDescent="0.3">
      <c r="A635">
        <f>'insurance final cleaned'!J1186</f>
        <v>31620</v>
      </c>
      <c r="B635">
        <f>'insurance final cleaned'!B1186</f>
        <v>45</v>
      </c>
      <c r="C635">
        <f>'insurance final cleaned'!D1186</f>
        <v>36.9</v>
      </c>
      <c r="D635">
        <f>'insurance final cleaned'!G1186</f>
        <v>1</v>
      </c>
      <c r="E635">
        <f>'insurance final cleaned'!E1186</f>
        <v>122</v>
      </c>
      <c r="F635">
        <f>'insurance final cleaned'!L1186</f>
        <v>0</v>
      </c>
      <c r="G635">
        <f>'insurance final cleaned'!M1186</f>
        <v>0</v>
      </c>
      <c r="H635">
        <f>'insurance final cleaned'!N1186</f>
        <v>0</v>
      </c>
      <c r="I635">
        <f>'insurance final cleaned'!O1186</f>
        <v>0</v>
      </c>
      <c r="J635">
        <f>'insurance final cleaned'!P1186</f>
        <v>0.47588966303997593</v>
      </c>
      <c r="K635">
        <f>'insurance final cleaned'!Q1186</f>
        <v>0</v>
      </c>
      <c r="L635">
        <f>'insurance final cleaned'!R1186</f>
        <v>1</v>
      </c>
      <c r="M635">
        <f>'insurance final cleaned'!S1186</f>
        <v>1</v>
      </c>
    </row>
    <row r="636" spans="1:13" x14ac:dyDescent="0.3">
      <c r="A636">
        <f>'insurance final cleaned'!J996</f>
        <v>16069.08</v>
      </c>
      <c r="B636">
        <f>'insurance final cleaned'!B996</f>
        <v>53</v>
      </c>
      <c r="C636">
        <f>'insurance final cleaned'!D996</f>
        <v>31.8</v>
      </c>
      <c r="D636">
        <f>'insurance final cleaned'!G996</f>
        <v>2</v>
      </c>
      <c r="E636">
        <f>'insurance final cleaned'!E996</f>
        <v>96</v>
      </c>
      <c r="F636">
        <f>'insurance final cleaned'!L996</f>
        <v>0</v>
      </c>
      <c r="G636">
        <f>'insurance final cleaned'!M996</f>
        <v>0</v>
      </c>
      <c r="H636">
        <f>'insurance final cleaned'!N996</f>
        <v>0</v>
      </c>
      <c r="I636">
        <f>'insurance final cleaned'!O996</f>
        <v>0</v>
      </c>
      <c r="J636">
        <f>'insurance final cleaned'!P996</f>
        <v>0.47618130901620603</v>
      </c>
      <c r="K636">
        <f>'insurance final cleaned'!Q996</f>
        <v>0</v>
      </c>
      <c r="L636">
        <f>'insurance final cleaned'!R996</f>
        <v>0</v>
      </c>
      <c r="M636">
        <f>'insurance final cleaned'!S996</f>
        <v>1</v>
      </c>
    </row>
    <row r="637" spans="1:13" x14ac:dyDescent="0.3">
      <c r="A637">
        <f>'insurance final cleaned'!J364</f>
        <v>5003.8500000000004</v>
      </c>
      <c r="B637">
        <f>'insurance final cleaned'!B364</f>
        <v>40</v>
      </c>
      <c r="C637">
        <f>'insurance final cleaned'!D364</f>
        <v>27.5</v>
      </c>
      <c r="D637">
        <f>'insurance final cleaned'!G364</f>
        <v>1</v>
      </c>
      <c r="E637">
        <f>'insurance final cleaned'!E364</f>
        <v>98</v>
      </c>
      <c r="F637">
        <f>'insurance final cleaned'!L364</f>
        <v>0</v>
      </c>
      <c r="G637">
        <f>'insurance final cleaned'!M364</f>
        <v>0</v>
      </c>
      <c r="H637">
        <f>'insurance final cleaned'!N364</f>
        <v>1</v>
      </c>
      <c r="I637">
        <f>'insurance final cleaned'!O364</f>
        <v>0</v>
      </c>
      <c r="J637">
        <f>'insurance final cleaned'!P364</f>
        <v>0.4762743948849526</v>
      </c>
      <c r="K637">
        <f>'insurance final cleaned'!Q364</f>
        <v>0</v>
      </c>
      <c r="L637">
        <f>'insurance final cleaned'!R364</f>
        <v>1</v>
      </c>
      <c r="M637">
        <f>'insurance final cleaned'!S364</f>
        <v>1</v>
      </c>
    </row>
    <row r="638" spans="1:13" x14ac:dyDescent="0.3">
      <c r="A638">
        <f>'insurance final cleaned'!J146</f>
        <v>2459.7199999999998</v>
      </c>
      <c r="B638">
        <f>'insurance final cleaned'!B146</f>
        <v>37</v>
      </c>
      <c r="C638">
        <f>'insurance final cleaned'!D146</f>
        <v>30.6</v>
      </c>
      <c r="D638">
        <f>'insurance final cleaned'!G146</f>
        <v>0</v>
      </c>
      <c r="E638">
        <f>'insurance final cleaned'!E146</f>
        <v>96</v>
      </c>
      <c r="F638">
        <f>'insurance final cleaned'!L146</f>
        <v>0</v>
      </c>
      <c r="G638">
        <f>'insurance final cleaned'!M146</f>
        <v>1</v>
      </c>
      <c r="H638">
        <f>'insurance final cleaned'!N146</f>
        <v>0</v>
      </c>
      <c r="I638">
        <f>'insurance final cleaned'!O146</f>
        <v>0</v>
      </c>
      <c r="J638">
        <f>'insurance final cleaned'!P146</f>
        <v>0.47684368574699709</v>
      </c>
      <c r="K638">
        <f>'insurance final cleaned'!Q146</f>
        <v>0</v>
      </c>
      <c r="L638">
        <f>'insurance final cleaned'!R146</f>
        <v>1</v>
      </c>
      <c r="M638">
        <f>'insurance final cleaned'!S146</f>
        <v>1</v>
      </c>
    </row>
    <row r="639" spans="1:13" x14ac:dyDescent="0.3">
      <c r="A639">
        <f>'insurance final cleaned'!J1219</f>
        <v>36189.1</v>
      </c>
      <c r="B639">
        <f>'insurance final cleaned'!B1219</f>
        <v>28</v>
      </c>
      <c r="C639">
        <f>'insurance final cleaned'!D1219</f>
        <v>31.7</v>
      </c>
      <c r="D639">
        <f>'insurance final cleaned'!G1219</f>
        <v>3</v>
      </c>
      <c r="E639">
        <f>'insurance final cleaned'!E1219</f>
        <v>105</v>
      </c>
      <c r="F639">
        <f>'insurance final cleaned'!L1219</f>
        <v>31.7</v>
      </c>
      <c r="G639">
        <f>'insurance final cleaned'!M1219</f>
        <v>0</v>
      </c>
      <c r="H639">
        <f>'insurance final cleaned'!N1219</f>
        <v>0</v>
      </c>
      <c r="I639">
        <f>'insurance final cleaned'!O1219</f>
        <v>0</v>
      </c>
      <c r="J639">
        <f>'insurance final cleaned'!P1219</f>
        <v>0.47696678956634442</v>
      </c>
      <c r="K639">
        <f>'insurance final cleaned'!Q1219</f>
        <v>1</v>
      </c>
      <c r="L639">
        <f>'insurance final cleaned'!R1219</f>
        <v>1</v>
      </c>
      <c r="M639">
        <f>'insurance final cleaned'!S1219</f>
        <v>0</v>
      </c>
    </row>
    <row r="640" spans="1:13" x14ac:dyDescent="0.3">
      <c r="A640">
        <f>'insurance final cleaned'!J16</f>
        <v>1253.94</v>
      </c>
      <c r="B640">
        <f>'insurance final cleaned'!B16</f>
        <v>40</v>
      </c>
      <c r="C640">
        <f>'insurance final cleaned'!D16</f>
        <v>28.7</v>
      </c>
      <c r="D640">
        <f>'insurance final cleaned'!G16</f>
        <v>0</v>
      </c>
      <c r="E640">
        <f>'insurance final cleaned'!E16</f>
        <v>81</v>
      </c>
      <c r="F640">
        <f>'insurance final cleaned'!L16</f>
        <v>0</v>
      </c>
      <c r="G640">
        <f>'insurance final cleaned'!M16</f>
        <v>0</v>
      </c>
      <c r="H640">
        <f>'insurance final cleaned'!N16</f>
        <v>0</v>
      </c>
      <c r="I640">
        <f>'insurance final cleaned'!O16</f>
        <v>1</v>
      </c>
      <c r="J640">
        <f>'insurance final cleaned'!P16</f>
        <v>0.47712655382012792</v>
      </c>
      <c r="K640">
        <f>'insurance final cleaned'!Q16</f>
        <v>0</v>
      </c>
      <c r="L640">
        <f>'insurance final cleaned'!R16</f>
        <v>1</v>
      </c>
      <c r="M640">
        <f>'insurance final cleaned'!S16</f>
        <v>0</v>
      </c>
    </row>
    <row r="641" spans="1:13" x14ac:dyDescent="0.3">
      <c r="A641">
        <f>'insurance final cleaned'!J184</f>
        <v>2855.44</v>
      </c>
      <c r="B641">
        <f>'insurance final cleaned'!B184</f>
        <v>27</v>
      </c>
      <c r="C641">
        <f>'insurance final cleaned'!D184</f>
        <v>33.299999999999997</v>
      </c>
      <c r="D641">
        <f>'insurance final cleaned'!G184</f>
        <v>0</v>
      </c>
      <c r="E641">
        <f>'insurance final cleaned'!E184</f>
        <v>92</v>
      </c>
      <c r="F641">
        <f>'insurance final cleaned'!L184</f>
        <v>0</v>
      </c>
      <c r="G641">
        <f>'insurance final cleaned'!M184</f>
        <v>0</v>
      </c>
      <c r="H641">
        <f>'insurance final cleaned'!N184</f>
        <v>0</v>
      </c>
      <c r="I641">
        <f>'insurance final cleaned'!O184</f>
        <v>1</v>
      </c>
      <c r="J641">
        <f>'insurance final cleaned'!P184</f>
        <v>0.47875285226974762</v>
      </c>
      <c r="K641">
        <f>'insurance final cleaned'!Q184</f>
        <v>0</v>
      </c>
      <c r="L641">
        <f>'insurance final cleaned'!R184</f>
        <v>1</v>
      </c>
      <c r="M641">
        <f>'insurance final cleaned'!S184</f>
        <v>1</v>
      </c>
    </row>
    <row r="642" spans="1:13" x14ac:dyDescent="0.3">
      <c r="A642">
        <f>'insurance final cleaned'!J758</f>
        <v>10736.87</v>
      </c>
      <c r="B642">
        <f>'insurance final cleaned'!B758</f>
        <v>26</v>
      </c>
      <c r="C642">
        <f>'insurance final cleaned'!D758</f>
        <v>35.6</v>
      </c>
      <c r="D642">
        <f>'insurance final cleaned'!G758</f>
        <v>4</v>
      </c>
      <c r="E642">
        <f>'insurance final cleaned'!E758</f>
        <v>106</v>
      </c>
      <c r="F642">
        <f>'insurance final cleaned'!L758</f>
        <v>0</v>
      </c>
      <c r="G642">
        <f>'insurance final cleaned'!M758</f>
        <v>0</v>
      </c>
      <c r="H642">
        <f>'insurance final cleaned'!N758</f>
        <v>0</v>
      </c>
      <c r="I642">
        <f>'insurance final cleaned'!O758</f>
        <v>0</v>
      </c>
      <c r="J642">
        <f>'insurance final cleaned'!P758</f>
        <v>0.47904487323914757</v>
      </c>
      <c r="K642">
        <f>'insurance final cleaned'!Q758</f>
        <v>0</v>
      </c>
      <c r="L642">
        <f>'insurance final cleaned'!R758</f>
        <v>1</v>
      </c>
      <c r="M642">
        <f>'insurance final cleaned'!S758</f>
        <v>0</v>
      </c>
    </row>
    <row r="643" spans="1:13" x14ac:dyDescent="0.3">
      <c r="A643">
        <f>'insurance final cleaned'!J1289</f>
        <v>42983.46</v>
      </c>
      <c r="B643">
        <f>'insurance final cleaned'!B1289</f>
        <v>32</v>
      </c>
      <c r="C643">
        <f>'insurance final cleaned'!D1289</f>
        <v>39</v>
      </c>
      <c r="D643">
        <f>'insurance final cleaned'!G1289</f>
        <v>0</v>
      </c>
      <c r="E643">
        <f>'insurance final cleaned'!E1289</f>
        <v>96</v>
      </c>
      <c r="F643">
        <f>'insurance final cleaned'!L1289</f>
        <v>39</v>
      </c>
      <c r="G643">
        <f>'insurance final cleaned'!M1289</f>
        <v>0</v>
      </c>
      <c r="H643">
        <f>'insurance final cleaned'!N1289</f>
        <v>0</v>
      </c>
      <c r="I643">
        <f>'insurance final cleaned'!O1289</f>
        <v>1</v>
      </c>
      <c r="J643">
        <f>'insurance final cleaned'!P1289</f>
        <v>0.4796492765490149</v>
      </c>
      <c r="K643">
        <f>'insurance final cleaned'!Q1289</f>
        <v>1</v>
      </c>
      <c r="L643">
        <f>'insurance final cleaned'!R1289</f>
        <v>1</v>
      </c>
      <c r="M643">
        <f>'insurance final cleaned'!S1289</f>
        <v>1</v>
      </c>
    </row>
    <row r="644" spans="1:13" x14ac:dyDescent="0.3">
      <c r="A644">
        <f>'insurance final cleaned'!J604</f>
        <v>8413.4599999999991</v>
      </c>
      <c r="B644">
        <f>'insurance final cleaned'!B604</f>
        <v>30</v>
      </c>
      <c r="C644">
        <f>'insurance final cleaned'!D604</f>
        <v>30.5</v>
      </c>
      <c r="D644">
        <f>'insurance final cleaned'!G604</f>
        <v>2</v>
      </c>
      <c r="E644">
        <f>'insurance final cleaned'!E604</f>
        <v>87</v>
      </c>
      <c r="F644">
        <f>'insurance final cleaned'!L604</f>
        <v>0</v>
      </c>
      <c r="G644">
        <f>'insurance final cleaned'!M604</f>
        <v>0</v>
      </c>
      <c r="H644">
        <f>'insurance final cleaned'!N604</f>
        <v>0</v>
      </c>
      <c r="I644">
        <f>'insurance final cleaned'!O604</f>
        <v>1</v>
      </c>
      <c r="J644">
        <f>'insurance final cleaned'!P604</f>
        <v>0.48053186078887522</v>
      </c>
      <c r="K644">
        <f>'insurance final cleaned'!Q604</f>
        <v>0</v>
      </c>
      <c r="L644">
        <f>'insurance final cleaned'!R604</f>
        <v>1</v>
      </c>
      <c r="M644">
        <f>'insurance final cleaned'!S604</f>
        <v>0</v>
      </c>
    </row>
    <row r="645" spans="1:13" x14ac:dyDescent="0.3">
      <c r="A645">
        <f>'insurance final cleaned'!J677</f>
        <v>9432.93</v>
      </c>
      <c r="B645">
        <f>'insurance final cleaned'!B677</f>
        <v>49</v>
      </c>
      <c r="C645">
        <f>'insurance final cleaned'!D677</f>
        <v>48.1</v>
      </c>
      <c r="D645">
        <f>'insurance final cleaned'!G677</f>
        <v>2</v>
      </c>
      <c r="E645">
        <f>'insurance final cleaned'!E677</f>
        <v>81</v>
      </c>
      <c r="F645">
        <f>'insurance final cleaned'!L677</f>
        <v>0</v>
      </c>
      <c r="G645">
        <f>'insurance final cleaned'!M677</f>
        <v>0</v>
      </c>
      <c r="H645">
        <f>'insurance final cleaned'!N677</f>
        <v>0</v>
      </c>
      <c r="I645">
        <f>'insurance final cleaned'!O677</f>
        <v>0</v>
      </c>
      <c r="J645">
        <f>'insurance final cleaned'!P677</f>
        <v>0.48144491731397132</v>
      </c>
      <c r="K645">
        <f>'insurance final cleaned'!Q677</f>
        <v>0</v>
      </c>
      <c r="L645">
        <f>'insurance final cleaned'!R677</f>
        <v>1</v>
      </c>
      <c r="M645">
        <f>'insurance final cleaned'!S677</f>
        <v>1</v>
      </c>
    </row>
    <row r="646" spans="1:13" x14ac:dyDescent="0.3">
      <c r="A646">
        <f>'insurance final cleaned'!J1061</f>
        <v>19539.240000000002</v>
      </c>
      <c r="B646">
        <f>'insurance final cleaned'!B1061</f>
        <v>34</v>
      </c>
      <c r="C646">
        <f>'insurance final cleaned'!D1061</f>
        <v>26.4</v>
      </c>
      <c r="D646">
        <f>'insurance final cleaned'!G1061</f>
        <v>0</v>
      </c>
      <c r="E646">
        <f>'insurance final cleaned'!E1061</f>
        <v>105</v>
      </c>
      <c r="F646">
        <f>'insurance final cleaned'!L1061</f>
        <v>26.4</v>
      </c>
      <c r="G646">
        <f>'insurance final cleaned'!M1061</f>
        <v>1</v>
      </c>
      <c r="H646">
        <f>'insurance final cleaned'!N1061</f>
        <v>0</v>
      </c>
      <c r="I646">
        <f>'insurance final cleaned'!O1061</f>
        <v>0</v>
      </c>
      <c r="J646">
        <f>'insurance final cleaned'!P1061</f>
        <v>0.4815364121169905</v>
      </c>
      <c r="K646">
        <f>'insurance final cleaned'!Q1061</f>
        <v>1</v>
      </c>
      <c r="L646">
        <f>'insurance final cleaned'!R1061</f>
        <v>0</v>
      </c>
      <c r="M646">
        <f>'insurance final cleaned'!S1061</f>
        <v>1</v>
      </c>
    </row>
    <row r="647" spans="1:13" x14ac:dyDescent="0.3">
      <c r="A647">
        <f>'insurance final cleaned'!J704</f>
        <v>9861.0300000000007</v>
      </c>
      <c r="B647">
        <f>'insurance final cleaned'!B704</f>
        <v>26</v>
      </c>
      <c r="C647">
        <f>'insurance final cleaned'!D704</f>
        <v>25.8</v>
      </c>
      <c r="D647">
        <f>'insurance final cleaned'!G704</f>
        <v>1</v>
      </c>
      <c r="E647">
        <f>'insurance final cleaned'!E704</f>
        <v>110</v>
      </c>
      <c r="F647">
        <f>'insurance final cleaned'!L704</f>
        <v>0</v>
      </c>
      <c r="G647">
        <f>'insurance final cleaned'!M704</f>
        <v>0</v>
      </c>
      <c r="H647">
        <f>'insurance final cleaned'!N704</f>
        <v>1</v>
      </c>
      <c r="I647">
        <f>'insurance final cleaned'!O704</f>
        <v>0</v>
      </c>
      <c r="J647">
        <f>'insurance final cleaned'!P704</f>
        <v>0.48241942673428639</v>
      </c>
      <c r="K647">
        <f>'insurance final cleaned'!Q704</f>
        <v>0</v>
      </c>
      <c r="L647">
        <f>'insurance final cleaned'!R704</f>
        <v>0</v>
      </c>
      <c r="M647">
        <f>'insurance final cleaned'!S704</f>
        <v>1</v>
      </c>
    </row>
    <row r="648" spans="1:13" x14ac:dyDescent="0.3">
      <c r="A648">
        <f>'insurance final cleaned'!J567</f>
        <v>7749.16</v>
      </c>
      <c r="B648">
        <f>'insurance final cleaned'!B567</f>
        <v>56</v>
      </c>
      <c r="C648">
        <f>'insurance final cleaned'!D567</f>
        <v>33.1</v>
      </c>
      <c r="D648">
        <f>'insurance final cleaned'!G567</f>
        <v>2</v>
      </c>
      <c r="E648">
        <f>'insurance final cleaned'!E567</f>
        <v>91</v>
      </c>
      <c r="F648">
        <f>'insurance final cleaned'!L567</f>
        <v>0</v>
      </c>
      <c r="G648">
        <f>'insurance final cleaned'!M567</f>
        <v>0</v>
      </c>
      <c r="H648">
        <f>'insurance final cleaned'!N567</f>
        <v>0</v>
      </c>
      <c r="I648">
        <f>'insurance final cleaned'!O567</f>
        <v>1</v>
      </c>
      <c r="J648">
        <f>'insurance final cleaned'!P567</f>
        <v>0.48244526880140148</v>
      </c>
      <c r="K648">
        <f>'insurance final cleaned'!Q567</f>
        <v>0</v>
      </c>
      <c r="L648">
        <f>'insurance final cleaned'!R567</f>
        <v>0</v>
      </c>
      <c r="M648">
        <f>'insurance final cleaned'!S567</f>
        <v>1</v>
      </c>
    </row>
    <row r="649" spans="1:13" x14ac:dyDescent="0.3">
      <c r="A649">
        <f>'insurance final cleaned'!J1064</f>
        <v>19719.689999999999</v>
      </c>
      <c r="B649">
        <f>'insurance final cleaned'!B1064</f>
        <v>38</v>
      </c>
      <c r="C649">
        <f>'insurance final cleaned'!D1064</f>
        <v>28.9</v>
      </c>
      <c r="D649">
        <f>'insurance final cleaned'!G1064</f>
        <v>1</v>
      </c>
      <c r="E649">
        <f>'insurance final cleaned'!E1064</f>
        <v>106</v>
      </c>
      <c r="F649">
        <f>'insurance final cleaned'!L1064</f>
        <v>28.9</v>
      </c>
      <c r="G649">
        <f>'insurance final cleaned'!M1064</f>
        <v>1</v>
      </c>
      <c r="H649">
        <f>'insurance final cleaned'!N1064</f>
        <v>0</v>
      </c>
      <c r="I649">
        <f>'insurance final cleaned'!O1064</f>
        <v>0</v>
      </c>
      <c r="J649">
        <f>'insurance final cleaned'!P1064</f>
        <v>0.48264233150068381</v>
      </c>
      <c r="K649">
        <f>'insurance final cleaned'!Q1064</f>
        <v>1</v>
      </c>
      <c r="L649">
        <f>'insurance final cleaned'!R1064</f>
        <v>0</v>
      </c>
      <c r="M649">
        <f>'insurance final cleaned'!S1064</f>
        <v>0</v>
      </c>
    </row>
    <row r="650" spans="1:13" x14ac:dyDescent="0.3">
      <c r="A650">
        <f>'insurance final cleaned'!J866</f>
        <v>12265.51</v>
      </c>
      <c r="B650">
        <f>'insurance final cleaned'!B866</f>
        <v>60</v>
      </c>
      <c r="C650">
        <f>'insurance final cleaned'!D866</f>
        <v>37.5</v>
      </c>
      <c r="D650">
        <f>'insurance final cleaned'!G866</f>
        <v>2</v>
      </c>
      <c r="E650">
        <f>'insurance final cleaned'!E866</f>
        <v>97</v>
      </c>
      <c r="F650">
        <f>'insurance final cleaned'!L866</f>
        <v>0</v>
      </c>
      <c r="G650">
        <f>'insurance final cleaned'!M866</f>
        <v>1</v>
      </c>
      <c r="H650">
        <f>'insurance final cleaned'!N866</f>
        <v>0</v>
      </c>
      <c r="I650">
        <f>'insurance final cleaned'!O866</f>
        <v>0</v>
      </c>
      <c r="J650">
        <f>'insurance final cleaned'!P866</f>
        <v>0.48267147559319312</v>
      </c>
      <c r="K650">
        <f>'insurance final cleaned'!Q866</f>
        <v>0</v>
      </c>
      <c r="L650">
        <f>'insurance final cleaned'!R866</f>
        <v>1</v>
      </c>
      <c r="M650">
        <f>'insurance final cleaned'!S866</f>
        <v>1</v>
      </c>
    </row>
    <row r="651" spans="1:13" x14ac:dyDescent="0.3">
      <c r="A651">
        <f>'insurance final cleaned'!J128</f>
        <v>2221.56</v>
      </c>
      <c r="B651">
        <f>'insurance final cleaned'!B128</f>
        <v>26</v>
      </c>
      <c r="C651">
        <f>'insurance final cleaned'!D128</f>
        <v>25.6</v>
      </c>
      <c r="D651">
        <f>'insurance final cleaned'!G128</f>
        <v>1</v>
      </c>
      <c r="E651">
        <f>'insurance final cleaned'!E128</f>
        <v>86</v>
      </c>
      <c r="F651">
        <f>'insurance final cleaned'!L128</f>
        <v>0</v>
      </c>
      <c r="G651">
        <f>'insurance final cleaned'!M128</f>
        <v>0</v>
      </c>
      <c r="H651">
        <f>'insurance final cleaned'!N128</f>
        <v>0</v>
      </c>
      <c r="I651">
        <f>'insurance final cleaned'!O128</f>
        <v>1</v>
      </c>
      <c r="J651">
        <f>'insurance final cleaned'!P128</f>
        <v>0.48450624225708205</v>
      </c>
      <c r="K651">
        <f>'insurance final cleaned'!Q128</f>
        <v>0</v>
      </c>
      <c r="L651">
        <f>'insurance final cleaned'!R128</f>
        <v>0</v>
      </c>
      <c r="M651">
        <f>'insurance final cleaned'!S128</f>
        <v>0</v>
      </c>
    </row>
    <row r="652" spans="1:13" x14ac:dyDescent="0.3">
      <c r="A652">
        <f>'insurance final cleaned'!J698</f>
        <v>9748.91</v>
      </c>
      <c r="B652">
        <f>'insurance final cleaned'!B698</f>
        <v>49</v>
      </c>
      <c r="C652">
        <f>'insurance final cleaned'!D698</f>
        <v>47.7</v>
      </c>
      <c r="D652">
        <f>'insurance final cleaned'!G698</f>
        <v>1</v>
      </c>
      <c r="E652">
        <f>'insurance final cleaned'!E698</f>
        <v>88</v>
      </c>
      <c r="F652">
        <f>'insurance final cleaned'!L698</f>
        <v>0</v>
      </c>
      <c r="G652">
        <f>'insurance final cleaned'!M698</f>
        <v>1</v>
      </c>
      <c r="H652">
        <f>'insurance final cleaned'!N698</f>
        <v>0</v>
      </c>
      <c r="I652">
        <f>'insurance final cleaned'!O698</f>
        <v>0</v>
      </c>
      <c r="J652">
        <f>'insurance final cleaned'!P698</f>
        <v>0.48497200577371424</v>
      </c>
      <c r="K652">
        <f>'insurance final cleaned'!Q698</f>
        <v>0</v>
      </c>
      <c r="L652">
        <f>'insurance final cleaned'!R698</f>
        <v>0</v>
      </c>
      <c r="M652">
        <f>'insurance final cleaned'!S698</f>
        <v>0</v>
      </c>
    </row>
    <row r="653" spans="1:13" x14ac:dyDescent="0.3">
      <c r="A653">
        <f>'insurance final cleaned'!J1030</f>
        <v>18157.88</v>
      </c>
      <c r="B653">
        <f>'insurance final cleaned'!B1030</f>
        <v>33</v>
      </c>
      <c r="C653">
        <f>'insurance final cleaned'!D1030</f>
        <v>29.7</v>
      </c>
      <c r="D653">
        <f>'insurance final cleaned'!G1030</f>
        <v>2</v>
      </c>
      <c r="E653">
        <f>'insurance final cleaned'!E1030</f>
        <v>102</v>
      </c>
      <c r="F653">
        <f>'insurance final cleaned'!L1030</f>
        <v>0</v>
      </c>
      <c r="G653">
        <f>'insurance final cleaned'!M1030</f>
        <v>0</v>
      </c>
      <c r="H653">
        <f>'insurance final cleaned'!N1030</f>
        <v>0</v>
      </c>
      <c r="I653">
        <f>'insurance final cleaned'!O1030</f>
        <v>1</v>
      </c>
      <c r="J653">
        <f>'insurance final cleaned'!P1030</f>
        <v>0.48523843235713593</v>
      </c>
      <c r="K653">
        <f>'insurance final cleaned'!Q1030</f>
        <v>0</v>
      </c>
      <c r="L653">
        <f>'insurance final cleaned'!R1030</f>
        <v>1</v>
      </c>
      <c r="M653">
        <f>'insurance final cleaned'!S1030</f>
        <v>0</v>
      </c>
    </row>
    <row r="654" spans="1:13" x14ac:dyDescent="0.3">
      <c r="A654">
        <f>'insurance final cleaned'!J389</f>
        <v>5354.07</v>
      </c>
      <c r="B654">
        <f>'insurance final cleaned'!B389</f>
        <v>31</v>
      </c>
      <c r="C654">
        <f>'insurance final cleaned'!D389</f>
        <v>22.1</v>
      </c>
      <c r="D654">
        <f>'insurance final cleaned'!G389</f>
        <v>1</v>
      </c>
      <c r="E654">
        <f>'insurance final cleaned'!E389</f>
        <v>97</v>
      </c>
      <c r="F654">
        <f>'insurance final cleaned'!L389</f>
        <v>0</v>
      </c>
      <c r="G654">
        <f>'insurance final cleaned'!M389</f>
        <v>1</v>
      </c>
      <c r="H654">
        <f>'insurance final cleaned'!N389</f>
        <v>0</v>
      </c>
      <c r="I654">
        <f>'insurance final cleaned'!O389</f>
        <v>0</v>
      </c>
      <c r="J654">
        <f>'insurance final cleaned'!P389</f>
        <v>0.48658238914476004</v>
      </c>
      <c r="K654">
        <f>'insurance final cleaned'!Q389</f>
        <v>0</v>
      </c>
      <c r="L654">
        <f>'insurance final cleaned'!R389</f>
        <v>1</v>
      </c>
      <c r="M654">
        <f>'insurance final cleaned'!S389</f>
        <v>1</v>
      </c>
    </row>
    <row r="655" spans="1:13" x14ac:dyDescent="0.3">
      <c r="A655">
        <f>'insurance final cleaned'!J197</f>
        <v>3056.39</v>
      </c>
      <c r="B655">
        <f>'insurance final cleaned'!B197</f>
        <v>33</v>
      </c>
      <c r="C655">
        <f>'insurance final cleaned'!D197</f>
        <v>31.8</v>
      </c>
      <c r="D655">
        <f>'insurance final cleaned'!G197</f>
        <v>2</v>
      </c>
      <c r="E655">
        <f>'insurance final cleaned'!E197</f>
        <v>98</v>
      </c>
      <c r="F655">
        <f>'insurance final cleaned'!L197</f>
        <v>0</v>
      </c>
      <c r="G655">
        <f>'insurance final cleaned'!M197</f>
        <v>1</v>
      </c>
      <c r="H655">
        <f>'insurance final cleaned'!N197</f>
        <v>0</v>
      </c>
      <c r="I655">
        <f>'insurance final cleaned'!O197</f>
        <v>0</v>
      </c>
      <c r="J655">
        <f>'insurance final cleaned'!P197</f>
        <v>0.48703715395381619</v>
      </c>
      <c r="K655">
        <f>'insurance final cleaned'!Q197</f>
        <v>0</v>
      </c>
      <c r="L655">
        <f>'insurance final cleaned'!R197</f>
        <v>1</v>
      </c>
      <c r="M655">
        <f>'insurance final cleaned'!S197</f>
        <v>1</v>
      </c>
    </row>
    <row r="656" spans="1:13" x14ac:dyDescent="0.3">
      <c r="A656">
        <f>'insurance final cleaned'!J630</f>
        <v>8671.19</v>
      </c>
      <c r="B656">
        <f>'insurance final cleaned'!B630</f>
        <v>56</v>
      </c>
      <c r="C656">
        <f>'insurance final cleaned'!D630</f>
        <v>36.6</v>
      </c>
      <c r="D656">
        <f>'insurance final cleaned'!G630</f>
        <v>0</v>
      </c>
      <c r="E656">
        <f>'insurance final cleaned'!E630</f>
        <v>100</v>
      </c>
      <c r="F656">
        <f>'insurance final cleaned'!L630</f>
        <v>0</v>
      </c>
      <c r="G656">
        <f>'insurance final cleaned'!M630</f>
        <v>0</v>
      </c>
      <c r="H656">
        <f>'insurance final cleaned'!N630</f>
        <v>0</v>
      </c>
      <c r="I656">
        <f>'insurance final cleaned'!O630</f>
        <v>1</v>
      </c>
      <c r="J656">
        <f>'insurance final cleaned'!P630</f>
        <v>0.48757817308341678</v>
      </c>
      <c r="K656">
        <f>'insurance final cleaned'!Q630</f>
        <v>0</v>
      </c>
      <c r="L656">
        <f>'insurance final cleaned'!R630</f>
        <v>0</v>
      </c>
      <c r="M656">
        <f>'insurance final cleaned'!S630</f>
        <v>1</v>
      </c>
    </row>
    <row r="657" spans="1:13" x14ac:dyDescent="0.3">
      <c r="A657">
        <f>'insurance final cleaned'!J39</f>
        <v>1632.56</v>
      </c>
      <c r="B657">
        <f>'insurance final cleaned'!B39</f>
        <v>34</v>
      </c>
      <c r="C657">
        <f>'insurance final cleaned'!D39</f>
        <v>25.6</v>
      </c>
      <c r="D657">
        <f>'insurance final cleaned'!G39</f>
        <v>0</v>
      </c>
      <c r="E657">
        <f>'insurance final cleaned'!E39</f>
        <v>83</v>
      </c>
      <c r="F657">
        <f>'insurance final cleaned'!L39</f>
        <v>0</v>
      </c>
      <c r="G657">
        <f>'insurance final cleaned'!M39</f>
        <v>0</v>
      </c>
      <c r="H657">
        <f>'insurance final cleaned'!N39</f>
        <v>0</v>
      </c>
      <c r="I657">
        <f>'insurance final cleaned'!O39</f>
        <v>1</v>
      </c>
      <c r="J657">
        <f>'insurance final cleaned'!P39</f>
        <v>0.49045245221418643</v>
      </c>
      <c r="K657">
        <f>'insurance final cleaned'!Q39</f>
        <v>0</v>
      </c>
      <c r="L657">
        <f>'insurance final cleaned'!R39</f>
        <v>0</v>
      </c>
      <c r="M657">
        <f>'insurance final cleaned'!S39</f>
        <v>0</v>
      </c>
    </row>
    <row r="658" spans="1:13" x14ac:dyDescent="0.3">
      <c r="A658">
        <f>'insurance final cleaned'!J286</f>
        <v>4189.1099999999997</v>
      </c>
      <c r="B658">
        <f>'insurance final cleaned'!B286</f>
        <v>25</v>
      </c>
      <c r="C658">
        <f>'insurance final cleaned'!D286</f>
        <v>26.8</v>
      </c>
      <c r="D658">
        <f>'insurance final cleaned'!G286</f>
        <v>2</v>
      </c>
      <c r="E658">
        <f>'insurance final cleaned'!E286</f>
        <v>98</v>
      </c>
      <c r="F658">
        <f>'insurance final cleaned'!L286</f>
        <v>0</v>
      </c>
      <c r="G658">
        <f>'insurance final cleaned'!M286</f>
        <v>0</v>
      </c>
      <c r="H658">
        <f>'insurance final cleaned'!N286</f>
        <v>0</v>
      </c>
      <c r="I658">
        <f>'insurance final cleaned'!O286</f>
        <v>1</v>
      </c>
      <c r="J658">
        <f>'insurance final cleaned'!P286</f>
        <v>0.49151445917894454</v>
      </c>
      <c r="K658">
        <f>'insurance final cleaned'!Q286</f>
        <v>0</v>
      </c>
      <c r="L658">
        <f>'insurance final cleaned'!R286</f>
        <v>0</v>
      </c>
      <c r="M658">
        <f>'insurance final cleaned'!S286</f>
        <v>1</v>
      </c>
    </row>
    <row r="659" spans="1:13" x14ac:dyDescent="0.3">
      <c r="A659">
        <f>'insurance final cleaned'!J1073</f>
        <v>20234.849999999999</v>
      </c>
      <c r="B659">
        <f>'insurance final cleaned'!B1073</f>
        <v>44</v>
      </c>
      <c r="C659">
        <f>'insurance final cleaned'!D1073</f>
        <v>28</v>
      </c>
      <c r="D659">
        <f>'insurance final cleaned'!G1073</f>
        <v>0</v>
      </c>
      <c r="E659">
        <f>'insurance final cleaned'!E1073</f>
        <v>82</v>
      </c>
      <c r="F659">
        <f>'insurance final cleaned'!L1073</f>
        <v>28</v>
      </c>
      <c r="G659">
        <f>'insurance final cleaned'!M1073</f>
        <v>0</v>
      </c>
      <c r="H659">
        <f>'insurance final cleaned'!N1073</f>
        <v>0</v>
      </c>
      <c r="I659">
        <f>'insurance final cleaned'!O1073</f>
        <v>1</v>
      </c>
      <c r="J659">
        <f>'insurance final cleaned'!P1073</f>
        <v>0.49210486590652824</v>
      </c>
      <c r="K659">
        <f>'insurance final cleaned'!Q1073</f>
        <v>1</v>
      </c>
      <c r="L659">
        <f>'insurance final cleaned'!R1073</f>
        <v>1</v>
      </c>
      <c r="M659">
        <f>'insurance final cleaned'!S1073</f>
        <v>1</v>
      </c>
    </row>
    <row r="660" spans="1:13" x14ac:dyDescent="0.3">
      <c r="A660">
        <f>'insurance final cleaned'!J425</f>
        <v>5934.38</v>
      </c>
      <c r="B660">
        <f>'insurance final cleaned'!B425</f>
        <v>46</v>
      </c>
      <c r="C660">
        <f>'insurance final cleaned'!D425</f>
        <v>34.299999999999997</v>
      </c>
      <c r="D660">
        <f>'insurance final cleaned'!G425</f>
        <v>3</v>
      </c>
      <c r="E660">
        <f>'insurance final cleaned'!E425</f>
        <v>89</v>
      </c>
      <c r="F660">
        <f>'insurance final cleaned'!L425</f>
        <v>0</v>
      </c>
      <c r="G660">
        <f>'insurance final cleaned'!M425</f>
        <v>1</v>
      </c>
      <c r="H660">
        <f>'insurance final cleaned'!N425</f>
        <v>0</v>
      </c>
      <c r="I660">
        <f>'insurance final cleaned'!O425</f>
        <v>0</v>
      </c>
      <c r="J660">
        <f>'insurance final cleaned'!P425</f>
        <v>0.49223196892400023</v>
      </c>
      <c r="K660">
        <f>'insurance final cleaned'!Q425</f>
        <v>0</v>
      </c>
      <c r="L660">
        <f>'insurance final cleaned'!R425</f>
        <v>1</v>
      </c>
      <c r="M660">
        <f>'insurance final cleaned'!S425</f>
        <v>0</v>
      </c>
    </row>
    <row r="661" spans="1:13" x14ac:dyDescent="0.3">
      <c r="A661">
        <f>'insurance final cleaned'!J159</f>
        <v>2585.85</v>
      </c>
      <c r="B661">
        <f>'insurance final cleaned'!B159</f>
        <v>43</v>
      </c>
      <c r="C661">
        <f>'insurance final cleaned'!D159</f>
        <v>22.1</v>
      </c>
      <c r="D661">
        <f>'insurance final cleaned'!G159</f>
        <v>0</v>
      </c>
      <c r="E661">
        <f>'insurance final cleaned'!E159</f>
        <v>82</v>
      </c>
      <c r="F661">
        <f>'insurance final cleaned'!L159</f>
        <v>0</v>
      </c>
      <c r="G661">
        <f>'insurance final cleaned'!M159</f>
        <v>1</v>
      </c>
      <c r="H661">
        <f>'insurance final cleaned'!N159</f>
        <v>0</v>
      </c>
      <c r="I661">
        <f>'insurance final cleaned'!O159</f>
        <v>0</v>
      </c>
      <c r="J661">
        <f>'insurance final cleaned'!P159</f>
        <v>0.49270141509172594</v>
      </c>
      <c r="K661">
        <f>'insurance final cleaned'!Q159</f>
        <v>0</v>
      </c>
      <c r="L661">
        <f>'insurance final cleaned'!R159</f>
        <v>1</v>
      </c>
      <c r="M661">
        <f>'insurance final cleaned'!S159</f>
        <v>1</v>
      </c>
    </row>
    <row r="662" spans="1:13" x14ac:dyDescent="0.3">
      <c r="A662">
        <f>'insurance final cleaned'!J1103</f>
        <v>22144.03</v>
      </c>
      <c r="B662">
        <f>'insurance final cleaned'!B1103</f>
        <v>40</v>
      </c>
      <c r="C662">
        <f>'insurance final cleaned'!D1103</f>
        <v>30</v>
      </c>
      <c r="D662">
        <f>'insurance final cleaned'!G1103</f>
        <v>0</v>
      </c>
      <c r="E662">
        <f>'insurance final cleaned'!E1103</f>
        <v>106</v>
      </c>
      <c r="F662">
        <f>'insurance final cleaned'!L1103</f>
        <v>30</v>
      </c>
      <c r="G662">
        <f>'insurance final cleaned'!M1103</f>
        <v>0</v>
      </c>
      <c r="H662">
        <f>'insurance final cleaned'!N1103</f>
        <v>1</v>
      </c>
      <c r="I662">
        <f>'insurance final cleaned'!O1103</f>
        <v>0</v>
      </c>
      <c r="J662">
        <f>'insurance final cleaned'!P1103</f>
        <v>0.49287007564399976</v>
      </c>
      <c r="K662">
        <f>'insurance final cleaned'!Q1103</f>
        <v>1</v>
      </c>
      <c r="L662">
        <f>'insurance final cleaned'!R1103</f>
        <v>0</v>
      </c>
      <c r="M662">
        <f>'insurance final cleaned'!S1103</f>
        <v>0</v>
      </c>
    </row>
    <row r="663" spans="1:13" x14ac:dyDescent="0.3">
      <c r="A663">
        <f>'insurance final cleaned'!J132</f>
        <v>2261.5700000000002</v>
      </c>
      <c r="B663">
        <f>'insurance final cleaned'!B132</f>
        <v>30</v>
      </c>
      <c r="C663">
        <f>'insurance final cleaned'!D132</f>
        <v>31.9</v>
      </c>
      <c r="D663">
        <f>'insurance final cleaned'!G132</f>
        <v>0</v>
      </c>
      <c r="E663">
        <f>'insurance final cleaned'!E132</f>
        <v>89</v>
      </c>
      <c r="F663">
        <f>'insurance final cleaned'!L132</f>
        <v>0</v>
      </c>
      <c r="G663">
        <f>'insurance final cleaned'!M132</f>
        <v>0</v>
      </c>
      <c r="H663">
        <f>'insurance final cleaned'!N132</f>
        <v>0</v>
      </c>
      <c r="I663">
        <f>'insurance final cleaned'!O132</f>
        <v>1</v>
      </c>
      <c r="J663">
        <f>'insurance final cleaned'!P132</f>
        <v>0.49339231818038576</v>
      </c>
      <c r="K663">
        <f>'insurance final cleaned'!Q132</f>
        <v>0</v>
      </c>
      <c r="L663">
        <f>'insurance final cleaned'!R132</f>
        <v>0</v>
      </c>
      <c r="M663">
        <f>'insurance final cleaned'!S132</f>
        <v>1</v>
      </c>
    </row>
    <row r="664" spans="1:13" x14ac:dyDescent="0.3">
      <c r="A664">
        <f>'insurance final cleaned'!J418</f>
        <v>5757.41</v>
      </c>
      <c r="B664">
        <f>'insurance final cleaned'!B418</f>
        <v>23</v>
      </c>
      <c r="C664">
        <f>'insurance final cleaned'!D418</f>
        <v>42.7</v>
      </c>
      <c r="D664">
        <f>'insurance final cleaned'!G418</f>
        <v>0</v>
      </c>
      <c r="E664">
        <f>'insurance final cleaned'!E418</f>
        <v>82</v>
      </c>
      <c r="F664">
        <f>'insurance final cleaned'!L418</f>
        <v>0</v>
      </c>
      <c r="G664">
        <f>'insurance final cleaned'!M418</f>
        <v>1</v>
      </c>
      <c r="H664">
        <f>'insurance final cleaned'!N418</f>
        <v>0</v>
      </c>
      <c r="I664">
        <f>'insurance final cleaned'!O418</f>
        <v>0</v>
      </c>
      <c r="J664">
        <f>'insurance final cleaned'!P418</f>
        <v>0.49500821608968493</v>
      </c>
      <c r="K664">
        <f>'insurance final cleaned'!Q418</f>
        <v>0</v>
      </c>
      <c r="L664">
        <f>'insurance final cleaned'!R418</f>
        <v>0</v>
      </c>
      <c r="M664">
        <f>'insurance final cleaned'!S418</f>
        <v>0</v>
      </c>
    </row>
    <row r="665" spans="1:13" x14ac:dyDescent="0.3">
      <c r="A665">
        <f>'insurance final cleaned'!J903</f>
        <v>12957.12</v>
      </c>
      <c r="B665">
        <f>'insurance final cleaned'!B903</f>
        <v>19</v>
      </c>
      <c r="C665">
        <f>'insurance final cleaned'!D903</f>
        <v>21.4</v>
      </c>
      <c r="D665">
        <f>'insurance final cleaned'!G903</f>
        <v>0</v>
      </c>
      <c r="E665">
        <f>'insurance final cleaned'!E903</f>
        <v>85</v>
      </c>
      <c r="F665">
        <f>'insurance final cleaned'!L903</f>
        <v>0</v>
      </c>
      <c r="G665">
        <f>'insurance final cleaned'!M903</f>
        <v>0</v>
      </c>
      <c r="H665">
        <f>'insurance final cleaned'!N903</f>
        <v>1</v>
      </c>
      <c r="I665">
        <f>'insurance final cleaned'!O903</f>
        <v>0</v>
      </c>
      <c r="J665">
        <f>'insurance final cleaned'!P903</f>
        <v>0.49534090030937328</v>
      </c>
      <c r="K665">
        <f>'insurance final cleaned'!Q903</f>
        <v>0</v>
      </c>
      <c r="L665">
        <f>'insurance final cleaned'!R903</f>
        <v>1</v>
      </c>
      <c r="M665">
        <f>'insurance final cleaned'!S903</f>
        <v>0</v>
      </c>
    </row>
    <row r="666" spans="1:13" x14ac:dyDescent="0.3">
      <c r="A666">
        <f>'insurance final cleaned'!J823</f>
        <v>11658.38</v>
      </c>
      <c r="B666">
        <f>'insurance final cleaned'!B823</f>
        <v>40</v>
      </c>
      <c r="C666">
        <f>'insurance final cleaned'!D823</f>
        <v>28.8</v>
      </c>
      <c r="D666">
        <f>'insurance final cleaned'!G823</f>
        <v>0</v>
      </c>
      <c r="E666">
        <f>'insurance final cleaned'!E823</f>
        <v>83</v>
      </c>
      <c r="F666">
        <f>'insurance final cleaned'!L823</f>
        <v>0</v>
      </c>
      <c r="G666">
        <f>'insurance final cleaned'!M823</f>
        <v>0</v>
      </c>
      <c r="H666">
        <f>'insurance final cleaned'!N823</f>
        <v>0</v>
      </c>
      <c r="I666">
        <f>'insurance final cleaned'!O823</f>
        <v>0</v>
      </c>
      <c r="J666">
        <f>'insurance final cleaned'!P823</f>
        <v>0.49551162209454103</v>
      </c>
      <c r="K666">
        <f>'insurance final cleaned'!Q823</f>
        <v>0</v>
      </c>
      <c r="L666">
        <f>'insurance final cleaned'!R823</f>
        <v>0</v>
      </c>
      <c r="M666">
        <f>'insurance final cleaned'!S823</f>
        <v>1</v>
      </c>
    </row>
    <row r="667" spans="1:13" x14ac:dyDescent="0.3">
      <c r="A667">
        <f>'insurance final cleaned'!J95</f>
        <v>2007.95</v>
      </c>
      <c r="B667">
        <f>'insurance final cleaned'!B95</f>
        <v>26</v>
      </c>
      <c r="C667">
        <f>'insurance final cleaned'!D95</f>
        <v>25.8</v>
      </c>
      <c r="D667">
        <f>'insurance final cleaned'!G95</f>
        <v>0</v>
      </c>
      <c r="E667">
        <f>'insurance final cleaned'!E95</f>
        <v>100</v>
      </c>
      <c r="F667">
        <f>'insurance final cleaned'!L95</f>
        <v>0</v>
      </c>
      <c r="G667">
        <f>'insurance final cleaned'!M95</f>
        <v>0</v>
      </c>
      <c r="H667">
        <f>'insurance final cleaned'!N95</f>
        <v>1</v>
      </c>
      <c r="I667">
        <f>'insurance final cleaned'!O95</f>
        <v>0</v>
      </c>
      <c r="J667">
        <f>'insurance final cleaned'!P95</f>
        <v>0.49645862124874796</v>
      </c>
      <c r="K667">
        <f>'insurance final cleaned'!Q95</f>
        <v>0</v>
      </c>
      <c r="L667">
        <f>'insurance final cleaned'!R95</f>
        <v>1</v>
      </c>
      <c r="M667">
        <f>'insurance final cleaned'!S95</f>
        <v>1</v>
      </c>
    </row>
    <row r="668" spans="1:13" x14ac:dyDescent="0.3">
      <c r="A668">
        <f>'insurance final cleaned'!J806</f>
        <v>11396.9</v>
      </c>
      <c r="B668">
        <f>'insurance final cleaned'!B806</f>
        <v>36</v>
      </c>
      <c r="C668">
        <f>'insurance final cleaned'!D806</f>
        <v>38.4</v>
      </c>
      <c r="D668">
        <f>'insurance final cleaned'!G806</f>
        <v>2</v>
      </c>
      <c r="E668">
        <f>'insurance final cleaned'!E806</f>
        <v>98</v>
      </c>
      <c r="F668">
        <f>'insurance final cleaned'!L806</f>
        <v>0</v>
      </c>
      <c r="G668">
        <f>'insurance final cleaned'!M806</f>
        <v>0</v>
      </c>
      <c r="H668">
        <f>'insurance final cleaned'!N806</f>
        <v>0</v>
      </c>
      <c r="I668">
        <f>'insurance final cleaned'!O806</f>
        <v>0</v>
      </c>
      <c r="J668">
        <f>'insurance final cleaned'!P806</f>
        <v>0.49761163394417285</v>
      </c>
      <c r="K668">
        <f>'insurance final cleaned'!Q806</f>
        <v>0</v>
      </c>
      <c r="L668">
        <f>'insurance final cleaned'!R806</f>
        <v>1</v>
      </c>
      <c r="M668">
        <f>'insurance final cleaned'!S806</f>
        <v>1</v>
      </c>
    </row>
    <row r="669" spans="1:13" x14ac:dyDescent="0.3">
      <c r="A669">
        <f>'insurance final cleaned'!J1310</f>
        <v>46151.12</v>
      </c>
      <c r="B669">
        <f>'insurance final cleaned'!B1310</f>
        <v>20</v>
      </c>
      <c r="C669">
        <f>'insurance final cleaned'!D1310</f>
        <v>42.4</v>
      </c>
      <c r="D669">
        <f>'insurance final cleaned'!G1310</f>
        <v>3</v>
      </c>
      <c r="E669">
        <f>'insurance final cleaned'!E1310</f>
        <v>104</v>
      </c>
      <c r="F669">
        <f>'insurance final cleaned'!L1310</f>
        <v>42.4</v>
      </c>
      <c r="G669">
        <f>'insurance final cleaned'!M1310</f>
        <v>1</v>
      </c>
      <c r="H669">
        <f>'insurance final cleaned'!N1310</f>
        <v>0</v>
      </c>
      <c r="I669">
        <f>'insurance final cleaned'!O1310</f>
        <v>0</v>
      </c>
      <c r="J669">
        <f>'insurance final cleaned'!P1310</f>
        <v>0.49781033208048897</v>
      </c>
      <c r="K669">
        <f>'insurance final cleaned'!Q1310</f>
        <v>1</v>
      </c>
      <c r="L669">
        <f>'insurance final cleaned'!R1310</f>
        <v>0</v>
      </c>
      <c r="M669">
        <f>'insurance final cleaned'!S1310</f>
        <v>0</v>
      </c>
    </row>
    <row r="670" spans="1:13" x14ac:dyDescent="0.3">
      <c r="A670">
        <f>'insurance final cleaned'!J1011</f>
        <v>17043.34</v>
      </c>
      <c r="B670">
        <f>'insurance final cleaned'!B1011</f>
        <v>22</v>
      </c>
      <c r="C670">
        <f>'insurance final cleaned'!D1011</f>
        <v>27.1</v>
      </c>
      <c r="D670">
        <f>'insurance final cleaned'!G1011</f>
        <v>0</v>
      </c>
      <c r="E670">
        <f>'insurance final cleaned'!E1011</f>
        <v>86</v>
      </c>
      <c r="F670">
        <f>'insurance final cleaned'!L1011</f>
        <v>27.1</v>
      </c>
      <c r="G670">
        <f>'insurance final cleaned'!M1011</f>
        <v>1</v>
      </c>
      <c r="H670">
        <f>'insurance final cleaned'!N1011</f>
        <v>0</v>
      </c>
      <c r="I670">
        <f>'insurance final cleaned'!O1011</f>
        <v>0</v>
      </c>
      <c r="J670">
        <f>'insurance final cleaned'!P1011</f>
        <v>0.4978538954715519</v>
      </c>
      <c r="K670">
        <f>'insurance final cleaned'!Q1011</f>
        <v>1</v>
      </c>
      <c r="L670">
        <f>'insurance final cleaned'!R1011</f>
        <v>1</v>
      </c>
      <c r="M670">
        <f>'insurance final cleaned'!S1011</f>
        <v>0</v>
      </c>
    </row>
    <row r="671" spans="1:13" x14ac:dyDescent="0.3">
      <c r="A671">
        <f>'insurance final cleaned'!J683</f>
        <v>9541.7000000000007</v>
      </c>
      <c r="B671">
        <f>'insurance final cleaned'!B683</f>
        <v>27</v>
      </c>
      <c r="C671">
        <f>'insurance final cleaned'!D683</f>
        <v>44.7</v>
      </c>
      <c r="D671">
        <f>'insurance final cleaned'!G683</f>
        <v>0</v>
      </c>
      <c r="E671">
        <f>'insurance final cleaned'!E683</f>
        <v>98</v>
      </c>
      <c r="F671">
        <f>'insurance final cleaned'!L683</f>
        <v>0</v>
      </c>
      <c r="G671">
        <f>'insurance final cleaned'!M683</f>
        <v>0</v>
      </c>
      <c r="H671">
        <f>'insurance final cleaned'!N683</f>
        <v>0</v>
      </c>
      <c r="I671">
        <f>'insurance final cleaned'!O683</f>
        <v>0</v>
      </c>
      <c r="J671">
        <f>'insurance final cleaned'!P683</f>
        <v>0.49907748737217228</v>
      </c>
      <c r="K671">
        <f>'insurance final cleaned'!Q683</f>
        <v>0</v>
      </c>
      <c r="L671">
        <f>'insurance final cleaned'!R683</f>
        <v>0</v>
      </c>
      <c r="M671">
        <f>'insurance final cleaned'!S683</f>
        <v>1</v>
      </c>
    </row>
    <row r="672" spans="1:13" x14ac:dyDescent="0.3">
      <c r="A672">
        <f>'insurance final cleaned'!J726</f>
        <v>10156.780000000001</v>
      </c>
      <c r="B672">
        <f>'insurance final cleaned'!B726</f>
        <v>29</v>
      </c>
      <c r="C672">
        <f>'insurance final cleaned'!D726</f>
        <v>23.2</v>
      </c>
      <c r="D672">
        <f>'insurance final cleaned'!G726</f>
        <v>2</v>
      </c>
      <c r="E672">
        <f>'insurance final cleaned'!E726</f>
        <v>109</v>
      </c>
      <c r="F672">
        <f>'insurance final cleaned'!L726</f>
        <v>0</v>
      </c>
      <c r="G672">
        <f>'insurance final cleaned'!M726</f>
        <v>0</v>
      </c>
      <c r="H672">
        <f>'insurance final cleaned'!N726</f>
        <v>0</v>
      </c>
      <c r="I672">
        <f>'insurance final cleaned'!O726</f>
        <v>1</v>
      </c>
      <c r="J672">
        <f>'insurance final cleaned'!P726</f>
        <v>0.49913194681437467</v>
      </c>
      <c r="K672">
        <f>'insurance final cleaned'!Q726</f>
        <v>0</v>
      </c>
      <c r="L672">
        <f>'insurance final cleaned'!R726</f>
        <v>0</v>
      </c>
      <c r="M672">
        <f>'insurance final cleaned'!S726</f>
        <v>1</v>
      </c>
    </row>
    <row r="673" spans="1:13" x14ac:dyDescent="0.3">
      <c r="A673">
        <f>'insurance final cleaned'!J511</f>
        <v>7133.9</v>
      </c>
      <c r="B673">
        <f>'insurance final cleaned'!B511</f>
        <v>50</v>
      </c>
      <c r="C673">
        <f>'insurance final cleaned'!D511</f>
        <v>20</v>
      </c>
      <c r="D673">
        <f>'insurance final cleaned'!G511</f>
        <v>2</v>
      </c>
      <c r="E673">
        <f>'insurance final cleaned'!E511</f>
        <v>89</v>
      </c>
      <c r="F673">
        <f>'insurance final cleaned'!L511</f>
        <v>0</v>
      </c>
      <c r="G673">
        <f>'insurance final cleaned'!M511</f>
        <v>1</v>
      </c>
      <c r="H673">
        <f>'insurance final cleaned'!N511</f>
        <v>0</v>
      </c>
      <c r="I673">
        <f>'insurance final cleaned'!O511</f>
        <v>0</v>
      </c>
      <c r="J673">
        <f>'insurance final cleaned'!P511</f>
        <v>0.49951026903169116</v>
      </c>
      <c r="K673">
        <f>'insurance final cleaned'!Q511</f>
        <v>0</v>
      </c>
      <c r="L673">
        <f>'insurance final cleaned'!R511</f>
        <v>1</v>
      </c>
      <c r="M673">
        <f>'insurance final cleaned'!S511</f>
        <v>1</v>
      </c>
    </row>
    <row r="674" spans="1:13" x14ac:dyDescent="0.3">
      <c r="A674">
        <f>'insurance final cleaned'!J1268</f>
        <v>40720.550000000003</v>
      </c>
      <c r="B674">
        <f>'insurance final cleaned'!B1268</f>
        <v>43</v>
      </c>
      <c r="C674">
        <f>'insurance final cleaned'!D1268</f>
        <v>30.5</v>
      </c>
      <c r="D674">
        <f>'insurance final cleaned'!G1268</f>
        <v>3</v>
      </c>
      <c r="E674">
        <f>'insurance final cleaned'!E1268</f>
        <v>96</v>
      </c>
      <c r="F674">
        <f>'insurance final cleaned'!L1268</f>
        <v>30.5</v>
      </c>
      <c r="G674">
        <f>'insurance final cleaned'!M1268</f>
        <v>0</v>
      </c>
      <c r="H674">
        <f>'insurance final cleaned'!N1268</f>
        <v>0</v>
      </c>
      <c r="I674">
        <f>'insurance final cleaned'!O1268</f>
        <v>1</v>
      </c>
      <c r="J674">
        <f>'insurance final cleaned'!P1268</f>
        <v>0.5004933046822625</v>
      </c>
      <c r="K674">
        <f>'insurance final cleaned'!Q1268</f>
        <v>1</v>
      </c>
      <c r="L674">
        <f>'insurance final cleaned'!R1268</f>
        <v>1</v>
      </c>
      <c r="M674">
        <f>'insurance final cleaned'!S1268</f>
        <v>0</v>
      </c>
    </row>
    <row r="675" spans="1:13" x14ac:dyDescent="0.3">
      <c r="A675">
        <f>'insurance final cleaned'!J122</f>
        <v>2205.98</v>
      </c>
      <c r="B675">
        <f>'insurance final cleaned'!B122</f>
        <v>37</v>
      </c>
      <c r="C675">
        <f>'insurance final cleaned'!D122</f>
        <v>31.9</v>
      </c>
      <c r="D675">
        <f>'insurance final cleaned'!G122</f>
        <v>0</v>
      </c>
      <c r="E675">
        <f>'insurance final cleaned'!E122</f>
        <v>89</v>
      </c>
      <c r="F675">
        <f>'insurance final cleaned'!L122</f>
        <v>0</v>
      </c>
      <c r="G675">
        <f>'insurance final cleaned'!M122</f>
        <v>1</v>
      </c>
      <c r="H675">
        <f>'insurance final cleaned'!N122</f>
        <v>0</v>
      </c>
      <c r="I675">
        <f>'insurance final cleaned'!O122</f>
        <v>0</v>
      </c>
      <c r="J675">
        <f>'insurance final cleaned'!P122</f>
        <v>0.50103290041036552</v>
      </c>
      <c r="K675">
        <f>'insurance final cleaned'!Q122</f>
        <v>0</v>
      </c>
      <c r="L675">
        <f>'insurance final cleaned'!R122</f>
        <v>0</v>
      </c>
      <c r="M675">
        <f>'insurance final cleaned'!S122</f>
        <v>1</v>
      </c>
    </row>
    <row r="676" spans="1:13" x14ac:dyDescent="0.3">
      <c r="A676">
        <f>'insurance final cleaned'!J974</f>
        <v>14451.84</v>
      </c>
      <c r="B676">
        <f>'insurance final cleaned'!B974</f>
        <v>47</v>
      </c>
      <c r="C676">
        <f>'insurance final cleaned'!D974</f>
        <v>23.1</v>
      </c>
      <c r="D676">
        <f>'insurance final cleaned'!G974</f>
        <v>0</v>
      </c>
      <c r="E676">
        <f>'insurance final cleaned'!E974</f>
        <v>92</v>
      </c>
      <c r="F676">
        <f>'insurance final cleaned'!L974</f>
        <v>0</v>
      </c>
      <c r="G676">
        <f>'insurance final cleaned'!M974</f>
        <v>0</v>
      </c>
      <c r="H676">
        <f>'insurance final cleaned'!N974</f>
        <v>0</v>
      </c>
      <c r="I676">
        <f>'insurance final cleaned'!O974</f>
        <v>0</v>
      </c>
      <c r="J676">
        <f>'insurance final cleaned'!P974</f>
        <v>0.50179426103736979</v>
      </c>
      <c r="K676">
        <f>'insurance final cleaned'!Q974</f>
        <v>0</v>
      </c>
      <c r="L676">
        <f>'insurance final cleaned'!R974</f>
        <v>0</v>
      </c>
      <c r="M676">
        <f>'insurance final cleaned'!S974</f>
        <v>1</v>
      </c>
    </row>
    <row r="677" spans="1:13" x14ac:dyDescent="0.3">
      <c r="A677">
        <f>'insurance final cleaned'!J763</f>
        <v>10806.84</v>
      </c>
      <c r="B677">
        <f>'insurance final cleaned'!B763</f>
        <v>42</v>
      </c>
      <c r="C677">
        <f>'insurance final cleaned'!D763</f>
        <v>33.299999999999997</v>
      </c>
      <c r="D677">
        <f>'insurance final cleaned'!G763</f>
        <v>2</v>
      </c>
      <c r="E677">
        <f>'insurance final cleaned'!E763</f>
        <v>103</v>
      </c>
      <c r="F677">
        <f>'insurance final cleaned'!L763</f>
        <v>0</v>
      </c>
      <c r="G677">
        <f>'insurance final cleaned'!M763</f>
        <v>0</v>
      </c>
      <c r="H677">
        <f>'insurance final cleaned'!N763</f>
        <v>1</v>
      </c>
      <c r="I677">
        <f>'insurance final cleaned'!O763</f>
        <v>0</v>
      </c>
      <c r="J677">
        <f>'insurance final cleaned'!P763</f>
        <v>0.5021095095501934</v>
      </c>
      <c r="K677">
        <f>'insurance final cleaned'!Q763</f>
        <v>0</v>
      </c>
      <c r="L677">
        <f>'insurance final cleaned'!R763</f>
        <v>1</v>
      </c>
      <c r="M677">
        <f>'insurance final cleaned'!S763</f>
        <v>1</v>
      </c>
    </row>
    <row r="678" spans="1:13" x14ac:dyDescent="0.3">
      <c r="A678">
        <f>'insurance final cleaned'!J1092</f>
        <v>21348.71</v>
      </c>
      <c r="B678">
        <f>'insurance final cleaned'!B1092</f>
        <v>54</v>
      </c>
      <c r="C678">
        <f>'insurance final cleaned'!D1092</f>
        <v>26.6</v>
      </c>
      <c r="D678">
        <f>'insurance final cleaned'!G1092</f>
        <v>0</v>
      </c>
      <c r="E678">
        <f>'insurance final cleaned'!E1092</f>
        <v>99</v>
      </c>
      <c r="F678">
        <f>'insurance final cleaned'!L1092</f>
        <v>26.6</v>
      </c>
      <c r="G678">
        <f>'insurance final cleaned'!M1092</f>
        <v>0</v>
      </c>
      <c r="H678">
        <f>'insurance final cleaned'!N1092</f>
        <v>0</v>
      </c>
      <c r="I678">
        <f>'insurance final cleaned'!O1092</f>
        <v>1</v>
      </c>
      <c r="J678">
        <f>'insurance final cleaned'!P1092</f>
        <v>0.50372753708967122</v>
      </c>
      <c r="K678">
        <f>'insurance final cleaned'!Q1092</f>
        <v>1</v>
      </c>
      <c r="L678">
        <f>'insurance final cleaned'!R1092</f>
        <v>0</v>
      </c>
      <c r="M678">
        <f>'insurance final cleaned'!S1092</f>
        <v>1</v>
      </c>
    </row>
    <row r="679" spans="1:13" x14ac:dyDescent="0.3">
      <c r="A679">
        <f>'insurance final cleaned'!J455</f>
        <v>6334.34</v>
      </c>
      <c r="B679">
        <f>'insurance final cleaned'!B455</f>
        <v>58</v>
      </c>
      <c r="C679">
        <f>'insurance final cleaned'!D455</f>
        <v>37.1</v>
      </c>
      <c r="D679">
        <f>'insurance final cleaned'!G455</f>
        <v>3</v>
      </c>
      <c r="E679">
        <f>'insurance final cleaned'!E455</f>
        <v>97</v>
      </c>
      <c r="F679">
        <f>'insurance final cleaned'!L455</f>
        <v>0</v>
      </c>
      <c r="G679">
        <f>'insurance final cleaned'!M455</f>
        <v>1</v>
      </c>
      <c r="H679">
        <f>'insurance final cleaned'!N455</f>
        <v>0</v>
      </c>
      <c r="I679">
        <f>'insurance final cleaned'!O455</f>
        <v>0</v>
      </c>
      <c r="J679">
        <f>'insurance final cleaned'!P455</f>
        <v>0.50603602916804269</v>
      </c>
      <c r="K679">
        <f>'insurance final cleaned'!Q455</f>
        <v>0</v>
      </c>
      <c r="L679">
        <f>'insurance final cleaned'!R455</f>
        <v>0</v>
      </c>
      <c r="M679">
        <f>'insurance final cleaned'!S455</f>
        <v>1</v>
      </c>
    </row>
    <row r="680" spans="1:13" x14ac:dyDescent="0.3">
      <c r="A680">
        <f>'insurance final cleaned'!J1179</f>
        <v>29523.17</v>
      </c>
      <c r="B680">
        <f>'insurance final cleaned'!B1179</f>
        <v>55</v>
      </c>
      <c r="C680">
        <f>'insurance final cleaned'!D1179</f>
        <v>27.7</v>
      </c>
      <c r="D680">
        <f>'insurance final cleaned'!G1179</f>
        <v>0</v>
      </c>
      <c r="E680">
        <f>'insurance final cleaned'!E1179</f>
        <v>111</v>
      </c>
      <c r="F680">
        <f>'insurance final cleaned'!L1179</f>
        <v>27.7</v>
      </c>
      <c r="G680">
        <f>'insurance final cleaned'!M1179</f>
        <v>0</v>
      </c>
      <c r="H680">
        <f>'insurance final cleaned'!N1179</f>
        <v>0</v>
      </c>
      <c r="I680">
        <f>'insurance final cleaned'!O1179</f>
        <v>0</v>
      </c>
      <c r="J680">
        <f>'insurance final cleaned'!P1179</f>
        <v>0.50607690905516278</v>
      </c>
      <c r="K680">
        <f>'insurance final cleaned'!Q1179</f>
        <v>1</v>
      </c>
      <c r="L680">
        <f>'insurance final cleaned'!R1179</f>
        <v>1</v>
      </c>
      <c r="M680">
        <f>'insurance final cleaned'!S1179</f>
        <v>1</v>
      </c>
    </row>
    <row r="681" spans="1:13" x14ac:dyDescent="0.3">
      <c r="A681">
        <f>'insurance final cleaned'!J573</f>
        <v>7986.48</v>
      </c>
      <c r="B681">
        <f>'insurance final cleaned'!B573</f>
        <v>60</v>
      </c>
      <c r="C681">
        <f>'insurance final cleaned'!D573</f>
        <v>23.3</v>
      </c>
      <c r="D681">
        <f>'insurance final cleaned'!G573</f>
        <v>3</v>
      </c>
      <c r="E681">
        <f>'insurance final cleaned'!E573</f>
        <v>87</v>
      </c>
      <c r="F681">
        <f>'insurance final cleaned'!L573</f>
        <v>0</v>
      </c>
      <c r="G681">
        <f>'insurance final cleaned'!M573</f>
        <v>0</v>
      </c>
      <c r="H681">
        <f>'insurance final cleaned'!N573</f>
        <v>0</v>
      </c>
      <c r="I681">
        <f>'insurance final cleaned'!O573</f>
        <v>0</v>
      </c>
      <c r="J681">
        <f>'insurance final cleaned'!P573</f>
        <v>0.50641616998697236</v>
      </c>
      <c r="K681">
        <f>'insurance final cleaned'!Q573</f>
        <v>0</v>
      </c>
      <c r="L681">
        <f>'insurance final cleaned'!R573</f>
        <v>1</v>
      </c>
      <c r="M681">
        <f>'insurance final cleaned'!S573</f>
        <v>1</v>
      </c>
    </row>
    <row r="682" spans="1:13" x14ac:dyDescent="0.3">
      <c r="A682">
        <f>'insurance final cleaned'!J167</f>
        <v>2699.57</v>
      </c>
      <c r="B682">
        <f>'insurance final cleaned'!B167</f>
        <v>30</v>
      </c>
      <c r="C682">
        <f>'insurance final cleaned'!D167</f>
        <v>31.1</v>
      </c>
      <c r="D682">
        <f>'insurance final cleaned'!G167</f>
        <v>0</v>
      </c>
      <c r="E682">
        <f>'insurance final cleaned'!E167</f>
        <v>91</v>
      </c>
      <c r="F682">
        <f>'insurance final cleaned'!L167</f>
        <v>0</v>
      </c>
      <c r="G682">
        <f>'insurance final cleaned'!M167</f>
        <v>0</v>
      </c>
      <c r="H682">
        <f>'insurance final cleaned'!N167</f>
        <v>0</v>
      </c>
      <c r="I682">
        <f>'insurance final cleaned'!O167</f>
        <v>1</v>
      </c>
      <c r="J682">
        <f>'insurance final cleaned'!P167</f>
        <v>0.50670452172263636</v>
      </c>
      <c r="K682">
        <f>'insurance final cleaned'!Q167</f>
        <v>0</v>
      </c>
      <c r="L682">
        <f>'insurance final cleaned'!R167</f>
        <v>0</v>
      </c>
      <c r="M682">
        <f>'insurance final cleaned'!S167</f>
        <v>0</v>
      </c>
    </row>
    <row r="683" spans="1:13" x14ac:dyDescent="0.3">
      <c r="A683">
        <f>'insurance final cleaned'!J1149</f>
        <v>26018.95</v>
      </c>
      <c r="B683">
        <f>'insurance final cleaned'!B1149</f>
        <v>29</v>
      </c>
      <c r="C683">
        <f>'insurance final cleaned'!D1149</f>
        <v>32.700000000000003</v>
      </c>
      <c r="D683">
        <f>'insurance final cleaned'!G1149</f>
        <v>2</v>
      </c>
      <c r="E683">
        <f>'insurance final cleaned'!E1149</f>
        <v>128</v>
      </c>
      <c r="F683">
        <f>'insurance final cleaned'!L1149</f>
        <v>0</v>
      </c>
      <c r="G683">
        <f>'insurance final cleaned'!M1149</f>
        <v>0</v>
      </c>
      <c r="H683">
        <f>'insurance final cleaned'!N1149</f>
        <v>0</v>
      </c>
      <c r="I683">
        <f>'insurance final cleaned'!O1149</f>
        <v>1</v>
      </c>
      <c r="J683">
        <f>'insurance final cleaned'!P1149</f>
        <v>0.50676754093508392</v>
      </c>
      <c r="K683">
        <f>'insurance final cleaned'!Q1149</f>
        <v>0</v>
      </c>
      <c r="L683">
        <f>'insurance final cleaned'!R1149</f>
        <v>1</v>
      </c>
      <c r="M683">
        <f>'insurance final cleaned'!S1149</f>
        <v>1</v>
      </c>
    </row>
    <row r="684" spans="1:13" x14ac:dyDescent="0.3">
      <c r="A684">
        <f>'insurance final cleaned'!J625</f>
        <v>8604.48</v>
      </c>
      <c r="B684">
        <f>'insurance final cleaned'!B625</f>
        <v>28</v>
      </c>
      <c r="C684">
        <f>'insurance final cleaned'!D625</f>
        <v>24</v>
      </c>
      <c r="D684">
        <f>'insurance final cleaned'!G625</f>
        <v>2</v>
      </c>
      <c r="E684">
        <f>'insurance final cleaned'!E625</f>
        <v>94</v>
      </c>
      <c r="F684">
        <f>'insurance final cleaned'!L625</f>
        <v>0</v>
      </c>
      <c r="G684">
        <f>'insurance final cleaned'!M625</f>
        <v>0</v>
      </c>
      <c r="H684">
        <f>'insurance final cleaned'!N625</f>
        <v>0</v>
      </c>
      <c r="I684">
        <f>'insurance final cleaned'!O625</f>
        <v>0</v>
      </c>
      <c r="J684">
        <f>'insurance final cleaned'!P625</f>
        <v>0.5072994251474009</v>
      </c>
      <c r="K684">
        <f>'insurance final cleaned'!Q625</f>
        <v>0</v>
      </c>
      <c r="L684">
        <f>'insurance final cleaned'!R625</f>
        <v>1</v>
      </c>
      <c r="M684">
        <f>'insurance final cleaned'!S625</f>
        <v>0</v>
      </c>
    </row>
    <row r="685" spans="1:13" x14ac:dyDescent="0.3">
      <c r="A685">
        <f>'insurance final cleaned'!J937</f>
        <v>13635.64</v>
      </c>
      <c r="B685">
        <f>'insurance final cleaned'!B937</f>
        <v>59</v>
      </c>
      <c r="C685">
        <f>'insurance final cleaned'!D937</f>
        <v>35.9</v>
      </c>
      <c r="D685">
        <f>'insurance final cleaned'!G937</f>
        <v>0</v>
      </c>
      <c r="E685">
        <f>'insurance final cleaned'!E937</f>
        <v>89</v>
      </c>
      <c r="F685">
        <f>'insurance final cleaned'!L937</f>
        <v>0</v>
      </c>
      <c r="G685">
        <f>'insurance final cleaned'!M937</f>
        <v>0</v>
      </c>
      <c r="H685">
        <f>'insurance final cleaned'!N937</f>
        <v>0</v>
      </c>
      <c r="I685">
        <f>'insurance final cleaned'!O937</f>
        <v>0</v>
      </c>
      <c r="J685">
        <f>'insurance final cleaned'!P937</f>
        <v>0.50868910611027074</v>
      </c>
      <c r="K685">
        <f>'insurance final cleaned'!Q937</f>
        <v>0</v>
      </c>
      <c r="L685">
        <f>'insurance final cleaned'!R937</f>
        <v>0</v>
      </c>
      <c r="M685">
        <f>'insurance final cleaned'!S937</f>
        <v>1</v>
      </c>
    </row>
    <row r="686" spans="1:13" x14ac:dyDescent="0.3">
      <c r="A686">
        <f>'insurance final cleaned'!J26</f>
        <v>1607.51</v>
      </c>
      <c r="B686">
        <f>'insurance final cleaned'!B26</f>
        <v>50</v>
      </c>
      <c r="C686">
        <f>'insurance final cleaned'!D26</f>
        <v>20.8</v>
      </c>
      <c r="D686">
        <f>'insurance final cleaned'!G26</f>
        <v>0</v>
      </c>
      <c r="E686">
        <f>'insurance final cleaned'!E26</f>
        <v>85</v>
      </c>
      <c r="F686">
        <f>'insurance final cleaned'!L26</f>
        <v>0</v>
      </c>
      <c r="G686">
        <f>'insurance final cleaned'!M26</f>
        <v>1</v>
      </c>
      <c r="H686">
        <f>'insurance final cleaned'!N26</f>
        <v>0</v>
      </c>
      <c r="I686">
        <f>'insurance final cleaned'!O26</f>
        <v>0</v>
      </c>
      <c r="J686">
        <f>'insurance final cleaned'!P26</f>
        <v>0.50896327038247657</v>
      </c>
      <c r="K686">
        <f>'insurance final cleaned'!Q26</f>
        <v>0</v>
      </c>
      <c r="L686">
        <f>'insurance final cleaned'!R26</f>
        <v>1</v>
      </c>
      <c r="M686">
        <f>'insurance final cleaned'!S26</f>
        <v>1</v>
      </c>
    </row>
    <row r="687" spans="1:13" x14ac:dyDescent="0.3">
      <c r="A687">
        <f>'insurance final cleaned'!J112</f>
        <v>2154.36</v>
      </c>
      <c r="B687">
        <f>'insurance final cleaned'!B112</f>
        <v>27</v>
      </c>
      <c r="C687">
        <f>'insurance final cleaned'!D112</f>
        <v>27.1</v>
      </c>
      <c r="D687">
        <f>'insurance final cleaned'!G112</f>
        <v>0</v>
      </c>
      <c r="E687">
        <f>'insurance final cleaned'!E112</f>
        <v>88</v>
      </c>
      <c r="F687">
        <f>'insurance final cleaned'!L112</f>
        <v>0</v>
      </c>
      <c r="G687">
        <f>'insurance final cleaned'!M112</f>
        <v>0</v>
      </c>
      <c r="H687">
        <f>'insurance final cleaned'!N112</f>
        <v>1</v>
      </c>
      <c r="I687">
        <f>'insurance final cleaned'!O112</f>
        <v>0</v>
      </c>
      <c r="J687">
        <f>'insurance final cleaned'!P112</f>
        <v>0.5104429919056005</v>
      </c>
      <c r="K687">
        <f>'insurance final cleaned'!Q112</f>
        <v>0</v>
      </c>
      <c r="L687">
        <f>'insurance final cleaned'!R112</f>
        <v>1</v>
      </c>
      <c r="M687">
        <f>'insurance final cleaned'!S112</f>
        <v>1</v>
      </c>
    </row>
    <row r="688" spans="1:13" x14ac:dyDescent="0.3">
      <c r="A688">
        <f>'insurance final cleaned'!J1320</f>
        <v>47305.31</v>
      </c>
      <c r="B688">
        <f>'insurance final cleaned'!B1320</f>
        <v>27</v>
      </c>
      <c r="C688">
        <f>'insurance final cleaned'!D1320</f>
        <v>32.200000000000003</v>
      </c>
      <c r="D688">
        <f>'insurance final cleaned'!G1320</f>
        <v>2</v>
      </c>
      <c r="E688">
        <f>'insurance final cleaned'!E1320</f>
        <v>115</v>
      </c>
      <c r="F688">
        <f>'insurance final cleaned'!L1320</f>
        <v>32.200000000000003</v>
      </c>
      <c r="G688">
        <f>'insurance final cleaned'!M1320</f>
        <v>0</v>
      </c>
      <c r="H688">
        <f>'insurance final cleaned'!N1320</f>
        <v>1</v>
      </c>
      <c r="I688">
        <f>'insurance final cleaned'!O1320</f>
        <v>0</v>
      </c>
      <c r="J688">
        <f>'insurance final cleaned'!P1320</f>
        <v>0.5117721172685834</v>
      </c>
      <c r="K688">
        <f>'insurance final cleaned'!Q1320</f>
        <v>1</v>
      </c>
      <c r="L688">
        <f>'insurance final cleaned'!R1320</f>
        <v>1</v>
      </c>
      <c r="M688">
        <f>'insurance final cleaned'!S1320</f>
        <v>1</v>
      </c>
    </row>
    <row r="689" spans="1:13" x14ac:dyDescent="0.3">
      <c r="A689">
        <f>'insurance final cleaned'!J1095</f>
        <v>21659.93</v>
      </c>
      <c r="B689">
        <f>'insurance final cleaned'!B1095</f>
        <v>59</v>
      </c>
      <c r="C689">
        <f>'insurance final cleaned'!D1095</f>
        <v>24.9</v>
      </c>
      <c r="D689">
        <f>'insurance final cleaned'!G1095</f>
        <v>3</v>
      </c>
      <c r="E689">
        <f>'insurance final cleaned'!E1095</f>
        <v>108</v>
      </c>
      <c r="F689">
        <f>'insurance final cleaned'!L1095</f>
        <v>24.9</v>
      </c>
      <c r="G689">
        <f>'insurance final cleaned'!M1095</f>
        <v>0</v>
      </c>
      <c r="H689">
        <f>'insurance final cleaned'!N1095</f>
        <v>0</v>
      </c>
      <c r="I689">
        <f>'insurance final cleaned'!O1095</f>
        <v>0</v>
      </c>
      <c r="J689">
        <f>'insurance final cleaned'!P1095</f>
        <v>0.51290065352438818</v>
      </c>
      <c r="K689">
        <f>'insurance final cleaned'!Q1095</f>
        <v>1</v>
      </c>
      <c r="L689">
        <f>'insurance final cleaned'!R1095</f>
        <v>0</v>
      </c>
      <c r="M689">
        <f>'insurance final cleaned'!S1095</f>
        <v>1</v>
      </c>
    </row>
    <row r="690" spans="1:13" x14ac:dyDescent="0.3">
      <c r="A690">
        <f>'insurance final cleaned'!J746</f>
        <v>10564.88</v>
      </c>
      <c r="B690">
        <f>'insurance final cleaned'!B746</f>
        <v>56</v>
      </c>
      <c r="C690">
        <f>'insurance final cleaned'!D746</f>
        <v>33.299999999999997</v>
      </c>
      <c r="D690">
        <f>'insurance final cleaned'!G746</f>
        <v>0</v>
      </c>
      <c r="E690">
        <f>'insurance final cleaned'!E746</f>
        <v>81</v>
      </c>
      <c r="F690">
        <f>'insurance final cleaned'!L746</f>
        <v>0</v>
      </c>
      <c r="G690">
        <f>'insurance final cleaned'!M746</f>
        <v>0</v>
      </c>
      <c r="H690">
        <f>'insurance final cleaned'!N746</f>
        <v>0</v>
      </c>
      <c r="I690">
        <f>'insurance final cleaned'!O746</f>
        <v>0</v>
      </c>
      <c r="J690">
        <f>'insurance final cleaned'!P746</f>
        <v>0.51295089594626264</v>
      </c>
      <c r="K690">
        <f>'insurance final cleaned'!Q746</f>
        <v>0</v>
      </c>
      <c r="L690">
        <f>'insurance final cleaned'!R746</f>
        <v>1</v>
      </c>
      <c r="M690">
        <f>'insurance final cleaned'!S746</f>
        <v>1</v>
      </c>
    </row>
    <row r="691" spans="1:13" x14ac:dyDescent="0.3">
      <c r="A691">
        <f>'insurance final cleaned'!J183</f>
        <v>2850.68</v>
      </c>
      <c r="B691">
        <f>'insurance final cleaned'!B183</f>
        <v>54</v>
      </c>
      <c r="C691">
        <f>'insurance final cleaned'!D183</f>
        <v>29.9</v>
      </c>
      <c r="D691">
        <f>'insurance final cleaned'!G183</f>
        <v>0</v>
      </c>
      <c r="E691">
        <f>'insurance final cleaned'!E183</f>
        <v>90</v>
      </c>
      <c r="F691">
        <f>'insurance final cleaned'!L183</f>
        <v>0</v>
      </c>
      <c r="G691">
        <f>'insurance final cleaned'!M183</f>
        <v>0</v>
      </c>
      <c r="H691">
        <f>'insurance final cleaned'!N183</f>
        <v>0</v>
      </c>
      <c r="I691">
        <f>'insurance final cleaned'!O183</f>
        <v>1</v>
      </c>
      <c r="J691">
        <f>'insurance final cleaned'!P183</f>
        <v>0.5144091843766011</v>
      </c>
      <c r="K691">
        <f>'insurance final cleaned'!Q183</f>
        <v>0</v>
      </c>
      <c r="L691">
        <f>'insurance final cleaned'!R183</f>
        <v>0</v>
      </c>
      <c r="M691">
        <f>'insurance final cleaned'!S183</f>
        <v>1</v>
      </c>
    </row>
    <row r="692" spans="1:13" x14ac:dyDescent="0.3">
      <c r="A692">
        <f>'insurance final cleaned'!J477</f>
        <v>6593.51</v>
      </c>
      <c r="B692">
        <f>'insurance final cleaned'!B477</f>
        <v>46</v>
      </c>
      <c r="C692">
        <f>'insurance final cleaned'!D477</f>
        <v>25</v>
      </c>
      <c r="D692">
        <f>'insurance final cleaned'!G477</f>
        <v>2</v>
      </c>
      <c r="E692">
        <f>'insurance final cleaned'!E477</f>
        <v>91</v>
      </c>
      <c r="F692">
        <f>'insurance final cleaned'!L477</f>
        <v>0</v>
      </c>
      <c r="G692">
        <f>'insurance final cleaned'!M477</f>
        <v>1</v>
      </c>
      <c r="H692">
        <f>'insurance final cleaned'!N477</f>
        <v>0</v>
      </c>
      <c r="I692">
        <f>'insurance final cleaned'!O477</f>
        <v>0</v>
      </c>
      <c r="J692">
        <f>'insurance final cleaned'!P477</f>
        <v>0.51491389366383988</v>
      </c>
      <c r="K692">
        <f>'insurance final cleaned'!Q477</f>
        <v>0</v>
      </c>
      <c r="L692">
        <f>'insurance final cleaned'!R477</f>
        <v>0</v>
      </c>
      <c r="M692">
        <f>'insurance final cleaned'!S477</f>
        <v>0</v>
      </c>
    </row>
    <row r="693" spans="1:13" x14ac:dyDescent="0.3">
      <c r="A693">
        <f>'insurance final cleaned'!J1069</f>
        <v>20009.63</v>
      </c>
      <c r="B693">
        <f>'insurance final cleaned'!B1069</f>
        <v>40</v>
      </c>
      <c r="C693">
        <f>'insurance final cleaned'!D1069</f>
        <v>27.8</v>
      </c>
      <c r="D693">
        <f>'insurance final cleaned'!G1069</f>
        <v>1</v>
      </c>
      <c r="E693">
        <f>'insurance final cleaned'!E1069</f>
        <v>93</v>
      </c>
      <c r="F693">
        <f>'insurance final cleaned'!L1069</f>
        <v>27.8</v>
      </c>
      <c r="G693">
        <f>'insurance final cleaned'!M1069</f>
        <v>0</v>
      </c>
      <c r="H693">
        <f>'insurance final cleaned'!N1069</f>
        <v>0</v>
      </c>
      <c r="I693">
        <f>'insurance final cleaned'!O1069</f>
        <v>1</v>
      </c>
      <c r="J693">
        <f>'insurance final cleaned'!P1069</f>
        <v>0.51499515792057948</v>
      </c>
      <c r="K693">
        <f>'insurance final cleaned'!Q1069</f>
        <v>1</v>
      </c>
      <c r="L693">
        <f>'insurance final cleaned'!R1069</f>
        <v>0</v>
      </c>
      <c r="M693">
        <f>'insurance final cleaned'!S1069</f>
        <v>0</v>
      </c>
    </row>
    <row r="694" spans="1:13" x14ac:dyDescent="0.3">
      <c r="A694">
        <f>'insurance final cleaned'!J913</f>
        <v>13126.68</v>
      </c>
      <c r="B694">
        <f>'insurance final cleaned'!B913</f>
        <v>55</v>
      </c>
      <c r="C694">
        <f>'insurance final cleaned'!D913</f>
        <v>28</v>
      </c>
      <c r="D694">
        <f>'insurance final cleaned'!G913</f>
        <v>0</v>
      </c>
      <c r="E694">
        <f>'insurance final cleaned'!E913</f>
        <v>105</v>
      </c>
      <c r="F694">
        <f>'insurance final cleaned'!L913</f>
        <v>0</v>
      </c>
      <c r="G694">
        <f>'insurance final cleaned'!M913</f>
        <v>0</v>
      </c>
      <c r="H694">
        <f>'insurance final cleaned'!N913</f>
        <v>1</v>
      </c>
      <c r="I694">
        <f>'insurance final cleaned'!O913</f>
        <v>0</v>
      </c>
      <c r="J694">
        <f>'insurance final cleaned'!P913</f>
        <v>0.51517100846209429</v>
      </c>
      <c r="K694">
        <f>'insurance final cleaned'!Q913</f>
        <v>0</v>
      </c>
      <c r="L694">
        <f>'insurance final cleaned'!R913</f>
        <v>1</v>
      </c>
      <c r="M694">
        <f>'insurance final cleaned'!S913</f>
        <v>1</v>
      </c>
    </row>
    <row r="695" spans="1:13" x14ac:dyDescent="0.3">
      <c r="A695">
        <f>'insurance final cleaned'!J1008</f>
        <v>16776.3</v>
      </c>
      <c r="B695">
        <f>'insurance final cleaned'!B1008</f>
        <v>50</v>
      </c>
      <c r="C695">
        <f>'insurance final cleaned'!D1008</f>
        <v>19.100000000000001</v>
      </c>
      <c r="D695">
        <f>'insurance final cleaned'!G1008</f>
        <v>2</v>
      </c>
      <c r="E695">
        <f>'insurance final cleaned'!E1008</f>
        <v>108</v>
      </c>
      <c r="F695">
        <f>'insurance final cleaned'!L1008</f>
        <v>19.100000000000001</v>
      </c>
      <c r="G695">
        <f>'insurance final cleaned'!M1008</f>
        <v>0</v>
      </c>
      <c r="H695">
        <f>'insurance final cleaned'!N1008</f>
        <v>0</v>
      </c>
      <c r="I695">
        <f>'insurance final cleaned'!O1008</f>
        <v>0</v>
      </c>
      <c r="J695">
        <f>'insurance final cleaned'!P1008</f>
        <v>0.51601032222732923</v>
      </c>
      <c r="K695">
        <f>'insurance final cleaned'!Q1008</f>
        <v>1</v>
      </c>
      <c r="L695">
        <f>'insurance final cleaned'!R1008</f>
        <v>0</v>
      </c>
      <c r="M695">
        <f>'insurance final cleaned'!S1008</f>
        <v>1</v>
      </c>
    </row>
    <row r="696" spans="1:13" x14ac:dyDescent="0.3">
      <c r="A696">
        <f>'insurance final cleaned'!J1028</f>
        <v>17942.11</v>
      </c>
      <c r="B696">
        <f>'insurance final cleaned'!B1028</f>
        <v>36</v>
      </c>
      <c r="C696">
        <f>'insurance final cleaned'!D1028</f>
        <v>25.7</v>
      </c>
      <c r="D696">
        <f>'insurance final cleaned'!G1028</f>
        <v>4</v>
      </c>
      <c r="E696">
        <f>'insurance final cleaned'!E1028</f>
        <v>96</v>
      </c>
      <c r="F696">
        <f>'insurance final cleaned'!L1028</f>
        <v>25.7</v>
      </c>
      <c r="G696">
        <f>'insurance final cleaned'!M1028</f>
        <v>0</v>
      </c>
      <c r="H696">
        <f>'insurance final cleaned'!N1028</f>
        <v>1</v>
      </c>
      <c r="I696">
        <f>'insurance final cleaned'!O1028</f>
        <v>0</v>
      </c>
      <c r="J696">
        <f>'insurance final cleaned'!P1028</f>
        <v>0.51621445536105781</v>
      </c>
      <c r="K696">
        <f>'insurance final cleaned'!Q1028</f>
        <v>1</v>
      </c>
      <c r="L696">
        <f>'insurance final cleaned'!R1028</f>
        <v>1</v>
      </c>
      <c r="M696">
        <f>'insurance final cleaned'!S1028</f>
        <v>0</v>
      </c>
    </row>
    <row r="697" spans="1:13" x14ac:dyDescent="0.3">
      <c r="A697">
        <f>'insurance final cleaned'!J848</f>
        <v>11946.63</v>
      </c>
      <c r="B697">
        <f>'insurance final cleaned'!B848</f>
        <v>45</v>
      </c>
      <c r="C697">
        <f>'insurance final cleaned'!D848</f>
        <v>32</v>
      </c>
      <c r="D697">
        <f>'insurance final cleaned'!G848</f>
        <v>1</v>
      </c>
      <c r="E697">
        <f>'insurance final cleaned'!E848</f>
        <v>83</v>
      </c>
      <c r="F697">
        <f>'insurance final cleaned'!L848</f>
        <v>0</v>
      </c>
      <c r="G697">
        <f>'insurance final cleaned'!M848</f>
        <v>1</v>
      </c>
      <c r="H697">
        <f>'insurance final cleaned'!N848</f>
        <v>0</v>
      </c>
      <c r="I697">
        <f>'insurance final cleaned'!O848</f>
        <v>0</v>
      </c>
      <c r="J697">
        <f>'insurance final cleaned'!P848</f>
        <v>0.51623565520566395</v>
      </c>
      <c r="K697">
        <f>'insurance final cleaned'!Q848</f>
        <v>0</v>
      </c>
      <c r="L697">
        <f>'insurance final cleaned'!R848</f>
        <v>0</v>
      </c>
      <c r="M697">
        <f>'insurance final cleaned'!S848</f>
        <v>0</v>
      </c>
    </row>
    <row r="698" spans="1:13" x14ac:dyDescent="0.3">
      <c r="A698">
        <f>'insurance final cleaned'!J83</f>
        <v>1906.36</v>
      </c>
      <c r="B698">
        <f>'insurance final cleaned'!B83</f>
        <v>43</v>
      </c>
      <c r="C698">
        <f>'insurance final cleaned'!D83</f>
        <v>29</v>
      </c>
      <c r="D698">
        <f>'insurance final cleaned'!G83</f>
        <v>0</v>
      </c>
      <c r="E698">
        <f>'insurance final cleaned'!E83</f>
        <v>91</v>
      </c>
      <c r="F698">
        <f>'insurance final cleaned'!L83</f>
        <v>0</v>
      </c>
      <c r="G698">
        <f>'insurance final cleaned'!M83</f>
        <v>0</v>
      </c>
      <c r="H698">
        <f>'insurance final cleaned'!N83</f>
        <v>0</v>
      </c>
      <c r="I698">
        <f>'insurance final cleaned'!O83</f>
        <v>1</v>
      </c>
      <c r="J698">
        <f>'insurance final cleaned'!P83</f>
        <v>0.51661508862899408</v>
      </c>
      <c r="K698">
        <f>'insurance final cleaned'!Q83</f>
        <v>0</v>
      </c>
      <c r="L698">
        <f>'insurance final cleaned'!R83</f>
        <v>1</v>
      </c>
      <c r="M698">
        <f>'insurance final cleaned'!S83</f>
        <v>0</v>
      </c>
    </row>
    <row r="699" spans="1:13" x14ac:dyDescent="0.3">
      <c r="A699">
        <f>'insurance final cleaned'!J945</f>
        <v>13880.95</v>
      </c>
      <c r="B699">
        <f>'insurance final cleaned'!B945</f>
        <v>35</v>
      </c>
      <c r="C699">
        <f>'insurance final cleaned'!D945</f>
        <v>31.8</v>
      </c>
      <c r="D699">
        <f>'insurance final cleaned'!G945</f>
        <v>0</v>
      </c>
      <c r="E699">
        <f>'insurance final cleaned'!E945</f>
        <v>95</v>
      </c>
      <c r="F699">
        <f>'insurance final cleaned'!L945</f>
        <v>0</v>
      </c>
      <c r="G699">
        <f>'insurance final cleaned'!M945</f>
        <v>0</v>
      </c>
      <c r="H699">
        <f>'insurance final cleaned'!N945</f>
        <v>1</v>
      </c>
      <c r="I699">
        <f>'insurance final cleaned'!O945</f>
        <v>0</v>
      </c>
      <c r="J699">
        <f>'insurance final cleaned'!P945</f>
        <v>0.5168127002072419</v>
      </c>
      <c r="K699">
        <f>'insurance final cleaned'!Q945</f>
        <v>0</v>
      </c>
      <c r="L699">
        <f>'insurance final cleaned'!R945</f>
        <v>0</v>
      </c>
      <c r="M699">
        <f>'insurance final cleaned'!S945</f>
        <v>1</v>
      </c>
    </row>
    <row r="700" spans="1:13" x14ac:dyDescent="0.3">
      <c r="A700">
        <f>'insurance final cleaned'!J959</f>
        <v>14235.07</v>
      </c>
      <c r="B700">
        <f>'insurance final cleaned'!B959</f>
        <v>56</v>
      </c>
      <c r="C700">
        <f>'insurance final cleaned'!D959</f>
        <v>39.1</v>
      </c>
      <c r="D700">
        <f>'insurance final cleaned'!G959</f>
        <v>2</v>
      </c>
      <c r="E700">
        <f>'insurance final cleaned'!E959</f>
        <v>83</v>
      </c>
      <c r="F700">
        <f>'insurance final cleaned'!L959</f>
        <v>0</v>
      </c>
      <c r="G700">
        <f>'insurance final cleaned'!M959</f>
        <v>0</v>
      </c>
      <c r="H700">
        <f>'insurance final cleaned'!N959</f>
        <v>1</v>
      </c>
      <c r="I700">
        <f>'insurance final cleaned'!O959</f>
        <v>0</v>
      </c>
      <c r="J700">
        <f>'insurance final cleaned'!P959</f>
        <v>0.51784336309089884</v>
      </c>
      <c r="K700">
        <f>'insurance final cleaned'!Q959</f>
        <v>0</v>
      </c>
      <c r="L700">
        <f>'insurance final cleaned'!R959</f>
        <v>0</v>
      </c>
      <c r="M700">
        <f>'insurance final cleaned'!S959</f>
        <v>1</v>
      </c>
    </row>
    <row r="701" spans="1:13" x14ac:dyDescent="0.3">
      <c r="A701">
        <f>'insurance final cleaned'!J730</f>
        <v>10231.5</v>
      </c>
      <c r="B701">
        <f>'insurance final cleaned'!B730</f>
        <v>45</v>
      </c>
      <c r="C701">
        <f>'insurance final cleaned'!D730</f>
        <v>30.2</v>
      </c>
      <c r="D701">
        <f>'insurance final cleaned'!G730</f>
        <v>0</v>
      </c>
      <c r="E701">
        <f>'insurance final cleaned'!E730</f>
        <v>89</v>
      </c>
      <c r="F701">
        <f>'insurance final cleaned'!L730</f>
        <v>0</v>
      </c>
      <c r="G701">
        <f>'insurance final cleaned'!M730</f>
        <v>0</v>
      </c>
      <c r="H701">
        <f>'insurance final cleaned'!N730</f>
        <v>0</v>
      </c>
      <c r="I701">
        <f>'insurance final cleaned'!O730</f>
        <v>1</v>
      </c>
      <c r="J701">
        <f>'insurance final cleaned'!P730</f>
        <v>0.51866572755307339</v>
      </c>
      <c r="K701">
        <f>'insurance final cleaned'!Q730</f>
        <v>0</v>
      </c>
      <c r="L701">
        <f>'insurance final cleaned'!R730</f>
        <v>0</v>
      </c>
      <c r="M701">
        <f>'insurance final cleaned'!S730</f>
        <v>0</v>
      </c>
    </row>
    <row r="702" spans="1:13" x14ac:dyDescent="0.3">
      <c r="A702">
        <f>'insurance final cleaned'!J983</f>
        <v>14988.43</v>
      </c>
      <c r="B702">
        <f>'insurance final cleaned'!B983</f>
        <v>21</v>
      </c>
      <c r="C702">
        <f>'insurance final cleaned'!D983</f>
        <v>25.6</v>
      </c>
      <c r="D702">
        <f>'insurance final cleaned'!G983</f>
        <v>2</v>
      </c>
      <c r="E702">
        <f>'insurance final cleaned'!E983</f>
        <v>95</v>
      </c>
      <c r="F702">
        <f>'insurance final cleaned'!L983</f>
        <v>0</v>
      </c>
      <c r="G702">
        <f>'insurance final cleaned'!M983</f>
        <v>0</v>
      </c>
      <c r="H702">
        <f>'insurance final cleaned'!N983</f>
        <v>1</v>
      </c>
      <c r="I702">
        <f>'insurance final cleaned'!O983</f>
        <v>0</v>
      </c>
      <c r="J702">
        <f>'insurance final cleaned'!P983</f>
        <v>0.51872643597681878</v>
      </c>
      <c r="K702">
        <f>'insurance final cleaned'!Q983</f>
        <v>0</v>
      </c>
      <c r="L702">
        <f>'insurance final cleaned'!R983</f>
        <v>0</v>
      </c>
      <c r="M702">
        <f>'insurance final cleaned'!S983</f>
        <v>0</v>
      </c>
    </row>
    <row r="703" spans="1:13" x14ac:dyDescent="0.3">
      <c r="A703">
        <f>'insurance final cleaned'!J794</f>
        <v>11289.11</v>
      </c>
      <c r="B703">
        <f>'insurance final cleaned'!B794</f>
        <v>47</v>
      </c>
      <c r="C703">
        <f>'insurance final cleaned'!D794</f>
        <v>32.799999999999997</v>
      </c>
      <c r="D703">
        <f>'insurance final cleaned'!G794</f>
        <v>3</v>
      </c>
      <c r="E703">
        <f>'insurance final cleaned'!E794</f>
        <v>83</v>
      </c>
      <c r="F703">
        <f>'insurance final cleaned'!L794</f>
        <v>0</v>
      </c>
      <c r="G703">
        <f>'insurance final cleaned'!M794</f>
        <v>0</v>
      </c>
      <c r="H703">
        <f>'insurance final cleaned'!N794</f>
        <v>0</v>
      </c>
      <c r="I703">
        <f>'insurance final cleaned'!O794</f>
        <v>1</v>
      </c>
      <c r="J703">
        <f>'insurance final cleaned'!P794</f>
        <v>0.51962255192057283</v>
      </c>
      <c r="K703">
        <f>'insurance final cleaned'!Q794</f>
        <v>0</v>
      </c>
      <c r="L703">
        <f>'insurance final cleaned'!R794</f>
        <v>0</v>
      </c>
      <c r="M703">
        <f>'insurance final cleaned'!S794</f>
        <v>0</v>
      </c>
    </row>
    <row r="704" spans="1:13" x14ac:dyDescent="0.3">
      <c r="A704">
        <f>'insurance final cleaned'!J1301</f>
        <v>44501.4</v>
      </c>
      <c r="B704">
        <f>'insurance final cleaned'!B1301</f>
        <v>50</v>
      </c>
      <c r="C704">
        <f>'insurance final cleaned'!D1301</f>
        <v>52.6</v>
      </c>
      <c r="D704">
        <f>'insurance final cleaned'!G1301</f>
        <v>1</v>
      </c>
      <c r="E704">
        <f>'insurance final cleaned'!E1301</f>
        <v>110</v>
      </c>
      <c r="F704">
        <f>'insurance final cleaned'!L1301</f>
        <v>52.6</v>
      </c>
      <c r="G704">
        <f>'insurance final cleaned'!M1301</f>
        <v>1</v>
      </c>
      <c r="H704">
        <f>'insurance final cleaned'!N1301</f>
        <v>0</v>
      </c>
      <c r="I704">
        <f>'insurance final cleaned'!O1301</f>
        <v>0</v>
      </c>
      <c r="J704">
        <f>'insurance final cleaned'!P1301</f>
        <v>0.51974774793329903</v>
      </c>
      <c r="K704">
        <f>'insurance final cleaned'!Q1301</f>
        <v>1</v>
      </c>
      <c r="L704">
        <f>'insurance final cleaned'!R1301</f>
        <v>0</v>
      </c>
      <c r="M704">
        <f>'insurance final cleaned'!S1301</f>
        <v>0</v>
      </c>
    </row>
    <row r="705" spans="1:13" x14ac:dyDescent="0.3">
      <c r="A705">
        <f>'insurance final cleaned'!J555</f>
        <v>7633.72</v>
      </c>
      <c r="B705">
        <f>'insurance final cleaned'!B555</f>
        <v>56</v>
      </c>
      <c r="C705">
        <f>'insurance final cleaned'!D555</f>
        <v>32.299999999999997</v>
      </c>
      <c r="D705">
        <f>'insurance final cleaned'!G555</f>
        <v>1</v>
      </c>
      <c r="E705">
        <f>'insurance final cleaned'!E555</f>
        <v>99</v>
      </c>
      <c r="F705">
        <f>'insurance final cleaned'!L555</f>
        <v>0</v>
      </c>
      <c r="G705">
        <f>'insurance final cleaned'!M555</f>
        <v>1</v>
      </c>
      <c r="H705">
        <f>'insurance final cleaned'!N555</f>
        <v>0</v>
      </c>
      <c r="I705">
        <f>'insurance final cleaned'!O555</f>
        <v>0</v>
      </c>
      <c r="J705">
        <f>'insurance final cleaned'!P555</f>
        <v>0.52011676779466265</v>
      </c>
      <c r="K705">
        <f>'insurance final cleaned'!Q555</f>
        <v>0</v>
      </c>
      <c r="L705">
        <f>'insurance final cleaned'!R555</f>
        <v>1</v>
      </c>
      <c r="M705">
        <f>'insurance final cleaned'!S555</f>
        <v>1</v>
      </c>
    </row>
    <row r="706" spans="1:13" x14ac:dyDescent="0.3">
      <c r="A706">
        <f>'insurance final cleaned'!J347</f>
        <v>4827.8999999999996</v>
      </c>
      <c r="B706">
        <f>'insurance final cleaned'!B347</f>
        <v>33</v>
      </c>
      <c r="C706">
        <f>'insurance final cleaned'!D347</f>
        <v>18.899999999999999</v>
      </c>
      <c r="D706">
        <f>'insurance final cleaned'!G347</f>
        <v>3</v>
      </c>
      <c r="E706">
        <f>'insurance final cleaned'!E347</f>
        <v>87</v>
      </c>
      <c r="F706">
        <f>'insurance final cleaned'!L347</f>
        <v>0</v>
      </c>
      <c r="G706">
        <f>'insurance final cleaned'!M347</f>
        <v>1</v>
      </c>
      <c r="H706">
        <f>'insurance final cleaned'!N347</f>
        <v>0</v>
      </c>
      <c r="I706">
        <f>'insurance final cleaned'!O347</f>
        <v>0</v>
      </c>
      <c r="J706">
        <f>'insurance final cleaned'!P347</f>
        <v>0.52055306767963161</v>
      </c>
      <c r="K706">
        <f>'insurance final cleaned'!Q347</f>
        <v>0</v>
      </c>
      <c r="L706">
        <f>'insurance final cleaned'!R347</f>
        <v>1</v>
      </c>
      <c r="M706">
        <f>'insurance final cleaned'!S347</f>
        <v>0</v>
      </c>
    </row>
    <row r="707" spans="1:13" x14ac:dyDescent="0.3">
      <c r="A707">
        <f>'insurance final cleaned'!J443</f>
        <v>6185.32</v>
      </c>
      <c r="B707">
        <f>'insurance final cleaned'!B443</f>
        <v>39</v>
      </c>
      <c r="C707">
        <f>'insurance final cleaned'!D443</f>
        <v>31</v>
      </c>
      <c r="D707">
        <f>'insurance final cleaned'!G443</f>
        <v>0</v>
      </c>
      <c r="E707">
        <f>'insurance final cleaned'!E443</f>
        <v>97</v>
      </c>
      <c r="F707">
        <f>'insurance final cleaned'!L443</f>
        <v>0</v>
      </c>
      <c r="G707">
        <f>'insurance final cleaned'!M443</f>
        <v>1</v>
      </c>
      <c r="H707">
        <f>'insurance final cleaned'!N443</f>
        <v>0</v>
      </c>
      <c r="I707">
        <f>'insurance final cleaned'!O443</f>
        <v>0</v>
      </c>
      <c r="J707">
        <f>'insurance final cleaned'!P443</f>
        <v>0.52121460567208378</v>
      </c>
      <c r="K707">
        <f>'insurance final cleaned'!Q443</f>
        <v>0</v>
      </c>
      <c r="L707">
        <f>'insurance final cleaned'!R443</f>
        <v>0</v>
      </c>
      <c r="M707">
        <f>'insurance final cleaned'!S443</f>
        <v>1</v>
      </c>
    </row>
    <row r="708" spans="1:13" x14ac:dyDescent="0.3">
      <c r="A708">
        <f>'insurance final cleaned'!J4</f>
        <v>1135.94</v>
      </c>
      <c r="B708">
        <f>'insurance final cleaned'!B4</f>
        <v>38</v>
      </c>
      <c r="C708">
        <f>'insurance final cleaned'!D4</f>
        <v>33.299999999999997</v>
      </c>
      <c r="D708">
        <f>'insurance final cleaned'!G4</f>
        <v>0</v>
      </c>
      <c r="E708">
        <f>'insurance final cleaned'!E4</f>
        <v>82</v>
      </c>
      <c r="F708">
        <f>'insurance final cleaned'!L4</f>
        <v>0</v>
      </c>
      <c r="G708">
        <f>'insurance final cleaned'!M4</f>
        <v>1</v>
      </c>
      <c r="H708">
        <f>'insurance final cleaned'!N4</f>
        <v>0</v>
      </c>
      <c r="I708">
        <f>'insurance final cleaned'!O4</f>
        <v>0</v>
      </c>
      <c r="J708">
        <f>'insurance final cleaned'!P4</f>
        <v>0.52184096627103371</v>
      </c>
      <c r="K708">
        <f>'insurance final cleaned'!Q4</f>
        <v>0</v>
      </c>
      <c r="L708">
        <f>'insurance final cleaned'!R4</f>
        <v>1</v>
      </c>
      <c r="M708">
        <f>'insurance final cleaned'!S4</f>
        <v>0</v>
      </c>
    </row>
    <row r="709" spans="1:13" x14ac:dyDescent="0.3">
      <c r="A709">
        <f>'insurance final cleaned'!J237</f>
        <v>3554.2</v>
      </c>
      <c r="B709">
        <f>'insurance final cleaned'!B237</f>
        <v>58</v>
      </c>
      <c r="C709">
        <f>'insurance final cleaned'!D237</f>
        <v>27.7</v>
      </c>
      <c r="D709">
        <f>'insurance final cleaned'!G237</f>
        <v>0</v>
      </c>
      <c r="E709">
        <f>'insurance final cleaned'!E237</f>
        <v>82</v>
      </c>
      <c r="F709">
        <f>'insurance final cleaned'!L237</f>
        <v>0</v>
      </c>
      <c r="G709">
        <f>'insurance final cleaned'!M237</f>
        <v>0</v>
      </c>
      <c r="H709">
        <f>'insurance final cleaned'!N237</f>
        <v>1</v>
      </c>
      <c r="I709">
        <f>'insurance final cleaned'!O237</f>
        <v>0</v>
      </c>
      <c r="J709">
        <f>'insurance final cleaned'!P237</f>
        <v>0.52269382128201802</v>
      </c>
      <c r="K709">
        <f>'insurance final cleaned'!Q237</f>
        <v>0</v>
      </c>
      <c r="L709">
        <f>'insurance final cleaned'!R237</f>
        <v>0</v>
      </c>
      <c r="M709">
        <f>'insurance final cleaned'!S237</f>
        <v>1</v>
      </c>
    </row>
    <row r="710" spans="1:13" x14ac:dyDescent="0.3">
      <c r="A710">
        <f>'insurance final cleaned'!J491</f>
        <v>6770.19</v>
      </c>
      <c r="B710">
        <f>'insurance final cleaned'!B491</f>
        <v>48</v>
      </c>
      <c r="C710">
        <f>'insurance final cleaned'!D491</f>
        <v>28.1</v>
      </c>
      <c r="D710">
        <f>'insurance final cleaned'!G491</f>
        <v>1</v>
      </c>
      <c r="E710">
        <f>'insurance final cleaned'!E491</f>
        <v>95</v>
      </c>
      <c r="F710">
        <f>'insurance final cleaned'!L491</f>
        <v>0</v>
      </c>
      <c r="G710">
        <f>'insurance final cleaned'!M491</f>
        <v>1</v>
      </c>
      <c r="H710">
        <f>'insurance final cleaned'!N491</f>
        <v>0</v>
      </c>
      <c r="I710">
        <f>'insurance final cleaned'!O491</f>
        <v>0</v>
      </c>
      <c r="J710">
        <f>'insurance final cleaned'!P491</f>
        <v>0.52295258491137042</v>
      </c>
      <c r="K710">
        <f>'insurance final cleaned'!Q491</f>
        <v>0</v>
      </c>
      <c r="L710">
        <f>'insurance final cleaned'!R491</f>
        <v>1</v>
      </c>
      <c r="M710">
        <f>'insurance final cleaned'!S491</f>
        <v>1</v>
      </c>
    </row>
    <row r="711" spans="1:13" x14ac:dyDescent="0.3">
      <c r="A711">
        <f>'insurance final cleaned'!J738</f>
        <v>10407.09</v>
      </c>
      <c r="B711">
        <f>'insurance final cleaned'!B738</f>
        <v>23</v>
      </c>
      <c r="C711">
        <f>'insurance final cleaned'!D738</f>
        <v>28.2</v>
      </c>
      <c r="D711">
        <f>'insurance final cleaned'!G738</f>
        <v>4</v>
      </c>
      <c r="E711">
        <f>'insurance final cleaned'!E738</f>
        <v>95</v>
      </c>
      <c r="F711">
        <f>'insurance final cleaned'!L738</f>
        <v>0</v>
      </c>
      <c r="G711">
        <f>'insurance final cleaned'!M738</f>
        <v>0</v>
      </c>
      <c r="H711">
        <f>'insurance final cleaned'!N738</f>
        <v>0</v>
      </c>
      <c r="I711">
        <f>'insurance final cleaned'!O738</f>
        <v>0</v>
      </c>
      <c r="J711">
        <f>'insurance final cleaned'!P738</f>
        <v>0.52380882999252965</v>
      </c>
      <c r="K711">
        <f>'insurance final cleaned'!Q738</f>
        <v>0</v>
      </c>
      <c r="L711">
        <f>'insurance final cleaned'!R738</f>
        <v>0</v>
      </c>
      <c r="M711">
        <f>'insurance final cleaned'!S738</f>
        <v>0</v>
      </c>
    </row>
    <row r="712" spans="1:13" x14ac:dyDescent="0.3">
      <c r="A712">
        <f>'insurance final cleaned'!J1029</f>
        <v>18033.97</v>
      </c>
      <c r="B712">
        <f>'insurance final cleaned'!B1029</f>
        <v>29</v>
      </c>
      <c r="C712">
        <f>'insurance final cleaned'!D1029</f>
        <v>28.3</v>
      </c>
      <c r="D712">
        <f>'insurance final cleaned'!G1029</f>
        <v>0</v>
      </c>
      <c r="E712">
        <f>'insurance final cleaned'!E1029</f>
        <v>103</v>
      </c>
      <c r="F712">
        <f>'insurance final cleaned'!L1029</f>
        <v>28.3</v>
      </c>
      <c r="G712">
        <f>'insurance final cleaned'!M1029</f>
        <v>0</v>
      </c>
      <c r="H712">
        <f>'insurance final cleaned'!N1029</f>
        <v>0</v>
      </c>
      <c r="I712">
        <f>'insurance final cleaned'!O1029</f>
        <v>1</v>
      </c>
      <c r="J712">
        <f>'insurance final cleaned'!P1029</f>
        <v>0.53055531126846478</v>
      </c>
      <c r="K712">
        <f>'insurance final cleaned'!Q1029</f>
        <v>1</v>
      </c>
      <c r="L712">
        <f>'insurance final cleaned'!R1029</f>
        <v>0</v>
      </c>
      <c r="M712">
        <f>'insurance final cleaned'!S1029</f>
        <v>1</v>
      </c>
    </row>
    <row r="713" spans="1:13" x14ac:dyDescent="0.3">
      <c r="A713">
        <f>'insurance final cleaned'!J459</f>
        <v>6360.99</v>
      </c>
      <c r="B713">
        <f>'insurance final cleaned'!B459</f>
        <v>50</v>
      </c>
      <c r="C713">
        <f>'insurance final cleaned'!D459</f>
        <v>42.9</v>
      </c>
      <c r="D713">
        <f>'insurance final cleaned'!G459</f>
        <v>3</v>
      </c>
      <c r="E713">
        <f>'insurance final cleaned'!E459</f>
        <v>98</v>
      </c>
      <c r="F713">
        <f>'insurance final cleaned'!L459</f>
        <v>0</v>
      </c>
      <c r="G713">
        <f>'insurance final cleaned'!M459</f>
        <v>0</v>
      </c>
      <c r="H713">
        <f>'insurance final cleaned'!N459</f>
        <v>0</v>
      </c>
      <c r="I713">
        <f>'insurance final cleaned'!O459</f>
        <v>1</v>
      </c>
      <c r="J713">
        <f>'insurance final cleaned'!P459</f>
        <v>0.53066896521349627</v>
      </c>
      <c r="K713">
        <f>'insurance final cleaned'!Q459</f>
        <v>0</v>
      </c>
      <c r="L713">
        <f>'insurance final cleaned'!R459</f>
        <v>0</v>
      </c>
      <c r="M713">
        <f>'insurance final cleaned'!S459</f>
        <v>1</v>
      </c>
    </row>
    <row r="714" spans="1:13" x14ac:dyDescent="0.3">
      <c r="A714">
        <f>'insurance final cleaned'!J480</f>
        <v>6610.11</v>
      </c>
      <c r="B714">
        <f>'insurance final cleaned'!B480</f>
        <v>38</v>
      </c>
      <c r="C714">
        <f>'insurance final cleaned'!D480</f>
        <v>41.2</v>
      </c>
      <c r="D714">
        <f>'insurance final cleaned'!G480</f>
        <v>1</v>
      </c>
      <c r="E714">
        <f>'insurance final cleaned'!E480</f>
        <v>81</v>
      </c>
      <c r="F714">
        <f>'insurance final cleaned'!L480</f>
        <v>0</v>
      </c>
      <c r="G714">
        <f>'insurance final cleaned'!M480</f>
        <v>1</v>
      </c>
      <c r="H714">
        <f>'insurance final cleaned'!N480</f>
        <v>0</v>
      </c>
      <c r="I714">
        <f>'insurance final cleaned'!O480</f>
        <v>0</v>
      </c>
      <c r="J714">
        <f>'insurance final cleaned'!P480</f>
        <v>0.5307872056201669</v>
      </c>
      <c r="K714">
        <f>'insurance final cleaned'!Q480</f>
        <v>0</v>
      </c>
      <c r="L714">
        <f>'insurance final cleaned'!R480</f>
        <v>1</v>
      </c>
      <c r="M714">
        <f>'insurance final cleaned'!S480</f>
        <v>0</v>
      </c>
    </row>
    <row r="715" spans="1:13" x14ac:dyDescent="0.3">
      <c r="A715">
        <f>'insurance final cleaned'!J810</f>
        <v>11455.28</v>
      </c>
      <c r="B715">
        <f>'insurance final cleaned'!B810</f>
        <v>44</v>
      </c>
      <c r="C715">
        <f>'insurance final cleaned'!D810</f>
        <v>28.7</v>
      </c>
      <c r="D715">
        <f>'insurance final cleaned'!G810</f>
        <v>0</v>
      </c>
      <c r="E715">
        <f>'insurance final cleaned'!E810</f>
        <v>95</v>
      </c>
      <c r="F715">
        <f>'insurance final cleaned'!L810</f>
        <v>0</v>
      </c>
      <c r="G715">
        <f>'insurance final cleaned'!M810</f>
        <v>0</v>
      </c>
      <c r="H715">
        <f>'insurance final cleaned'!N810</f>
        <v>1</v>
      </c>
      <c r="I715">
        <f>'insurance final cleaned'!O810</f>
        <v>0</v>
      </c>
      <c r="J715">
        <f>'insurance final cleaned'!P810</f>
        <v>0.53088270103969792</v>
      </c>
      <c r="K715">
        <f>'insurance final cleaned'!Q810</f>
        <v>0</v>
      </c>
      <c r="L715">
        <f>'insurance final cleaned'!R810</f>
        <v>0</v>
      </c>
      <c r="M715">
        <f>'insurance final cleaned'!S810</f>
        <v>1</v>
      </c>
    </row>
    <row r="716" spans="1:13" x14ac:dyDescent="0.3">
      <c r="A716">
        <f>'insurance final cleaned'!J363</f>
        <v>5002.78</v>
      </c>
      <c r="B716">
        <f>'insurance final cleaned'!B363</f>
        <v>27</v>
      </c>
      <c r="C716">
        <f>'insurance final cleaned'!D363</f>
        <v>26.7</v>
      </c>
      <c r="D716">
        <f>'insurance final cleaned'!G363</f>
        <v>1</v>
      </c>
      <c r="E716">
        <f>'insurance final cleaned'!E363</f>
        <v>99</v>
      </c>
      <c r="F716">
        <f>'insurance final cleaned'!L363</f>
        <v>0</v>
      </c>
      <c r="G716">
        <f>'insurance final cleaned'!M363</f>
        <v>1</v>
      </c>
      <c r="H716">
        <f>'insurance final cleaned'!N363</f>
        <v>0</v>
      </c>
      <c r="I716">
        <f>'insurance final cleaned'!O363</f>
        <v>0</v>
      </c>
      <c r="J716">
        <f>'insurance final cleaned'!P363</f>
        <v>0.53093094201236735</v>
      </c>
      <c r="K716">
        <f>'insurance final cleaned'!Q363</f>
        <v>0</v>
      </c>
      <c r="L716">
        <f>'insurance final cleaned'!R363</f>
        <v>0</v>
      </c>
      <c r="M716">
        <f>'insurance final cleaned'!S363</f>
        <v>1</v>
      </c>
    </row>
    <row r="717" spans="1:13" x14ac:dyDescent="0.3">
      <c r="A717">
        <f>'insurance final cleaned'!J613</f>
        <v>8527.5300000000007</v>
      </c>
      <c r="B717">
        <f>'insurance final cleaned'!B613</f>
        <v>29</v>
      </c>
      <c r="C717">
        <f>'insurance final cleaned'!D613</f>
        <v>36.299999999999997</v>
      </c>
      <c r="D717">
        <f>'insurance final cleaned'!G613</f>
        <v>2</v>
      </c>
      <c r="E717">
        <f>'insurance final cleaned'!E613</f>
        <v>91</v>
      </c>
      <c r="F717">
        <f>'insurance final cleaned'!L613</f>
        <v>0</v>
      </c>
      <c r="G717">
        <f>'insurance final cleaned'!M613</f>
        <v>1</v>
      </c>
      <c r="H717">
        <f>'insurance final cleaned'!N613</f>
        <v>0</v>
      </c>
      <c r="I717">
        <f>'insurance final cleaned'!O613</f>
        <v>0</v>
      </c>
      <c r="J717">
        <f>'insurance final cleaned'!P613</f>
        <v>0.53130294066580375</v>
      </c>
      <c r="K717">
        <f>'insurance final cleaned'!Q613</f>
        <v>0</v>
      </c>
      <c r="L717">
        <f>'insurance final cleaned'!R613</f>
        <v>1</v>
      </c>
      <c r="M717">
        <f>'insurance final cleaned'!S613</f>
        <v>1</v>
      </c>
    </row>
    <row r="718" spans="1:13" x14ac:dyDescent="0.3">
      <c r="A718">
        <f>'insurance final cleaned'!J1172</f>
        <v>28476.73</v>
      </c>
      <c r="B718">
        <f>'insurance final cleaned'!B1172</f>
        <v>27</v>
      </c>
      <c r="C718">
        <f>'insurance final cleaned'!D1172</f>
        <v>41.4</v>
      </c>
      <c r="D718">
        <f>'insurance final cleaned'!G1172</f>
        <v>1</v>
      </c>
      <c r="E718">
        <f>'insurance final cleaned'!E1172</f>
        <v>95</v>
      </c>
      <c r="F718">
        <f>'insurance final cleaned'!L1172</f>
        <v>0</v>
      </c>
      <c r="G718">
        <f>'insurance final cleaned'!M1172</f>
        <v>0</v>
      </c>
      <c r="H718">
        <f>'insurance final cleaned'!N1172</f>
        <v>0</v>
      </c>
      <c r="I718">
        <f>'insurance final cleaned'!O1172</f>
        <v>1</v>
      </c>
      <c r="J718">
        <f>'insurance final cleaned'!P1172</f>
        <v>0.5313235140693876</v>
      </c>
      <c r="K718">
        <f>'insurance final cleaned'!Q1172</f>
        <v>0</v>
      </c>
      <c r="L718">
        <f>'insurance final cleaned'!R1172</f>
        <v>0</v>
      </c>
      <c r="M718">
        <f>'insurance final cleaned'!S1172</f>
        <v>1</v>
      </c>
    </row>
    <row r="719" spans="1:13" x14ac:dyDescent="0.3">
      <c r="A719">
        <f>'insurance final cleaned'!J1225</f>
        <v>36837.47</v>
      </c>
      <c r="B719">
        <f>'insurance final cleaned'!B1225</f>
        <v>20</v>
      </c>
      <c r="C719">
        <f>'insurance final cleaned'!D1225</f>
        <v>35.299999999999997</v>
      </c>
      <c r="D719">
        <f>'insurance final cleaned'!G1225</f>
        <v>0</v>
      </c>
      <c r="E719">
        <f>'insurance final cleaned'!E1225</f>
        <v>86</v>
      </c>
      <c r="F719">
        <f>'insurance final cleaned'!L1225</f>
        <v>35.299999999999997</v>
      </c>
      <c r="G719">
        <f>'insurance final cleaned'!M1225</f>
        <v>0</v>
      </c>
      <c r="H719">
        <f>'insurance final cleaned'!N1225</f>
        <v>1</v>
      </c>
      <c r="I719">
        <f>'insurance final cleaned'!O1225</f>
        <v>0</v>
      </c>
      <c r="J719">
        <f>'insurance final cleaned'!P1225</f>
        <v>0.53191961742040417</v>
      </c>
      <c r="K719">
        <f>'insurance final cleaned'!Q1225</f>
        <v>1</v>
      </c>
      <c r="L719">
        <f>'insurance final cleaned'!R1225</f>
        <v>0</v>
      </c>
      <c r="M719">
        <f>'insurance final cleaned'!S1225</f>
        <v>0</v>
      </c>
    </row>
    <row r="720" spans="1:13" x14ac:dyDescent="0.3">
      <c r="A720">
        <f>'insurance final cleaned'!J1294</f>
        <v>43896.38</v>
      </c>
      <c r="B720">
        <f>'insurance final cleaned'!B1294</f>
        <v>45</v>
      </c>
      <c r="C720">
        <f>'insurance final cleaned'!D1294</f>
        <v>40.4</v>
      </c>
      <c r="D720">
        <f>'insurance final cleaned'!G1294</f>
        <v>2</v>
      </c>
      <c r="E720">
        <f>'insurance final cleaned'!E1294</f>
        <v>123</v>
      </c>
      <c r="F720">
        <f>'insurance final cleaned'!L1294</f>
        <v>40.4</v>
      </c>
      <c r="G720">
        <f>'insurance final cleaned'!M1294</f>
        <v>1</v>
      </c>
      <c r="H720">
        <f>'insurance final cleaned'!N1294</f>
        <v>0</v>
      </c>
      <c r="I720">
        <f>'insurance final cleaned'!O1294</f>
        <v>0</v>
      </c>
      <c r="J720">
        <f>'insurance final cleaned'!P1294</f>
        <v>0.53270178472886176</v>
      </c>
      <c r="K720">
        <f>'insurance final cleaned'!Q1294</f>
        <v>1</v>
      </c>
      <c r="L720">
        <f>'insurance final cleaned'!R1294</f>
        <v>0</v>
      </c>
      <c r="M720">
        <f>'insurance final cleaned'!S1294</f>
        <v>1</v>
      </c>
    </row>
    <row r="721" spans="1:13" x14ac:dyDescent="0.3">
      <c r="A721">
        <f>'insurance final cleaned'!J1175</f>
        <v>28950.47</v>
      </c>
      <c r="B721">
        <f>'insurance final cleaned'!B1175</f>
        <v>30</v>
      </c>
      <c r="C721">
        <f>'insurance final cleaned'!D1175</f>
        <v>27</v>
      </c>
      <c r="D721">
        <f>'insurance final cleaned'!G1175</f>
        <v>0</v>
      </c>
      <c r="E721">
        <f>'insurance final cleaned'!E1175</f>
        <v>113</v>
      </c>
      <c r="F721">
        <f>'insurance final cleaned'!L1175</f>
        <v>27</v>
      </c>
      <c r="G721">
        <f>'insurance final cleaned'!M1175</f>
        <v>0</v>
      </c>
      <c r="H721">
        <f>'insurance final cleaned'!N1175</f>
        <v>0</v>
      </c>
      <c r="I721">
        <f>'insurance final cleaned'!O1175</f>
        <v>1</v>
      </c>
      <c r="J721">
        <f>'insurance final cleaned'!P1175</f>
        <v>0.53282905331300923</v>
      </c>
      <c r="K721">
        <f>'insurance final cleaned'!Q1175</f>
        <v>1</v>
      </c>
      <c r="L721">
        <f>'insurance final cleaned'!R1175</f>
        <v>0</v>
      </c>
      <c r="M721">
        <f>'insurance final cleaned'!S1175</f>
        <v>1</v>
      </c>
    </row>
    <row r="722" spans="1:13" x14ac:dyDescent="0.3">
      <c r="A722">
        <f>'insurance final cleaned'!J29</f>
        <v>1621.34</v>
      </c>
      <c r="B722">
        <f>'insurance final cleaned'!B29</f>
        <v>30</v>
      </c>
      <c r="C722">
        <f>'insurance final cleaned'!D29</f>
        <v>17.5</v>
      </c>
      <c r="D722">
        <f>'insurance final cleaned'!G29</f>
        <v>0</v>
      </c>
      <c r="E722">
        <f>'insurance final cleaned'!E29</f>
        <v>93</v>
      </c>
      <c r="F722">
        <f>'insurance final cleaned'!L29</f>
        <v>0</v>
      </c>
      <c r="G722">
        <f>'insurance final cleaned'!M29</f>
        <v>0</v>
      </c>
      <c r="H722">
        <f>'insurance final cleaned'!N29</f>
        <v>0</v>
      </c>
      <c r="I722">
        <f>'insurance final cleaned'!O29</f>
        <v>1</v>
      </c>
      <c r="J722">
        <f>'insurance final cleaned'!P29</f>
        <v>0.53324941791992664</v>
      </c>
      <c r="K722">
        <f>'insurance final cleaned'!Q29</f>
        <v>0</v>
      </c>
      <c r="L722">
        <f>'insurance final cleaned'!R29</f>
        <v>1</v>
      </c>
      <c r="M722">
        <f>'insurance final cleaned'!S29</f>
        <v>0</v>
      </c>
    </row>
    <row r="723" spans="1:13" x14ac:dyDescent="0.3">
      <c r="A723">
        <f>'insurance final cleaned'!J1220</f>
        <v>36197.699999999997</v>
      </c>
      <c r="B723">
        <f>'insurance final cleaned'!B1220</f>
        <v>37</v>
      </c>
      <c r="C723">
        <f>'insurance final cleaned'!D1220</f>
        <v>34.4</v>
      </c>
      <c r="D723">
        <f>'insurance final cleaned'!G1220</f>
        <v>0</v>
      </c>
      <c r="E723">
        <f>'insurance final cleaned'!E1220</f>
        <v>126</v>
      </c>
      <c r="F723">
        <f>'insurance final cleaned'!L1220</f>
        <v>34.4</v>
      </c>
      <c r="G723">
        <f>'insurance final cleaned'!M1220</f>
        <v>0</v>
      </c>
      <c r="H723">
        <f>'insurance final cleaned'!N1220</f>
        <v>1</v>
      </c>
      <c r="I723">
        <f>'insurance final cleaned'!O1220</f>
        <v>0</v>
      </c>
      <c r="J723">
        <f>'insurance final cleaned'!P1220</f>
        <v>0.534025077397971</v>
      </c>
      <c r="K723">
        <f>'insurance final cleaned'!Q1220</f>
        <v>1</v>
      </c>
      <c r="L723">
        <f>'insurance final cleaned'!R1220</f>
        <v>0</v>
      </c>
      <c r="M723">
        <f>'insurance final cleaned'!S1220</f>
        <v>0</v>
      </c>
    </row>
    <row r="724" spans="1:13" x14ac:dyDescent="0.3">
      <c r="A724">
        <f>'insurance final cleaned'!J1253</f>
        <v>39556.49</v>
      </c>
      <c r="B724">
        <f>'insurance final cleaned'!B1253</f>
        <v>21</v>
      </c>
      <c r="C724">
        <f>'insurance final cleaned'!D1253</f>
        <v>31.4</v>
      </c>
      <c r="D724">
        <f>'insurance final cleaned'!G1253</f>
        <v>1</v>
      </c>
      <c r="E724">
        <f>'insurance final cleaned'!E1253</f>
        <v>89</v>
      </c>
      <c r="F724">
        <f>'insurance final cleaned'!L1253</f>
        <v>31.4</v>
      </c>
      <c r="G724">
        <f>'insurance final cleaned'!M1253</f>
        <v>0</v>
      </c>
      <c r="H724">
        <f>'insurance final cleaned'!N1253</f>
        <v>0</v>
      </c>
      <c r="I724">
        <f>'insurance final cleaned'!O1253</f>
        <v>0</v>
      </c>
      <c r="J724">
        <f>'insurance final cleaned'!P1253</f>
        <v>0.53634879102844046</v>
      </c>
      <c r="K724">
        <f>'insurance final cleaned'!Q1253</f>
        <v>1</v>
      </c>
      <c r="L724">
        <f>'insurance final cleaned'!R1253</f>
        <v>1</v>
      </c>
      <c r="M724">
        <f>'insurance final cleaned'!S1253</f>
        <v>0</v>
      </c>
    </row>
    <row r="725" spans="1:13" x14ac:dyDescent="0.3">
      <c r="A725">
        <f>'insurance final cleaned'!J716</f>
        <v>10043.25</v>
      </c>
      <c r="B725">
        <f>'insurance final cleaned'!B716</f>
        <v>42</v>
      </c>
      <c r="C725">
        <f>'insurance final cleaned'!D716</f>
        <v>32.299999999999997</v>
      </c>
      <c r="D725">
        <f>'insurance final cleaned'!G716</f>
        <v>2</v>
      </c>
      <c r="E725">
        <f>'insurance final cleaned'!E716</f>
        <v>101</v>
      </c>
      <c r="F725">
        <f>'insurance final cleaned'!L716</f>
        <v>0</v>
      </c>
      <c r="G725">
        <f>'insurance final cleaned'!M716</f>
        <v>0</v>
      </c>
      <c r="H725">
        <f>'insurance final cleaned'!N716</f>
        <v>0</v>
      </c>
      <c r="I725">
        <f>'insurance final cleaned'!O716</f>
        <v>0</v>
      </c>
      <c r="J725">
        <f>'insurance final cleaned'!P716</f>
        <v>0.53647620604391011</v>
      </c>
      <c r="K725">
        <f>'insurance final cleaned'!Q716</f>
        <v>0</v>
      </c>
      <c r="L725">
        <f>'insurance final cleaned'!R716</f>
        <v>1</v>
      </c>
      <c r="M725">
        <f>'insurance final cleaned'!S716</f>
        <v>1</v>
      </c>
    </row>
    <row r="726" spans="1:13" x14ac:dyDescent="0.3">
      <c r="A726">
        <f>'insurance final cleaned'!J919</f>
        <v>13224.06</v>
      </c>
      <c r="B726">
        <f>'insurance final cleaned'!B919</f>
        <v>43</v>
      </c>
      <c r="C726">
        <f>'insurance final cleaned'!D919</f>
        <v>34.299999999999997</v>
      </c>
      <c r="D726">
        <f>'insurance final cleaned'!G919</f>
        <v>2</v>
      </c>
      <c r="E726">
        <f>'insurance final cleaned'!E919</f>
        <v>91</v>
      </c>
      <c r="F726">
        <f>'insurance final cleaned'!L919</f>
        <v>0</v>
      </c>
      <c r="G726">
        <f>'insurance final cleaned'!M919</f>
        <v>0</v>
      </c>
      <c r="H726">
        <f>'insurance final cleaned'!N919</f>
        <v>0</v>
      </c>
      <c r="I726">
        <f>'insurance final cleaned'!O919</f>
        <v>0</v>
      </c>
      <c r="J726">
        <f>'insurance final cleaned'!P919</f>
        <v>0.53690233532140907</v>
      </c>
      <c r="K726">
        <f>'insurance final cleaned'!Q919</f>
        <v>0</v>
      </c>
      <c r="L726">
        <f>'insurance final cleaned'!R919</f>
        <v>1</v>
      </c>
      <c r="M726">
        <f>'insurance final cleaned'!S919</f>
        <v>1</v>
      </c>
    </row>
    <row r="727" spans="1:13" x14ac:dyDescent="0.3">
      <c r="A727">
        <f>'insurance final cleaned'!J941</f>
        <v>13822.8</v>
      </c>
      <c r="B727">
        <f>'insurance final cleaned'!B941</f>
        <v>24</v>
      </c>
      <c r="C727">
        <f>'insurance final cleaned'!D941</f>
        <v>34.5</v>
      </c>
      <c r="D727">
        <f>'insurance final cleaned'!G941</f>
        <v>0</v>
      </c>
      <c r="E727">
        <f>'insurance final cleaned'!E941</f>
        <v>95</v>
      </c>
      <c r="F727">
        <f>'insurance final cleaned'!L941</f>
        <v>0</v>
      </c>
      <c r="G727">
        <f>'insurance final cleaned'!M941</f>
        <v>0</v>
      </c>
      <c r="H727">
        <f>'insurance final cleaned'!N941</f>
        <v>1</v>
      </c>
      <c r="I727">
        <f>'insurance final cleaned'!O941</f>
        <v>0</v>
      </c>
      <c r="J727">
        <f>'insurance final cleaned'!P941</f>
        <v>0.53734820507180048</v>
      </c>
      <c r="K727">
        <f>'insurance final cleaned'!Q941</f>
        <v>0</v>
      </c>
      <c r="L727">
        <f>'insurance final cleaned'!R941</f>
        <v>0</v>
      </c>
      <c r="M727">
        <f>'insurance final cleaned'!S941</f>
        <v>0</v>
      </c>
    </row>
    <row r="728" spans="1:13" x14ac:dyDescent="0.3">
      <c r="A728">
        <f>'insurance final cleaned'!J811</f>
        <v>11482.63</v>
      </c>
      <c r="B728">
        <f>'insurance final cleaned'!B811</f>
        <v>40</v>
      </c>
      <c r="C728">
        <f>'insurance final cleaned'!D811</f>
        <v>33.9</v>
      </c>
      <c r="D728">
        <f>'insurance final cleaned'!G811</f>
        <v>0</v>
      </c>
      <c r="E728">
        <f>'insurance final cleaned'!E811</f>
        <v>93</v>
      </c>
      <c r="F728">
        <f>'insurance final cleaned'!L811</f>
        <v>0</v>
      </c>
      <c r="G728">
        <f>'insurance final cleaned'!M811</f>
        <v>1</v>
      </c>
      <c r="H728">
        <f>'insurance final cleaned'!N811</f>
        <v>0</v>
      </c>
      <c r="I728">
        <f>'insurance final cleaned'!O811</f>
        <v>0</v>
      </c>
      <c r="J728">
        <f>'insurance final cleaned'!P811</f>
        <v>0.53774028880080649</v>
      </c>
      <c r="K728">
        <f>'insurance final cleaned'!Q811</f>
        <v>0</v>
      </c>
      <c r="L728">
        <f>'insurance final cleaned'!R811</f>
        <v>1</v>
      </c>
      <c r="M728">
        <f>'insurance final cleaned'!S811</f>
        <v>1</v>
      </c>
    </row>
    <row r="729" spans="1:13" x14ac:dyDescent="0.3">
      <c r="A729">
        <f>'insurance final cleaned'!J569</f>
        <v>7804.16</v>
      </c>
      <c r="B729">
        <f>'insurance final cleaned'!B569</f>
        <v>50</v>
      </c>
      <c r="C729">
        <f>'insurance final cleaned'!D569</f>
        <v>40.200000000000003</v>
      </c>
      <c r="D729">
        <f>'insurance final cleaned'!G569</f>
        <v>0</v>
      </c>
      <c r="E729">
        <f>'insurance final cleaned'!E569</f>
        <v>91</v>
      </c>
      <c r="F729">
        <f>'insurance final cleaned'!L569</f>
        <v>0</v>
      </c>
      <c r="G729">
        <f>'insurance final cleaned'!M569</f>
        <v>1</v>
      </c>
      <c r="H729">
        <f>'insurance final cleaned'!N569</f>
        <v>0</v>
      </c>
      <c r="I729">
        <f>'insurance final cleaned'!O569</f>
        <v>0</v>
      </c>
      <c r="J729">
        <f>'insurance final cleaned'!P569</f>
        <v>0.5377851312903339</v>
      </c>
      <c r="K729">
        <f>'insurance final cleaned'!Q569</f>
        <v>0</v>
      </c>
      <c r="L729">
        <f>'insurance final cleaned'!R569</f>
        <v>1</v>
      </c>
      <c r="M729">
        <f>'insurance final cleaned'!S569</f>
        <v>0</v>
      </c>
    </row>
    <row r="730" spans="1:13" x14ac:dyDescent="0.3">
      <c r="A730">
        <f>'insurance final cleaned'!J1120</f>
        <v>23563.02</v>
      </c>
      <c r="B730">
        <f>'insurance final cleaned'!B1120</f>
        <v>36</v>
      </c>
      <c r="C730">
        <f>'insurance final cleaned'!D1120</f>
        <v>34.1</v>
      </c>
      <c r="D730">
        <f>'insurance final cleaned'!G1120</f>
        <v>2</v>
      </c>
      <c r="E730">
        <f>'insurance final cleaned'!E1120</f>
        <v>89</v>
      </c>
      <c r="F730">
        <f>'insurance final cleaned'!L1120</f>
        <v>0</v>
      </c>
      <c r="G730">
        <f>'insurance final cleaned'!M1120</f>
        <v>1</v>
      </c>
      <c r="H730">
        <f>'insurance final cleaned'!N1120</f>
        <v>0</v>
      </c>
      <c r="I730">
        <f>'insurance final cleaned'!O1120</f>
        <v>0</v>
      </c>
      <c r="J730">
        <f>'insurance final cleaned'!P1120</f>
        <v>0.538338566192053</v>
      </c>
      <c r="K730">
        <f>'insurance final cleaned'!Q1120</f>
        <v>0</v>
      </c>
      <c r="L730">
        <f>'insurance final cleaned'!R1120</f>
        <v>0</v>
      </c>
      <c r="M730">
        <f>'insurance final cleaned'!S1120</f>
        <v>0</v>
      </c>
    </row>
    <row r="731" spans="1:13" x14ac:dyDescent="0.3">
      <c r="A731">
        <f>'insurance final cleaned'!J222</f>
        <v>3353.47</v>
      </c>
      <c r="B731">
        <f>'insurance final cleaned'!B222</f>
        <v>41</v>
      </c>
      <c r="C731">
        <f>'insurance final cleaned'!D222</f>
        <v>21.5</v>
      </c>
      <c r="D731">
        <f>'insurance final cleaned'!G222</f>
        <v>0</v>
      </c>
      <c r="E731">
        <f>'insurance final cleaned'!E222</f>
        <v>92</v>
      </c>
      <c r="F731">
        <f>'insurance final cleaned'!L222</f>
        <v>0</v>
      </c>
      <c r="G731">
        <f>'insurance final cleaned'!M222</f>
        <v>0</v>
      </c>
      <c r="H731">
        <f>'insurance final cleaned'!N222</f>
        <v>0</v>
      </c>
      <c r="I731">
        <f>'insurance final cleaned'!O222</f>
        <v>1</v>
      </c>
      <c r="J731">
        <f>'insurance final cleaned'!P222</f>
        <v>0.53959190667879775</v>
      </c>
      <c r="K731">
        <f>'insurance final cleaned'!Q222</f>
        <v>0</v>
      </c>
      <c r="L731">
        <f>'insurance final cleaned'!R222</f>
        <v>0</v>
      </c>
      <c r="M731">
        <f>'insurance final cleaned'!S222</f>
        <v>1</v>
      </c>
    </row>
    <row r="732" spans="1:13" x14ac:dyDescent="0.3">
      <c r="A732">
        <f>'insurance final cleaned'!J1275</f>
        <v>41661.599999999999</v>
      </c>
      <c r="B732">
        <f>'insurance final cleaned'!B1275</f>
        <v>51</v>
      </c>
      <c r="C732">
        <f>'insurance final cleaned'!D1275</f>
        <v>34.6</v>
      </c>
      <c r="D732">
        <f>'insurance final cleaned'!G1275</f>
        <v>1</v>
      </c>
      <c r="E732">
        <f>'insurance final cleaned'!E1275</f>
        <v>86</v>
      </c>
      <c r="F732">
        <f>'insurance final cleaned'!L1275</f>
        <v>34.6</v>
      </c>
      <c r="G732">
        <f>'insurance final cleaned'!M1275</f>
        <v>0</v>
      </c>
      <c r="H732">
        <f>'insurance final cleaned'!N1275</f>
        <v>1</v>
      </c>
      <c r="I732">
        <f>'insurance final cleaned'!O1275</f>
        <v>0</v>
      </c>
      <c r="J732">
        <f>'insurance final cleaned'!P1275</f>
        <v>0.53980372030994628</v>
      </c>
      <c r="K732">
        <f>'insurance final cleaned'!Q1275</f>
        <v>1</v>
      </c>
      <c r="L732">
        <f>'insurance final cleaned'!R1275</f>
        <v>0</v>
      </c>
      <c r="M732">
        <f>'insurance final cleaned'!S1275</f>
        <v>1</v>
      </c>
    </row>
    <row r="733" spans="1:13" x14ac:dyDescent="0.3">
      <c r="A733">
        <f>'insurance final cleaned'!J1138</f>
        <v>24873.38</v>
      </c>
      <c r="B733">
        <f>'insurance final cleaned'!B1138</f>
        <v>32</v>
      </c>
      <c r="C733">
        <f>'insurance final cleaned'!D1138</f>
        <v>22.6</v>
      </c>
      <c r="D733">
        <f>'insurance final cleaned'!G1138</f>
        <v>3</v>
      </c>
      <c r="E733">
        <f>'insurance final cleaned'!E1138</f>
        <v>84</v>
      </c>
      <c r="F733">
        <f>'insurance final cleaned'!L1138</f>
        <v>22.6</v>
      </c>
      <c r="G733">
        <f>'insurance final cleaned'!M1138</f>
        <v>0</v>
      </c>
      <c r="H733">
        <f>'insurance final cleaned'!N1138</f>
        <v>0</v>
      </c>
      <c r="I733">
        <f>'insurance final cleaned'!O1138</f>
        <v>0</v>
      </c>
      <c r="J733">
        <f>'insurance final cleaned'!P1138</f>
        <v>0.54047609903559302</v>
      </c>
      <c r="K733">
        <f>'insurance final cleaned'!Q1138</f>
        <v>1</v>
      </c>
      <c r="L733">
        <f>'insurance final cleaned'!R1138</f>
        <v>1</v>
      </c>
      <c r="M733">
        <f>'insurance final cleaned'!S1138</f>
        <v>1</v>
      </c>
    </row>
    <row r="734" spans="1:13" x14ac:dyDescent="0.3">
      <c r="A734">
        <f>'insurance final cleaned'!J666</f>
        <v>9283.56</v>
      </c>
      <c r="B734">
        <f>'insurance final cleaned'!B666</f>
        <v>43</v>
      </c>
      <c r="C734">
        <f>'insurance final cleaned'!D666</f>
        <v>34.1</v>
      </c>
      <c r="D734">
        <f>'insurance final cleaned'!G666</f>
        <v>0</v>
      </c>
      <c r="E734">
        <f>'insurance final cleaned'!E666</f>
        <v>81</v>
      </c>
      <c r="F734">
        <f>'insurance final cleaned'!L666</f>
        <v>0</v>
      </c>
      <c r="G734">
        <f>'insurance final cleaned'!M666</f>
        <v>1</v>
      </c>
      <c r="H734">
        <f>'insurance final cleaned'!N666</f>
        <v>0</v>
      </c>
      <c r="I734">
        <f>'insurance final cleaned'!O666</f>
        <v>0</v>
      </c>
      <c r="J734">
        <f>'insurance final cleaned'!P666</f>
        <v>0.54211741068031327</v>
      </c>
      <c r="K734">
        <f>'insurance final cleaned'!Q666</f>
        <v>0</v>
      </c>
      <c r="L734">
        <f>'insurance final cleaned'!R666</f>
        <v>0</v>
      </c>
      <c r="M734">
        <f>'insurance final cleaned'!S666</f>
        <v>1</v>
      </c>
    </row>
    <row r="735" spans="1:13" x14ac:dyDescent="0.3">
      <c r="A735">
        <f>'insurance final cleaned'!J440</f>
        <v>6123.57</v>
      </c>
      <c r="B735">
        <f>'insurance final cleaned'!B440</f>
        <v>46</v>
      </c>
      <c r="C735">
        <f>'insurance final cleaned'!D440</f>
        <v>26.2</v>
      </c>
      <c r="D735">
        <f>'insurance final cleaned'!G440</f>
        <v>1</v>
      </c>
      <c r="E735">
        <f>'insurance final cleaned'!E440</f>
        <v>84</v>
      </c>
      <c r="F735">
        <f>'insurance final cleaned'!L440</f>
        <v>0</v>
      </c>
      <c r="G735">
        <f>'insurance final cleaned'!M440</f>
        <v>0</v>
      </c>
      <c r="H735">
        <f>'insurance final cleaned'!N440</f>
        <v>0</v>
      </c>
      <c r="I735">
        <f>'insurance final cleaned'!O440</f>
        <v>1</v>
      </c>
      <c r="J735">
        <f>'insurance final cleaned'!P440</f>
        <v>0.54274124572756444</v>
      </c>
      <c r="K735">
        <f>'insurance final cleaned'!Q440</f>
        <v>0</v>
      </c>
      <c r="L735">
        <f>'insurance final cleaned'!R440</f>
        <v>1</v>
      </c>
      <c r="M735">
        <f>'insurance final cleaned'!S440</f>
        <v>0</v>
      </c>
    </row>
    <row r="736" spans="1:13" x14ac:dyDescent="0.3">
      <c r="A736">
        <f>'insurance final cleaned'!J715</f>
        <v>9991.0400000000009</v>
      </c>
      <c r="B736">
        <f>'insurance final cleaned'!B715</f>
        <v>45</v>
      </c>
      <c r="C736">
        <f>'insurance final cleaned'!D715</f>
        <v>18.3</v>
      </c>
      <c r="D736">
        <f>'insurance final cleaned'!G715</f>
        <v>0</v>
      </c>
      <c r="E736">
        <f>'insurance final cleaned'!E715</f>
        <v>105</v>
      </c>
      <c r="F736">
        <f>'insurance final cleaned'!L715</f>
        <v>0</v>
      </c>
      <c r="G736">
        <f>'insurance final cleaned'!M715</f>
        <v>0</v>
      </c>
      <c r="H736">
        <f>'insurance final cleaned'!N715</f>
        <v>0</v>
      </c>
      <c r="I736">
        <f>'insurance final cleaned'!O715</f>
        <v>1</v>
      </c>
      <c r="J736">
        <f>'insurance final cleaned'!P715</f>
        <v>0.54317724838549875</v>
      </c>
      <c r="K736">
        <f>'insurance final cleaned'!Q715</f>
        <v>0</v>
      </c>
      <c r="L736">
        <f>'insurance final cleaned'!R715</f>
        <v>0</v>
      </c>
      <c r="M736">
        <f>'insurance final cleaned'!S715</f>
        <v>1</v>
      </c>
    </row>
    <row r="737" spans="1:13" x14ac:dyDescent="0.3">
      <c r="A737">
        <f>'insurance final cleaned'!J938</f>
        <v>13725.47</v>
      </c>
      <c r="B737">
        <f>'insurance final cleaned'!B938</f>
        <v>55</v>
      </c>
      <c r="C737">
        <f>'insurance final cleaned'!D938</f>
        <v>21.8</v>
      </c>
      <c r="D737">
        <f>'insurance final cleaned'!G938</f>
        <v>1</v>
      </c>
      <c r="E737">
        <f>'insurance final cleaned'!E938</f>
        <v>93</v>
      </c>
      <c r="F737">
        <f>'insurance final cleaned'!L938</f>
        <v>0</v>
      </c>
      <c r="G737">
        <f>'insurance final cleaned'!M938</f>
        <v>0</v>
      </c>
      <c r="H737">
        <f>'insurance final cleaned'!N938</f>
        <v>0</v>
      </c>
      <c r="I737">
        <f>'insurance final cleaned'!O938</f>
        <v>0</v>
      </c>
      <c r="J737">
        <f>'insurance final cleaned'!P938</f>
        <v>0.54505613814344023</v>
      </c>
      <c r="K737">
        <f>'insurance final cleaned'!Q938</f>
        <v>0</v>
      </c>
      <c r="L737">
        <f>'insurance final cleaned'!R938</f>
        <v>0</v>
      </c>
      <c r="M737">
        <f>'insurance final cleaned'!S938</f>
        <v>1</v>
      </c>
    </row>
    <row r="738" spans="1:13" x14ac:dyDescent="0.3">
      <c r="A738">
        <f>'insurance final cleaned'!J1338</f>
        <v>58571.07</v>
      </c>
      <c r="B738">
        <f>'insurance final cleaned'!B1338</f>
        <v>59</v>
      </c>
      <c r="C738">
        <f>'insurance final cleaned'!D1338</f>
        <v>38.1</v>
      </c>
      <c r="D738">
        <f>'insurance final cleaned'!G1338</f>
        <v>1</v>
      </c>
      <c r="E738">
        <f>'insurance final cleaned'!E1338</f>
        <v>120</v>
      </c>
      <c r="F738">
        <f>'insurance final cleaned'!L1338</f>
        <v>38.1</v>
      </c>
      <c r="G738">
        <f>'insurance final cleaned'!M1338</f>
        <v>0</v>
      </c>
      <c r="H738">
        <f>'insurance final cleaned'!N1338</f>
        <v>0</v>
      </c>
      <c r="I738">
        <f>'insurance final cleaned'!O1338</f>
        <v>0</v>
      </c>
      <c r="J738">
        <f>'insurance final cleaned'!P1338</f>
        <v>0.54524782170448638</v>
      </c>
      <c r="K738">
        <f>'insurance final cleaned'!Q1338</f>
        <v>1</v>
      </c>
      <c r="L738">
        <f>'insurance final cleaned'!R1338</f>
        <v>0</v>
      </c>
      <c r="M738">
        <f>'insurance final cleaned'!S1338</f>
        <v>1</v>
      </c>
    </row>
    <row r="739" spans="1:13" x14ac:dyDescent="0.3">
      <c r="A739">
        <f>'insurance final cleaned'!J1077</f>
        <v>20463</v>
      </c>
      <c r="B739">
        <f>'insurance final cleaned'!B1077</f>
        <v>44</v>
      </c>
      <c r="C739">
        <f>'insurance final cleaned'!D1077</f>
        <v>38.1</v>
      </c>
      <c r="D739">
        <f>'insurance final cleaned'!G1077</f>
        <v>3</v>
      </c>
      <c r="E739">
        <f>'insurance final cleaned'!E1077</f>
        <v>98</v>
      </c>
      <c r="F739">
        <f>'insurance final cleaned'!L1077</f>
        <v>0</v>
      </c>
      <c r="G739">
        <f>'insurance final cleaned'!M1077</f>
        <v>1</v>
      </c>
      <c r="H739">
        <f>'insurance final cleaned'!N1077</f>
        <v>0</v>
      </c>
      <c r="I739">
        <f>'insurance final cleaned'!O1077</f>
        <v>0</v>
      </c>
      <c r="J739">
        <f>'insurance final cleaned'!P1077</f>
        <v>0.54532996095348807</v>
      </c>
      <c r="K739">
        <f>'insurance final cleaned'!Q1077</f>
        <v>0</v>
      </c>
      <c r="L739">
        <f>'insurance final cleaned'!R1077</f>
        <v>1</v>
      </c>
      <c r="M739">
        <f>'insurance final cleaned'!S1077</f>
        <v>1</v>
      </c>
    </row>
    <row r="740" spans="1:13" x14ac:dyDescent="0.3">
      <c r="A740">
        <f>'insurance final cleaned'!J880</f>
        <v>12557.61</v>
      </c>
      <c r="B740">
        <f>'insurance final cleaned'!B880</f>
        <v>35</v>
      </c>
      <c r="C740">
        <f>'insurance final cleaned'!D880</f>
        <v>31.6</v>
      </c>
      <c r="D740">
        <f>'insurance final cleaned'!G880</f>
        <v>0</v>
      </c>
      <c r="E740">
        <f>'insurance final cleaned'!E880</f>
        <v>89</v>
      </c>
      <c r="F740">
        <f>'insurance final cleaned'!L880</f>
        <v>0</v>
      </c>
      <c r="G740">
        <f>'insurance final cleaned'!M880</f>
        <v>1</v>
      </c>
      <c r="H740">
        <f>'insurance final cleaned'!N880</f>
        <v>0</v>
      </c>
      <c r="I740">
        <f>'insurance final cleaned'!O880</f>
        <v>0</v>
      </c>
      <c r="J740">
        <f>'insurance final cleaned'!P880</f>
        <v>0.54609929177655858</v>
      </c>
      <c r="K740">
        <f>'insurance final cleaned'!Q880</f>
        <v>0</v>
      </c>
      <c r="L740">
        <f>'insurance final cleaned'!R880</f>
        <v>1</v>
      </c>
      <c r="M740">
        <f>'insurance final cleaned'!S880</f>
        <v>0</v>
      </c>
    </row>
    <row r="741" spans="1:13" x14ac:dyDescent="0.3">
      <c r="A741">
        <f>'insurance final cleaned'!J812</f>
        <v>11488.32</v>
      </c>
      <c r="B741">
        <f>'insurance final cleaned'!B812</f>
        <v>33</v>
      </c>
      <c r="C741">
        <f>'insurance final cleaned'!D812</f>
        <v>32.200000000000003</v>
      </c>
      <c r="D741">
        <f>'insurance final cleaned'!G812</f>
        <v>3</v>
      </c>
      <c r="E741">
        <f>'insurance final cleaned'!E812</f>
        <v>85</v>
      </c>
      <c r="F741">
        <f>'insurance final cleaned'!L812</f>
        <v>0</v>
      </c>
      <c r="G741">
        <f>'insurance final cleaned'!M812</f>
        <v>0</v>
      </c>
      <c r="H741">
        <f>'insurance final cleaned'!N812</f>
        <v>0</v>
      </c>
      <c r="I741">
        <f>'insurance final cleaned'!O812</f>
        <v>0</v>
      </c>
      <c r="J741">
        <f>'insurance final cleaned'!P812</f>
        <v>0.54650377271916628</v>
      </c>
      <c r="K741">
        <f>'insurance final cleaned'!Q812</f>
        <v>0</v>
      </c>
      <c r="L741">
        <f>'insurance final cleaned'!R812</f>
        <v>0</v>
      </c>
      <c r="M741">
        <f>'insurance final cleaned'!S812</f>
        <v>0</v>
      </c>
    </row>
    <row r="742" spans="1:13" x14ac:dyDescent="0.3">
      <c r="A742">
        <f>'insurance final cleaned'!J372</f>
        <v>5138.26</v>
      </c>
      <c r="B742">
        <f>'insurance final cleaned'!B372</f>
        <v>55</v>
      </c>
      <c r="C742">
        <f>'insurance final cleaned'!D372</f>
        <v>38.799999999999997</v>
      </c>
      <c r="D742">
        <f>'insurance final cleaned'!G372</f>
        <v>3</v>
      </c>
      <c r="E742">
        <f>'insurance final cleaned'!E372</f>
        <v>86</v>
      </c>
      <c r="F742">
        <f>'insurance final cleaned'!L372</f>
        <v>0</v>
      </c>
      <c r="G742">
        <f>'insurance final cleaned'!M372</f>
        <v>1</v>
      </c>
      <c r="H742">
        <f>'insurance final cleaned'!N372</f>
        <v>0</v>
      </c>
      <c r="I742">
        <f>'insurance final cleaned'!O372</f>
        <v>0</v>
      </c>
      <c r="J742">
        <f>'insurance final cleaned'!P372</f>
        <v>0.54911916937221683</v>
      </c>
      <c r="K742">
        <f>'insurance final cleaned'!Q372</f>
        <v>0</v>
      </c>
      <c r="L742">
        <f>'insurance final cleaned'!R372</f>
        <v>0</v>
      </c>
      <c r="M742">
        <f>'insurance final cleaned'!S372</f>
        <v>1</v>
      </c>
    </row>
    <row r="743" spans="1:13" x14ac:dyDescent="0.3">
      <c r="A743">
        <f>'insurance final cleaned'!J563</f>
        <v>7731.43</v>
      </c>
      <c r="B743">
        <f>'insurance final cleaned'!B563</f>
        <v>48</v>
      </c>
      <c r="C743">
        <f>'insurance final cleaned'!D563</f>
        <v>30.7</v>
      </c>
      <c r="D743">
        <f>'insurance final cleaned'!G563</f>
        <v>2</v>
      </c>
      <c r="E743">
        <f>'insurance final cleaned'!E563</f>
        <v>84</v>
      </c>
      <c r="F743">
        <f>'insurance final cleaned'!L563</f>
        <v>0</v>
      </c>
      <c r="G743">
        <f>'insurance final cleaned'!M563</f>
        <v>1</v>
      </c>
      <c r="H743">
        <f>'insurance final cleaned'!N563</f>
        <v>0</v>
      </c>
      <c r="I743">
        <f>'insurance final cleaned'!O563</f>
        <v>0</v>
      </c>
      <c r="J743">
        <f>'insurance final cleaned'!P563</f>
        <v>0.54957682292219945</v>
      </c>
      <c r="K743">
        <f>'insurance final cleaned'!Q563</f>
        <v>0</v>
      </c>
      <c r="L743">
        <f>'insurance final cleaned'!R563</f>
        <v>0</v>
      </c>
      <c r="M743">
        <f>'insurance final cleaned'!S563</f>
        <v>0</v>
      </c>
    </row>
    <row r="744" spans="1:13" x14ac:dyDescent="0.3">
      <c r="A744">
        <f>'insurance final cleaned'!J1019</f>
        <v>17468.98</v>
      </c>
      <c r="B744">
        <f>'insurance final cleaned'!B1019</f>
        <v>32</v>
      </c>
      <c r="C744">
        <f>'insurance final cleaned'!D1019</f>
        <v>28.3</v>
      </c>
      <c r="D744">
        <f>'insurance final cleaned'!G1019</f>
        <v>0</v>
      </c>
      <c r="E744">
        <f>'insurance final cleaned'!E1019</f>
        <v>92</v>
      </c>
      <c r="F744">
        <f>'insurance final cleaned'!L1019</f>
        <v>28.3</v>
      </c>
      <c r="G744">
        <f>'insurance final cleaned'!M1019</f>
        <v>0</v>
      </c>
      <c r="H744">
        <f>'insurance final cleaned'!N1019</f>
        <v>0</v>
      </c>
      <c r="I744">
        <f>'insurance final cleaned'!O1019</f>
        <v>1</v>
      </c>
      <c r="J744">
        <f>'insurance final cleaned'!P1019</f>
        <v>0.54958809682093102</v>
      </c>
      <c r="K744">
        <f>'insurance final cleaned'!Q1019</f>
        <v>1</v>
      </c>
      <c r="L744">
        <f>'insurance final cleaned'!R1019</f>
        <v>0</v>
      </c>
      <c r="M744">
        <f>'insurance final cleaned'!S1019</f>
        <v>1</v>
      </c>
    </row>
    <row r="745" spans="1:13" x14ac:dyDescent="0.3">
      <c r="A745">
        <f>'insurance final cleaned'!J141</f>
        <v>2404.73</v>
      </c>
      <c r="B745">
        <f>'insurance final cleaned'!B141</f>
        <v>26</v>
      </c>
      <c r="C745">
        <f>'insurance final cleaned'!D141</f>
        <v>35.700000000000003</v>
      </c>
      <c r="D745">
        <f>'insurance final cleaned'!G141</f>
        <v>0</v>
      </c>
      <c r="E745">
        <f>'insurance final cleaned'!E141</f>
        <v>90</v>
      </c>
      <c r="F745">
        <f>'insurance final cleaned'!L141</f>
        <v>0</v>
      </c>
      <c r="G745">
        <f>'insurance final cleaned'!M141</f>
        <v>0</v>
      </c>
      <c r="H745">
        <f>'insurance final cleaned'!N141</f>
        <v>0</v>
      </c>
      <c r="I745">
        <f>'insurance final cleaned'!O141</f>
        <v>1</v>
      </c>
      <c r="J745">
        <f>'insurance final cleaned'!P141</f>
        <v>0.54997162500488228</v>
      </c>
      <c r="K745">
        <f>'insurance final cleaned'!Q141</f>
        <v>0</v>
      </c>
      <c r="L745">
        <f>'insurance final cleaned'!R141</f>
        <v>1</v>
      </c>
      <c r="M745">
        <f>'insurance final cleaned'!S141</f>
        <v>1</v>
      </c>
    </row>
    <row r="746" spans="1:13" x14ac:dyDescent="0.3">
      <c r="A746">
        <f>'insurance final cleaned'!J516</f>
        <v>7152.67</v>
      </c>
      <c r="B746">
        <f>'insurance final cleaned'!B516</f>
        <v>40</v>
      </c>
      <c r="C746">
        <f>'insurance final cleaned'!D516</f>
        <v>38.1</v>
      </c>
      <c r="D746">
        <f>'insurance final cleaned'!G516</f>
        <v>1</v>
      </c>
      <c r="E746">
        <f>'insurance final cleaned'!E516</f>
        <v>91</v>
      </c>
      <c r="F746">
        <f>'insurance final cleaned'!L516</f>
        <v>0</v>
      </c>
      <c r="G746">
        <f>'insurance final cleaned'!M516</f>
        <v>1</v>
      </c>
      <c r="H746">
        <f>'insurance final cleaned'!N516</f>
        <v>0</v>
      </c>
      <c r="I746">
        <f>'insurance final cleaned'!O516</f>
        <v>0</v>
      </c>
      <c r="J746">
        <f>'insurance final cleaned'!P516</f>
        <v>0.55112786231939004</v>
      </c>
      <c r="K746">
        <f>'insurance final cleaned'!Q516</f>
        <v>0</v>
      </c>
      <c r="L746">
        <f>'insurance final cleaned'!R516</f>
        <v>0</v>
      </c>
      <c r="M746">
        <f>'insurance final cleaned'!S516</f>
        <v>0</v>
      </c>
    </row>
    <row r="747" spans="1:13" x14ac:dyDescent="0.3">
      <c r="A747">
        <f>'insurance final cleaned'!J1270</f>
        <v>40932.43</v>
      </c>
      <c r="B747">
        <f>'insurance final cleaned'!B1270</f>
        <v>42</v>
      </c>
      <c r="C747">
        <f>'insurance final cleaned'!D1270</f>
        <v>39.1</v>
      </c>
      <c r="D747">
        <f>'insurance final cleaned'!G1270</f>
        <v>3</v>
      </c>
      <c r="E747">
        <f>'insurance final cleaned'!E1270</f>
        <v>131</v>
      </c>
      <c r="F747">
        <f>'insurance final cleaned'!L1270</f>
        <v>39.1</v>
      </c>
      <c r="G747">
        <f>'insurance final cleaned'!M1270</f>
        <v>1</v>
      </c>
      <c r="H747">
        <f>'insurance final cleaned'!N1270</f>
        <v>0</v>
      </c>
      <c r="I747">
        <f>'insurance final cleaned'!O1270</f>
        <v>0</v>
      </c>
      <c r="J747">
        <f>'insurance final cleaned'!P1270</f>
        <v>0.55133262393829263</v>
      </c>
      <c r="K747">
        <f>'insurance final cleaned'!Q1270</f>
        <v>1</v>
      </c>
      <c r="L747">
        <f>'insurance final cleaned'!R1270</f>
        <v>1</v>
      </c>
      <c r="M747">
        <f>'insurance final cleaned'!S1270</f>
        <v>1</v>
      </c>
    </row>
    <row r="748" spans="1:13" x14ac:dyDescent="0.3">
      <c r="A748">
        <f>'insurance final cleaned'!J144</f>
        <v>2457.21</v>
      </c>
      <c r="B748">
        <f>'insurance final cleaned'!B144</f>
        <v>44</v>
      </c>
      <c r="C748">
        <f>'insurance final cleaned'!D144</f>
        <v>28.8</v>
      </c>
      <c r="D748">
        <f>'insurance final cleaned'!G144</f>
        <v>0</v>
      </c>
      <c r="E748">
        <f>'insurance final cleaned'!E144</f>
        <v>94</v>
      </c>
      <c r="F748">
        <f>'insurance final cleaned'!L144</f>
        <v>0</v>
      </c>
      <c r="G748">
        <f>'insurance final cleaned'!M144</f>
        <v>1</v>
      </c>
      <c r="H748">
        <f>'insurance final cleaned'!N144</f>
        <v>0</v>
      </c>
      <c r="I748">
        <f>'insurance final cleaned'!O144</f>
        <v>0</v>
      </c>
      <c r="J748">
        <f>'insurance final cleaned'!P144</f>
        <v>0.55284901497639238</v>
      </c>
      <c r="K748">
        <f>'insurance final cleaned'!Q144</f>
        <v>0</v>
      </c>
      <c r="L748">
        <f>'insurance final cleaned'!R144</f>
        <v>1</v>
      </c>
      <c r="M748">
        <f>'insurance final cleaned'!S144</f>
        <v>1</v>
      </c>
    </row>
    <row r="749" spans="1:13" x14ac:dyDescent="0.3">
      <c r="A749">
        <f>'insurance final cleaned'!J346</f>
        <v>4795.66</v>
      </c>
      <c r="B749">
        <f>'insurance final cleaned'!B346</f>
        <v>38</v>
      </c>
      <c r="C749">
        <f>'insurance final cleaned'!D346</f>
        <v>39.799999999999997</v>
      </c>
      <c r="D749">
        <f>'insurance final cleaned'!G346</f>
        <v>1</v>
      </c>
      <c r="E749">
        <f>'insurance final cleaned'!E346</f>
        <v>85</v>
      </c>
      <c r="F749">
        <f>'insurance final cleaned'!L346</f>
        <v>0</v>
      </c>
      <c r="G749">
        <f>'insurance final cleaned'!M346</f>
        <v>1</v>
      </c>
      <c r="H749">
        <f>'insurance final cleaned'!N346</f>
        <v>0</v>
      </c>
      <c r="I749">
        <f>'insurance final cleaned'!O346</f>
        <v>0</v>
      </c>
      <c r="J749">
        <f>'insurance final cleaned'!P346</f>
        <v>0.55452372505723202</v>
      </c>
      <c r="K749">
        <f>'insurance final cleaned'!Q346</f>
        <v>0</v>
      </c>
      <c r="L749">
        <f>'insurance final cleaned'!R346</f>
        <v>1</v>
      </c>
      <c r="M749">
        <f>'insurance final cleaned'!S346</f>
        <v>1</v>
      </c>
    </row>
    <row r="750" spans="1:13" x14ac:dyDescent="0.3">
      <c r="A750">
        <f>'insurance final cleaned'!J1056</f>
        <v>19442.349999999999</v>
      </c>
      <c r="B750">
        <f>'insurance final cleaned'!B1056</f>
        <v>34</v>
      </c>
      <c r="C750">
        <f>'insurance final cleaned'!D1056</f>
        <v>33.299999999999997</v>
      </c>
      <c r="D750">
        <f>'insurance final cleaned'!G1056</f>
        <v>2</v>
      </c>
      <c r="E750">
        <f>'insurance final cleaned'!E1056</f>
        <v>93</v>
      </c>
      <c r="F750">
        <f>'insurance final cleaned'!L1056</f>
        <v>0</v>
      </c>
      <c r="G750">
        <f>'insurance final cleaned'!M1056</f>
        <v>0</v>
      </c>
      <c r="H750">
        <f>'insurance final cleaned'!N1056</f>
        <v>0</v>
      </c>
      <c r="I750">
        <f>'insurance final cleaned'!O1056</f>
        <v>1</v>
      </c>
      <c r="J750">
        <f>'insurance final cleaned'!P1056</f>
        <v>0.55538076828304128</v>
      </c>
      <c r="K750">
        <f>'insurance final cleaned'!Q1056</f>
        <v>0</v>
      </c>
      <c r="L750">
        <f>'insurance final cleaned'!R1056</f>
        <v>1</v>
      </c>
      <c r="M750">
        <f>'insurance final cleaned'!S1056</f>
        <v>0</v>
      </c>
    </row>
    <row r="751" spans="1:13" x14ac:dyDescent="0.3">
      <c r="A751">
        <f>'insurance final cleaned'!J956</f>
        <v>14119.62</v>
      </c>
      <c r="B751">
        <f>'insurance final cleaned'!B956</f>
        <v>24</v>
      </c>
      <c r="C751">
        <f>'insurance final cleaned'!D956</f>
        <v>32.299999999999997</v>
      </c>
      <c r="D751">
        <f>'insurance final cleaned'!G956</f>
        <v>2</v>
      </c>
      <c r="E751">
        <f>'insurance final cleaned'!E956</f>
        <v>97</v>
      </c>
      <c r="F751">
        <f>'insurance final cleaned'!L956</f>
        <v>0</v>
      </c>
      <c r="G751">
        <f>'insurance final cleaned'!M956</f>
        <v>0</v>
      </c>
      <c r="H751">
        <f>'insurance final cleaned'!N956</f>
        <v>0</v>
      </c>
      <c r="I751">
        <f>'insurance final cleaned'!O956</f>
        <v>1</v>
      </c>
      <c r="J751">
        <f>'insurance final cleaned'!P956</f>
        <v>0.55645393721545588</v>
      </c>
      <c r="K751">
        <f>'insurance final cleaned'!Q956</f>
        <v>0</v>
      </c>
      <c r="L751">
        <f>'insurance final cleaned'!R956</f>
        <v>0</v>
      </c>
      <c r="M751">
        <f>'insurance final cleaned'!S956</f>
        <v>0</v>
      </c>
    </row>
    <row r="752" spans="1:13" x14ac:dyDescent="0.3">
      <c r="A752">
        <f>'insurance final cleaned'!J538</f>
        <v>7358.18</v>
      </c>
      <c r="B752">
        <f>'insurance final cleaned'!B538</f>
        <v>55</v>
      </c>
      <c r="C752">
        <f>'insurance final cleaned'!D538</f>
        <v>31.6</v>
      </c>
      <c r="D752">
        <f>'insurance final cleaned'!G538</f>
        <v>1</v>
      </c>
      <c r="E752">
        <f>'insurance final cleaned'!E538</f>
        <v>91</v>
      </c>
      <c r="F752">
        <f>'insurance final cleaned'!L538</f>
        <v>0</v>
      </c>
      <c r="G752">
        <f>'insurance final cleaned'!M538</f>
        <v>1</v>
      </c>
      <c r="H752">
        <f>'insurance final cleaned'!N538</f>
        <v>0</v>
      </c>
      <c r="I752">
        <f>'insurance final cleaned'!O538</f>
        <v>0</v>
      </c>
      <c r="J752">
        <f>'insurance final cleaned'!P538</f>
        <v>0.55674520250840531</v>
      </c>
      <c r="K752">
        <f>'insurance final cleaned'!Q538</f>
        <v>0</v>
      </c>
      <c r="L752">
        <f>'insurance final cleaned'!R538</f>
        <v>0</v>
      </c>
      <c r="M752">
        <f>'insurance final cleaned'!S538</f>
        <v>1</v>
      </c>
    </row>
    <row r="753" spans="1:13" x14ac:dyDescent="0.3">
      <c r="A753">
        <f>'insurance final cleaned'!J1212</f>
        <v>35491.64</v>
      </c>
      <c r="B753">
        <f>'insurance final cleaned'!B1212</f>
        <v>25</v>
      </c>
      <c r="C753">
        <f>'insurance final cleaned'!D1212</f>
        <v>30.8</v>
      </c>
      <c r="D753">
        <f>'insurance final cleaned'!G1212</f>
        <v>0</v>
      </c>
      <c r="E753">
        <f>'insurance final cleaned'!E1212</f>
        <v>140</v>
      </c>
      <c r="F753">
        <f>'insurance final cleaned'!L1212</f>
        <v>30.8</v>
      </c>
      <c r="G753">
        <f>'insurance final cleaned'!M1212</f>
        <v>0</v>
      </c>
      <c r="H753">
        <f>'insurance final cleaned'!N1212</f>
        <v>1</v>
      </c>
      <c r="I753">
        <f>'insurance final cleaned'!O1212</f>
        <v>0</v>
      </c>
      <c r="J753">
        <f>'insurance final cleaned'!P1212</f>
        <v>0.55680948091669136</v>
      </c>
      <c r="K753">
        <f>'insurance final cleaned'!Q1212</f>
        <v>1</v>
      </c>
      <c r="L753">
        <f>'insurance final cleaned'!R1212</f>
        <v>1</v>
      </c>
      <c r="M753">
        <f>'insurance final cleaned'!S1212</f>
        <v>0</v>
      </c>
    </row>
    <row r="754" spans="1:13" x14ac:dyDescent="0.3">
      <c r="A754">
        <f>'insurance final cleaned'!J929</f>
        <v>13451.12</v>
      </c>
      <c r="B754">
        <f>'insurance final cleaned'!B929</f>
        <v>31</v>
      </c>
      <c r="C754">
        <f>'insurance final cleaned'!D929</f>
        <v>25</v>
      </c>
      <c r="D754">
        <f>'insurance final cleaned'!G929</f>
        <v>0</v>
      </c>
      <c r="E754">
        <f>'insurance final cleaned'!E929</f>
        <v>93</v>
      </c>
      <c r="F754">
        <f>'insurance final cleaned'!L929</f>
        <v>0</v>
      </c>
      <c r="G754">
        <f>'insurance final cleaned'!M929</f>
        <v>0</v>
      </c>
      <c r="H754">
        <f>'insurance final cleaned'!N929</f>
        <v>1</v>
      </c>
      <c r="I754">
        <f>'insurance final cleaned'!O929</f>
        <v>0</v>
      </c>
      <c r="J754">
        <f>'insurance final cleaned'!P929</f>
        <v>0.55735996650546471</v>
      </c>
      <c r="K754">
        <f>'insurance final cleaned'!Q929</f>
        <v>0</v>
      </c>
      <c r="L754">
        <f>'insurance final cleaned'!R929</f>
        <v>1</v>
      </c>
      <c r="M754">
        <f>'insurance final cleaned'!S929</f>
        <v>1</v>
      </c>
    </row>
    <row r="755" spans="1:13" x14ac:dyDescent="0.3">
      <c r="A755">
        <f>'insurance final cleaned'!J1105</f>
        <v>22218.11</v>
      </c>
      <c r="B755">
        <f>'insurance final cleaned'!B1105</f>
        <v>36</v>
      </c>
      <c r="C755">
        <f>'insurance final cleaned'!D1105</f>
        <v>23.2</v>
      </c>
      <c r="D755">
        <f>'insurance final cleaned'!G1105</f>
        <v>1</v>
      </c>
      <c r="E755">
        <f>'insurance final cleaned'!E1105</f>
        <v>80</v>
      </c>
      <c r="F755">
        <f>'insurance final cleaned'!L1105</f>
        <v>23.2</v>
      </c>
      <c r="G755">
        <f>'insurance final cleaned'!M1105</f>
        <v>1</v>
      </c>
      <c r="H755">
        <f>'insurance final cleaned'!N1105</f>
        <v>0</v>
      </c>
      <c r="I755">
        <f>'insurance final cleaned'!O1105</f>
        <v>0</v>
      </c>
      <c r="J755">
        <f>'insurance final cleaned'!P1105</f>
        <v>0.55930195887437772</v>
      </c>
      <c r="K755">
        <f>'insurance final cleaned'!Q1105</f>
        <v>1</v>
      </c>
      <c r="L755">
        <f>'insurance final cleaned'!R1105</f>
        <v>1</v>
      </c>
      <c r="M755">
        <f>'insurance final cleaned'!S1105</f>
        <v>0</v>
      </c>
    </row>
    <row r="756" spans="1:13" x14ac:dyDescent="0.3">
      <c r="A756">
        <f>'insurance final cleaned'!J1072</f>
        <v>20177.669999999998</v>
      </c>
      <c r="B756">
        <f>'insurance final cleaned'!B1072</f>
        <v>42</v>
      </c>
      <c r="C756">
        <f>'insurance final cleaned'!D1072</f>
        <v>27.5</v>
      </c>
      <c r="D756">
        <f>'insurance final cleaned'!G1072</f>
        <v>2</v>
      </c>
      <c r="E756">
        <f>'insurance final cleaned'!E1072</f>
        <v>110</v>
      </c>
      <c r="F756">
        <f>'insurance final cleaned'!L1072</f>
        <v>0</v>
      </c>
      <c r="G756">
        <f>'insurance final cleaned'!M1072</f>
        <v>0</v>
      </c>
      <c r="H756">
        <f>'insurance final cleaned'!N1072</f>
        <v>1</v>
      </c>
      <c r="I756">
        <f>'insurance final cleaned'!O1072</f>
        <v>0</v>
      </c>
      <c r="J756">
        <f>'insurance final cleaned'!P1072</f>
        <v>0.55940927655847628</v>
      </c>
      <c r="K756">
        <f>'insurance final cleaned'!Q1072</f>
        <v>0</v>
      </c>
      <c r="L756">
        <f>'insurance final cleaned'!R1072</f>
        <v>1</v>
      </c>
      <c r="M756">
        <f>'insurance final cleaned'!S1072</f>
        <v>1</v>
      </c>
    </row>
    <row r="757" spans="1:13" x14ac:dyDescent="0.3">
      <c r="A757">
        <f>'insurance final cleaned'!J579</f>
        <v>8062.76</v>
      </c>
      <c r="B757">
        <f>'insurance final cleaned'!B579</f>
        <v>25</v>
      </c>
      <c r="C757">
        <f>'insurance final cleaned'!D579</f>
        <v>32.299999999999997</v>
      </c>
      <c r="D757">
        <f>'insurance final cleaned'!G579</f>
        <v>1</v>
      </c>
      <c r="E757">
        <f>'insurance final cleaned'!E579</f>
        <v>98</v>
      </c>
      <c r="F757">
        <f>'insurance final cleaned'!L579</f>
        <v>0</v>
      </c>
      <c r="G757">
        <f>'insurance final cleaned'!M579</f>
        <v>0</v>
      </c>
      <c r="H757">
        <f>'insurance final cleaned'!N579</f>
        <v>1</v>
      </c>
      <c r="I757">
        <f>'insurance final cleaned'!O579</f>
        <v>0</v>
      </c>
      <c r="J757">
        <f>'insurance final cleaned'!P579</f>
        <v>0.5597065363487076</v>
      </c>
      <c r="K757">
        <f>'insurance final cleaned'!Q579</f>
        <v>0</v>
      </c>
      <c r="L757">
        <f>'insurance final cleaned'!R579</f>
        <v>0</v>
      </c>
      <c r="M757">
        <f>'insurance final cleaned'!S579</f>
        <v>0</v>
      </c>
    </row>
    <row r="758" spans="1:13" x14ac:dyDescent="0.3">
      <c r="A758">
        <f>'insurance final cleaned'!J102</f>
        <v>2103.08</v>
      </c>
      <c r="B758">
        <f>'insurance final cleaned'!B102</f>
        <v>30</v>
      </c>
      <c r="C758">
        <f>'insurance final cleaned'!D102</f>
        <v>22.3</v>
      </c>
      <c r="D758">
        <f>'insurance final cleaned'!G102</f>
        <v>1</v>
      </c>
      <c r="E758">
        <f>'insurance final cleaned'!E102</f>
        <v>83</v>
      </c>
      <c r="F758">
        <f>'insurance final cleaned'!L102</f>
        <v>0</v>
      </c>
      <c r="G758">
        <f>'insurance final cleaned'!M102</f>
        <v>0</v>
      </c>
      <c r="H758">
        <f>'insurance final cleaned'!N102</f>
        <v>1</v>
      </c>
      <c r="I758">
        <f>'insurance final cleaned'!O102</f>
        <v>0</v>
      </c>
      <c r="J758">
        <f>'insurance final cleaned'!P102</f>
        <v>0.56262564004701199</v>
      </c>
      <c r="K758">
        <f>'insurance final cleaned'!Q102</f>
        <v>0</v>
      </c>
      <c r="L758">
        <f>'insurance final cleaned'!R102</f>
        <v>1</v>
      </c>
      <c r="M758">
        <f>'insurance final cleaned'!S102</f>
        <v>0</v>
      </c>
    </row>
    <row r="759" spans="1:13" x14ac:dyDescent="0.3">
      <c r="A759">
        <f>'insurance final cleaned'!J1244</f>
        <v>38511.629999999997</v>
      </c>
      <c r="B759">
        <f>'insurance final cleaned'!B1244</f>
        <v>27</v>
      </c>
      <c r="C759">
        <f>'insurance final cleaned'!D1244</f>
        <v>36.700000000000003</v>
      </c>
      <c r="D759">
        <f>'insurance final cleaned'!G1244</f>
        <v>2</v>
      </c>
      <c r="E759">
        <f>'insurance final cleaned'!E1244</f>
        <v>140</v>
      </c>
      <c r="F759">
        <f>'insurance final cleaned'!L1244</f>
        <v>36.700000000000003</v>
      </c>
      <c r="G759">
        <f>'insurance final cleaned'!M1244</f>
        <v>0</v>
      </c>
      <c r="H759">
        <f>'insurance final cleaned'!N1244</f>
        <v>0</v>
      </c>
      <c r="I759">
        <f>'insurance final cleaned'!O1244</f>
        <v>0</v>
      </c>
      <c r="J759">
        <f>'insurance final cleaned'!P1244</f>
        <v>0.5628526702862463</v>
      </c>
      <c r="K759">
        <f>'insurance final cleaned'!Q1244</f>
        <v>1</v>
      </c>
      <c r="L759">
        <f>'insurance final cleaned'!R1244</f>
        <v>0</v>
      </c>
      <c r="M759">
        <f>'insurance final cleaned'!S1244</f>
        <v>1</v>
      </c>
    </row>
    <row r="760" spans="1:13" x14ac:dyDescent="0.3">
      <c r="A760">
        <f>'insurance final cleaned'!J824</f>
        <v>11674.13</v>
      </c>
      <c r="B760">
        <f>'insurance final cleaned'!B824</f>
        <v>31</v>
      </c>
      <c r="C760">
        <f>'insurance final cleaned'!D824</f>
        <v>35.799999999999997</v>
      </c>
      <c r="D760">
        <f>'insurance final cleaned'!G824</f>
        <v>1</v>
      </c>
      <c r="E760">
        <f>'insurance final cleaned'!E824</f>
        <v>109</v>
      </c>
      <c r="F760">
        <f>'insurance final cleaned'!L824</f>
        <v>0</v>
      </c>
      <c r="G760">
        <f>'insurance final cleaned'!M824</f>
        <v>0</v>
      </c>
      <c r="H760">
        <f>'insurance final cleaned'!N824</f>
        <v>1</v>
      </c>
      <c r="I760">
        <f>'insurance final cleaned'!O824</f>
        <v>0</v>
      </c>
      <c r="J760">
        <f>'insurance final cleaned'!P824</f>
        <v>0.5628844491494881</v>
      </c>
      <c r="K760">
        <f>'insurance final cleaned'!Q824</f>
        <v>0</v>
      </c>
      <c r="L760">
        <f>'insurance final cleaned'!R824</f>
        <v>0</v>
      </c>
      <c r="M760">
        <f>'insurance final cleaned'!S824</f>
        <v>1</v>
      </c>
    </row>
    <row r="761" spans="1:13" x14ac:dyDescent="0.3">
      <c r="A761">
        <f>'insurance final cleaned'!J1013</f>
        <v>17085.27</v>
      </c>
      <c r="B761">
        <f>'insurance final cleaned'!B1013</f>
        <v>32</v>
      </c>
      <c r="C761">
        <f>'insurance final cleaned'!D1013</f>
        <v>26.8</v>
      </c>
      <c r="D761">
        <f>'insurance final cleaned'!G1013</f>
        <v>1</v>
      </c>
      <c r="E761">
        <f>'insurance final cleaned'!E1013</f>
        <v>109</v>
      </c>
      <c r="F761">
        <f>'insurance final cleaned'!L1013</f>
        <v>26.8</v>
      </c>
      <c r="G761">
        <f>'insurance final cleaned'!M1013</f>
        <v>1</v>
      </c>
      <c r="H761">
        <f>'insurance final cleaned'!N1013</f>
        <v>0</v>
      </c>
      <c r="I761">
        <f>'insurance final cleaned'!O1013</f>
        <v>0</v>
      </c>
      <c r="J761">
        <f>'insurance final cleaned'!P1013</f>
        <v>0.56369165662743059</v>
      </c>
      <c r="K761">
        <f>'insurance final cleaned'!Q1013</f>
        <v>1</v>
      </c>
      <c r="L761">
        <f>'insurance final cleaned'!R1013</f>
        <v>0</v>
      </c>
      <c r="M761">
        <f>'insurance final cleaned'!S1013</f>
        <v>1</v>
      </c>
    </row>
    <row r="762" spans="1:13" x14ac:dyDescent="0.3">
      <c r="A762">
        <f>'insurance final cleaned'!J1135</f>
        <v>24667.42</v>
      </c>
      <c r="B762">
        <f>'insurance final cleaned'!B1135</f>
        <v>27</v>
      </c>
      <c r="C762">
        <f>'insurance final cleaned'!D1135</f>
        <v>25.3</v>
      </c>
      <c r="D762">
        <f>'insurance final cleaned'!G1135</f>
        <v>2</v>
      </c>
      <c r="E762">
        <f>'insurance final cleaned'!E1135</f>
        <v>93</v>
      </c>
      <c r="F762">
        <f>'insurance final cleaned'!L1135</f>
        <v>25.3</v>
      </c>
      <c r="G762">
        <f>'insurance final cleaned'!M1135</f>
        <v>1</v>
      </c>
      <c r="H762">
        <f>'insurance final cleaned'!N1135</f>
        <v>0</v>
      </c>
      <c r="I762">
        <f>'insurance final cleaned'!O1135</f>
        <v>0</v>
      </c>
      <c r="J762">
        <f>'insurance final cleaned'!P1135</f>
        <v>0.56420157782011915</v>
      </c>
      <c r="K762">
        <f>'insurance final cleaned'!Q1135</f>
        <v>1</v>
      </c>
      <c r="L762">
        <f>'insurance final cleaned'!R1135</f>
        <v>1</v>
      </c>
      <c r="M762">
        <f>'insurance final cleaned'!S1135</f>
        <v>1</v>
      </c>
    </row>
    <row r="763" spans="1:13" x14ac:dyDescent="0.3">
      <c r="A763">
        <f>'insurance final cleaned'!J865</f>
        <v>12244.53</v>
      </c>
      <c r="B763">
        <f>'insurance final cleaned'!B865</f>
        <v>27</v>
      </c>
      <c r="C763">
        <f>'insurance final cleaned'!D865</f>
        <v>35.200000000000003</v>
      </c>
      <c r="D763">
        <f>'insurance final cleaned'!G865</f>
        <v>0</v>
      </c>
      <c r="E763">
        <f>'insurance final cleaned'!E865</f>
        <v>83</v>
      </c>
      <c r="F763">
        <f>'insurance final cleaned'!L865</f>
        <v>0</v>
      </c>
      <c r="G763">
        <f>'insurance final cleaned'!M865</f>
        <v>1</v>
      </c>
      <c r="H763">
        <f>'insurance final cleaned'!N865</f>
        <v>0</v>
      </c>
      <c r="I763">
        <f>'insurance final cleaned'!O865</f>
        <v>0</v>
      </c>
      <c r="J763">
        <f>'insurance final cleaned'!P865</f>
        <v>0.56601709960830304</v>
      </c>
      <c r="K763">
        <f>'insurance final cleaned'!Q865</f>
        <v>0</v>
      </c>
      <c r="L763">
        <f>'insurance final cleaned'!R865</f>
        <v>1</v>
      </c>
      <c r="M763">
        <f>'insurance final cleaned'!S865</f>
        <v>1</v>
      </c>
    </row>
    <row r="764" spans="1:13" x14ac:dyDescent="0.3">
      <c r="A764">
        <f>'insurance final cleaned'!J68</f>
        <v>1744.47</v>
      </c>
      <c r="B764">
        <f>'insurance final cleaned'!B68</f>
        <v>27</v>
      </c>
      <c r="C764">
        <f>'insurance final cleaned'!D68</f>
        <v>29.8</v>
      </c>
      <c r="D764">
        <f>'insurance final cleaned'!G68</f>
        <v>0</v>
      </c>
      <c r="E764">
        <f>'insurance final cleaned'!E68</f>
        <v>100</v>
      </c>
      <c r="F764">
        <f>'insurance final cleaned'!L68</f>
        <v>0</v>
      </c>
      <c r="G764">
        <f>'insurance final cleaned'!M68</f>
        <v>0</v>
      </c>
      <c r="H764">
        <f>'insurance final cleaned'!N68</f>
        <v>1</v>
      </c>
      <c r="I764">
        <f>'insurance final cleaned'!O68</f>
        <v>0</v>
      </c>
      <c r="J764">
        <f>'insurance final cleaned'!P68</f>
        <v>0.56640844949201097</v>
      </c>
      <c r="K764">
        <f>'insurance final cleaned'!Q68</f>
        <v>0</v>
      </c>
      <c r="L764">
        <f>'insurance final cleaned'!R68</f>
        <v>0</v>
      </c>
      <c r="M764">
        <f>'insurance final cleaned'!S68</f>
        <v>1</v>
      </c>
    </row>
    <row r="765" spans="1:13" x14ac:dyDescent="0.3">
      <c r="A765">
        <f>'insurance final cleaned'!J975</f>
        <v>14455.64</v>
      </c>
      <c r="B765">
        <f>'insurance final cleaned'!B975</f>
        <v>52</v>
      </c>
      <c r="C765">
        <f>'insurance final cleaned'!D975</f>
        <v>17.2</v>
      </c>
      <c r="D765">
        <f>'insurance final cleaned'!G975</f>
        <v>2</v>
      </c>
      <c r="E765">
        <f>'insurance final cleaned'!E975</f>
        <v>80</v>
      </c>
      <c r="F765">
        <f>'insurance final cleaned'!L975</f>
        <v>17.2</v>
      </c>
      <c r="G765">
        <f>'insurance final cleaned'!M975</f>
        <v>0</v>
      </c>
      <c r="H765">
        <f>'insurance final cleaned'!N975</f>
        <v>0</v>
      </c>
      <c r="I765">
        <f>'insurance final cleaned'!O975</f>
        <v>0</v>
      </c>
      <c r="J765">
        <f>'insurance final cleaned'!P975</f>
        <v>0.56713113545246385</v>
      </c>
      <c r="K765">
        <f>'insurance final cleaned'!Q975</f>
        <v>1</v>
      </c>
      <c r="L765">
        <f>'insurance final cleaned'!R975</f>
        <v>1</v>
      </c>
      <c r="M765">
        <f>'insurance final cleaned'!S975</f>
        <v>1</v>
      </c>
    </row>
    <row r="766" spans="1:13" x14ac:dyDescent="0.3">
      <c r="A766">
        <f>'insurance final cleaned'!J574</f>
        <v>8017.06</v>
      </c>
      <c r="B766">
        <f>'insurance final cleaned'!B574</f>
        <v>54</v>
      </c>
      <c r="C766">
        <f>'insurance final cleaned'!D574</f>
        <v>25</v>
      </c>
      <c r="D766">
        <f>'insurance final cleaned'!G574</f>
        <v>2</v>
      </c>
      <c r="E766">
        <f>'insurance final cleaned'!E574</f>
        <v>81</v>
      </c>
      <c r="F766">
        <f>'insurance final cleaned'!L574</f>
        <v>0</v>
      </c>
      <c r="G766">
        <f>'insurance final cleaned'!M574</f>
        <v>0</v>
      </c>
      <c r="H766">
        <f>'insurance final cleaned'!N574</f>
        <v>0</v>
      </c>
      <c r="I766">
        <f>'insurance final cleaned'!O574</f>
        <v>1</v>
      </c>
      <c r="J766">
        <f>'insurance final cleaned'!P574</f>
        <v>0.56894383308711904</v>
      </c>
      <c r="K766">
        <f>'insurance final cleaned'!Q574</f>
        <v>0</v>
      </c>
      <c r="L766">
        <f>'insurance final cleaned'!R574</f>
        <v>1</v>
      </c>
      <c r="M766">
        <f>'insurance final cleaned'!S574</f>
        <v>1</v>
      </c>
    </row>
    <row r="767" spans="1:13" x14ac:dyDescent="0.3">
      <c r="A767">
        <f>'insurance final cleaned'!J851</f>
        <v>12032.33</v>
      </c>
      <c r="B767">
        <f>'insurance final cleaned'!B851</f>
        <v>47</v>
      </c>
      <c r="C767">
        <f>'insurance final cleaned'!D851</f>
        <v>20.100000000000001</v>
      </c>
      <c r="D767">
        <f>'insurance final cleaned'!G851</f>
        <v>1</v>
      </c>
      <c r="E767">
        <f>'insurance final cleaned'!E851</f>
        <v>99</v>
      </c>
      <c r="F767">
        <f>'insurance final cleaned'!L851</f>
        <v>0</v>
      </c>
      <c r="G767">
        <f>'insurance final cleaned'!M851</f>
        <v>0</v>
      </c>
      <c r="H767">
        <f>'insurance final cleaned'!N851</f>
        <v>1</v>
      </c>
      <c r="I767">
        <f>'insurance final cleaned'!O851</f>
        <v>0</v>
      </c>
      <c r="J767">
        <f>'insurance final cleaned'!P851</f>
        <v>0.56981931243964423</v>
      </c>
      <c r="K767">
        <f>'insurance final cleaned'!Q851</f>
        <v>0</v>
      </c>
      <c r="L767">
        <f>'insurance final cleaned'!R851</f>
        <v>0</v>
      </c>
      <c r="M767">
        <f>'insurance final cleaned'!S851</f>
        <v>1</v>
      </c>
    </row>
    <row r="768" spans="1:13" x14ac:dyDescent="0.3">
      <c r="A768">
        <f>'insurance final cleaned'!J165</f>
        <v>2689.5</v>
      </c>
      <c r="B768">
        <f>'insurance final cleaned'!B165</f>
        <v>28</v>
      </c>
      <c r="C768">
        <f>'insurance final cleaned'!D165</f>
        <v>38.1</v>
      </c>
      <c r="D768">
        <f>'insurance final cleaned'!G165</f>
        <v>0</v>
      </c>
      <c r="E768">
        <f>'insurance final cleaned'!E165</f>
        <v>81</v>
      </c>
      <c r="F768">
        <f>'insurance final cleaned'!L165</f>
        <v>0</v>
      </c>
      <c r="G768">
        <f>'insurance final cleaned'!M165</f>
        <v>1</v>
      </c>
      <c r="H768">
        <f>'insurance final cleaned'!N165</f>
        <v>0</v>
      </c>
      <c r="I768">
        <f>'insurance final cleaned'!O165</f>
        <v>0</v>
      </c>
      <c r="J768">
        <f>'insurance final cleaned'!P165</f>
        <v>0.5700438469658734</v>
      </c>
      <c r="K768">
        <f>'insurance final cleaned'!Q165</f>
        <v>0</v>
      </c>
      <c r="L768">
        <f>'insurance final cleaned'!R165</f>
        <v>1</v>
      </c>
      <c r="M768">
        <f>'insurance final cleaned'!S165</f>
        <v>0</v>
      </c>
    </row>
    <row r="769" spans="1:13" x14ac:dyDescent="0.3">
      <c r="A769">
        <f>'insurance final cleaned'!J307</f>
        <v>4433.92</v>
      </c>
      <c r="B769">
        <f>'insurance final cleaned'!B307</f>
        <v>34</v>
      </c>
      <c r="C769">
        <f>'insurance final cleaned'!D307</f>
        <v>32.1</v>
      </c>
      <c r="D769">
        <f>'insurance final cleaned'!G307</f>
        <v>2</v>
      </c>
      <c r="E769">
        <f>'insurance final cleaned'!E307</f>
        <v>83</v>
      </c>
      <c r="F769">
        <f>'insurance final cleaned'!L307</f>
        <v>0</v>
      </c>
      <c r="G769">
        <f>'insurance final cleaned'!M307</f>
        <v>0</v>
      </c>
      <c r="H769">
        <f>'insurance final cleaned'!N307</f>
        <v>0</v>
      </c>
      <c r="I769">
        <f>'insurance final cleaned'!O307</f>
        <v>1</v>
      </c>
      <c r="J769">
        <f>'insurance final cleaned'!P307</f>
        <v>0.57070905595009336</v>
      </c>
      <c r="K769">
        <f>'insurance final cleaned'!Q307</f>
        <v>0</v>
      </c>
      <c r="L769">
        <f>'insurance final cleaned'!R307</f>
        <v>1</v>
      </c>
      <c r="M769">
        <f>'insurance final cleaned'!S307</f>
        <v>0</v>
      </c>
    </row>
    <row r="770" spans="1:13" x14ac:dyDescent="0.3">
      <c r="A770">
        <f>'insurance final cleaned'!J414</f>
        <v>5699.84</v>
      </c>
      <c r="B770">
        <f>'insurance final cleaned'!B414</f>
        <v>38</v>
      </c>
      <c r="C770">
        <f>'insurance final cleaned'!D414</f>
        <v>33.6</v>
      </c>
      <c r="D770">
        <f>'insurance final cleaned'!G414</f>
        <v>0</v>
      </c>
      <c r="E770">
        <f>'insurance final cleaned'!E414</f>
        <v>100</v>
      </c>
      <c r="F770">
        <f>'insurance final cleaned'!L414</f>
        <v>0</v>
      </c>
      <c r="G770">
        <f>'insurance final cleaned'!M414</f>
        <v>1</v>
      </c>
      <c r="H770">
        <f>'insurance final cleaned'!N414</f>
        <v>0</v>
      </c>
      <c r="I770">
        <f>'insurance final cleaned'!O414</f>
        <v>0</v>
      </c>
      <c r="J770">
        <f>'insurance final cleaned'!P414</f>
        <v>0.57154677937297071</v>
      </c>
      <c r="K770">
        <f>'insurance final cleaned'!Q414</f>
        <v>0</v>
      </c>
      <c r="L770">
        <f>'insurance final cleaned'!R414</f>
        <v>1</v>
      </c>
      <c r="M770">
        <f>'insurance final cleaned'!S414</f>
        <v>0</v>
      </c>
    </row>
    <row r="771" spans="1:13" x14ac:dyDescent="0.3">
      <c r="A771">
        <f>'insurance final cleaned'!J309</f>
        <v>4438.26</v>
      </c>
      <c r="B771">
        <f>'insurance final cleaned'!B309</f>
        <v>46</v>
      </c>
      <c r="C771">
        <f>'insurance final cleaned'!D309</f>
        <v>29.3</v>
      </c>
      <c r="D771">
        <f>'insurance final cleaned'!G309</f>
        <v>2</v>
      </c>
      <c r="E771">
        <f>'insurance final cleaned'!E309</f>
        <v>80</v>
      </c>
      <c r="F771">
        <f>'insurance final cleaned'!L309</f>
        <v>0</v>
      </c>
      <c r="G771">
        <f>'insurance final cleaned'!M309</f>
        <v>1</v>
      </c>
      <c r="H771">
        <f>'insurance final cleaned'!N309</f>
        <v>0</v>
      </c>
      <c r="I771">
        <f>'insurance final cleaned'!O309</f>
        <v>0</v>
      </c>
      <c r="J771">
        <f>'insurance final cleaned'!P309</f>
        <v>0.57161172965079188</v>
      </c>
      <c r="K771">
        <f>'insurance final cleaned'!Q309</f>
        <v>0</v>
      </c>
      <c r="L771">
        <f>'insurance final cleaned'!R309</f>
        <v>1</v>
      </c>
      <c r="M771">
        <f>'insurance final cleaned'!S309</f>
        <v>0</v>
      </c>
    </row>
    <row r="772" spans="1:13" x14ac:dyDescent="0.3">
      <c r="A772">
        <f>'insurance final cleaned'!J42</f>
        <v>1634.57</v>
      </c>
      <c r="B772">
        <f>'insurance final cleaned'!B42</f>
        <v>29</v>
      </c>
      <c r="C772">
        <f>'insurance final cleaned'!D42</f>
        <v>40.299999999999997</v>
      </c>
      <c r="D772">
        <f>'insurance final cleaned'!G42</f>
        <v>0</v>
      </c>
      <c r="E772">
        <f>'insurance final cleaned'!E42</f>
        <v>94</v>
      </c>
      <c r="F772">
        <f>'insurance final cleaned'!L42</f>
        <v>0</v>
      </c>
      <c r="G772">
        <f>'insurance final cleaned'!M42</f>
        <v>1</v>
      </c>
      <c r="H772">
        <f>'insurance final cleaned'!N42</f>
        <v>0</v>
      </c>
      <c r="I772">
        <f>'insurance final cleaned'!O42</f>
        <v>0</v>
      </c>
      <c r="J772">
        <f>'insurance final cleaned'!P42</f>
        <v>0.57223510441098124</v>
      </c>
      <c r="K772">
        <f>'insurance final cleaned'!Q42</f>
        <v>0</v>
      </c>
      <c r="L772">
        <f>'insurance final cleaned'!R42</f>
        <v>0</v>
      </c>
      <c r="M772">
        <f>'insurance final cleaned'!S42</f>
        <v>1</v>
      </c>
    </row>
    <row r="773" spans="1:13" x14ac:dyDescent="0.3">
      <c r="A773">
        <f>'insurance final cleaned'!J256</f>
        <v>3847.67</v>
      </c>
      <c r="B773">
        <f>'insurance final cleaned'!B256</f>
        <v>31</v>
      </c>
      <c r="C773">
        <f>'insurance final cleaned'!D256</f>
        <v>23.8</v>
      </c>
      <c r="D773">
        <f>'insurance final cleaned'!G256</f>
        <v>2</v>
      </c>
      <c r="E773">
        <f>'insurance final cleaned'!E256</f>
        <v>83</v>
      </c>
      <c r="F773">
        <f>'insurance final cleaned'!L256</f>
        <v>0</v>
      </c>
      <c r="G773">
        <f>'insurance final cleaned'!M256</f>
        <v>0</v>
      </c>
      <c r="H773">
        <f>'insurance final cleaned'!N256</f>
        <v>1</v>
      </c>
      <c r="I773">
        <f>'insurance final cleaned'!O256</f>
        <v>0</v>
      </c>
      <c r="J773">
        <f>'insurance final cleaned'!P256</f>
        <v>0.57231909973817074</v>
      </c>
      <c r="K773">
        <f>'insurance final cleaned'!Q256</f>
        <v>0</v>
      </c>
      <c r="L773">
        <f>'insurance final cleaned'!R256</f>
        <v>0</v>
      </c>
      <c r="M773">
        <f>'insurance final cleaned'!S256</f>
        <v>0</v>
      </c>
    </row>
    <row r="774" spans="1:13" x14ac:dyDescent="0.3">
      <c r="A774">
        <f>'insurance final cleaned'!J800</f>
        <v>11356.66</v>
      </c>
      <c r="B774">
        <f>'insurance final cleaned'!B800</f>
        <v>47</v>
      </c>
      <c r="C774">
        <f>'insurance final cleaned'!D800</f>
        <v>34</v>
      </c>
      <c r="D774">
        <f>'insurance final cleaned'!G800</f>
        <v>0</v>
      </c>
      <c r="E774">
        <f>'insurance final cleaned'!E800</f>
        <v>105</v>
      </c>
      <c r="F774">
        <f>'insurance final cleaned'!L800</f>
        <v>0</v>
      </c>
      <c r="G774">
        <f>'insurance final cleaned'!M800</f>
        <v>0</v>
      </c>
      <c r="H774">
        <f>'insurance final cleaned'!N800</f>
        <v>0</v>
      </c>
      <c r="I774">
        <f>'insurance final cleaned'!O800</f>
        <v>1</v>
      </c>
      <c r="J774">
        <f>'insurance final cleaned'!P800</f>
        <v>0.57303670082248193</v>
      </c>
      <c r="K774">
        <f>'insurance final cleaned'!Q800</f>
        <v>0</v>
      </c>
      <c r="L774">
        <f>'insurance final cleaned'!R800</f>
        <v>0</v>
      </c>
      <c r="M774">
        <f>'insurance final cleaned'!S800</f>
        <v>0</v>
      </c>
    </row>
    <row r="775" spans="1:13" x14ac:dyDescent="0.3">
      <c r="A775">
        <f>'insurance final cleaned'!J762</f>
        <v>10797.34</v>
      </c>
      <c r="B775">
        <f>'insurance final cleaned'!B762</f>
        <v>43</v>
      </c>
      <c r="C775">
        <f>'insurance final cleaned'!D762</f>
        <v>30.8</v>
      </c>
      <c r="D775">
        <f>'insurance final cleaned'!G762</f>
        <v>1</v>
      </c>
      <c r="E775">
        <f>'insurance final cleaned'!E762</f>
        <v>106</v>
      </c>
      <c r="F775">
        <f>'insurance final cleaned'!L762</f>
        <v>0</v>
      </c>
      <c r="G775">
        <f>'insurance final cleaned'!M762</f>
        <v>0</v>
      </c>
      <c r="H775">
        <f>'insurance final cleaned'!N762</f>
        <v>0</v>
      </c>
      <c r="I775">
        <f>'insurance final cleaned'!O762</f>
        <v>0</v>
      </c>
      <c r="J775">
        <f>'insurance final cleaned'!P762</f>
        <v>0.5736317037447457</v>
      </c>
      <c r="K775">
        <f>'insurance final cleaned'!Q762</f>
        <v>0</v>
      </c>
      <c r="L775">
        <f>'insurance final cleaned'!R762</f>
        <v>1</v>
      </c>
      <c r="M775">
        <f>'insurance final cleaned'!S762</f>
        <v>1</v>
      </c>
    </row>
    <row r="776" spans="1:13" x14ac:dyDescent="0.3">
      <c r="A776">
        <f>'insurance final cleaned'!J1190</f>
        <v>32787.46</v>
      </c>
      <c r="B776">
        <f>'insurance final cleaned'!B1190</f>
        <v>37</v>
      </c>
      <c r="C776">
        <f>'insurance final cleaned'!D1190</f>
        <v>28.3</v>
      </c>
      <c r="D776">
        <f>'insurance final cleaned'!G1190</f>
        <v>3</v>
      </c>
      <c r="E776">
        <f>'insurance final cleaned'!E1190</f>
        <v>88</v>
      </c>
      <c r="F776">
        <f>'insurance final cleaned'!L1190</f>
        <v>28.3</v>
      </c>
      <c r="G776">
        <f>'insurance final cleaned'!M1190</f>
        <v>0</v>
      </c>
      <c r="H776">
        <f>'insurance final cleaned'!N1190</f>
        <v>0</v>
      </c>
      <c r="I776">
        <f>'insurance final cleaned'!O1190</f>
        <v>1</v>
      </c>
      <c r="J776">
        <f>'insurance final cleaned'!P1190</f>
        <v>0.57409796676168445</v>
      </c>
      <c r="K776">
        <f>'insurance final cleaned'!Q1190</f>
        <v>1</v>
      </c>
      <c r="L776">
        <f>'insurance final cleaned'!R1190</f>
        <v>0</v>
      </c>
      <c r="M776">
        <f>'insurance final cleaned'!S1190</f>
        <v>0</v>
      </c>
    </row>
    <row r="777" spans="1:13" x14ac:dyDescent="0.3">
      <c r="A777">
        <f>'insurance final cleaned'!J404</f>
        <v>5478.04</v>
      </c>
      <c r="B777">
        <f>'insurance final cleaned'!B404</f>
        <v>55</v>
      </c>
      <c r="C777">
        <f>'insurance final cleaned'!D404</f>
        <v>29.9</v>
      </c>
      <c r="D777">
        <f>'insurance final cleaned'!G404</f>
        <v>1</v>
      </c>
      <c r="E777">
        <f>'insurance final cleaned'!E404</f>
        <v>89</v>
      </c>
      <c r="F777">
        <f>'insurance final cleaned'!L404</f>
        <v>0</v>
      </c>
      <c r="G777">
        <f>'insurance final cleaned'!M404</f>
        <v>1</v>
      </c>
      <c r="H777">
        <f>'insurance final cleaned'!N404</f>
        <v>0</v>
      </c>
      <c r="I777">
        <f>'insurance final cleaned'!O404</f>
        <v>0</v>
      </c>
      <c r="J777">
        <f>'insurance final cleaned'!P404</f>
        <v>0.57442563859432694</v>
      </c>
      <c r="K777">
        <f>'insurance final cleaned'!Q404</f>
        <v>0</v>
      </c>
      <c r="L777">
        <f>'insurance final cleaned'!R404</f>
        <v>0</v>
      </c>
      <c r="M777">
        <f>'insurance final cleaned'!S404</f>
        <v>1</v>
      </c>
    </row>
    <row r="778" spans="1:13" x14ac:dyDescent="0.3">
      <c r="A778">
        <f>'insurance final cleaned'!J826</f>
        <v>11735.88</v>
      </c>
      <c r="B778">
        <f>'insurance final cleaned'!B826</f>
        <v>29</v>
      </c>
      <c r="C778">
        <f>'insurance final cleaned'!D826</f>
        <v>28.6</v>
      </c>
      <c r="D778">
        <f>'insurance final cleaned'!G826</f>
        <v>0</v>
      </c>
      <c r="E778">
        <f>'insurance final cleaned'!E826</f>
        <v>85</v>
      </c>
      <c r="F778">
        <f>'insurance final cleaned'!L826</f>
        <v>0</v>
      </c>
      <c r="G778">
        <f>'insurance final cleaned'!M826</f>
        <v>0</v>
      </c>
      <c r="H778">
        <f>'insurance final cleaned'!N826</f>
        <v>0</v>
      </c>
      <c r="I778">
        <f>'insurance final cleaned'!O826</f>
        <v>1</v>
      </c>
      <c r="J778">
        <f>'insurance final cleaned'!P826</f>
        <v>0.57444973324013915</v>
      </c>
      <c r="K778">
        <f>'insurance final cleaned'!Q826</f>
        <v>0</v>
      </c>
      <c r="L778">
        <f>'insurance final cleaned'!R826</f>
        <v>1</v>
      </c>
      <c r="M778">
        <f>'insurance final cleaned'!S826</f>
        <v>0</v>
      </c>
    </row>
    <row r="779" spans="1:13" x14ac:dyDescent="0.3">
      <c r="A779">
        <f>'insurance final cleaned'!J72</f>
        <v>1815.88</v>
      </c>
      <c r="B779">
        <f>'insurance final cleaned'!B72</f>
        <v>28</v>
      </c>
      <c r="C779">
        <f>'insurance final cleaned'!D72</f>
        <v>26.5</v>
      </c>
      <c r="D779">
        <f>'insurance final cleaned'!G72</f>
        <v>0</v>
      </c>
      <c r="E779">
        <f>'insurance final cleaned'!E72</f>
        <v>88</v>
      </c>
      <c r="F779">
        <f>'insurance final cleaned'!L72</f>
        <v>0</v>
      </c>
      <c r="G779">
        <f>'insurance final cleaned'!M72</f>
        <v>1</v>
      </c>
      <c r="H779">
        <f>'insurance final cleaned'!N72</f>
        <v>0</v>
      </c>
      <c r="I779">
        <f>'insurance final cleaned'!O72</f>
        <v>0</v>
      </c>
      <c r="J779">
        <f>'insurance final cleaned'!P72</f>
        <v>0.57655820899534138</v>
      </c>
      <c r="K779">
        <f>'insurance final cleaned'!Q72</f>
        <v>0</v>
      </c>
      <c r="L779">
        <f>'insurance final cleaned'!R72</f>
        <v>1</v>
      </c>
      <c r="M779">
        <f>'insurance final cleaned'!S72</f>
        <v>0</v>
      </c>
    </row>
    <row r="780" spans="1:13" x14ac:dyDescent="0.3">
      <c r="A780">
        <f>'insurance final cleaned'!J338</f>
        <v>4738.2700000000004</v>
      </c>
      <c r="B780">
        <f>'insurance final cleaned'!B338</f>
        <v>48</v>
      </c>
      <c r="C780">
        <f>'insurance final cleaned'!D338</f>
        <v>32.700000000000003</v>
      </c>
      <c r="D780">
        <f>'insurance final cleaned'!G338</f>
        <v>1</v>
      </c>
      <c r="E780">
        <f>'insurance final cleaned'!E338</f>
        <v>95</v>
      </c>
      <c r="F780">
        <f>'insurance final cleaned'!L338</f>
        <v>0</v>
      </c>
      <c r="G780">
        <f>'insurance final cleaned'!M338</f>
        <v>0</v>
      </c>
      <c r="H780">
        <f>'insurance final cleaned'!N338</f>
        <v>0</v>
      </c>
      <c r="I780">
        <f>'insurance final cleaned'!O338</f>
        <v>1</v>
      </c>
      <c r="J780">
        <f>'insurance final cleaned'!P338</f>
        <v>0.57877716347481056</v>
      </c>
      <c r="K780">
        <f>'insurance final cleaned'!Q338</f>
        <v>0</v>
      </c>
      <c r="L780">
        <f>'insurance final cleaned'!R338</f>
        <v>0</v>
      </c>
      <c r="M780">
        <f>'insurance final cleaned'!S338</f>
        <v>1</v>
      </c>
    </row>
    <row r="781" spans="1:13" x14ac:dyDescent="0.3">
      <c r="A781">
        <f>'insurance final cleaned'!J1155</f>
        <v>26467.1</v>
      </c>
      <c r="B781">
        <f>'insurance final cleaned'!B1155</f>
        <v>43</v>
      </c>
      <c r="C781">
        <f>'insurance final cleaned'!D1155</f>
        <v>36.799999999999997</v>
      </c>
      <c r="D781">
        <f>'insurance final cleaned'!G1155</f>
        <v>2</v>
      </c>
      <c r="E781">
        <f>'insurance final cleaned'!E1155</f>
        <v>126</v>
      </c>
      <c r="F781">
        <f>'insurance final cleaned'!L1155</f>
        <v>0</v>
      </c>
      <c r="G781">
        <f>'insurance final cleaned'!M1155</f>
        <v>0</v>
      </c>
      <c r="H781">
        <f>'insurance final cleaned'!N1155</f>
        <v>0</v>
      </c>
      <c r="I781">
        <f>'insurance final cleaned'!O1155</f>
        <v>1</v>
      </c>
      <c r="J781">
        <f>'insurance final cleaned'!P1155</f>
        <v>0.58023383479643753</v>
      </c>
      <c r="K781">
        <f>'insurance final cleaned'!Q1155</f>
        <v>0</v>
      </c>
      <c r="L781">
        <f>'insurance final cleaned'!R1155</f>
        <v>0</v>
      </c>
      <c r="M781">
        <f>'insurance final cleaned'!S1155</f>
        <v>0</v>
      </c>
    </row>
    <row r="782" spans="1:13" x14ac:dyDescent="0.3">
      <c r="A782">
        <f>'insurance final cleaned'!J706</f>
        <v>9866.2999999999993</v>
      </c>
      <c r="B782">
        <f>'insurance final cleaned'!B706</f>
        <v>34</v>
      </c>
      <c r="C782">
        <f>'insurance final cleaned'!D706</f>
        <v>33.9</v>
      </c>
      <c r="D782">
        <f>'insurance final cleaned'!G706</f>
        <v>0</v>
      </c>
      <c r="E782">
        <f>'insurance final cleaned'!E706</f>
        <v>84</v>
      </c>
      <c r="F782">
        <f>'insurance final cleaned'!L706</f>
        <v>0</v>
      </c>
      <c r="G782">
        <f>'insurance final cleaned'!M706</f>
        <v>0</v>
      </c>
      <c r="H782">
        <f>'insurance final cleaned'!N706</f>
        <v>0</v>
      </c>
      <c r="I782">
        <f>'insurance final cleaned'!O706</f>
        <v>0</v>
      </c>
      <c r="J782">
        <f>'insurance final cleaned'!P706</f>
        <v>0.58070359650294301</v>
      </c>
      <c r="K782">
        <f>'insurance final cleaned'!Q706</f>
        <v>0</v>
      </c>
      <c r="L782">
        <f>'insurance final cleaned'!R706</f>
        <v>0</v>
      </c>
      <c r="M782">
        <f>'insurance final cleaned'!S706</f>
        <v>1</v>
      </c>
    </row>
    <row r="783" spans="1:13" x14ac:dyDescent="0.3">
      <c r="A783">
        <f>'insurance final cleaned'!J266</f>
        <v>3947.41</v>
      </c>
      <c r="B783">
        <f>'insurance final cleaned'!B266</f>
        <v>46</v>
      </c>
      <c r="C783">
        <f>'insurance final cleaned'!D266</f>
        <v>29.6</v>
      </c>
      <c r="D783">
        <f>'insurance final cleaned'!G266</f>
        <v>1</v>
      </c>
      <c r="E783">
        <f>'insurance final cleaned'!E266</f>
        <v>86</v>
      </c>
      <c r="F783">
        <f>'insurance final cleaned'!L266</f>
        <v>0</v>
      </c>
      <c r="G783">
        <f>'insurance final cleaned'!M266</f>
        <v>1</v>
      </c>
      <c r="H783">
        <f>'insurance final cleaned'!N266</f>
        <v>0</v>
      </c>
      <c r="I783">
        <f>'insurance final cleaned'!O266</f>
        <v>0</v>
      </c>
      <c r="J783">
        <f>'insurance final cleaned'!P266</f>
        <v>0.58078392460799733</v>
      </c>
      <c r="K783">
        <f>'insurance final cleaned'!Q266</f>
        <v>0</v>
      </c>
      <c r="L783">
        <f>'insurance final cleaned'!R266</f>
        <v>1</v>
      </c>
      <c r="M783">
        <f>'insurance final cleaned'!S266</f>
        <v>1</v>
      </c>
    </row>
    <row r="784" spans="1:13" x14ac:dyDescent="0.3">
      <c r="A784">
        <f>'insurance final cleaned'!J91</f>
        <v>1980.07</v>
      </c>
      <c r="B784">
        <f>'insurance final cleaned'!B91</f>
        <v>23</v>
      </c>
      <c r="C784">
        <f>'insurance final cleaned'!D91</f>
        <v>33</v>
      </c>
      <c r="D784">
        <f>'insurance final cleaned'!G91</f>
        <v>1</v>
      </c>
      <c r="E784">
        <f>'insurance final cleaned'!E91</f>
        <v>80</v>
      </c>
      <c r="F784">
        <f>'insurance final cleaned'!L91</f>
        <v>0</v>
      </c>
      <c r="G784">
        <f>'insurance final cleaned'!M91</f>
        <v>0</v>
      </c>
      <c r="H784">
        <f>'insurance final cleaned'!N91</f>
        <v>0</v>
      </c>
      <c r="I784">
        <f>'insurance final cleaned'!O91</f>
        <v>1</v>
      </c>
      <c r="J784">
        <f>'insurance final cleaned'!P91</f>
        <v>0.58110696976970144</v>
      </c>
      <c r="K784">
        <f>'insurance final cleaned'!Q91</f>
        <v>0</v>
      </c>
      <c r="L784">
        <f>'insurance final cleaned'!R91</f>
        <v>1</v>
      </c>
      <c r="M784">
        <f>'insurance final cleaned'!S91</f>
        <v>0</v>
      </c>
    </row>
    <row r="785" spans="1:13" x14ac:dyDescent="0.3">
      <c r="A785">
        <f>'insurance final cleaned'!J209</f>
        <v>3201.25</v>
      </c>
      <c r="B785">
        <f>'insurance final cleaned'!B209</f>
        <v>48</v>
      </c>
      <c r="C785">
        <f>'insurance final cleaned'!D209</f>
        <v>40.200000000000003</v>
      </c>
      <c r="D785">
        <f>'insurance final cleaned'!G209</f>
        <v>0</v>
      </c>
      <c r="E785">
        <f>'insurance final cleaned'!E209</f>
        <v>82</v>
      </c>
      <c r="F785">
        <f>'insurance final cleaned'!L209</f>
        <v>0</v>
      </c>
      <c r="G785">
        <f>'insurance final cleaned'!M209</f>
        <v>0</v>
      </c>
      <c r="H785">
        <f>'insurance final cleaned'!N209</f>
        <v>0</v>
      </c>
      <c r="I785">
        <f>'insurance final cleaned'!O209</f>
        <v>1</v>
      </c>
      <c r="J785">
        <f>'insurance final cleaned'!P209</f>
        <v>0.58261982981048588</v>
      </c>
      <c r="K785">
        <f>'insurance final cleaned'!Q209</f>
        <v>0</v>
      </c>
      <c r="L785">
        <f>'insurance final cleaned'!R209</f>
        <v>0</v>
      </c>
      <c r="M785">
        <f>'insurance final cleaned'!S209</f>
        <v>1</v>
      </c>
    </row>
    <row r="786" spans="1:13" x14ac:dyDescent="0.3">
      <c r="A786">
        <f>'insurance final cleaned'!J618</f>
        <v>8551.35</v>
      </c>
      <c r="B786">
        <f>'insurance final cleaned'!B618</f>
        <v>36</v>
      </c>
      <c r="C786">
        <f>'insurance final cleaned'!D618</f>
        <v>32</v>
      </c>
      <c r="D786">
        <f>'insurance final cleaned'!G618</f>
        <v>1</v>
      </c>
      <c r="E786">
        <f>'insurance final cleaned'!E618</f>
        <v>81</v>
      </c>
      <c r="F786">
        <f>'insurance final cleaned'!L618</f>
        <v>0</v>
      </c>
      <c r="G786">
        <f>'insurance final cleaned'!M618</f>
        <v>0</v>
      </c>
      <c r="H786">
        <f>'insurance final cleaned'!N618</f>
        <v>1</v>
      </c>
      <c r="I786">
        <f>'insurance final cleaned'!O618</f>
        <v>0</v>
      </c>
      <c r="J786">
        <f>'insurance final cleaned'!P618</f>
        <v>0.58291244298768108</v>
      </c>
      <c r="K786">
        <f>'insurance final cleaned'!Q618</f>
        <v>0</v>
      </c>
      <c r="L786">
        <f>'insurance final cleaned'!R618</f>
        <v>0</v>
      </c>
      <c r="M786">
        <f>'insurance final cleaned'!S618</f>
        <v>1</v>
      </c>
    </row>
    <row r="787" spans="1:13" x14ac:dyDescent="0.3">
      <c r="A787">
        <f>'insurance final cleaned'!J77</f>
        <v>1837.28</v>
      </c>
      <c r="B787">
        <f>'insurance final cleaned'!B77</f>
        <v>30</v>
      </c>
      <c r="C787">
        <f>'insurance final cleaned'!D77</f>
        <v>41.9</v>
      </c>
      <c r="D787">
        <f>'insurance final cleaned'!G77</f>
        <v>0</v>
      </c>
      <c r="E787">
        <f>'insurance final cleaned'!E77</f>
        <v>95</v>
      </c>
      <c r="F787">
        <f>'insurance final cleaned'!L77</f>
        <v>0</v>
      </c>
      <c r="G787">
        <f>'insurance final cleaned'!M77</f>
        <v>1</v>
      </c>
      <c r="H787">
        <f>'insurance final cleaned'!N77</f>
        <v>0</v>
      </c>
      <c r="I787">
        <f>'insurance final cleaned'!O77</f>
        <v>0</v>
      </c>
      <c r="J787">
        <f>'insurance final cleaned'!P77</f>
        <v>0.58345948615882948</v>
      </c>
      <c r="K787">
        <f>'insurance final cleaned'!Q77</f>
        <v>0</v>
      </c>
      <c r="L787">
        <f>'insurance final cleaned'!R77</f>
        <v>1</v>
      </c>
      <c r="M787">
        <f>'insurance final cleaned'!S77</f>
        <v>0</v>
      </c>
    </row>
    <row r="788" spans="1:13" x14ac:dyDescent="0.3">
      <c r="A788">
        <f>'insurance final cleaned'!J529</f>
        <v>7261.74</v>
      </c>
      <c r="B788">
        <f>'insurance final cleaned'!B529</f>
        <v>39</v>
      </c>
      <c r="C788">
        <f>'insurance final cleaned'!D529</f>
        <v>34.200000000000003</v>
      </c>
      <c r="D788">
        <f>'insurance final cleaned'!G529</f>
        <v>2</v>
      </c>
      <c r="E788">
        <f>'insurance final cleaned'!E529</f>
        <v>81</v>
      </c>
      <c r="F788">
        <f>'insurance final cleaned'!L529</f>
        <v>0</v>
      </c>
      <c r="G788">
        <f>'insurance final cleaned'!M529</f>
        <v>0</v>
      </c>
      <c r="H788">
        <f>'insurance final cleaned'!N529</f>
        <v>0</v>
      </c>
      <c r="I788">
        <f>'insurance final cleaned'!O529</f>
        <v>1</v>
      </c>
      <c r="J788">
        <f>'insurance final cleaned'!P529</f>
        <v>0.58363286724333363</v>
      </c>
      <c r="K788">
        <f>'insurance final cleaned'!Q529</f>
        <v>0</v>
      </c>
      <c r="L788">
        <f>'insurance final cleaned'!R529</f>
        <v>1</v>
      </c>
      <c r="M788">
        <f>'insurance final cleaned'!S529</f>
        <v>0</v>
      </c>
    </row>
    <row r="789" spans="1:13" x14ac:dyDescent="0.3">
      <c r="A789">
        <f>'insurance final cleaned'!J1297</f>
        <v>44202.65</v>
      </c>
      <c r="B789">
        <f>'insurance final cleaned'!B1297</f>
        <v>50</v>
      </c>
      <c r="C789">
        <f>'insurance final cleaned'!D1297</f>
        <v>38.9</v>
      </c>
      <c r="D789">
        <f>'insurance final cleaned'!G1297</f>
        <v>2</v>
      </c>
      <c r="E789">
        <f>'insurance final cleaned'!E1297</f>
        <v>102</v>
      </c>
      <c r="F789">
        <f>'insurance final cleaned'!L1297</f>
        <v>38.9</v>
      </c>
      <c r="G789">
        <f>'insurance final cleaned'!M1297</f>
        <v>1</v>
      </c>
      <c r="H789">
        <f>'insurance final cleaned'!N1297</f>
        <v>0</v>
      </c>
      <c r="I789">
        <f>'insurance final cleaned'!O1297</f>
        <v>0</v>
      </c>
      <c r="J789">
        <f>'insurance final cleaned'!P1297</f>
        <v>0.58444330270570077</v>
      </c>
      <c r="K789">
        <f>'insurance final cleaned'!Q1297</f>
        <v>1</v>
      </c>
      <c r="L789">
        <f>'insurance final cleaned'!R1297</f>
        <v>1</v>
      </c>
      <c r="M789">
        <f>'insurance final cleaned'!S1297</f>
        <v>0</v>
      </c>
    </row>
    <row r="790" spans="1:13" x14ac:dyDescent="0.3">
      <c r="A790">
        <f>'insurance final cleaned'!J962</f>
        <v>14283.46</v>
      </c>
      <c r="B790">
        <f>'insurance final cleaned'!B962</f>
        <v>48</v>
      </c>
      <c r="C790">
        <f>'insurance final cleaned'!D962</f>
        <v>21.7</v>
      </c>
      <c r="D790">
        <f>'insurance final cleaned'!G962</f>
        <v>0</v>
      </c>
      <c r="E790">
        <f>'insurance final cleaned'!E962</f>
        <v>90</v>
      </c>
      <c r="F790">
        <f>'insurance final cleaned'!L962</f>
        <v>21.7</v>
      </c>
      <c r="G790">
        <f>'insurance final cleaned'!M962</f>
        <v>0</v>
      </c>
      <c r="H790">
        <f>'insurance final cleaned'!N962</f>
        <v>0</v>
      </c>
      <c r="I790">
        <f>'insurance final cleaned'!O962</f>
        <v>0</v>
      </c>
      <c r="J790">
        <f>'insurance final cleaned'!P962</f>
        <v>0.58504950578947934</v>
      </c>
      <c r="K790">
        <f>'insurance final cleaned'!Q962</f>
        <v>1</v>
      </c>
      <c r="L790">
        <f>'insurance final cleaned'!R962</f>
        <v>1</v>
      </c>
      <c r="M790">
        <f>'insurance final cleaned'!S962</f>
        <v>1</v>
      </c>
    </row>
    <row r="791" spans="1:13" x14ac:dyDescent="0.3">
      <c r="A791">
        <f>'insurance final cleaned'!J989</f>
        <v>15359.1</v>
      </c>
      <c r="B791">
        <f>'insurance final cleaned'!B989</f>
        <v>37</v>
      </c>
      <c r="C791">
        <f>'insurance final cleaned'!D989</f>
        <v>21.9</v>
      </c>
      <c r="D791">
        <f>'insurance final cleaned'!G989</f>
        <v>1</v>
      </c>
      <c r="E791">
        <f>'insurance final cleaned'!E989</f>
        <v>89</v>
      </c>
      <c r="F791">
        <f>'insurance final cleaned'!L989</f>
        <v>21.9</v>
      </c>
      <c r="G791">
        <f>'insurance final cleaned'!M989</f>
        <v>0</v>
      </c>
      <c r="H791">
        <f>'insurance final cleaned'!N989</f>
        <v>0</v>
      </c>
      <c r="I791">
        <f>'insurance final cleaned'!O989</f>
        <v>0</v>
      </c>
      <c r="J791">
        <f>'insurance final cleaned'!P989</f>
        <v>0.5857885951275158</v>
      </c>
      <c r="K791">
        <f>'insurance final cleaned'!Q989</f>
        <v>1</v>
      </c>
      <c r="L791">
        <f>'insurance final cleaned'!R989</f>
        <v>1</v>
      </c>
      <c r="M791">
        <f>'insurance final cleaned'!S989</f>
        <v>1</v>
      </c>
    </row>
    <row r="792" spans="1:13" x14ac:dyDescent="0.3">
      <c r="A792">
        <f>'insurance final cleaned'!J31</f>
        <v>1622.19</v>
      </c>
      <c r="B792">
        <f>'insurance final cleaned'!B31</f>
        <v>35</v>
      </c>
      <c r="C792">
        <f>'insurance final cleaned'!D31</f>
        <v>31.4</v>
      </c>
      <c r="D792">
        <f>'insurance final cleaned'!G31</f>
        <v>0</v>
      </c>
      <c r="E792">
        <f>'insurance final cleaned'!E31</f>
        <v>93</v>
      </c>
      <c r="F792">
        <f>'insurance final cleaned'!L31</f>
        <v>0</v>
      </c>
      <c r="G792">
        <f>'insurance final cleaned'!M31</f>
        <v>1</v>
      </c>
      <c r="H792">
        <f>'insurance final cleaned'!N31</f>
        <v>0</v>
      </c>
      <c r="I792">
        <f>'insurance final cleaned'!O31</f>
        <v>0</v>
      </c>
      <c r="J792">
        <f>'insurance final cleaned'!P31</f>
        <v>0.58617084059799673</v>
      </c>
      <c r="K792">
        <f>'insurance final cleaned'!Q31</f>
        <v>0</v>
      </c>
      <c r="L792">
        <f>'insurance final cleaned'!R31</f>
        <v>0</v>
      </c>
      <c r="M792">
        <f>'insurance final cleaned'!S31</f>
        <v>1</v>
      </c>
    </row>
    <row r="793" spans="1:13" x14ac:dyDescent="0.3">
      <c r="A793">
        <f>'insurance final cleaned'!J301</f>
        <v>4391.6499999999996</v>
      </c>
      <c r="B793">
        <f>'insurance final cleaned'!B301</f>
        <v>31</v>
      </c>
      <c r="C793">
        <f>'insurance final cleaned'!D301</f>
        <v>24.3</v>
      </c>
      <c r="D793">
        <f>'insurance final cleaned'!G301</f>
        <v>3</v>
      </c>
      <c r="E793">
        <f>'insurance final cleaned'!E301</f>
        <v>90</v>
      </c>
      <c r="F793">
        <f>'insurance final cleaned'!L301</f>
        <v>0</v>
      </c>
      <c r="G793">
        <f>'insurance final cleaned'!M301</f>
        <v>0</v>
      </c>
      <c r="H793">
        <f>'insurance final cleaned'!N301</f>
        <v>1</v>
      </c>
      <c r="I793">
        <f>'insurance final cleaned'!O301</f>
        <v>0</v>
      </c>
      <c r="J793">
        <f>'insurance final cleaned'!P301</f>
        <v>0.58617680468837396</v>
      </c>
      <c r="K793">
        <f>'insurance final cleaned'!Q301</f>
        <v>0</v>
      </c>
      <c r="L793">
        <f>'insurance final cleaned'!R301</f>
        <v>1</v>
      </c>
      <c r="M793">
        <f>'insurance final cleaned'!S301</f>
        <v>1</v>
      </c>
    </row>
    <row r="794" spans="1:13" x14ac:dyDescent="0.3">
      <c r="A794">
        <f>'insurance final cleaned'!J1203</f>
        <v>34617.839999999997</v>
      </c>
      <c r="B794">
        <f>'insurance final cleaned'!B1203</f>
        <v>45</v>
      </c>
      <c r="C794">
        <f>'insurance final cleaned'!D1203</f>
        <v>33.5</v>
      </c>
      <c r="D794">
        <f>'insurance final cleaned'!G1203</f>
        <v>0</v>
      </c>
      <c r="E794">
        <f>'insurance final cleaned'!E1203</f>
        <v>81</v>
      </c>
      <c r="F794">
        <f>'insurance final cleaned'!L1203</f>
        <v>33.5</v>
      </c>
      <c r="G794">
        <f>'insurance final cleaned'!M1203</f>
        <v>0</v>
      </c>
      <c r="H794">
        <f>'insurance final cleaned'!N1203</f>
        <v>0</v>
      </c>
      <c r="I794">
        <f>'insurance final cleaned'!O1203</f>
        <v>0</v>
      </c>
      <c r="J794">
        <f>'insurance final cleaned'!P1203</f>
        <v>0.58646942743911379</v>
      </c>
      <c r="K794">
        <f>'insurance final cleaned'!Q1203</f>
        <v>1</v>
      </c>
      <c r="L794">
        <f>'insurance final cleaned'!R1203</f>
        <v>0</v>
      </c>
      <c r="M794">
        <f>'insurance final cleaned'!S1203</f>
        <v>0</v>
      </c>
    </row>
    <row r="795" spans="1:13" x14ac:dyDescent="0.3">
      <c r="A795">
        <f>'insurance final cleaned'!J1205</f>
        <v>34779.620000000003</v>
      </c>
      <c r="B795">
        <f>'insurance final cleaned'!B1205</f>
        <v>26</v>
      </c>
      <c r="C795">
        <f>'insurance final cleaned'!D1205</f>
        <v>34.799999999999997</v>
      </c>
      <c r="D795">
        <f>'insurance final cleaned'!G1205</f>
        <v>0</v>
      </c>
      <c r="E795">
        <f>'insurance final cleaned'!E1205</f>
        <v>94</v>
      </c>
      <c r="F795">
        <f>'insurance final cleaned'!L1205</f>
        <v>34.799999999999997</v>
      </c>
      <c r="G795">
        <f>'insurance final cleaned'!M1205</f>
        <v>0</v>
      </c>
      <c r="H795">
        <f>'insurance final cleaned'!N1205</f>
        <v>1</v>
      </c>
      <c r="I795">
        <f>'insurance final cleaned'!O1205</f>
        <v>0</v>
      </c>
      <c r="J795">
        <f>'insurance final cleaned'!P1205</f>
        <v>0.58874404801675051</v>
      </c>
      <c r="K795">
        <f>'insurance final cleaned'!Q1205</f>
        <v>1</v>
      </c>
      <c r="L795">
        <f>'insurance final cleaned'!R1205</f>
        <v>1</v>
      </c>
      <c r="M795">
        <f>'insurance final cleaned'!S1205</f>
        <v>0</v>
      </c>
    </row>
    <row r="796" spans="1:13" x14ac:dyDescent="0.3">
      <c r="A796">
        <f>'insurance final cleaned'!J1159</f>
        <v>27117.99</v>
      </c>
      <c r="B796">
        <f>'insurance final cleaned'!B1159</f>
        <v>30</v>
      </c>
      <c r="C796">
        <f>'insurance final cleaned'!D1159</f>
        <v>24.9</v>
      </c>
      <c r="D796">
        <f>'insurance final cleaned'!G1159</f>
        <v>0</v>
      </c>
      <c r="E796">
        <f>'insurance final cleaned'!E1159</f>
        <v>91</v>
      </c>
      <c r="F796">
        <f>'insurance final cleaned'!L1159</f>
        <v>0</v>
      </c>
      <c r="G796">
        <f>'insurance final cleaned'!M1159</f>
        <v>1</v>
      </c>
      <c r="H796">
        <f>'insurance final cleaned'!N1159</f>
        <v>0</v>
      </c>
      <c r="I796">
        <f>'insurance final cleaned'!O1159</f>
        <v>0</v>
      </c>
      <c r="J796">
        <f>'insurance final cleaned'!P1159</f>
        <v>0.58907354546331947</v>
      </c>
      <c r="K796">
        <f>'insurance final cleaned'!Q1159</f>
        <v>0</v>
      </c>
      <c r="L796">
        <f>'insurance final cleaned'!R1159</f>
        <v>1</v>
      </c>
      <c r="M796">
        <f>'insurance final cleaned'!S1159</f>
        <v>1</v>
      </c>
    </row>
    <row r="797" spans="1:13" x14ac:dyDescent="0.3">
      <c r="A797">
        <f>'insurance final cleaned'!J774</f>
        <v>10977.21</v>
      </c>
      <c r="B797">
        <f>'insurance final cleaned'!B774</f>
        <v>60</v>
      </c>
      <c r="C797">
        <f>'insurance final cleaned'!D774</f>
        <v>41.5</v>
      </c>
      <c r="D797">
        <f>'insurance final cleaned'!G774</f>
        <v>4</v>
      </c>
      <c r="E797">
        <f>'insurance final cleaned'!E774</f>
        <v>85</v>
      </c>
      <c r="F797">
        <f>'insurance final cleaned'!L774</f>
        <v>0</v>
      </c>
      <c r="G797">
        <f>'insurance final cleaned'!M774</f>
        <v>1</v>
      </c>
      <c r="H797">
        <f>'insurance final cleaned'!N774</f>
        <v>0</v>
      </c>
      <c r="I797">
        <f>'insurance final cleaned'!O774</f>
        <v>0</v>
      </c>
      <c r="J797">
        <f>'insurance final cleaned'!P774</f>
        <v>0.59070551040079677</v>
      </c>
      <c r="K797">
        <f>'insurance final cleaned'!Q774</f>
        <v>0</v>
      </c>
      <c r="L797">
        <f>'insurance final cleaned'!R774</f>
        <v>0</v>
      </c>
      <c r="M797">
        <f>'insurance final cleaned'!S774</f>
        <v>1</v>
      </c>
    </row>
    <row r="798" spans="1:13" x14ac:dyDescent="0.3">
      <c r="A798">
        <f>'insurance final cleaned'!J284</f>
        <v>4151.03</v>
      </c>
      <c r="B798">
        <f>'insurance final cleaned'!B284</f>
        <v>48</v>
      </c>
      <c r="C798">
        <f>'insurance final cleaned'!D284</f>
        <v>33.299999999999997</v>
      </c>
      <c r="D798">
        <f>'insurance final cleaned'!G284</f>
        <v>1</v>
      </c>
      <c r="E798">
        <f>'insurance final cleaned'!E284</f>
        <v>100</v>
      </c>
      <c r="F798">
        <f>'insurance final cleaned'!L284</f>
        <v>0</v>
      </c>
      <c r="G798">
        <f>'insurance final cleaned'!M284</f>
        <v>1</v>
      </c>
      <c r="H798">
        <f>'insurance final cleaned'!N284</f>
        <v>0</v>
      </c>
      <c r="I798">
        <f>'insurance final cleaned'!O284</f>
        <v>0</v>
      </c>
      <c r="J798">
        <f>'insurance final cleaned'!P284</f>
        <v>0.59136894797953532</v>
      </c>
      <c r="K798">
        <f>'insurance final cleaned'!Q284</f>
        <v>0</v>
      </c>
      <c r="L798">
        <f>'insurance final cleaned'!R284</f>
        <v>1</v>
      </c>
      <c r="M798">
        <f>'insurance final cleaned'!S284</f>
        <v>1</v>
      </c>
    </row>
    <row r="799" spans="1:13" x14ac:dyDescent="0.3">
      <c r="A799">
        <f>'insurance final cleaned'!J655</f>
        <v>9101.7999999999993</v>
      </c>
      <c r="B799">
        <f>'insurance final cleaned'!B655</f>
        <v>48</v>
      </c>
      <c r="C799">
        <f>'insurance final cleaned'!D655</f>
        <v>25.7</v>
      </c>
      <c r="D799">
        <f>'insurance final cleaned'!G655</f>
        <v>3</v>
      </c>
      <c r="E799">
        <f>'insurance final cleaned'!E655</f>
        <v>93</v>
      </c>
      <c r="F799">
        <f>'insurance final cleaned'!L655</f>
        <v>0</v>
      </c>
      <c r="G799">
        <f>'insurance final cleaned'!M655</f>
        <v>0</v>
      </c>
      <c r="H799">
        <f>'insurance final cleaned'!N655</f>
        <v>1</v>
      </c>
      <c r="I799">
        <f>'insurance final cleaned'!O655</f>
        <v>0</v>
      </c>
      <c r="J799">
        <f>'insurance final cleaned'!P655</f>
        <v>0.59410304901528144</v>
      </c>
      <c r="K799">
        <f>'insurance final cleaned'!Q655</f>
        <v>0</v>
      </c>
      <c r="L799">
        <f>'insurance final cleaned'!R655</f>
        <v>0</v>
      </c>
      <c r="M799">
        <f>'insurance final cleaned'!S655</f>
        <v>1</v>
      </c>
    </row>
    <row r="800" spans="1:13" x14ac:dyDescent="0.3">
      <c r="A800">
        <f>'insurance final cleaned'!J182</f>
        <v>2842.76</v>
      </c>
      <c r="B800">
        <f>'insurance final cleaned'!B182</f>
        <v>45</v>
      </c>
      <c r="C800">
        <f>'insurance final cleaned'!D182</f>
        <v>24.2</v>
      </c>
      <c r="D800">
        <f>'insurance final cleaned'!G182</f>
        <v>0</v>
      </c>
      <c r="E800">
        <f>'insurance final cleaned'!E182</f>
        <v>88</v>
      </c>
      <c r="F800">
        <f>'insurance final cleaned'!L182</f>
        <v>0</v>
      </c>
      <c r="G800">
        <f>'insurance final cleaned'!M182</f>
        <v>0</v>
      </c>
      <c r="H800">
        <f>'insurance final cleaned'!N182</f>
        <v>0</v>
      </c>
      <c r="I800">
        <f>'insurance final cleaned'!O182</f>
        <v>1</v>
      </c>
      <c r="J800">
        <f>'insurance final cleaned'!P182</f>
        <v>0.59531486373986697</v>
      </c>
      <c r="K800">
        <f>'insurance final cleaned'!Q182</f>
        <v>0</v>
      </c>
      <c r="L800">
        <f>'insurance final cleaned'!R182</f>
        <v>0</v>
      </c>
      <c r="M800">
        <f>'insurance final cleaned'!S182</f>
        <v>1</v>
      </c>
    </row>
    <row r="801" spans="1:13" x14ac:dyDescent="0.3">
      <c r="A801">
        <f>'insurance final cleaned'!J1302</f>
        <v>44585.46</v>
      </c>
      <c r="B801">
        <f>'insurance final cleaned'!B1302</f>
        <v>29</v>
      </c>
      <c r="C801">
        <f>'insurance final cleaned'!D1302</f>
        <v>35.5</v>
      </c>
      <c r="D801">
        <f>'insurance final cleaned'!G1302</f>
        <v>2</v>
      </c>
      <c r="E801">
        <f>'insurance final cleaned'!E1302</f>
        <v>98</v>
      </c>
      <c r="F801">
        <f>'insurance final cleaned'!L1302</f>
        <v>35.5</v>
      </c>
      <c r="G801">
        <f>'insurance final cleaned'!M1302</f>
        <v>0</v>
      </c>
      <c r="H801">
        <f>'insurance final cleaned'!N1302</f>
        <v>1</v>
      </c>
      <c r="I801">
        <f>'insurance final cleaned'!O1302</f>
        <v>0</v>
      </c>
      <c r="J801">
        <f>'insurance final cleaned'!P1302</f>
        <v>0.59567645200093189</v>
      </c>
      <c r="K801">
        <f>'insurance final cleaned'!Q1302</f>
        <v>1</v>
      </c>
      <c r="L801">
        <f>'insurance final cleaned'!R1302</f>
        <v>0</v>
      </c>
      <c r="M801">
        <f>'insurance final cleaned'!S1302</f>
        <v>0</v>
      </c>
    </row>
    <row r="802" spans="1:13" x14ac:dyDescent="0.3">
      <c r="A802">
        <f>'insurance final cleaned'!J176</f>
        <v>2741.95</v>
      </c>
      <c r="B802">
        <f>'insurance final cleaned'!B176</f>
        <v>58</v>
      </c>
      <c r="C802">
        <f>'insurance final cleaned'!D176</f>
        <v>30.4</v>
      </c>
      <c r="D802">
        <f>'insurance final cleaned'!G176</f>
        <v>0</v>
      </c>
      <c r="E802">
        <f>'insurance final cleaned'!E176</f>
        <v>85</v>
      </c>
      <c r="F802">
        <f>'insurance final cleaned'!L176</f>
        <v>0</v>
      </c>
      <c r="G802">
        <f>'insurance final cleaned'!M176</f>
        <v>1</v>
      </c>
      <c r="H802">
        <f>'insurance final cleaned'!N176</f>
        <v>0</v>
      </c>
      <c r="I802">
        <f>'insurance final cleaned'!O176</f>
        <v>0</v>
      </c>
      <c r="J802">
        <f>'insurance final cleaned'!P176</f>
        <v>0.59673688545900638</v>
      </c>
      <c r="K802">
        <f>'insurance final cleaned'!Q176</f>
        <v>0</v>
      </c>
      <c r="L802">
        <f>'insurance final cleaned'!R176</f>
        <v>1</v>
      </c>
      <c r="M802">
        <f>'insurance final cleaned'!S176</f>
        <v>1</v>
      </c>
    </row>
    <row r="803" spans="1:13" x14ac:dyDescent="0.3">
      <c r="A803">
        <f>'insurance final cleaned'!J41</f>
        <v>1633.96</v>
      </c>
      <c r="B803">
        <f>'insurance final cleaned'!B41</f>
        <v>49</v>
      </c>
      <c r="C803">
        <f>'insurance final cleaned'!D41</f>
        <v>39.799999999999997</v>
      </c>
      <c r="D803">
        <f>'insurance final cleaned'!G41</f>
        <v>0</v>
      </c>
      <c r="E803">
        <f>'insurance final cleaned'!E41</f>
        <v>100</v>
      </c>
      <c r="F803">
        <f>'insurance final cleaned'!L41</f>
        <v>0</v>
      </c>
      <c r="G803">
        <f>'insurance final cleaned'!M41</f>
        <v>1</v>
      </c>
      <c r="H803">
        <f>'insurance final cleaned'!N41</f>
        <v>0</v>
      </c>
      <c r="I803">
        <f>'insurance final cleaned'!O41</f>
        <v>0</v>
      </c>
      <c r="J803">
        <f>'insurance final cleaned'!P41</f>
        <v>0.59708051709477061</v>
      </c>
      <c r="K803">
        <f>'insurance final cleaned'!Q41</f>
        <v>0</v>
      </c>
      <c r="L803">
        <f>'insurance final cleaned'!R41</f>
        <v>1</v>
      </c>
      <c r="M803">
        <f>'insurance final cleaned'!S41</f>
        <v>1</v>
      </c>
    </row>
    <row r="804" spans="1:13" x14ac:dyDescent="0.3">
      <c r="A804">
        <f>'insurance final cleaned'!J736</f>
        <v>10370.91</v>
      </c>
      <c r="B804">
        <f>'insurance final cleaned'!B736</f>
        <v>25</v>
      </c>
      <c r="C804">
        <f>'insurance final cleaned'!D736</f>
        <v>33.299999999999997</v>
      </c>
      <c r="D804">
        <f>'insurance final cleaned'!G736</f>
        <v>2</v>
      </c>
      <c r="E804">
        <f>'insurance final cleaned'!E736</f>
        <v>80</v>
      </c>
      <c r="F804">
        <f>'insurance final cleaned'!L736</f>
        <v>0</v>
      </c>
      <c r="G804">
        <f>'insurance final cleaned'!M736</f>
        <v>0</v>
      </c>
      <c r="H804">
        <f>'insurance final cleaned'!N736</f>
        <v>0</v>
      </c>
      <c r="I804">
        <f>'insurance final cleaned'!O736</f>
        <v>0</v>
      </c>
      <c r="J804">
        <f>'insurance final cleaned'!P736</f>
        <v>0.59875334057463847</v>
      </c>
      <c r="K804">
        <f>'insurance final cleaned'!Q736</f>
        <v>0</v>
      </c>
      <c r="L804">
        <f>'insurance final cleaned'!R736</f>
        <v>1</v>
      </c>
      <c r="M804">
        <f>'insurance final cleaned'!S736</f>
        <v>1</v>
      </c>
    </row>
    <row r="805" spans="1:13" x14ac:dyDescent="0.3">
      <c r="A805">
        <f>'insurance final cleaned'!J1062</f>
        <v>19594.810000000001</v>
      </c>
      <c r="B805">
        <f>'insurance final cleaned'!B1062</f>
        <v>53</v>
      </c>
      <c r="C805">
        <f>'insurance final cleaned'!D1062</f>
        <v>20.2</v>
      </c>
      <c r="D805">
        <f>'insurance final cleaned'!G1062</f>
        <v>1</v>
      </c>
      <c r="E805">
        <f>'insurance final cleaned'!E1062</f>
        <v>87</v>
      </c>
      <c r="F805">
        <f>'insurance final cleaned'!L1062</f>
        <v>20.2</v>
      </c>
      <c r="G805">
        <f>'insurance final cleaned'!M1062</f>
        <v>0</v>
      </c>
      <c r="H805">
        <f>'insurance final cleaned'!N1062</f>
        <v>0</v>
      </c>
      <c r="I805">
        <f>'insurance final cleaned'!O1062</f>
        <v>0</v>
      </c>
      <c r="J805">
        <f>'insurance final cleaned'!P1062</f>
        <v>0.60030894638609189</v>
      </c>
      <c r="K805">
        <f>'insurance final cleaned'!Q1062</f>
        <v>1</v>
      </c>
      <c r="L805">
        <f>'insurance final cleaned'!R1062</f>
        <v>0</v>
      </c>
      <c r="M805">
        <f>'insurance final cleaned'!S1062</f>
        <v>1</v>
      </c>
    </row>
    <row r="806" spans="1:13" x14ac:dyDescent="0.3">
      <c r="A806">
        <f>'insurance final cleaned'!J202</f>
        <v>3161.45</v>
      </c>
      <c r="B806">
        <f>'insurance final cleaned'!B202</f>
        <v>60</v>
      </c>
      <c r="C806">
        <f>'insurance final cleaned'!D202</f>
        <v>25.8</v>
      </c>
      <c r="D806">
        <f>'insurance final cleaned'!G202</f>
        <v>0</v>
      </c>
      <c r="E806">
        <f>'insurance final cleaned'!E202</f>
        <v>100</v>
      </c>
      <c r="F806">
        <f>'insurance final cleaned'!L202</f>
        <v>0</v>
      </c>
      <c r="G806">
        <f>'insurance final cleaned'!M202</f>
        <v>0</v>
      </c>
      <c r="H806">
        <f>'insurance final cleaned'!N202</f>
        <v>1</v>
      </c>
      <c r="I806">
        <f>'insurance final cleaned'!O202</f>
        <v>0</v>
      </c>
      <c r="J806">
        <f>'insurance final cleaned'!P202</f>
        <v>0.60045498166543276</v>
      </c>
      <c r="K806">
        <f>'insurance final cleaned'!Q202</f>
        <v>0</v>
      </c>
      <c r="L806">
        <f>'insurance final cleaned'!R202</f>
        <v>1</v>
      </c>
      <c r="M806">
        <f>'insurance final cleaned'!S202</f>
        <v>1</v>
      </c>
    </row>
    <row r="807" spans="1:13" x14ac:dyDescent="0.3">
      <c r="A807">
        <f>'insurance final cleaned'!J752</f>
        <v>10601.41</v>
      </c>
      <c r="B807">
        <f>'insurance final cleaned'!B752</f>
        <v>29</v>
      </c>
      <c r="C807">
        <f>'insurance final cleaned'!D752</f>
        <v>39.6</v>
      </c>
      <c r="D807">
        <f>'insurance final cleaned'!G752</f>
        <v>0</v>
      </c>
      <c r="E807">
        <f>'insurance final cleaned'!E752</f>
        <v>92</v>
      </c>
      <c r="F807">
        <f>'insurance final cleaned'!L752</f>
        <v>0</v>
      </c>
      <c r="G807">
        <f>'insurance final cleaned'!M752</f>
        <v>0</v>
      </c>
      <c r="H807">
        <f>'insurance final cleaned'!N752</f>
        <v>1</v>
      </c>
      <c r="I807">
        <f>'insurance final cleaned'!O752</f>
        <v>0</v>
      </c>
      <c r="J807">
        <f>'insurance final cleaned'!P752</f>
        <v>0.6025881454608486</v>
      </c>
      <c r="K807">
        <f>'insurance final cleaned'!Q752</f>
        <v>0</v>
      </c>
      <c r="L807">
        <f>'insurance final cleaned'!R752</f>
        <v>0</v>
      </c>
      <c r="M807">
        <f>'insurance final cleaned'!S752</f>
        <v>0</v>
      </c>
    </row>
    <row r="808" spans="1:13" x14ac:dyDescent="0.3">
      <c r="A808">
        <f>'insurance final cleaned'!J1165</f>
        <v>27724.29</v>
      </c>
      <c r="B808">
        <f>'insurance final cleaned'!B1165</f>
        <v>37</v>
      </c>
      <c r="C808">
        <f>'insurance final cleaned'!D1165</f>
        <v>35.299999999999997</v>
      </c>
      <c r="D808">
        <f>'insurance final cleaned'!G1165</f>
        <v>1</v>
      </c>
      <c r="E808">
        <f>'insurance final cleaned'!E1165</f>
        <v>81</v>
      </c>
      <c r="F808">
        <f>'insurance final cleaned'!L1165</f>
        <v>0</v>
      </c>
      <c r="G808">
        <f>'insurance final cleaned'!M1165</f>
        <v>1</v>
      </c>
      <c r="H808">
        <f>'insurance final cleaned'!N1165</f>
        <v>0</v>
      </c>
      <c r="I808">
        <f>'insurance final cleaned'!O1165</f>
        <v>0</v>
      </c>
      <c r="J808">
        <f>'insurance final cleaned'!P1165</f>
        <v>0.60318620429732228</v>
      </c>
      <c r="K808">
        <f>'insurance final cleaned'!Q1165</f>
        <v>0</v>
      </c>
      <c r="L808">
        <f>'insurance final cleaned'!R1165</f>
        <v>0</v>
      </c>
      <c r="M808">
        <f>'insurance final cleaned'!S1165</f>
        <v>0</v>
      </c>
    </row>
    <row r="809" spans="1:13" x14ac:dyDescent="0.3">
      <c r="A809">
        <f>'insurance final cleaned'!J331</f>
        <v>4670.6400000000003</v>
      </c>
      <c r="B809">
        <f>'insurance final cleaned'!B331</f>
        <v>22</v>
      </c>
      <c r="C809">
        <f>'insurance final cleaned'!D331</f>
        <v>35.200000000000003</v>
      </c>
      <c r="D809">
        <f>'insurance final cleaned'!G331</f>
        <v>2</v>
      </c>
      <c r="E809">
        <f>'insurance final cleaned'!E331</f>
        <v>87</v>
      </c>
      <c r="F809">
        <f>'insurance final cleaned'!L331</f>
        <v>0</v>
      </c>
      <c r="G809">
        <f>'insurance final cleaned'!M331</f>
        <v>0</v>
      </c>
      <c r="H809">
        <f>'insurance final cleaned'!N331</f>
        <v>1</v>
      </c>
      <c r="I809">
        <f>'insurance final cleaned'!O331</f>
        <v>0</v>
      </c>
      <c r="J809">
        <f>'insurance final cleaned'!P331</f>
        <v>0.60422401634651723</v>
      </c>
      <c r="K809">
        <f>'insurance final cleaned'!Q331</f>
        <v>0</v>
      </c>
      <c r="L809">
        <f>'insurance final cleaned'!R331</f>
        <v>1</v>
      </c>
      <c r="M809">
        <f>'insurance final cleaned'!S331</f>
        <v>0</v>
      </c>
    </row>
    <row r="810" spans="1:13" x14ac:dyDescent="0.3">
      <c r="A810">
        <f>'insurance final cleaned'!J1287</f>
        <v>42856.84</v>
      </c>
      <c r="B810">
        <f>'insurance final cleaned'!B1287</f>
        <v>49</v>
      </c>
      <c r="C810">
        <f>'insurance final cleaned'!D1287</f>
        <v>34.200000000000003</v>
      </c>
      <c r="D810">
        <f>'insurance final cleaned'!G1287</f>
        <v>2</v>
      </c>
      <c r="E810">
        <f>'insurance final cleaned'!E1287</f>
        <v>98</v>
      </c>
      <c r="F810">
        <f>'insurance final cleaned'!L1287</f>
        <v>34.200000000000003</v>
      </c>
      <c r="G810">
        <f>'insurance final cleaned'!M1287</f>
        <v>0</v>
      </c>
      <c r="H810">
        <f>'insurance final cleaned'!N1287</f>
        <v>1</v>
      </c>
      <c r="I810">
        <f>'insurance final cleaned'!O1287</f>
        <v>0</v>
      </c>
      <c r="J810">
        <f>'insurance final cleaned'!P1287</f>
        <v>0.60494442624753519</v>
      </c>
      <c r="K810">
        <f>'insurance final cleaned'!Q1287</f>
        <v>1</v>
      </c>
      <c r="L810">
        <f>'insurance final cleaned'!R1287</f>
        <v>1</v>
      </c>
      <c r="M810">
        <f>'insurance final cleaned'!S1287</f>
        <v>0</v>
      </c>
    </row>
    <row r="811" spans="1:13" x14ac:dyDescent="0.3">
      <c r="A811">
        <f>'insurance final cleaned'!J645</f>
        <v>8932.08</v>
      </c>
      <c r="B811">
        <f>'insurance final cleaned'!B645</f>
        <v>43</v>
      </c>
      <c r="C811">
        <f>'insurance final cleaned'!D645</f>
        <v>25.6</v>
      </c>
      <c r="D811">
        <f>'insurance final cleaned'!G645</f>
        <v>0</v>
      </c>
      <c r="E811">
        <f>'insurance final cleaned'!E645</f>
        <v>100</v>
      </c>
      <c r="F811">
        <f>'insurance final cleaned'!L645</f>
        <v>0</v>
      </c>
      <c r="G811">
        <f>'insurance final cleaned'!M645</f>
        <v>0</v>
      </c>
      <c r="H811">
        <f>'insurance final cleaned'!N645</f>
        <v>1</v>
      </c>
      <c r="I811">
        <f>'insurance final cleaned'!O645</f>
        <v>0</v>
      </c>
      <c r="J811">
        <f>'insurance final cleaned'!P645</f>
        <v>0.60527463196061659</v>
      </c>
      <c r="K811">
        <f>'insurance final cleaned'!Q645</f>
        <v>0</v>
      </c>
      <c r="L811">
        <f>'insurance final cleaned'!R645</f>
        <v>1</v>
      </c>
      <c r="M811">
        <f>'insurance final cleaned'!S645</f>
        <v>1</v>
      </c>
    </row>
    <row r="812" spans="1:13" x14ac:dyDescent="0.3">
      <c r="A812">
        <f>'insurance final cleaned'!J494</f>
        <v>6796.86</v>
      </c>
      <c r="B812">
        <f>'insurance final cleaned'!B494</f>
        <v>27</v>
      </c>
      <c r="C812">
        <f>'insurance final cleaned'!D494</f>
        <v>30.9</v>
      </c>
      <c r="D812">
        <f>'insurance final cleaned'!G494</f>
        <v>3</v>
      </c>
      <c r="E812">
        <f>'insurance final cleaned'!E494</f>
        <v>91</v>
      </c>
      <c r="F812">
        <f>'insurance final cleaned'!L494</f>
        <v>0</v>
      </c>
      <c r="G812">
        <f>'insurance final cleaned'!M494</f>
        <v>0</v>
      </c>
      <c r="H812">
        <f>'insurance final cleaned'!N494</f>
        <v>0</v>
      </c>
      <c r="I812">
        <f>'insurance final cleaned'!O494</f>
        <v>1</v>
      </c>
      <c r="J812">
        <f>'insurance final cleaned'!P494</f>
        <v>0.60537824966019327</v>
      </c>
      <c r="K812">
        <f>'insurance final cleaned'!Q494</f>
        <v>0</v>
      </c>
      <c r="L812">
        <f>'insurance final cleaned'!R494</f>
        <v>0</v>
      </c>
      <c r="M812">
        <f>'insurance final cleaned'!S494</f>
        <v>0</v>
      </c>
    </row>
    <row r="813" spans="1:13" x14ac:dyDescent="0.3">
      <c r="A813">
        <f>'insurance final cleaned'!J1234</f>
        <v>37484.449999999997</v>
      </c>
      <c r="B813">
        <f>'insurance final cleaned'!B1234</f>
        <v>40</v>
      </c>
      <c r="C813">
        <f>'insurance final cleaned'!D1234</f>
        <v>37.1</v>
      </c>
      <c r="D813">
        <f>'insurance final cleaned'!G1234</f>
        <v>2</v>
      </c>
      <c r="E813">
        <f>'insurance final cleaned'!E1234</f>
        <v>119</v>
      </c>
      <c r="F813">
        <f>'insurance final cleaned'!L1234</f>
        <v>37.1</v>
      </c>
      <c r="G813">
        <f>'insurance final cleaned'!M1234</f>
        <v>1</v>
      </c>
      <c r="H813">
        <f>'insurance final cleaned'!N1234</f>
        <v>0</v>
      </c>
      <c r="I813">
        <f>'insurance final cleaned'!O1234</f>
        <v>0</v>
      </c>
      <c r="J813">
        <f>'insurance final cleaned'!P1234</f>
        <v>0.60540578503735787</v>
      </c>
      <c r="K813">
        <f>'insurance final cleaned'!Q1234</f>
        <v>1</v>
      </c>
      <c r="L813">
        <f>'insurance final cleaned'!R1234</f>
        <v>0</v>
      </c>
      <c r="M813">
        <f>'insurance final cleaned'!S1234</f>
        <v>0</v>
      </c>
    </row>
    <row r="814" spans="1:13" x14ac:dyDescent="0.3">
      <c r="A814">
        <f>'insurance final cleaned'!J870</f>
        <v>12333.83</v>
      </c>
      <c r="B814">
        <f>'insurance final cleaned'!B870</f>
        <v>44</v>
      </c>
      <c r="C814">
        <f>'insurance final cleaned'!D870</f>
        <v>27.5</v>
      </c>
      <c r="D814">
        <f>'insurance final cleaned'!G870</f>
        <v>1</v>
      </c>
      <c r="E814">
        <f>'insurance final cleaned'!E870</f>
        <v>104</v>
      </c>
      <c r="F814">
        <f>'insurance final cleaned'!L870</f>
        <v>0</v>
      </c>
      <c r="G814">
        <f>'insurance final cleaned'!M870</f>
        <v>0</v>
      </c>
      <c r="H814">
        <f>'insurance final cleaned'!N870</f>
        <v>1</v>
      </c>
      <c r="I814">
        <f>'insurance final cleaned'!O870</f>
        <v>0</v>
      </c>
      <c r="J814">
        <f>'insurance final cleaned'!P870</f>
        <v>0.60774070942799052</v>
      </c>
      <c r="K814">
        <f>'insurance final cleaned'!Q870</f>
        <v>0</v>
      </c>
      <c r="L814">
        <f>'insurance final cleaned'!R870</f>
        <v>1</v>
      </c>
      <c r="M814">
        <f>'insurance final cleaned'!S870</f>
        <v>0</v>
      </c>
    </row>
    <row r="815" spans="1:13" x14ac:dyDescent="0.3">
      <c r="A815">
        <f>'insurance final cleaned'!J1282</f>
        <v>42124.52</v>
      </c>
      <c r="B815">
        <f>'insurance final cleaned'!B1282</f>
        <v>39</v>
      </c>
      <c r="C815">
        <f>'insurance final cleaned'!D1282</f>
        <v>36</v>
      </c>
      <c r="D815">
        <f>'insurance final cleaned'!G1282</f>
        <v>3</v>
      </c>
      <c r="E815">
        <f>'insurance final cleaned'!E1282</f>
        <v>98</v>
      </c>
      <c r="F815">
        <f>'insurance final cleaned'!L1282</f>
        <v>36</v>
      </c>
      <c r="G815">
        <f>'insurance final cleaned'!M1282</f>
        <v>1</v>
      </c>
      <c r="H815">
        <f>'insurance final cleaned'!N1282</f>
        <v>0</v>
      </c>
      <c r="I815">
        <f>'insurance final cleaned'!O1282</f>
        <v>0</v>
      </c>
      <c r="J815">
        <f>'insurance final cleaned'!P1282</f>
        <v>0.60909961188885708</v>
      </c>
      <c r="K815">
        <f>'insurance final cleaned'!Q1282</f>
        <v>1</v>
      </c>
      <c r="L815">
        <f>'insurance final cleaned'!R1282</f>
        <v>1</v>
      </c>
      <c r="M815">
        <f>'insurance final cleaned'!S1282</f>
        <v>0</v>
      </c>
    </row>
    <row r="816" spans="1:13" x14ac:dyDescent="0.3">
      <c r="A816">
        <f>'insurance final cleaned'!J1106</f>
        <v>22331.57</v>
      </c>
      <c r="B816">
        <f>'insurance final cleaned'!B1106</f>
        <v>60</v>
      </c>
      <c r="C816">
        <f>'insurance final cleaned'!D1106</f>
        <v>28.1</v>
      </c>
      <c r="D816">
        <f>'insurance final cleaned'!G1106</f>
        <v>1</v>
      </c>
      <c r="E816">
        <f>'insurance final cleaned'!E1106</f>
        <v>84</v>
      </c>
      <c r="F816">
        <f>'insurance final cleaned'!L1106</f>
        <v>28.1</v>
      </c>
      <c r="G816">
        <f>'insurance final cleaned'!M1106</f>
        <v>0</v>
      </c>
      <c r="H816">
        <f>'insurance final cleaned'!N1106</f>
        <v>0</v>
      </c>
      <c r="I816">
        <f>'insurance final cleaned'!O1106</f>
        <v>0</v>
      </c>
      <c r="J816">
        <f>'insurance final cleaned'!P1106</f>
        <v>0.60966586962691294</v>
      </c>
      <c r="K816">
        <f>'insurance final cleaned'!Q1106</f>
        <v>1</v>
      </c>
      <c r="L816">
        <f>'insurance final cleaned'!R1106</f>
        <v>0</v>
      </c>
      <c r="M816">
        <f>'insurance final cleaned'!S1106</f>
        <v>1</v>
      </c>
    </row>
    <row r="817" spans="1:13" x14ac:dyDescent="0.3">
      <c r="A817">
        <f>'insurance final cleaned'!J876</f>
        <v>12479.71</v>
      </c>
      <c r="B817">
        <f>'insurance final cleaned'!B876</f>
        <v>25</v>
      </c>
      <c r="C817">
        <f>'insurance final cleaned'!D876</f>
        <v>24.6</v>
      </c>
      <c r="D817">
        <f>'insurance final cleaned'!G876</f>
        <v>3</v>
      </c>
      <c r="E817">
        <f>'insurance final cleaned'!E876</f>
        <v>80</v>
      </c>
      <c r="F817">
        <f>'insurance final cleaned'!L876</f>
        <v>0</v>
      </c>
      <c r="G817">
        <f>'insurance final cleaned'!M876</f>
        <v>0</v>
      </c>
      <c r="H817">
        <f>'insurance final cleaned'!N876</f>
        <v>0</v>
      </c>
      <c r="I817">
        <f>'insurance final cleaned'!O876</f>
        <v>1</v>
      </c>
      <c r="J817">
        <f>'insurance final cleaned'!P876</f>
        <v>0.6097265872908969</v>
      </c>
      <c r="K817">
        <f>'insurance final cleaned'!Q876</f>
        <v>0</v>
      </c>
      <c r="L817">
        <f>'insurance final cleaned'!R876</f>
        <v>1</v>
      </c>
      <c r="M817">
        <f>'insurance final cleaned'!S876</f>
        <v>1</v>
      </c>
    </row>
    <row r="818" spans="1:13" x14ac:dyDescent="0.3">
      <c r="A818">
        <f>'insurance final cleaned'!J1111</f>
        <v>22493.66</v>
      </c>
      <c r="B818">
        <f>'insurance final cleaned'!B1111</f>
        <v>32</v>
      </c>
      <c r="C818">
        <f>'insurance final cleaned'!D1111</f>
        <v>27.3</v>
      </c>
      <c r="D818">
        <f>'insurance final cleaned'!G1111</f>
        <v>2</v>
      </c>
      <c r="E818">
        <f>'insurance final cleaned'!E1111</f>
        <v>94</v>
      </c>
      <c r="F818">
        <f>'insurance final cleaned'!L1111</f>
        <v>0</v>
      </c>
      <c r="G818">
        <f>'insurance final cleaned'!M1111</f>
        <v>0</v>
      </c>
      <c r="H818">
        <f>'insurance final cleaned'!N1111</f>
        <v>0</v>
      </c>
      <c r="I818">
        <f>'insurance final cleaned'!O1111</f>
        <v>1</v>
      </c>
      <c r="J818">
        <f>'insurance final cleaned'!P1111</f>
        <v>0.61038498917384854</v>
      </c>
      <c r="K818">
        <f>'insurance final cleaned'!Q1111</f>
        <v>0</v>
      </c>
      <c r="L818">
        <f>'insurance final cleaned'!R1111</f>
        <v>0</v>
      </c>
      <c r="M818">
        <f>'insurance final cleaned'!S1111</f>
        <v>0</v>
      </c>
    </row>
    <row r="819" spans="1:13" x14ac:dyDescent="0.3">
      <c r="A819">
        <f>'insurance final cleaned'!J421</f>
        <v>5855.9</v>
      </c>
      <c r="B819">
        <f>'insurance final cleaned'!B421</f>
        <v>37</v>
      </c>
      <c r="C819">
        <f>'insurance final cleaned'!D421</f>
        <v>20</v>
      </c>
      <c r="D819">
        <f>'insurance final cleaned'!G421</f>
        <v>1</v>
      </c>
      <c r="E819">
        <f>'insurance final cleaned'!E421</f>
        <v>91</v>
      </c>
      <c r="F819">
        <f>'insurance final cleaned'!L421</f>
        <v>0</v>
      </c>
      <c r="G819">
        <f>'insurance final cleaned'!M421</f>
        <v>0</v>
      </c>
      <c r="H819">
        <f>'insurance final cleaned'!N421</f>
        <v>0</v>
      </c>
      <c r="I819">
        <f>'insurance final cleaned'!O421</f>
        <v>1</v>
      </c>
      <c r="J819">
        <f>'insurance final cleaned'!P421</f>
        <v>0.61052208560893684</v>
      </c>
      <c r="K819">
        <f>'insurance final cleaned'!Q421</f>
        <v>0</v>
      </c>
      <c r="L819">
        <f>'insurance final cleaned'!R421</f>
        <v>0</v>
      </c>
      <c r="M819">
        <f>'insurance final cleaned'!S421</f>
        <v>0</v>
      </c>
    </row>
    <row r="820" spans="1:13" x14ac:dyDescent="0.3">
      <c r="A820">
        <f>'insurance final cleaned'!J354</f>
        <v>4890</v>
      </c>
      <c r="B820">
        <f>'insurance final cleaned'!B354</f>
        <v>28</v>
      </c>
      <c r="C820">
        <f>'insurance final cleaned'!D354</f>
        <v>35.799999999999997</v>
      </c>
      <c r="D820">
        <f>'insurance final cleaned'!G354</f>
        <v>2</v>
      </c>
      <c r="E820">
        <f>'insurance final cleaned'!E354</f>
        <v>97</v>
      </c>
      <c r="F820">
        <f>'insurance final cleaned'!L354</f>
        <v>0</v>
      </c>
      <c r="G820">
        <f>'insurance final cleaned'!M354</f>
        <v>1</v>
      </c>
      <c r="H820">
        <f>'insurance final cleaned'!N354</f>
        <v>0</v>
      </c>
      <c r="I820">
        <f>'insurance final cleaned'!O354</f>
        <v>0</v>
      </c>
      <c r="J820">
        <f>'insurance final cleaned'!P354</f>
        <v>0.61064249936610271</v>
      </c>
      <c r="K820">
        <f>'insurance final cleaned'!Q354</f>
        <v>0</v>
      </c>
      <c r="L820">
        <f>'insurance final cleaned'!R354</f>
        <v>0</v>
      </c>
      <c r="M820">
        <f>'insurance final cleaned'!S354</f>
        <v>0</v>
      </c>
    </row>
    <row r="821" spans="1:13" x14ac:dyDescent="0.3">
      <c r="A821">
        <f>'insurance final cleaned'!J240</f>
        <v>3561.89</v>
      </c>
      <c r="B821">
        <f>'insurance final cleaned'!B240</f>
        <v>32</v>
      </c>
      <c r="C821">
        <f>'insurance final cleaned'!D240</f>
        <v>23.2</v>
      </c>
      <c r="D821">
        <f>'insurance final cleaned'!G240</f>
        <v>1</v>
      </c>
      <c r="E821">
        <f>'insurance final cleaned'!E240</f>
        <v>89</v>
      </c>
      <c r="F821">
        <f>'insurance final cleaned'!L240</f>
        <v>0</v>
      </c>
      <c r="G821">
        <f>'insurance final cleaned'!M240</f>
        <v>1</v>
      </c>
      <c r="H821">
        <f>'insurance final cleaned'!N240</f>
        <v>0</v>
      </c>
      <c r="I821">
        <f>'insurance final cleaned'!O240</f>
        <v>0</v>
      </c>
      <c r="J821">
        <f>'insurance final cleaned'!P240</f>
        <v>0.61067314931370997</v>
      </c>
      <c r="K821">
        <f>'insurance final cleaned'!Q240</f>
        <v>0</v>
      </c>
      <c r="L821">
        <f>'insurance final cleaned'!R240</f>
        <v>1</v>
      </c>
      <c r="M821">
        <f>'insurance final cleaned'!S240</f>
        <v>1</v>
      </c>
    </row>
    <row r="822" spans="1:13" x14ac:dyDescent="0.3">
      <c r="A822">
        <f>'insurance final cleaned'!J403</f>
        <v>5472.45</v>
      </c>
      <c r="B822">
        <f>'insurance final cleaned'!B403</f>
        <v>43</v>
      </c>
      <c r="C822">
        <f>'insurance final cleaned'!D403</f>
        <v>25.9</v>
      </c>
      <c r="D822">
        <f>'insurance final cleaned'!G403</f>
        <v>1</v>
      </c>
      <c r="E822">
        <f>'insurance final cleaned'!E403</f>
        <v>99</v>
      </c>
      <c r="F822">
        <f>'insurance final cleaned'!L403</f>
        <v>0</v>
      </c>
      <c r="G822">
        <f>'insurance final cleaned'!M403</f>
        <v>0</v>
      </c>
      <c r="H822">
        <f>'insurance final cleaned'!N403</f>
        <v>1</v>
      </c>
      <c r="I822">
        <f>'insurance final cleaned'!O403</f>
        <v>0</v>
      </c>
      <c r="J822">
        <f>'insurance final cleaned'!P403</f>
        <v>0.6113937825891248</v>
      </c>
      <c r="K822">
        <f>'insurance final cleaned'!Q403</f>
        <v>0</v>
      </c>
      <c r="L822">
        <f>'insurance final cleaned'!R403</f>
        <v>0</v>
      </c>
      <c r="M822">
        <f>'insurance final cleaned'!S403</f>
        <v>1</v>
      </c>
    </row>
    <row r="823" spans="1:13" x14ac:dyDescent="0.3">
      <c r="A823">
        <f>'insurance final cleaned'!J219</f>
        <v>3292.53</v>
      </c>
      <c r="B823">
        <f>'insurance final cleaned'!B219</f>
        <v>23</v>
      </c>
      <c r="C823">
        <f>'insurance final cleaned'!D219</f>
        <v>33.9</v>
      </c>
      <c r="D823">
        <f>'insurance final cleaned'!G219</f>
        <v>1</v>
      </c>
      <c r="E823">
        <f>'insurance final cleaned'!E219</f>
        <v>81</v>
      </c>
      <c r="F823">
        <f>'insurance final cleaned'!L219</f>
        <v>0</v>
      </c>
      <c r="G823">
        <f>'insurance final cleaned'!M219</f>
        <v>0</v>
      </c>
      <c r="H823">
        <f>'insurance final cleaned'!N219</f>
        <v>0</v>
      </c>
      <c r="I823">
        <f>'insurance final cleaned'!O219</f>
        <v>1</v>
      </c>
      <c r="J823">
        <f>'insurance final cleaned'!P219</f>
        <v>0.61171289047599142</v>
      </c>
      <c r="K823">
        <f>'insurance final cleaned'!Q219</f>
        <v>0</v>
      </c>
      <c r="L823">
        <f>'insurance final cleaned'!R219</f>
        <v>0</v>
      </c>
      <c r="M823">
        <f>'insurance final cleaned'!S219</f>
        <v>0</v>
      </c>
    </row>
    <row r="824" spans="1:13" x14ac:dyDescent="0.3">
      <c r="A824">
        <f>'insurance final cleaned'!J1048</f>
        <v>19023.259999999998</v>
      </c>
      <c r="B824">
        <f>'insurance final cleaned'!B1048</f>
        <v>60</v>
      </c>
      <c r="C824">
        <f>'insurance final cleaned'!D1048</f>
        <v>18.3</v>
      </c>
      <c r="D824">
        <f>'insurance final cleaned'!G1048</f>
        <v>5</v>
      </c>
      <c r="E824">
        <f>'insurance final cleaned'!E1048</f>
        <v>82</v>
      </c>
      <c r="F824">
        <f>'insurance final cleaned'!L1048</f>
        <v>18.3</v>
      </c>
      <c r="G824">
        <f>'insurance final cleaned'!M1048</f>
        <v>0</v>
      </c>
      <c r="H824">
        <f>'insurance final cleaned'!N1048</f>
        <v>1</v>
      </c>
      <c r="I824">
        <f>'insurance final cleaned'!O1048</f>
        <v>0</v>
      </c>
      <c r="J824">
        <f>'insurance final cleaned'!P1048</f>
        <v>0.61174814467600835</v>
      </c>
      <c r="K824">
        <f>'insurance final cleaned'!Q1048</f>
        <v>1</v>
      </c>
      <c r="L824">
        <f>'insurance final cleaned'!R1048</f>
        <v>1</v>
      </c>
      <c r="M824">
        <f>'insurance final cleaned'!S1048</f>
        <v>1</v>
      </c>
    </row>
    <row r="825" spans="1:13" x14ac:dyDescent="0.3">
      <c r="A825">
        <f>'insurance final cleaned'!J1334</f>
        <v>49577.66</v>
      </c>
      <c r="B825">
        <f>'insurance final cleaned'!B1334</f>
        <v>26</v>
      </c>
      <c r="C825">
        <f>'insurance final cleaned'!D1334</f>
        <v>37</v>
      </c>
      <c r="D825">
        <f>'insurance final cleaned'!G1334</f>
        <v>2</v>
      </c>
      <c r="E825">
        <f>'insurance final cleaned'!E1334</f>
        <v>120</v>
      </c>
      <c r="F825">
        <f>'insurance final cleaned'!L1334</f>
        <v>37</v>
      </c>
      <c r="G825">
        <f>'insurance final cleaned'!M1334</f>
        <v>1</v>
      </c>
      <c r="H825">
        <f>'insurance final cleaned'!N1334</f>
        <v>0</v>
      </c>
      <c r="I825">
        <f>'insurance final cleaned'!O1334</f>
        <v>0</v>
      </c>
      <c r="J825">
        <f>'insurance final cleaned'!P1334</f>
        <v>0.61296192629740553</v>
      </c>
      <c r="K825">
        <f>'insurance final cleaned'!Q1334</f>
        <v>1</v>
      </c>
      <c r="L825">
        <f>'insurance final cleaned'!R1334</f>
        <v>0</v>
      </c>
      <c r="M825">
        <f>'insurance final cleaned'!S1334</f>
        <v>0</v>
      </c>
    </row>
    <row r="826" spans="1:13" x14ac:dyDescent="0.3">
      <c r="A826">
        <f>'insurance final cleaned'!J543</f>
        <v>7441.05</v>
      </c>
      <c r="B826">
        <f>'insurance final cleaned'!B543</f>
        <v>46</v>
      </c>
      <c r="C826">
        <f>'insurance final cleaned'!D543</f>
        <v>30.2</v>
      </c>
      <c r="D826">
        <f>'insurance final cleaned'!G543</f>
        <v>1</v>
      </c>
      <c r="E826">
        <f>'insurance final cleaned'!E543</f>
        <v>80</v>
      </c>
      <c r="F826">
        <f>'insurance final cleaned'!L543</f>
        <v>0</v>
      </c>
      <c r="G826">
        <f>'insurance final cleaned'!M543</f>
        <v>0</v>
      </c>
      <c r="H826">
        <f>'insurance final cleaned'!N543</f>
        <v>1</v>
      </c>
      <c r="I826">
        <f>'insurance final cleaned'!O543</f>
        <v>0</v>
      </c>
      <c r="J826">
        <f>'insurance final cleaned'!P543</f>
        <v>0.61524955197125941</v>
      </c>
      <c r="K826">
        <f>'insurance final cleaned'!Q543</f>
        <v>0</v>
      </c>
      <c r="L826">
        <f>'insurance final cleaned'!R543</f>
        <v>0</v>
      </c>
      <c r="M826">
        <f>'insurance final cleaned'!S543</f>
        <v>0</v>
      </c>
    </row>
    <row r="827" spans="1:13" x14ac:dyDescent="0.3">
      <c r="A827">
        <f>'insurance final cleaned'!J756</f>
        <v>10704.47</v>
      </c>
      <c r="B827">
        <f>'insurance final cleaned'!B756</f>
        <v>59</v>
      </c>
      <c r="C827">
        <f>'insurance final cleaned'!D756</f>
        <v>30.5</v>
      </c>
      <c r="D827">
        <f>'insurance final cleaned'!G756</f>
        <v>0</v>
      </c>
      <c r="E827">
        <f>'insurance final cleaned'!E756</f>
        <v>82</v>
      </c>
      <c r="F827">
        <f>'insurance final cleaned'!L756</f>
        <v>0</v>
      </c>
      <c r="G827">
        <f>'insurance final cleaned'!M756</f>
        <v>0</v>
      </c>
      <c r="H827">
        <f>'insurance final cleaned'!N756</f>
        <v>1</v>
      </c>
      <c r="I827">
        <f>'insurance final cleaned'!O756</f>
        <v>0</v>
      </c>
      <c r="J827">
        <f>'insurance final cleaned'!P756</f>
        <v>0.6169077043314003</v>
      </c>
      <c r="K827">
        <f>'insurance final cleaned'!Q756</f>
        <v>0</v>
      </c>
      <c r="L827">
        <f>'insurance final cleaned'!R756</f>
        <v>0</v>
      </c>
      <c r="M827">
        <f>'insurance final cleaned'!S756</f>
        <v>1</v>
      </c>
    </row>
    <row r="828" spans="1:13" x14ac:dyDescent="0.3">
      <c r="A828">
        <f>'insurance final cleaned'!J1303</f>
        <v>44641.2</v>
      </c>
      <c r="B828">
        <f>'insurance final cleaned'!B1303</f>
        <v>60</v>
      </c>
      <c r="C828">
        <f>'insurance final cleaned'!D1303</f>
        <v>35</v>
      </c>
      <c r="D828">
        <f>'insurance final cleaned'!G1303</f>
        <v>2</v>
      </c>
      <c r="E828">
        <f>'insurance final cleaned'!E1303</f>
        <v>92</v>
      </c>
      <c r="F828">
        <f>'insurance final cleaned'!L1303</f>
        <v>35</v>
      </c>
      <c r="G828">
        <f>'insurance final cleaned'!M1303</f>
        <v>0</v>
      </c>
      <c r="H828">
        <f>'insurance final cleaned'!N1303</f>
        <v>0</v>
      </c>
      <c r="I828">
        <f>'insurance final cleaned'!O1303</f>
        <v>0</v>
      </c>
      <c r="J828">
        <f>'insurance final cleaned'!P1303</f>
        <v>0.61815990967263168</v>
      </c>
      <c r="K828">
        <f>'insurance final cleaned'!Q1303</f>
        <v>1</v>
      </c>
      <c r="L828">
        <f>'insurance final cleaned'!R1303</f>
        <v>1</v>
      </c>
      <c r="M828">
        <f>'insurance final cleaned'!S1303</f>
        <v>1</v>
      </c>
    </row>
    <row r="829" spans="1:13" x14ac:dyDescent="0.3">
      <c r="A829">
        <f>'insurance final cleaned'!J643</f>
        <v>8891.14</v>
      </c>
      <c r="B829">
        <f>'insurance final cleaned'!B643</f>
        <v>35</v>
      </c>
      <c r="C829">
        <f>'insurance final cleaned'!D643</f>
        <v>21.9</v>
      </c>
      <c r="D829">
        <f>'insurance final cleaned'!G643</f>
        <v>3</v>
      </c>
      <c r="E829">
        <f>'insurance final cleaned'!E643</f>
        <v>99</v>
      </c>
      <c r="F829">
        <f>'insurance final cleaned'!L643</f>
        <v>0</v>
      </c>
      <c r="G829">
        <f>'insurance final cleaned'!M643</f>
        <v>0</v>
      </c>
      <c r="H829">
        <f>'insurance final cleaned'!N643</f>
        <v>0</v>
      </c>
      <c r="I829">
        <f>'insurance final cleaned'!O643</f>
        <v>0</v>
      </c>
      <c r="J829">
        <f>'insurance final cleaned'!P643</f>
        <v>0.618280606688971</v>
      </c>
      <c r="K829">
        <f>'insurance final cleaned'!Q643</f>
        <v>0</v>
      </c>
      <c r="L829">
        <f>'insurance final cleaned'!R643</f>
        <v>0</v>
      </c>
      <c r="M829">
        <f>'insurance final cleaned'!S643</f>
        <v>0</v>
      </c>
    </row>
    <row r="830" spans="1:13" x14ac:dyDescent="0.3">
      <c r="A830">
        <f>'insurance final cleaned'!J1221</f>
        <v>36219.410000000003</v>
      </c>
      <c r="B830">
        <f>'insurance final cleaned'!B1221</f>
        <v>35</v>
      </c>
      <c r="C830">
        <f>'insurance final cleaned'!D1221</f>
        <v>37</v>
      </c>
      <c r="D830">
        <f>'insurance final cleaned'!G1221</f>
        <v>0</v>
      </c>
      <c r="E830">
        <f>'insurance final cleaned'!E1221</f>
        <v>108</v>
      </c>
      <c r="F830">
        <f>'insurance final cleaned'!L1221</f>
        <v>37</v>
      </c>
      <c r="G830">
        <f>'insurance final cleaned'!M1221</f>
        <v>0</v>
      </c>
      <c r="H830">
        <f>'insurance final cleaned'!N1221</f>
        <v>0</v>
      </c>
      <c r="I830">
        <f>'insurance final cleaned'!O1221</f>
        <v>1</v>
      </c>
      <c r="J830">
        <f>'insurance final cleaned'!P1221</f>
        <v>0.61896904512302231</v>
      </c>
      <c r="K830">
        <f>'insurance final cleaned'!Q1221</f>
        <v>1</v>
      </c>
      <c r="L830">
        <f>'insurance final cleaned'!R1221</f>
        <v>1</v>
      </c>
      <c r="M830">
        <f>'insurance final cleaned'!S1221</f>
        <v>0</v>
      </c>
    </row>
    <row r="831" spans="1:13" x14ac:dyDescent="0.3">
      <c r="A831">
        <f>'insurance final cleaned'!J1233</f>
        <v>37465.339999999997</v>
      </c>
      <c r="B831">
        <f>'insurance final cleaned'!B1233</f>
        <v>31</v>
      </c>
      <c r="C831">
        <f>'insurance final cleaned'!D1233</f>
        <v>35.6</v>
      </c>
      <c r="D831">
        <f>'insurance final cleaned'!G1233</f>
        <v>3</v>
      </c>
      <c r="E831">
        <f>'insurance final cleaned'!E1233</f>
        <v>106</v>
      </c>
      <c r="F831">
        <f>'insurance final cleaned'!L1233</f>
        <v>35.6</v>
      </c>
      <c r="G831">
        <f>'insurance final cleaned'!M1233</f>
        <v>0</v>
      </c>
      <c r="H831">
        <f>'insurance final cleaned'!N1233</f>
        <v>0</v>
      </c>
      <c r="I831">
        <f>'insurance final cleaned'!O1233</f>
        <v>1</v>
      </c>
      <c r="J831">
        <f>'insurance final cleaned'!P1233</f>
        <v>0.61910852805470618</v>
      </c>
      <c r="K831">
        <f>'insurance final cleaned'!Q1233</f>
        <v>1</v>
      </c>
      <c r="L831">
        <f>'insurance final cleaned'!R1233</f>
        <v>0</v>
      </c>
      <c r="M831">
        <f>'insurance final cleaned'!S1233</f>
        <v>0</v>
      </c>
    </row>
    <row r="832" spans="1:13" x14ac:dyDescent="0.3">
      <c r="A832">
        <f>'insurance final cleaned'!J791</f>
        <v>11264.54</v>
      </c>
      <c r="B832">
        <f>'insurance final cleaned'!B791</f>
        <v>49</v>
      </c>
      <c r="C832">
        <f>'insurance final cleaned'!D791</f>
        <v>36.6</v>
      </c>
      <c r="D832">
        <f>'insurance final cleaned'!G791</f>
        <v>3</v>
      </c>
      <c r="E832">
        <f>'insurance final cleaned'!E791</f>
        <v>84</v>
      </c>
      <c r="F832">
        <f>'insurance final cleaned'!L791</f>
        <v>0</v>
      </c>
      <c r="G832">
        <f>'insurance final cleaned'!M791</f>
        <v>0</v>
      </c>
      <c r="H832">
        <f>'insurance final cleaned'!N791</f>
        <v>1</v>
      </c>
      <c r="I832">
        <f>'insurance final cleaned'!O791</f>
        <v>0</v>
      </c>
      <c r="J832">
        <f>'insurance final cleaned'!P791</f>
        <v>0.61971213471767506</v>
      </c>
      <c r="K832">
        <f>'insurance final cleaned'!Q791</f>
        <v>0</v>
      </c>
      <c r="L832">
        <f>'insurance final cleaned'!R791</f>
        <v>0</v>
      </c>
      <c r="M832">
        <f>'insurance final cleaned'!S791</f>
        <v>0</v>
      </c>
    </row>
    <row r="833" spans="1:13" x14ac:dyDescent="0.3">
      <c r="A833">
        <f>'insurance final cleaned'!J1272</f>
        <v>40974.160000000003</v>
      </c>
      <c r="B833">
        <f>'insurance final cleaned'!B1272</f>
        <v>27</v>
      </c>
      <c r="C833">
        <f>'insurance final cleaned'!D1272</f>
        <v>33.1</v>
      </c>
      <c r="D833">
        <f>'insurance final cleaned'!G1272</f>
        <v>0</v>
      </c>
      <c r="E833">
        <f>'insurance final cleaned'!E1272</f>
        <v>128</v>
      </c>
      <c r="F833">
        <f>'insurance final cleaned'!L1272</f>
        <v>33.1</v>
      </c>
      <c r="G833">
        <f>'insurance final cleaned'!M1272</f>
        <v>1</v>
      </c>
      <c r="H833">
        <f>'insurance final cleaned'!N1272</f>
        <v>0</v>
      </c>
      <c r="I833">
        <f>'insurance final cleaned'!O1272</f>
        <v>0</v>
      </c>
      <c r="J833">
        <f>'insurance final cleaned'!P1272</f>
        <v>0.61990512114964402</v>
      </c>
      <c r="K833">
        <f>'insurance final cleaned'!Q1272</f>
        <v>1</v>
      </c>
      <c r="L833">
        <f>'insurance final cleaned'!R1272</f>
        <v>0</v>
      </c>
      <c r="M833">
        <f>'insurance final cleaned'!S1272</f>
        <v>1</v>
      </c>
    </row>
    <row r="834" spans="1:13" x14ac:dyDescent="0.3">
      <c r="A834">
        <f>'insurance final cleaned'!J1239</f>
        <v>38126.25</v>
      </c>
      <c r="B834">
        <f>'insurance final cleaned'!B1239</f>
        <v>46</v>
      </c>
      <c r="C834">
        <f>'insurance final cleaned'!D1239</f>
        <v>40.200000000000003</v>
      </c>
      <c r="D834">
        <f>'insurance final cleaned'!G1239</f>
        <v>0</v>
      </c>
      <c r="E834">
        <f>'insurance final cleaned'!E1239</f>
        <v>89</v>
      </c>
      <c r="F834">
        <f>'insurance final cleaned'!L1239</f>
        <v>40.200000000000003</v>
      </c>
      <c r="G834">
        <f>'insurance final cleaned'!M1239</f>
        <v>1</v>
      </c>
      <c r="H834">
        <f>'insurance final cleaned'!N1239</f>
        <v>0</v>
      </c>
      <c r="I834">
        <f>'insurance final cleaned'!O1239</f>
        <v>0</v>
      </c>
      <c r="J834">
        <f>'insurance final cleaned'!P1239</f>
        <v>0.6203722525762112</v>
      </c>
      <c r="K834">
        <f>'insurance final cleaned'!Q1239</f>
        <v>1</v>
      </c>
      <c r="L834">
        <f>'insurance final cleaned'!R1239</f>
        <v>0</v>
      </c>
      <c r="M834">
        <f>'insurance final cleaned'!S1239</f>
        <v>0</v>
      </c>
    </row>
    <row r="835" spans="1:13" x14ac:dyDescent="0.3">
      <c r="A835">
        <f>'insurance final cleaned'!J854</f>
        <v>12096.65</v>
      </c>
      <c r="B835">
        <f>'insurance final cleaned'!B854</f>
        <v>30</v>
      </c>
      <c r="C835">
        <f>'insurance final cleaned'!D854</f>
        <v>28.9</v>
      </c>
      <c r="D835">
        <f>'insurance final cleaned'!G854</f>
        <v>2</v>
      </c>
      <c r="E835">
        <f>'insurance final cleaned'!E854</f>
        <v>94</v>
      </c>
      <c r="F835">
        <f>'insurance final cleaned'!L854</f>
        <v>0</v>
      </c>
      <c r="G835">
        <f>'insurance final cleaned'!M854</f>
        <v>0</v>
      </c>
      <c r="H835">
        <f>'insurance final cleaned'!N854</f>
        <v>0</v>
      </c>
      <c r="I835">
        <f>'insurance final cleaned'!O854</f>
        <v>0</v>
      </c>
      <c r="J835">
        <f>'insurance final cleaned'!P854</f>
        <v>0.6208808958386387</v>
      </c>
      <c r="K835">
        <f>'insurance final cleaned'!Q854</f>
        <v>0</v>
      </c>
      <c r="L835">
        <f>'insurance final cleaned'!R854</f>
        <v>0</v>
      </c>
      <c r="M835">
        <f>'insurance final cleaned'!S854</f>
        <v>1</v>
      </c>
    </row>
    <row r="836" spans="1:13" x14ac:dyDescent="0.3">
      <c r="A836">
        <f>'insurance final cleaned'!J532</f>
        <v>7323.73</v>
      </c>
      <c r="B836">
        <f>'insurance final cleaned'!B532</f>
        <v>37</v>
      </c>
      <c r="C836">
        <f>'insurance final cleaned'!D532</f>
        <v>29.2</v>
      </c>
      <c r="D836">
        <f>'insurance final cleaned'!G532</f>
        <v>0</v>
      </c>
      <c r="E836">
        <f>'insurance final cleaned'!E532</f>
        <v>92</v>
      </c>
      <c r="F836">
        <f>'insurance final cleaned'!L532</f>
        <v>0</v>
      </c>
      <c r="G836">
        <f>'insurance final cleaned'!M532</f>
        <v>1</v>
      </c>
      <c r="H836">
        <f>'insurance final cleaned'!N532</f>
        <v>0</v>
      </c>
      <c r="I836">
        <f>'insurance final cleaned'!O532</f>
        <v>0</v>
      </c>
      <c r="J836">
        <f>'insurance final cleaned'!P532</f>
        <v>0.62100321930181579</v>
      </c>
      <c r="K836">
        <f>'insurance final cleaned'!Q532</f>
        <v>0</v>
      </c>
      <c r="L836">
        <f>'insurance final cleaned'!R532</f>
        <v>0</v>
      </c>
      <c r="M836">
        <f>'insurance final cleaned'!S532</f>
        <v>1</v>
      </c>
    </row>
    <row r="837" spans="1:13" x14ac:dyDescent="0.3">
      <c r="A837">
        <f>'insurance final cleaned'!J33</f>
        <v>1627.28</v>
      </c>
      <c r="B837">
        <f>'insurance final cleaned'!B33</f>
        <v>49</v>
      </c>
      <c r="C837">
        <f>'insurance final cleaned'!D33</f>
        <v>21.8</v>
      </c>
      <c r="D837">
        <f>'insurance final cleaned'!G33</f>
        <v>0</v>
      </c>
      <c r="E837">
        <f>'insurance final cleaned'!E33</f>
        <v>80</v>
      </c>
      <c r="F837">
        <f>'insurance final cleaned'!L33</f>
        <v>0</v>
      </c>
      <c r="G837">
        <f>'insurance final cleaned'!M33</f>
        <v>0</v>
      </c>
      <c r="H837">
        <f>'insurance final cleaned'!N33</f>
        <v>0</v>
      </c>
      <c r="I837">
        <f>'insurance final cleaned'!O33</f>
        <v>1</v>
      </c>
      <c r="J837">
        <f>'insurance final cleaned'!P33</f>
        <v>0.62175153786167803</v>
      </c>
      <c r="K837">
        <f>'insurance final cleaned'!Q33</f>
        <v>0</v>
      </c>
      <c r="L837">
        <f>'insurance final cleaned'!R33</f>
        <v>0</v>
      </c>
      <c r="M837">
        <f>'insurance final cleaned'!S33</f>
        <v>0</v>
      </c>
    </row>
    <row r="838" spans="1:13" x14ac:dyDescent="0.3">
      <c r="A838">
        <f>'insurance final cleaned'!J277</f>
        <v>4058.71</v>
      </c>
      <c r="B838">
        <f>'insurance final cleaned'!B277</f>
        <v>37</v>
      </c>
      <c r="C838">
        <f>'insurance final cleaned'!D277</f>
        <v>33.200000000000003</v>
      </c>
      <c r="D838">
        <f>'insurance final cleaned'!G277</f>
        <v>2</v>
      </c>
      <c r="E838">
        <f>'insurance final cleaned'!E277</f>
        <v>90</v>
      </c>
      <c r="F838">
        <f>'insurance final cleaned'!L277</f>
        <v>0</v>
      </c>
      <c r="G838">
        <f>'insurance final cleaned'!M277</f>
        <v>0</v>
      </c>
      <c r="H838">
        <f>'insurance final cleaned'!N277</f>
        <v>0</v>
      </c>
      <c r="I838">
        <f>'insurance final cleaned'!O277</f>
        <v>1</v>
      </c>
      <c r="J838">
        <f>'insurance final cleaned'!P277</f>
        <v>0.62238766880941698</v>
      </c>
      <c r="K838">
        <f>'insurance final cleaned'!Q277</f>
        <v>0</v>
      </c>
      <c r="L838">
        <f>'insurance final cleaned'!R277</f>
        <v>1</v>
      </c>
      <c r="M838">
        <f>'insurance final cleaned'!S277</f>
        <v>0</v>
      </c>
    </row>
    <row r="839" spans="1:13" x14ac:dyDescent="0.3">
      <c r="A839">
        <f>'insurance final cleaned'!J34</f>
        <v>1628.47</v>
      </c>
      <c r="B839">
        <f>'insurance final cleaned'!B34</f>
        <v>21</v>
      </c>
      <c r="C839">
        <f>'insurance final cleaned'!D34</f>
        <v>22.6</v>
      </c>
      <c r="D839">
        <f>'insurance final cleaned'!G34</f>
        <v>0</v>
      </c>
      <c r="E839">
        <f>'insurance final cleaned'!E34</f>
        <v>96</v>
      </c>
      <c r="F839">
        <f>'insurance final cleaned'!L34</f>
        <v>0</v>
      </c>
      <c r="G839">
        <f>'insurance final cleaned'!M34</f>
        <v>0</v>
      </c>
      <c r="H839">
        <f>'insurance final cleaned'!N34</f>
        <v>0</v>
      </c>
      <c r="I839">
        <f>'insurance final cleaned'!O34</f>
        <v>1</v>
      </c>
      <c r="J839">
        <f>'insurance final cleaned'!P34</f>
        <v>0.62335601474790836</v>
      </c>
      <c r="K839">
        <f>'insurance final cleaned'!Q34</f>
        <v>0</v>
      </c>
      <c r="L839">
        <f>'insurance final cleaned'!R34</f>
        <v>1</v>
      </c>
      <c r="M839">
        <f>'insurance final cleaned'!S34</f>
        <v>0</v>
      </c>
    </row>
    <row r="840" spans="1:13" x14ac:dyDescent="0.3">
      <c r="A840">
        <f>'insurance final cleaned'!J1051</f>
        <v>19144.580000000002</v>
      </c>
      <c r="B840">
        <f>'insurance final cleaned'!B1051</f>
        <v>27</v>
      </c>
      <c r="C840">
        <f>'insurance final cleaned'!D1051</f>
        <v>35.700000000000003</v>
      </c>
      <c r="D840">
        <f>'insurance final cleaned'!G1051</f>
        <v>2</v>
      </c>
      <c r="E840">
        <f>'insurance final cleaned'!E1051</f>
        <v>96</v>
      </c>
      <c r="F840">
        <f>'insurance final cleaned'!L1051</f>
        <v>0</v>
      </c>
      <c r="G840">
        <f>'insurance final cleaned'!M1051</f>
        <v>0</v>
      </c>
      <c r="H840">
        <f>'insurance final cleaned'!N1051</f>
        <v>0</v>
      </c>
      <c r="I840">
        <f>'insurance final cleaned'!O1051</f>
        <v>0</v>
      </c>
      <c r="J840">
        <f>'insurance final cleaned'!P1051</f>
        <v>0.62351992023598002</v>
      </c>
      <c r="K840">
        <f>'insurance final cleaned'!Q1051</f>
        <v>0</v>
      </c>
      <c r="L840">
        <f>'insurance final cleaned'!R1051</f>
        <v>1</v>
      </c>
      <c r="M840">
        <f>'insurance final cleaned'!S1051</f>
        <v>1</v>
      </c>
    </row>
    <row r="841" spans="1:13" x14ac:dyDescent="0.3">
      <c r="A841">
        <f>'insurance final cleaned'!J1132</f>
        <v>24520.26</v>
      </c>
      <c r="B841">
        <f>'insurance final cleaned'!B1132</f>
        <v>39</v>
      </c>
      <c r="C841">
        <f>'insurance final cleaned'!D1132</f>
        <v>27.6</v>
      </c>
      <c r="D841">
        <f>'insurance final cleaned'!G1132</f>
        <v>1</v>
      </c>
      <c r="E841">
        <f>'insurance final cleaned'!E1132</f>
        <v>104</v>
      </c>
      <c r="F841">
        <f>'insurance final cleaned'!L1132</f>
        <v>27.6</v>
      </c>
      <c r="G841">
        <f>'insurance final cleaned'!M1132</f>
        <v>0</v>
      </c>
      <c r="H841">
        <f>'insurance final cleaned'!N1132</f>
        <v>1</v>
      </c>
      <c r="I841">
        <f>'insurance final cleaned'!O1132</f>
        <v>0</v>
      </c>
      <c r="J841">
        <f>'insurance final cleaned'!P1132</f>
        <v>0.62372677132614951</v>
      </c>
      <c r="K841">
        <f>'insurance final cleaned'!Q1132</f>
        <v>1</v>
      </c>
      <c r="L841">
        <f>'insurance final cleaned'!R1132</f>
        <v>1</v>
      </c>
      <c r="M841">
        <f>'insurance final cleaned'!S1132</f>
        <v>1</v>
      </c>
    </row>
    <row r="842" spans="1:13" x14ac:dyDescent="0.3">
      <c r="A842">
        <f>'insurance final cleaned'!J868</f>
        <v>12269.69</v>
      </c>
      <c r="B842">
        <f>'insurance final cleaned'!B868</f>
        <v>59</v>
      </c>
      <c r="C842">
        <f>'insurance final cleaned'!D868</f>
        <v>33.5</v>
      </c>
      <c r="D842">
        <f>'insurance final cleaned'!G868</f>
        <v>2</v>
      </c>
      <c r="E842">
        <f>'insurance final cleaned'!E868</f>
        <v>97</v>
      </c>
      <c r="F842">
        <f>'insurance final cleaned'!L868</f>
        <v>0</v>
      </c>
      <c r="G842">
        <f>'insurance final cleaned'!M868</f>
        <v>0</v>
      </c>
      <c r="H842">
        <f>'insurance final cleaned'!N868</f>
        <v>0</v>
      </c>
      <c r="I842">
        <f>'insurance final cleaned'!O868</f>
        <v>1</v>
      </c>
      <c r="J842">
        <f>'insurance final cleaned'!P868</f>
        <v>0.62647776818268586</v>
      </c>
      <c r="K842">
        <f>'insurance final cleaned'!Q868</f>
        <v>0</v>
      </c>
      <c r="L842">
        <f>'insurance final cleaned'!R868</f>
        <v>0</v>
      </c>
      <c r="M842">
        <f>'insurance final cleaned'!S868</f>
        <v>1</v>
      </c>
    </row>
    <row r="843" spans="1:13" x14ac:dyDescent="0.3">
      <c r="A843">
        <f>'insurance final cleaned'!J475</f>
        <v>6571.02</v>
      </c>
      <c r="B843">
        <f>'insurance final cleaned'!B475</f>
        <v>48</v>
      </c>
      <c r="C843">
        <f>'insurance final cleaned'!D475</f>
        <v>33</v>
      </c>
      <c r="D843">
        <f>'insurance final cleaned'!G475</f>
        <v>0</v>
      </c>
      <c r="E843">
        <f>'insurance final cleaned'!E475</f>
        <v>99</v>
      </c>
      <c r="F843">
        <f>'insurance final cleaned'!L475</f>
        <v>0</v>
      </c>
      <c r="G843">
        <f>'insurance final cleaned'!M475</f>
        <v>0</v>
      </c>
      <c r="H843">
        <f>'insurance final cleaned'!N475</f>
        <v>0</v>
      </c>
      <c r="I843">
        <f>'insurance final cleaned'!O475</f>
        <v>1</v>
      </c>
      <c r="J843">
        <f>'insurance final cleaned'!P475</f>
        <v>0.62675386438055292</v>
      </c>
      <c r="K843">
        <f>'insurance final cleaned'!Q475</f>
        <v>0</v>
      </c>
      <c r="L843">
        <f>'insurance final cleaned'!R475</f>
        <v>0</v>
      </c>
      <c r="M843">
        <f>'insurance final cleaned'!S475</f>
        <v>1</v>
      </c>
    </row>
    <row r="844" spans="1:13" x14ac:dyDescent="0.3">
      <c r="A844">
        <f>'insurance final cleaned'!J719</f>
        <v>10085.85</v>
      </c>
      <c r="B844">
        <f>'insurance final cleaned'!B719</f>
        <v>27</v>
      </c>
      <c r="C844">
        <f>'insurance final cleaned'!D719</f>
        <v>36.1</v>
      </c>
      <c r="D844">
        <f>'insurance final cleaned'!G719</f>
        <v>1</v>
      </c>
      <c r="E844">
        <f>'insurance final cleaned'!E719</f>
        <v>104</v>
      </c>
      <c r="F844">
        <f>'insurance final cleaned'!L719</f>
        <v>0</v>
      </c>
      <c r="G844">
        <f>'insurance final cleaned'!M719</f>
        <v>0</v>
      </c>
      <c r="H844">
        <f>'insurance final cleaned'!N719</f>
        <v>1</v>
      </c>
      <c r="I844">
        <f>'insurance final cleaned'!O719</f>
        <v>0</v>
      </c>
      <c r="J844">
        <f>'insurance final cleaned'!P719</f>
        <v>0.62677323049168687</v>
      </c>
      <c r="K844">
        <f>'insurance final cleaned'!Q719</f>
        <v>0</v>
      </c>
      <c r="L844">
        <f>'insurance final cleaned'!R719</f>
        <v>1</v>
      </c>
      <c r="M844">
        <f>'insurance final cleaned'!S719</f>
        <v>0</v>
      </c>
    </row>
    <row r="845" spans="1:13" x14ac:dyDescent="0.3">
      <c r="A845">
        <f>'insurance final cleaned'!J342</f>
        <v>4753.6400000000003</v>
      </c>
      <c r="B845">
        <f>'insurance final cleaned'!B342</f>
        <v>50</v>
      </c>
      <c r="C845">
        <f>'insurance final cleaned'!D342</f>
        <v>43.1</v>
      </c>
      <c r="D845">
        <f>'insurance final cleaned'!G342</f>
        <v>2</v>
      </c>
      <c r="E845">
        <f>'insurance final cleaned'!E342</f>
        <v>98</v>
      </c>
      <c r="F845">
        <f>'insurance final cleaned'!L342</f>
        <v>0</v>
      </c>
      <c r="G845">
        <f>'insurance final cleaned'!M342</f>
        <v>1</v>
      </c>
      <c r="H845">
        <f>'insurance final cleaned'!N342</f>
        <v>0</v>
      </c>
      <c r="I845">
        <f>'insurance final cleaned'!O342</f>
        <v>0</v>
      </c>
      <c r="J845">
        <f>'insurance final cleaned'!P342</f>
        <v>0.62805890739356585</v>
      </c>
      <c r="K845">
        <f>'insurance final cleaned'!Q342</f>
        <v>0</v>
      </c>
      <c r="L845">
        <f>'insurance final cleaned'!R342</f>
        <v>0</v>
      </c>
      <c r="M845">
        <f>'insurance final cleaned'!S342</f>
        <v>1</v>
      </c>
    </row>
    <row r="846" spans="1:13" x14ac:dyDescent="0.3">
      <c r="A846">
        <f>'insurance final cleaned'!J807</f>
        <v>11411.69</v>
      </c>
      <c r="B846">
        <f>'insurance final cleaned'!B807</f>
        <v>37</v>
      </c>
      <c r="C846">
        <f>'insurance final cleaned'!D807</f>
        <v>44.7</v>
      </c>
      <c r="D846">
        <f>'insurance final cleaned'!G807</f>
        <v>3</v>
      </c>
      <c r="E846">
        <f>'insurance final cleaned'!E807</f>
        <v>81</v>
      </c>
      <c r="F846">
        <f>'insurance final cleaned'!L807</f>
        <v>0</v>
      </c>
      <c r="G846">
        <f>'insurance final cleaned'!M807</f>
        <v>0</v>
      </c>
      <c r="H846">
        <f>'insurance final cleaned'!N807</f>
        <v>1</v>
      </c>
      <c r="I846">
        <f>'insurance final cleaned'!O807</f>
        <v>0</v>
      </c>
      <c r="J846">
        <f>'insurance final cleaned'!P807</f>
        <v>0.62871994153180433</v>
      </c>
      <c r="K846">
        <f>'insurance final cleaned'!Q807</f>
        <v>0</v>
      </c>
      <c r="L846">
        <f>'insurance final cleaned'!R807</f>
        <v>0</v>
      </c>
      <c r="M846">
        <f>'insurance final cleaned'!S807</f>
        <v>1</v>
      </c>
    </row>
    <row r="847" spans="1:13" x14ac:dyDescent="0.3">
      <c r="A847">
        <f>'insurance final cleaned'!J1015</f>
        <v>17178.68</v>
      </c>
      <c r="B847">
        <f>'insurance final cleaned'!B1015</f>
        <v>45</v>
      </c>
      <c r="C847">
        <f>'insurance final cleaned'!D1015</f>
        <v>27.4</v>
      </c>
      <c r="D847">
        <f>'insurance final cleaned'!G1015</f>
        <v>1</v>
      </c>
      <c r="E847">
        <f>'insurance final cleaned'!E1015</f>
        <v>83</v>
      </c>
      <c r="F847">
        <f>'insurance final cleaned'!L1015</f>
        <v>27.4</v>
      </c>
      <c r="G847">
        <f>'insurance final cleaned'!M1015</f>
        <v>0</v>
      </c>
      <c r="H847">
        <f>'insurance final cleaned'!N1015</f>
        <v>0</v>
      </c>
      <c r="I847">
        <f>'insurance final cleaned'!O1015</f>
        <v>0</v>
      </c>
      <c r="J847">
        <f>'insurance final cleaned'!P1015</f>
        <v>0.62943859902763788</v>
      </c>
      <c r="K847">
        <f>'insurance final cleaned'!Q1015</f>
        <v>1</v>
      </c>
      <c r="L847">
        <f>'insurance final cleaned'!R1015</f>
        <v>0</v>
      </c>
      <c r="M847">
        <f>'insurance final cleaned'!S1015</f>
        <v>0</v>
      </c>
    </row>
    <row r="848" spans="1:13" x14ac:dyDescent="0.3">
      <c r="A848">
        <f>'insurance final cleaned'!J163</f>
        <v>2643.27</v>
      </c>
      <c r="B848">
        <f>'insurance final cleaned'!B163</f>
        <v>21</v>
      </c>
      <c r="C848">
        <f>'insurance final cleaned'!D163</f>
        <v>31.4</v>
      </c>
      <c r="D848">
        <f>'insurance final cleaned'!G163</f>
        <v>1</v>
      </c>
      <c r="E848">
        <f>'insurance final cleaned'!E163</f>
        <v>91</v>
      </c>
      <c r="F848">
        <f>'insurance final cleaned'!L163</f>
        <v>0</v>
      </c>
      <c r="G848">
        <f>'insurance final cleaned'!M163</f>
        <v>0</v>
      </c>
      <c r="H848">
        <f>'insurance final cleaned'!N163</f>
        <v>0</v>
      </c>
      <c r="I848">
        <f>'insurance final cleaned'!O163</f>
        <v>1</v>
      </c>
      <c r="J848">
        <f>'insurance final cleaned'!P163</f>
        <v>0.62972285076669288</v>
      </c>
      <c r="K848">
        <f>'insurance final cleaned'!Q163</f>
        <v>0</v>
      </c>
      <c r="L848">
        <f>'insurance final cleaned'!R163</f>
        <v>0</v>
      </c>
      <c r="M848">
        <f>'insurance final cleaned'!S163</f>
        <v>0</v>
      </c>
    </row>
    <row r="849" spans="1:13" x14ac:dyDescent="0.3">
      <c r="A849">
        <f>'insurance final cleaned'!J885</f>
        <v>12629.17</v>
      </c>
      <c r="B849">
        <f>'insurance final cleaned'!B885</f>
        <v>57</v>
      </c>
      <c r="C849">
        <f>'insurance final cleaned'!D885</f>
        <v>25.7</v>
      </c>
      <c r="D849">
        <f>'insurance final cleaned'!G885</f>
        <v>2</v>
      </c>
      <c r="E849">
        <f>'insurance final cleaned'!E885</f>
        <v>94</v>
      </c>
      <c r="F849">
        <f>'insurance final cleaned'!L885</f>
        <v>0</v>
      </c>
      <c r="G849">
        <f>'insurance final cleaned'!M885</f>
        <v>1</v>
      </c>
      <c r="H849">
        <f>'insurance final cleaned'!N885</f>
        <v>0</v>
      </c>
      <c r="I849">
        <f>'insurance final cleaned'!O885</f>
        <v>0</v>
      </c>
      <c r="J849">
        <f>'insurance final cleaned'!P885</f>
        <v>0.63032729257335052</v>
      </c>
      <c r="K849">
        <f>'insurance final cleaned'!Q885</f>
        <v>0</v>
      </c>
      <c r="L849">
        <f>'insurance final cleaned'!R885</f>
        <v>0</v>
      </c>
      <c r="M849">
        <f>'insurance final cleaned'!S885</f>
        <v>1</v>
      </c>
    </row>
    <row r="850" spans="1:13" x14ac:dyDescent="0.3">
      <c r="A850">
        <f>'insurance final cleaned'!J1177</f>
        <v>29186.48</v>
      </c>
      <c r="B850">
        <f>'insurance final cleaned'!B1177</f>
        <v>52</v>
      </c>
      <c r="C850">
        <f>'insurance final cleaned'!D1177</f>
        <v>32.299999999999997</v>
      </c>
      <c r="D850">
        <f>'insurance final cleaned'!G1177</f>
        <v>2</v>
      </c>
      <c r="E850">
        <f>'insurance final cleaned'!E1177</f>
        <v>99</v>
      </c>
      <c r="F850">
        <f>'insurance final cleaned'!L1177</f>
        <v>0</v>
      </c>
      <c r="G850">
        <f>'insurance final cleaned'!M1177</f>
        <v>0</v>
      </c>
      <c r="H850">
        <f>'insurance final cleaned'!N1177</f>
        <v>0</v>
      </c>
      <c r="I850">
        <f>'insurance final cleaned'!O1177</f>
        <v>0</v>
      </c>
      <c r="J850">
        <f>'insurance final cleaned'!P1177</f>
        <v>0.63053213660741358</v>
      </c>
      <c r="K850">
        <f>'insurance final cleaned'!Q1177</f>
        <v>0</v>
      </c>
      <c r="L850">
        <f>'insurance final cleaned'!R1177</f>
        <v>1</v>
      </c>
      <c r="M850">
        <f>'insurance final cleaned'!S1177</f>
        <v>1</v>
      </c>
    </row>
    <row r="851" spans="1:13" x14ac:dyDescent="0.3">
      <c r="A851">
        <f>'insurance final cleaned'!J576</f>
        <v>8026.67</v>
      </c>
      <c r="B851">
        <f>'insurance final cleaned'!B576</f>
        <v>53</v>
      </c>
      <c r="C851">
        <f>'insurance final cleaned'!D576</f>
        <v>27.7</v>
      </c>
      <c r="D851">
        <f>'insurance final cleaned'!G576</f>
        <v>0</v>
      </c>
      <c r="E851">
        <f>'insurance final cleaned'!E576</f>
        <v>88</v>
      </c>
      <c r="F851">
        <f>'insurance final cleaned'!L576</f>
        <v>0</v>
      </c>
      <c r="G851">
        <f>'insurance final cleaned'!M576</f>
        <v>0</v>
      </c>
      <c r="H851">
        <f>'insurance final cleaned'!N576</f>
        <v>0</v>
      </c>
      <c r="I851">
        <f>'insurance final cleaned'!O576</f>
        <v>1</v>
      </c>
      <c r="J851">
        <f>'insurance final cleaned'!P576</f>
        <v>0.63123975497974028</v>
      </c>
      <c r="K851">
        <f>'insurance final cleaned'!Q576</f>
        <v>0</v>
      </c>
      <c r="L851">
        <f>'insurance final cleaned'!R576</f>
        <v>1</v>
      </c>
      <c r="M851">
        <f>'insurance final cleaned'!S576</f>
        <v>1</v>
      </c>
    </row>
    <row r="852" spans="1:13" x14ac:dyDescent="0.3">
      <c r="A852">
        <f>'insurance final cleaned'!J890</f>
        <v>12646.21</v>
      </c>
      <c r="B852">
        <f>'insurance final cleaned'!B890</f>
        <v>28</v>
      </c>
      <c r="C852">
        <f>'insurance final cleaned'!D890</f>
        <v>38</v>
      </c>
      <c r="D852">
        <f>'insurance final cleaned'!G890</f>
        <v>2</v>
      </c>
      <c r="E852">
        <f>'insurance final cleaned'!E890</f>
        <v>110</v>
      </c>
      <c r="F852">
        <f>'insurance final cleaned'!L890</f>
        <v>0</v>
      </c>
      <c r="G852">
        <f>'insurance final cleaned'!M890</f>
        <v>0</v>
      </c>
      <c r="H852">
        <f>'insurance final cleaned'!N890</f>
        <v>1</v>
      </c>
      <c r="I852">
        <f>'insurance final cleaned'!O890</f>
        <v>0</v>
      </c>
      <c r="J852">
        <f>'insurance final cleaned'!P890</f>
        <v>0.63190453947062175</v>
      </c>
      <c r="K852">
        <f>'insurance final cleaned'!Q890</f>
        <v>0</v>
      </c>
      <c r="L852">
        <f>'insurance final cleaned'!R890</f>
        <v>1</v>
      </c>
      <c r="M852">
        <f>'insurance final cleaned'!S890</f>
        <v>1</v>
      </c>
    </row>
    <row r="853" spans="1:13" x14ac:dyDescent="0.3">
      <c r="A853">
        <f>'insurance final cleaned'!J119</f>
        <v>2201.1</v>
      </c>
      <c r="B853">
        <f>'insurance final cleaned'!B119</f>
        <v>59</v>
      </c>
      <c r="C853">
        <f>'insurance final cleaned'!D119</f>
        <v>24.1</v>
      </c>
      <c r="D853">
        <f>'insurance final cleaned'!G119</f>
        <v>1</v>
      </c>
      <c r="E853">
        <f>'insurance final cleaned'!E119</f>
        <v>82</v>
      </c>
      <c r="F853">
        <f>'insurance final cleaned'!L119</f>
        <v>0</v>
      </c>
      <c r="G853">
        <f>'insurance final cleaned'!M119</f>
        <v>1</v>
      </c>
      <c r="H853">
        <f>'insurance final cleaned'!N119</f>
        <v>0</v>
      </c>
      <c r="I853">
        <f>'insurance final cleaned'!O119</f>
        <v>0</v>
      </c>
      <c r="J853">
        <f>'insurance final cleaned'!P119</f>
        <v>0.63207090318068115</v>
      </c>
      <c r="K853">
        <f>'insurance final cleaned'!Q119</f>
        <v>0</v>
      </c>
      <c r="L853">
        <f>'insurance final cleaned'!R119</f>
        <v>0</v>
      </c>
      <c r="M853">
        <f>'insurance final cleaned'!S119</f>
        <v>1</v>
      </c>
    </row>
    <row r="854" spans="1:13" x14ac:dyDescent="0.3">
      <c r="A854">
        <f>'insurance final cleaned'!J861</f>
        <v>12224.35</v>
      </c>
      <c r="B854">
        <f>'insurance final cleaned'!B861</f>
        <v>33</v>
      </c>
      <c r="C854">
        <f>'insurance final cleaned'!D861</f>
        <v>28.2</v>
      </c>
      <c r="D854">
        <f>'insurance final cleaned'!G861</f>
        <v>0</v>
      </c>
      <c r="E854">
        <f>'insurance final cleaned'!E861</f>
        <v>96</v>
      </c>
      <c r="F854">
        <f>'insurance final cleaned'!L861</f>
        <v>0</v>
      </c>
      <c r="G854">
        <f>'insurance final cleaned'!M861</f>
        <v>0</v>
      </c>
      <c r="H854">
        <f>'insurance final cleaned'!N861</f>
        <v>0</v>
      </c>
      <c r="I854">
        <f>'insurance final cleaned'!O861</f>
        <v>1</v>
      </c>
      <c r="J854">
        <f>'insurance final cleaned'!P861</f>
        <v>0.63242664423716777</v>
      </c>
      <c r="K854">
        <f>'insurance final cleaned'!Q861</f>
        <v>0</v>
      </c>
      <c r="L854">
        <f>'insurance final cleaned'!R861</f>
        <v>1</v>
      </c>
      <c r="M854">
        <f>'insurance final cleaned'!S861</f>
        <v>1</v>
      </c>
    </row>
    <row r="855" spans="1:13" x14ac:dyDescent="0.3">
      <c r="A855">
        <f>'insurance final cleaned'!J113</f>
        <v>2155.6799999999998</v>
      </c>
      <c r="B855">
        <f>'insurance final cleaned'!B113</f>
        <v>37</v>
      </c>
      <c r="C855">
        <f>'insurance final cleaned'!D113</f>
        <v>28.1</v>
      </c>
      <c r="D855">
        <f>'insurance final cleaned'!G113</f>
        <v>0</v>
      </c>
      <c r="E855">
        <f>'insurance final cleaned'!E113</f>
        <v>80</v>
      </c>
      <c r="F855">
        <f>'insurance final cleaned'!L113</f>
        <v>0</v>
      </c>
      <c r="G855">
        <f>'insurance final cleaned'!M113</f>
        <v>1</v>
      </c>
      <c r="H855">
        <f>'insurance final cleaned'!N113</f>
        <v>0</v>
      </c>
      <c r="I855">
        <f>'insurance final cleaned'!O113</f>
        <v>0</v>
      </c>
      <c r="J855">
        <f>'insurance final cleaned'!P113</f>
        <v>0.63300919219666996</v>
      </c>
      <c r="K855">
        <f>'insurance final cleaned'!Q113</f>
        <v>0</v>
      </c>
      <c r="L855">
        <f>'insurance final cleaned'!R113</f>
        <v>0</v>
      </c>
      <c r="M855">
        <f>'insurance final cleaned'!S113</f>
        <v>1</v>
      </c>
    </row>
    <row r="856" spans="1:13" x14ac:dyDescent="0.3">
      <c r="A856">
        <f>'insurance final cleaned'!J1218</f>
        <v>36149.480000000003</v>
      </c>
      <c r="B856">
        <f>'insurance final cleaned'!B1218</f>
        <v>34</v>
      </c>
      <c r="C856">
        <f>'insurance final cleaned'!D1218</f>
        <v>36.9</v>
      </c>
      <c r="D856">
        <f>'insurance final cleaned'!G1218</f>
        <v>0</v>
      </c>
      <c r="E856">
        <f>'insurance final cleaned'!E1218</f>
        <v>131</v>
      </c>
      <c r="F856">
        <f>'insurance final cleaned'!L1218</f>
        <v>36.9</v>
      </c>
      <c r="G856">
        <f>'insurance final cleaned'!M1218</f>
        <v>1</v>
      </c>
      <c r="H856">
        <f>'insurance final cleaned'!N1218</f>
        <v>0</v>
      </c>
      <c r="I856">
        <f>'insurance final cleaned'!O1218</f>
        <v>0</v>
      </c>
      <c r="J856">
        <f>'insurance final cleaned'!P1218</f>
        <v>0.63377951688827106</v>
      </c>
      <c r="K856">
        <f>'insurance final cleaned'!Q1218</f>
        <v>1</v>
      </c>
      <c r="L856">
        <f>'insurance final cleaned'!R1218</f>
        <v>0</v>
      </c>
      <c r="M856">
        <f>'insurance final cleaned'!S1218</f>
        <v>1</v>
      </c>
    </row>
    <row r="857" spans="1:13" x14ac:dyDescent="0.3">
      <c r="A857">
        <f>'insurance final cleaned'!J780</f>
        <v>11073.18</v>
      </c>
      <c r="B857">
        <f>'insurance final cleaned'!B780</f>
        <v>57</v>
      </c>
      <c r="C857">
        <f>'insurance final cleaned'!D780</f>
        <v>27.2</v>
      </c>
      <c r="D857">
        <f>'insurance final cleaned'!G780</f>
        <v>0</v>
      </c>
      <c r="E857">
        <f>'insurance final cleaned'!E780</f>
        <v>90</v>
      </c>
      <c r="F857">
        <f>'insurance final cleaned'!L780</f>
        <v>0</v>
      </c>
      <c r="G857">
        <f>'insurance final cleaned'!M780</f>
        <v>0</v>
      </c>
      <c r="H857">
        <f>'insurance final cleaned'!N780</f>
        <v>1</v>
      </c>
      <c r="I857">
        <f>'insurance final cleaned'!O780</f>
        <v>0</v>
      </c>
      <c r="J857">
        <f>'insurance final cleaned'!P780</f>
        <v>0.63422890349480432</v>
      </c>
      <c r="K857">
        <f>'insurance final cleaned'!Q780</f>
        <v>0</v>
      </c>
      <c r="L857">
        <f>'insurance final cleaned'!R780</f>
        <v>1</v>
      </c>
      <c r="M857">
        <f>'insurance final cleaned'!S780</f>
        <v>1</v>
      </c>
    </row>
    <row r="858" spans="1:13" x14ac:dyDescent="0.3">
      <c r="A858">
        <f>'insurance final cleaned'!J288</f>
        <v>4237.13</v>
      </c>
      <c r="B858">
        <f>'insurance final cleaned'!B288</f>
        <v>30</v>
      </c>
      <c r="C858">
        <f>'insurance final cleaned'!D288</f>
        <v>27.6</v>
      </c>
      <c r="D858">
        <f>'insurance final cleaned'!G288</f>
        <v>1</v>
      </c>
      <c r="E858">
        <f>'insurance final cleaned'!E288</f>
        <v>90</v>
      </c>
      <c r="F858">
        <f>'insurance final cleaned'!L288</f>
        <v>0</v>
      </c>
      <c r="G858">
        <f>'insurance final cleaned'!M288</f>
        <v>1</v>
      </c>
      <c r="H858">
        <f>'insurance final cleaned'!N288</f>
        <v>0</v>
      </c>
      <c r="I858">
        <f>'insurance final cleaned'!O288</f>
        <v>0</v>
      </c>
      <c r="J858">
        <f>'insurance final cleaned'!P288</f>
        <v>0.63444918544324347</v>
      </c>
      <c r="K858">
        <f>'insurance final cleaned'!Q288</f>
        <v>0</v>
      </c>
      <c r="L858">
        <f>'insurance final cleaned'!R288</f>
        <v>0</v>
      </c>
      <c r="M858">
        <f>'insurance final cleaned'!S288</f>
        <v>0</v>
      </c>
    </row>
    <row r="859" spans="1:13" x14ac:dyDescent="0.3">
      <c r="A859">
        <f>'insurance final cleaned'!J292</f>
        <v>4266.17</v>
      </c>
      <c r="B859">
        <f>'insurance final cleaned'!B292</f>
        <v>49</v>
      </c>
      <c r="C859">
        <f>'insurance final cleaned'!D292</f>
        <v>44.2</v>
      </c>
      <c r="D859">
        <f>'insurance final cleaned'!G292</f>
        <v>2</v>
      </c>
      <c r="E859">
        <f>'insurance final cleaned'!E292</f>
        <v>80</v>
      </c>
      <c r="F859">
        <f>'insurance final cleaned'!L292</f>
        <v>0</v>
      </c>
      <c r="G859">
        <f>'insurance final cleaned'!M292</f>
        <v>1</v>
      </c>
      <c r="H859">
        <f>'insurance final cleaned'!N292</f>
        <v>0</v>
      </c>
      <c r="I859">
        <f>'insurance final cleaned'!O292</f>
        <v>0</v>
      </c>
      <c r="J859">
        <f>'insurance final cleaned'!P292</f>
        <v>0.63452620770164103</v>
      </c>
      <c r="K859">
        <f>'insurance final cleaned'!Q292</f>
        <v>0</v>
      </c>
      <c r="L859">
        <f>'insurance final cleaned'!R292</f>
        <v>0</v>
      </c>
      <c r="M859">
        <f>'insurance final cleaned'!S292</f>
        <v>0</v>
      </c>
    </row>
    <row r="860" spans="1:13" x14ac:dyDescent="0.3">
      <c r="A860">
        <f>'insurance final cleaned'!J263</f>
        <v>3925.76</v>
      </c>
      <c r="B860">
        <f>'insurance final cleaned'!B263</f>
        <v>42</v>
      </c>
      <c r="C860">
        <f>'insurance final cleaned'!D263</f>
        <v>34.6</v>
      </c>
      <c r="D860">
        <f>'insurance final cleaned'!G263</f>
        <v>2</v>
      </c>
      <c r="E860">
        <f>'insurance final cleaned'!E263</f>
        <v>80</v>
      </c>
      <c r="F860">
        <f>'insurance final cleaned'!L263</f>
        <v>0</v>
      </c>
      <c r="G860">
        <f>'insurance final cleaned'!M263</f>
        <v>0</v>
      </c>
      <c r="H860">
        <f>'insurance final cleaned'!N263</f>
        <v>0</v>
      </c>
      <c r="I860">
        <f>'insurance final cleaned'!O263</f>
        <v>0</v>
      </c>
      <c r="J860">
        <f>'insurance final cleaned'!P263</f>
        <v>0.63474175114161524</v>
      </c>
      <c r="K860">
        <f>'insurance final cleaned'!Q263</f>
        <v>0</v>
      </c>
      <c r="L860">
        <f>'insurance final cleaned'!R263</f>
        <v>0</v>
      </c>
      <c r="M860">
        <f>'insurance final cleaned'!S263</f>
        <v>1</v>
      </c>
    </row>
    <row r="861" spans="1:13" x14ac:dyDescent="0.3">
      <c r="A861">
        <f>'insurance final cleaned'!J180</f>
        <v>2801.26</v>
      </c>
      <c r="B861">
        <f>'insurance final cleaned'!B180</f>
        <v>60</v>
      </c>
      <c r="C861">
        <f>'insurance final cleaned'!D180</f>
        <v>32.1</v>
      </c>
      <c r="D861">
        <f>'insurance final cleaned'!G180</f>
        <v>2</v>
      </c>
      <c r="E861">
        <f>'insurance final cleaned'!E180</f>
        <v>98</v>
      </c>
      <c r="F861">
        <f>'insurance final cleaned'!L180</f>
        <v>0</v>
      </c>
      <c r="G861">
        <f>'insurance final cleaned'!M180</f>
        <v>1</v>
      </c>
      <c r="H861">
        <f>'insurance final cleaned'!N180</f>
        <v>0</v>
      </c>
      <c r="I861">
        <f>'insurance final cleaned'!O180</f>
        <v>0</v>
      </c>
      <c r="J861">
        <f>'insurance final cleaned'!P180</f>
        <v>0.63518483337060361</v>
      </c>
      <c r="K861">
        <f>'insurance final cleaned'!Q180</f>
        <v>0</v>
      </c>
      <c r="L861">
        <f>'insurance final cleaned'!R180</f>
        <v>0</v>
      </c>
      <c r="M861">
        <f>'insurance final cleaned'!S180</f>
        <v>1</v>
      </c>
    </row>
    <row r="862" spans="1:13" x14ac:dyDescent="0.3">
      <c r="A862">
        <f>'insurance final cleaned'!J335</f>
        <v>4718.2</v>
      </c>
      <c r="B862">
        <f>'insurance final cleaned'!B335</f>
        <v>56</v>
      </c>
      <c r="C862">
        <f>'insurance final cleaned'!D335</f>
        <v>21.9</v>
      </c>
      <c r="D862">
        <f>'insurance final cleaned'!G335</f>
        <v>1</v>
      </c>
      <c r="E862">
        <f>'insurance final cleaned'!E335</f>
        <v>100</v>
      </c>
      <c r="F862">
        <f>'insurance final cleaned'!L335</f>
        <v>0</v>
      </c>
      <c r="G862">
        <f>'insurance final cleaned'!M335</f>
        <v>1</v>
      </c>
      <c r="H862">
        <f>'insurance final cleaned'!N335</f>
        <v>0</v>
      </c>
      <c r="I862">
        <f>'insurance final cleaned'!O335</f>
        <v>0</v>
      </c>
      <c r="J862">
        <f>'insurance final cleaned'!P335</f>
        <v>0.63562225735106026</v>
      </c>
      <c r="K862">
        <f>'insurance final cleaned'!Q335</f>
        <v>0</v>
      </c>
      <c r="L862">
        <f>'insurance final cleaned'!R335</f>
        <v>1</v>
      </c>
      <c r="M862">
        <f>'insurance final cleaned'!S335</f>
        <v>1</v>
      </c>
    </row>
    <row r="863" spans="1:13" x14ac:dyDescent="0.3">
      <c r="A863">
        <f>'insurance final cleaned'!J90</f>
        <v>1977.82</v>
      </c>
      <c r="B863">
        <f>'insurance final cleaned'!B90</f>
        <v>40</v>
      </c>
      <c r="C863">
        <f>'insurance final cleaned'!D90</f>
        <v>29.3</v>
      </c>
      <c r="D863">
        <f>'insurance final cleaned'!G90</f>
        <v>0</v>
      </c>
      <c r="E863">
        <f>'insurance final cleaned'!E90</f>
        <v>97</v>
      </c>
      <c r="F863">
        <f>'insurance final cleaned'!L90</f>
        <v>0</v>
      </c>
      <c r="G863">
        <f>'insurance final cleaned'!M90</f>
        <v>0</v>
      </c>
      <c r="H863">
        <f>'insurance final cleaned'!N90</f>
        <v>0</v>
      </c>
      <c r="I863">
        <f>'insurance final cleaned'!O90</f>
        <v>1</v>
      </c>
      <c r="J863">
        <f>'insurance final cleaned'!P90</f>
        <v>0.63586743647157329</v>
      </c>
      <c r="K863">
        <f>'insurance final cleaned'!Q90</f>
        <v>0</v>
      </c>
      <c r="L863">
        <f>'insurance final cleaned'!R90</f>
        <v>1</v>
      </c>
      <c r="M863">
        <f>'insurance final cleaned'!S90</f>
        <v>0</v>
      </c>
    </row>
    <row r="864" spans="1:13" x14ac:dyDescent="0.3">
      <c r="A864">
        <f>'insurance final cleaned'!J1148</f>
        <v>25992.82</v>
      </c>
      <c r="B864">
        <f>'insurance final cleaned'!B1148</f>
        <v>32</v>
      </c>
      <c r="C864">
        <f>'insurance final cleaned'!D1148</f>
        <v>26.4</v>
      </c>
      <c r="D864">
        <f>'insurance final cleaned'!G1148</f>
        <v>3</v>
      </c>
      <c r="E864">
        <f>'insurance final cleaned'!E1148</f>
        <v>95</v>
      </c>
      <c r="F864">
        <f>'insurance final cleaned'!L1148</f>
        <v>0</v>
      </c>
      <c r="G864">
        <f>'insurance final cleaned'!M1148</f>
        <v>1</v>
      </c>
      <c r="H864">
        <f>'insurance final cleaned'!N1148</f>
        <v>0</v>
      </c>
      <c r="I864">
        <f>'insurance final cleaned'!O1148</f>
        <v>0</v>
      </c>
      <c r="J864">
        <f>'insurance final cleaned'!P1148</f>
        <v>0.63631660634368259</v>
      </c>
      <c r="K864">
        <f>'insurance final cleaned'!Q1148</f>
        <v>0</v>
      </c>
      <c r="L864">
        <f>'insurance final cleaned'!R1148</f>
        <v>1</v>
      </c>
      <c r="M864">
        <f>'insurance final cleaned'!S1148</f>
        <v>0</v>
      </c>
    </row>
    <row r="865" spans="1:13" x14ac:dyDescent="0.3">
      <c r="A865">
        <f>'insurance final cleaned'!J914</f>
        <v>13129.6</v>
      </c>
      <c r="B865">
        <f>'insurance final cleaned'!B914</f>
        <v>20</v>
      </c>
      <c r="C865">
        <f>'insurance final cleaned'!D914</f>
        <v>23.7</v>
      </c>
      <c r="D865">
        <f>'insurance final cleaned'!G914</f>
        <v>0</v>
      </c>
      <c r="E865">
        <f>'insurance final cleaned'!E914</f>
        <v>89</v>
      </c>
      <c r="F865">
        <f>'insurance final cleaned'!L914</f>
        <v>0</v>
      </c>
      <c r="G865">
        <f>'insurance final cleaned'!M914</f>
        <v>0</v>
      </c>
      <c r="H865">
        <f>'insurance final cleaned'!N914</f>
        <v>0</v>
      </c>
      <c r="I865">
        <f>'insurance final cleaned'!O914</f>
        <v>0</v>
      </c>
      <c r="J865">
        <f>'insurance final cleaned'!P914</f>
        <v>0.63677933638497053</v>
      </c>
      <c r="K865">
        <f>'insurance final cleaned'!Q914</f>
        <v>0</v>
      </c>
      <c r="L865">
        <f>'insurance final cleaned'!R914</f>
        <v>1</v>
      </c>
      <c r="M865">
        <f>'insurance final cleaned'!S914</f>
        <v>0</v>
      </c>
    </row>
    <row r="866" spans="1:13" x14ac:dyDescent="0.3">
      <c r="A866">
        <f>'insurance final cleaned'!J21</f>
        <v>1391.53</v>
      </c>
      <c r="B866">
        <f>'insurance final cleaned'!B21</f>
        <v>48</v>
      </c>
      <c r="C866">
        <f>'insurance final cleaned'!D21</f>
        <v>33.299999999999997</v>
      </c>
      <c r="D866">
        <f>'insurance final cleaned'!G21</f>
        <v>0</v>
      </c>
      <c r="E866">
        <f>'insurance final cleaned'!E21</f>
        <v>91</v>
      </c>
      <c r="F866">
        <f>'insurance final cleaned'!L21</f>
        <v>0</v>
      </c>
      <c r="G866">
        <f>'insurance final cleaned'!M21</f>
        <v>1</v>
      </c>
      <c r="H866">
        <f>'insurance final cleaned'!N21</f>
        <v>0</v>
      </c>
      <c r="I866">
        <f>'insurance final cleaned'!O21</f>
        <v>0</v>
      </c>
      <c r="J866">
        <f>'insurance final cleaned'!P21</f>
        <v>0.63742411051028103</v>
      </c>
      <c r="K866">
        <f>'insurance final cleaned'!Q21</f>
        <v>0</v>
      </c>
      <c r="L866">
        <f>'insurance final cleaned'!R21</f>
        <v>1</v>
      </c>
      <c r="M866">
        <f>'insurance final cleaned'!S21</f>
        <v>0</v>
      </c>
    </row>
    <row r="867" spans="1:13" x14ac:dyDescent="0.3">
      <c r="A867">
        <f>'insurance final cleaned'!J1104</f>
        <v>22192.44</v>
      </c>
      <c r="B867">
        <f>'insurance final cleaned'!B1104</f>
        <v>40</v>
      </c>
      <c r="C867">
        <f>'insurance final cleaned'!D1104</f>
        <v>24</v>
      </c>
      <c r="D867">
        <f>'insurance final cleaned'!G1104</f>
        <v>1</v>
      </c>
      <c r="E867">
        <f>'insurance final cleaned'!E1104</f>
        <v>87</v>
      </c>
      <c r="F867">
        <f>'insurance final cleaned'!L1104</f>
        <v>0</v>
      </c>
      <c r="G867">
        <f>'insurance final cleaned'!M1104</f>
        <v>1</v>
      </c>
      <c r="H867">
        <f>'insurance final cleaned'!N1104</f>
        <v>0</v>
      </c>
      <c r="I867">
        <f>'insurance final cleaned'!O1104</f>
        <v>0</v>
      </c>
      <c r="J867">
        <f>'insurance final cleaned'!P1104</f>
        <v>0.63882147740529582</v>
      </c>
      <c r="K867">
        <f>'insurance final cleaned'!Q1104</f>
        <v>0</v>
      </c>
      <c r="L867">
        <f>'insurance final cleaned'!R1104</f>
        <v>1</v>
      </c>
      <c r="M867">
        <f>'insurance final cleaned'!S1104</f>
        <v>1</v>
      </c>
    </row>
    <row r="868" spans="1:13" x14ac:dyDescent="0.3">
      <c r="A868">
        <f>'insurance final cleaned'!J648</f>
        <v>8965.7999999999993</v>
      </c>
      <c r="B868">
        <f>'insurance final cleaned'!B648</f>
        <v>45</v>
      </c>
      <c r="C868">
        <f>'insurance final cleaned'!D648</f>
        <v>24.2</v>
      </c>
      <c r="D868">
        <f>'insurance final cleaned'!G648</f>
        <v>5</v>
      </c>
      <c r="E868">
        <f>'insurance final cleaned'!E648</f>
        <v>98</v>
      </c>
      <c r="F868">
        <f>'insurance final cleaned'!L648</f>
        <v>0</v>
      </c>
      <c r="G868">
        <f>'insurance final cleaned'!M648</f>
        <v>0</v>
      </c>
      <c r="H868">
        <f>'insurance final cleaned'!N648</f>
        <v>0</v>
      </c>
      <c r="I868">
        <f>'insurance final cleaned'!O648</f>
        <v>1</v>
      </c>
      <c r="J868">
        <f>'insurance final cleaned'!P648</f>
        <v>0.6390149958128869</v>
      </c>
      <c r="K868">
        <f>'insurance final cleaned'!Q648</f>
        <v>0</v>
      </c>
      <c r="L868">
        <f>'insurance final cleaned'!R648</f>
        <v>0</v>
      </c>
      <c r="M868">
        <f>'insurance final cleaned'!S648</f>
        <v>1</v>
      </c>
    </row>
    <row r="869" spans="1:13" x14ac:dyDescent="0.3">
      <c r="A869">
        <f>'insurance final cleaned'!J1298</f>
        <v>44260.75</v>
      </c>
      <c r="B869">
        <f>'insurance final cleaned'!B1298</f>
        <v>26</v>
      </c>
      <c r="C869">
        <f>'insurance final cleaned'!D1298</f>
        <v>34.200000000000003</v>
      </c>
      <c r="D869">
        <f>'insurance final cleaned'!G1298</f>
        <v>2</v>
      </c>
      <c r="E869">
        <f>'insurance final cleaned'!E1298</f>
        <v>99</v>
      </c>
      <c r="F869">
        <f>'insurance final cleaned'!L1298</f>
        <v>34.200000000000003</v>
      </c>
      <c r="G869">
        <f>'insurance final cleaned'!M1298</f>
        <v>1</v>
      </c>
      <c r="H869">
        <f>'insurance final cleaned'!N1298</f>
        <v>0</v>
      </c>
      <c r="I869">
        <f>'insurance final cleaned'!O1298</f>
        <v>0</v>
      </c>
      <c r="J869">
        <f>'insurance final cleaned'!P1298</f>
        <v>0.6394179825629559</v>
      </c>
      <c r="K869">
        <f>'insurance final cleaned'!Q1298</f>
        <v>1</v>
      </c>
      <c r="L869">
        <f>'insurance final cleaned'!R1298</f>
        <v>0</v>
      </c>
      <c r="M869">
        <f>'insurance final cleaned'!S1298</f>
        <v>0</v>
      </c>
    </row>
    <row r="870" spans="1:13" x14ac:dyDescent="0.3">
      <c r="A870">
        <f>'insurance final cleaned'!J386</f>
        <v>5312.17</v>
      </c>
      <c r="B870">
        <f>'insurance final cleaned'!B386</f>
        <v>41</v>
      </c>
      <c r="C870">
        <f>'insurance final cleaned'!D386</f>
        <v>26.3</v>
      </c>
      <c r="D870">
        <f>'insurance final cleaned'!G386</f>
        <v>3</v>
      </c>
      <c r="E870">
        <f>'insurance final cleaned'!E386</f>
        <v>82</v>
      </c>
      <c r="F870">
        <f>'insurance final cleaned'!L386</f>
        <v>0</v>
      </c>
      <c r="G870">
        <f>'insurance final cleaned'!M386</f>
        <v>0</v>
      </c>
      <c r="H870">
        <f>'insurance final cleaned'!N386</f>
        <v>0</v>
      </c>
      <c r="I870">
        <f>'insurance final cleaned'!O386</f>
        <v>1</v>
      </c>
      <c r="J870">
        <f>'insurance final cleaned'!P386</f>
        <v>0.64032161710023916</v>
      </c>
      <c r="K870">
        <f>'insurance final cleaned'!Q386</f>
        <v>0</v>
      </c>
      <c r="L870">
        <f>'insurance final cleaned'!R386</f>
        <v>1</v>
      </c>
      <c r="M870">
        <f>'insurance final cleaned'!S386</f>
        <v>1</v>
      </c>
    </row>
    <row r="871" spans="1:13" x14ac:dyDescent="0.3">
      <c r="A871">
        <f>'insurance final cleaned'!J1332</f>
        <v>48885.14</v>
      </c>
      <c r="B871">
        <f>'insurance final cleaned'!B1332</f>
        <v>25</v>
      </c>
      <c r="C871">
        <f>'insurance final cleaned'!D1332</f>
        <v>38.1</v>
      </c>
      <c r="D871">
        <f>'insurance final cleaned'!G1332</f>
        <v>0</v>
      </c>
      <c r="E871">
        <f>'insurance final cleaned'!E1332</f>
        <v>111</v>
      </c>
      <c r="F871">
        <f>'insurance final cleaned'!L1332</f>
        <v>38.1</v>
      </c>
      <c r="G871">
        <f>'insurance final cleaned'!M1332</f>
        <v>1</v>
      </c>
      <c r="H871">
        <f>'insurance final cleaned'!N1332</f>
        <v>0</v>
      </c>
      <c r="I871">
        <f>'insurance final cleaned'!O1332</f>
        <v>0</v>
      </c>
      <c r="J871">
        <f>'insurance final cleaned'!P1332</f>
        <v>0.64055481676488846</v>
      </c>
      <c r="K871">
        <f>'insurance final cleaned'!Q1332</f>
        <v>1</v>
      </c>
      <c r="L871">
        <f>'insurance final cleaned'!R1332</f>
        <v>0</v>
      </c>
      <c r="M871">
        <f>'insurance final cleaned'!S1332</f>
        <v>1</v>
      </c>
    </row>
    <row r="872" spans="1:13" x14ac:dyDescent="0.3">
      <c r="A872">
        <f>'insurance final cleaned'!J464</f>
        <v>6406.41</v>
      </c>
      <c r="B872">
        <f>'insurance final cleaned'!B464</f>
        <v>18</v>
      </c>
      <c r="C872">
        <f>'insurance final cleaned'!D464</f>
        <v>29.8</v>
      </c>
      <c r="D872">
        <f>'insurance final cleaned'!G464</f>
        <v>2</v>
      </c>
      <c r="E872">
        <f>'insurance final cleaned'!E464</f>
        <v>97</v>
      </c>
      <c r="F872">
        <f>'insurance final cleaned'!L464</f>
        <v>0</v>
      </c>
      <c r="G872">
        <f>'insurance final cleaned'!M464</f>
        <v>1</v>
      </c>
      <c r="H872">
        <f>'insurance final cleaned'!N464</f>
        <v>0</v>
      </c>
      <c r="I872">
        <f>'insurance final cleaned'!O464</f>
        <v>0</v>
      </c>
      <c r="J872">
        <f>'insurance final cleaned'!P464</f>
        <v>0.64100566027040984</v>
      </c>
      <c r="K872">
        <f>'insurance final cleaned'!Q464</f>
        <v>0</v>
      </c>
      <c r="L872">
        <f>'insurance final cleaned'!R464</f>
        <v>0</v>
      </c>
      <c r="M872">
        <f>'insurance final cleaned'!S464</f>
        <v>0</v>
      </c>
    </row>
    <row r="873" spans="1:13" x14ac:dyDescent="0.3">
      <c r="A873">
        <f>'insurance final cleaned'!J152</f>
        <v>2497.04</v>
      </c>
      <c r="B873">
        <f>'insurance final cleaned'!B152</f>
        <v>41</v>
      </c>
      <c r="C873">
        <f>'insurance final cleaned'!D152</f>
        <v>32.700000000000003</v>
      </c>
      <c r="D873">
        <f>'insurance final cleaned'!G152</f>
        <v>0</v>
      </c>
      <c r="E873">
        <f>'insurance final cleaned'!E152</f>
        <v>93</v>
      </c>
      <c r="F873">
        <f>'insurance final cleaned'!L152</f>
        <v>0</v>
      </c>
      <c r="G873">
        <f>'insurance final cleaned'!M152</f>
        <v>1</v>
      </c>
      <c r="H873">
        <f>'insurance final cleaned'!N152</f>
        <v>0</v>
      </c>
      <c r="I873">
        <f>'insurance final cleaned'!O152</f>
        <v>0</v>
      </c>
      <c r="J873">
        <f>'insurance final cleaned'!P152</f>
        <v>0.64107226817314789</v>
      </c>
      <c r="K873">
        <f>'insurance final cleaned'!Q152</f>
        <v>0</v>
      </c>
      <c r="L873">
        <f>'insurance final cleaned'!R152</f>
        <v>0</v>
      </c>
      <c r="M873">
        <f>'insurance final cleaned'!S152</f>
        <v>0</v>
      </c>
    </row>
    <row r="874" spans="1:13" x14ac:dyDescent="0.3">
      <c r="A874">
        <f>'insurance final cleaned'!J339</f>
        <v>4746.34</v>
      </c>
      <c r="B874">
        <f>'insurance final cleaned'!B339</f>
        <v>29</v>
      </c>
      <c r="C874">
        <f>'insurance final cleaned'!D339</f>
        <v>27.1</v>
      </c>
      <c r="D874">
        <f>'insurance final cleaned'!G339</f>
        <v>1</v>
      </c>
      <c r="E874">
        <f>'insurance final cleaned'!E339</f>
        <v>82</v>
      </c>
      <c r="F874">
        <f>'insurance final cleaned'!L339</f>
        <v>0</v>
      </c>
      <c r="G874">
        <f>'insurance final cleaned'!M339</f>
        <v>0</v>
      </c>
      <c r="H874">
        <f>'insurance final cleaned'!N339</f>
        <v>1</v>
      </c>
      <c r="I874">
        <f>'insurance final cleaned'!O339</f>
        <v>0</v>
      </c>
      <c r="J874">
        <f>'insurance final cleaned'!P339</f>
        <v>0.64206995942520495</v>
      </c>
      <c r="K874">
        <f>'insurance final cleaned'!Q339</f>
        <v>0</v>
      </c>
      <c r="L874">
        <f>'insurance final cleaned'!R339</f>
        <v>1</v>
      </c>
      <c r="M874">
        <f>'insurance final cleaned'!S339</f>
        <v>0</v>
      </c>
    </row>
    <row r="875" spans="1:13" x14ac:dyDescent="0.3">
      <c r="A875">
        <f>'insurance final cleaned'!J671</f>
        <v>9361.33</v>
      </c>
      <c r="B875">
        <f>'insurance final cleaned'!B671</f>
        <v>45</v>
      </c>
      <c r="C875">
        <f>'insurance final cleaned'!D671</f>
        <v>22.4</v>
      </c>
      <c r="D875">
        <f>'insurance final cleaned'!G671</f>
        <v>0</v>
      </c>
      <c r="E875">
        <f>'insurance final cleaned'!E671</f>
        <v>83</v>
      </c>
      <c r="F875">
        <f>'insurance final cleaned'!L671</f>
        <v>0</v>
      </c>
      <c r="G875">
        <f>'insurance final cleaned'!M671</f>
        <v>0</v>
      </c>
      <c r="H875">
        <f>'insurance final cleaned'!N671</f>
        <v>0</v>
      </c>
      <c r="I875">
        <f>'insurance final cleaned'!O671</f>
        <v>0</v>
      </c>
      <c r="J875">
        <f>'insurance final cleaned'!P671</f>
        <v>0.64240441930678471</v>
      </c>
      <c r="K875">
        <f>'insurance final cleaned'!Q671</f>
        <v>0</v>
      </c>
      <c r="L875">
        <f>'insurance final cleaned'!R671</f>
        <v>1</v>
      </c>
      <c r="M875">
        <f>'insurance final cleaned'!S671</f>
        <v>0</v>
      </c>
    </row>
    <row r="876" spans="1:13" x14ac:dyDescent="0.3">
      <c r="A876">
        <f>'insurance final cleaned'!J641</f>
        <v>8835.26</v>
      </c>
      <c r="B876">
        <f>'insurance final cleaned'!B641</f>
        <v>22</v>
      </c>
      <c r="C876">
        <f>'insurance final cleaned'!D641</f>
        <v>32.200000000000003</v>
      </c>
      <c r="D876">
        <f>'insurance final cleaned'!G641</f>
        <v>0</v>
      </c>
      <c r="E876">
        <f>'insurance final cleaned'!E641</f>
        <v>95</v>
      </c>
      <c r="F876">
        <f>'insurance final cleaned'!L641</f>
        <v>0</v>
      </c>
      <c r="G876">
        <f>'insurance final cleaned'!M641</f>
        <v>0</v>
      </c>
      <c r="H876">
        <f>'insurance final cleaned'!N641</f>
        <v>0</v>
      </c>
      <c r="I876">
        <f>'insurance final cleaned'!O641</f>
        <v>1</v>
      </c>
      <c r="J876">
        <f>'insurance final cleaned'!P641</f>
        <v>0.64356346150812438</v>
      </c>
      <c r="K876">
        <f>'insurance final cleaned'!Q641</f>
        <v>0</v>
      </c>
      <c r="L876">
        <f>'insurance final cleaned'!R641</f>
        <v>1</v>
      </c>
      <c r="M876">
        <f>'insurance final cleaned'!S641</f>
        <v>0</v>
      </c>
    </row>
    <row r="877" spans="1:13" x14ac:dyDescent="0.3">
      <c r="A877">
        <f>'insurance final cleaned'!J717</f>
        <v>10065.41</v>
      </c>
      <c r="B877">
        <f>'insurance final cleaned'!B717</f>
        <v>42</v>
      </c>
      <c r="C877">
        <f>'insurance final cleaned'!D717</f>
        <v>21.4</v>
      </c>
      <c r="D877">
        <f>'insurance final cleaned'!G717</f>
        <v>1</v>
      </c>
      <c r="E877">
        <f>'insurance final cleaned'!E717</f>
        <v>104</v>
      </c>
      <c r="F877">
        <f>'insurance final cleaned'!L717</f>
        <v>0</v>
      </c>
      <c r="G877">
        <f>'insurance final cleaned'!M717</f>
        <v>0</v>
      </c>
      <c r="H877">
        <f>'insurance final cleaned'!N717</f>
        <v>1</v>
      </c>
      <c r="I877">
        <f>'insurance final cleaned'!O717</f>
        <v>0</v>
      </c>
      <c r="J877">
        <f>'insurance final cleaned'!P717</f>
        <v>0.64566874639045202</v>
      </c>
      <c r="K877">
        <f>'insurance final cleaned'!Q717</f>
        <v>0</v>
      </c>
      <c r="L877">
        <f>'insurance final cleaned'!R717</f>
        <v>0</v>
      </c>
      <c r="M877">
        <f>'insurance final cleaned'!S717</f>
        <v>0</v>
      </c>
    </row>
    <row r="878" spans="1:13" x14ac:dyDescent="0.3">
      <c r="A878">
        <f>'insurance final cleaned'!J1012</f>
        <v>17081.080000000002</v>
      </c>
      <c r="B878">
        <f>'insurance final cleaned'!B1012</f>
        <v>25</v>
      </c>
      <c r="C878">
        <f>'insurance final cleaned'!D1012</f>
        <v>28.3</v>
      </c>
      <c r="D878">
        <f>'insurance final cleaned'!G1012</f>
        <v>0</v>
      </c>
      <c r="E878">
        <f>'insurance final cleaned'!E1012</f>
        <v>107</v>
      </c>
      <c r="F878">
        <f>'insurance final cleaned'!L1012</f>
        <v>28.3</v>
      </c>
      <c r="G878">
        <f>'insurance final cleaned'!M1012</f>
        <v>0</v>
      </c>
      <c r="H878">
        <f>'insurance final cleaned'!N1012</f>
        <v>1</v>
      </c>
      <c r="I878">
        <f>'insurance final cleaned'!O1012</f>
        <v>0</v>
      </c>
      <c r="J878">
        <f>'insurance final cleaned'!P1012</f>
        <v>0.64680572510200673</v>
      </c>
      <c r="K878">
        <f>'insurance final cleaned'!Q1012</f>
        <v>1</v>
      </c>
      <c r="L878">
        <f>'insurance final cleaned'!R1012</f>
        <v>1</v>
      </c>
      <c r="M878">
        <f>'insurance final cleaned'!S1012</f>
        <v>1</v>
      </c>
    </row>
    <row r="879" spans="1:13" x14ac:dyDescent="0.3">
      <c r="A879">
        <f>'insurance final cleaned'!J1265</f>
        <v>40182.25</v>
      </c>
      <c r="B879">
        <f>'insurance final cleaned'!B1265</f>
        <v>50</v>
      </c>
      <c r="C879">
        <f>'insurance final cleaned'!D1265</f>
        <v>34.1</v>
      </c>
      <c r="D879">
        <f>'insurance final cleaned'!G1265</f>
        <v>4</v>
      </c>
      <c r="E879">
        <f>'insurance final cleaned'!E1265</f>
        <v>86</v>
      </c>
      <c r="F879">
        <f>'insurance final cleaned'!L1265</f>
        <v>34.1</v>
      </c>
      <c r="G879">
        <f>'insurance final cleaned'!M1265</f>
        <v>0</v>
      </c>
      <c r="H879">
        <f>'insurance final cleaned'!N1265</f>
        <v>1</v>
      </c>
      <c r="I879">
        <f>'insurance final cleaned'!O1265</f>
        <v>0</v>
      </c>
      <c r="J879">
        <f>'insurance final cleaned'!P1265</f>
        <v>0.64828414376967436</v>
      </c>
      <c r="K879">
        <f>'insurance final cleaned'!Q1265</f>
        <v>1</v>
      </c>
      <c r="L879">
        <f>'insurance final cleaned'!R1265</f>
        <v>0</v>
      </c>
      <c r="M879">
        <f>'insurance final cleaned'!S1265</f>
        <v>0</v>
      </c>
    </row>
    <row r="880" spans="1:13" x14ac:dyDescent="0.3">
      <c r="A880">
        <f>'insurance final cleaned'!J22</f>
        <v>1515.34</v>
      </c>
      <c r="B880">
        <f>'insurance final cleaned'!B22</f>
        <v>45</v>
      </c>
      <c r="C880">
        <f>'insurance final cleaned'!D22</f>
        <v>23.2</v>
      </c>
      <c r="D880">
        <f>'insurance final cleaned'!G22</f>
        <v>0</v>
      </c>
      <c r="E880">
        <f>'insurance final cleaned'!E22</f>
        <v>85</v>
      </c>
      <c r="F880">
        <f>'insurance final cleaned'!L22</f>
        <v>0</v>
      </c>
      <c r="G880">
        <f>'insurance final cleaned'!M22</f>
        <v>1</v>
      </c>
      <c r="H880">
        <f>'insurance final cleaned'!N22</f>
        <v>0</v>
      </c>
      <c r="I880">
        <f>'insurance final cleaned'!O22</f>
        <v>0</v>
      </c>
      <c r="J880">
        <f>'insurance final cleaned'!P22</f>
        <v>0.64837798831384352</v>
      </c>
      <c r="K880">
        <f>'insurance final cleaned'!Q22</f>
        <v>0</v>
      </c>
      <c r="L880">
        <f>'insurance final cleaned'!R22</f>
        <v>1</v>
      </c>
      <c r="M880">
        <f>'insurance final cleaned'!S22</f>
        <v>0</v>
      </c>
    </row>
    <row r="881" spans="1:13" x14ac:dyDescent="0.3">
      <c r="A881">
        <f>'insurance final cleaned'!J392</f>
        <v>5377.46</v>
      </c>
      <c r="B881">
        <f>'insurance final cleaned'!B392</f>
        <v>44</v>
      </c>
      <c r="C881">
        <f>'insurance final cleaned'!D392</f>
        <v>33.799999999999997</v>
      </c>
      <c r="D881">
        <f>'insurance final cleaned'!G392</f>
        <v>1</v>
      </c>
      <c r="E881">
        <f>'insurance final cleaned'!E392</f>
        <v>96</v>
      </c>
      <c r="F881">
        <f>'insurance final cleaned'!L392</f>
        <v>0</v>
      </c>
      <c r="G881">
        <f>'insurance final cleaned'!M392</f>
        <v>0</v>
      </c>
      <c r="H881">
        <f>'insurance final cleaned'!N392</f>
        <v>0</v>
      </c>
      <c r="I881">
        <f>'insurance final cleaned'!O392</f>
        <v>1</v>
      </c>
      <c r="J881">
        <f>'insurance final cleaned'!P392</f>
        <v>0.64893373393965703</v>
      </c>
      <c r="K881">
        <f>'insurance final cleaned'!Q392</f>
        <v>0</v>
      </c>
      <c r="L881">
        <f>'insurance final cleaned'!R392</f>
        <v>0</v>
      </c>
      <c r="M881">
        <f>'insurance final cleaned'!S392</f>
        <v>0</v>
      </c>
    </row>
    <row r="882" spans="1:13" x14ac:dyDescent="0.3">
      <c r="A882">
        <f>'insurance final cleaned'!J878</f>
        <v>12495.29</v>
      </c>
      <c r="B882">
        <f>'insurance final cleaned'!B878</f>
        <v>33</v>
      </c>
      <c r="C882">
        <f>'insurance final cleaned'!D878</f>
        <v>35.799999999999997</v>
      </c>
      <c r="D882">
        <f>'insurance final cleaned'!G878</f>
        <v>3</v>
      </c>
      <c r="E882">
        <f>'insurance final cleaned'!E878</f>
        <v>109</v>
      </c>
      <c r="F882">
        <f>'insurance final cleaned'!L878</f>
        <v>0</v>
      </c>
      <c r="G882">
        <f>'insurance final cleaned'!M878</f>
        <v>0</v>
      </c>
      <c r="H882">
        <f>'insurance final cleaned'!N878</f>
        <v>0</v>
      </c>
      <c r="I882">
        <f>'insurance final cleaned'!O878</f>
        <v>1</v>
      </c>
      <c r="J882">
        <f>'insurance final cleaned'!P878</f>
        <v>0.65014616581629514</v>
      </c>
      <c r="K882">
        <f>'insurance final cleaned'!Q878</f>
        <v>0</v>
      </c>
      <c r="L882">
        <f>'insurance final cleaned'!R878</f>
        <v>0</v>
      </c>
      <c r="M882">
        <f>'insurance final cleaned'!S878</f>
        <v>1</v>
      </c>
    </row>
    <row r="883" spans="1:13" x14ac:dyDescent="0.3">
      <c r="A883">
        <f>'insurance final cleaned'!J699</f>
        <v>9778.35</v>
      </c>
      <c r="B883">
        <f>'insurance final cleaned'!B699</f>
        <v>53</v>
      </c>
      <c r="C883">
        <f>'insurance final cleaned'!D699</f>
        <v>30.8</v>
      </c>
      <c r="D883">
        <f>'insurance final cleaned'!G699</f>
        <v>1</v>
      </c>
      <c r="E883">
        <f>'insurance final cleaned'!E699</f>
        <v>105</v>
      </c>
      <c r="F883">
        <f>'insurance final cleaned'!L699</f>
        <v>0</v>
      </c>
      <c r="G883">
        <f>'insurance final cleaned'!M699</f>
        <v>0</v>
      </c>
      <c r="H883">
        <f>'insurance final cleaned'!N699</f>
        <v>0</v>
      </c>
      <c r="I883">
        <f>'insurance final cleaned'!O699</f>
        <v>0</v>
      </c>
      <c r="J883">
        <f>'insurance final cleaned'!P699</f>
        <v>0.65025957542812629</v>
      </c>
      <c r="K883">
        <f>'insurance final cleaned'!Q699</f>
        <v>0</v>
      </c>
      <c r="L883">
        <f>'insurance final cleaned'!R699</f>
        <v>0</v>
      </c>
      <c r="M883">
        <f>'insurance final cleaned'!S699</f>
        <v>1</v>
      </c>
    </row>
    <row r="884" spans="1:13" x14ac:dyDescent="0.3">
      <c r="A884">
        <f>'insurance final cleaned'!J1317</f>
        <v>47055.53</v>
      </c>
      <c r="B884">
        <f>'insurance final cleaned'!B1317</f>
        <v>23</v>
      </c>
      <c r="C884">
        <f>'insurance final cleaned'!D1317</f>
        <v>35.1</v>
      </c>
      <c r="D884">
        <f>'insurance final cleaned'!G1317</f>
        <v>0</v>
      </c>
      <c r="E884">
        <f>'insurance final cleaned'!E1317</f>
        <v>121</v>
      </c>
      <c r="F884">
        <f>'insurance final cleaned'!L1317</f>
        <v>35.1</v>
      </c>
      <c r="G884">
        <f>'insurance final cleaned'!M1317</f>
        <v>1</v>
      </c>
      <c r="H884">
        <f>'insurance final cleaned'!N1317</f>
        <v>0</v>
      </c>
      <c r="I884">
        <f>'insurance final cleaned'!O1317</f>
        <v>0</v>
      </c>
      <c r="J884">
        <f>'insurance final cleaned'!P1317</f>
        <v>0.65036166111052907</v>
      </c>
      <c r="K884">
        <f>'insurance final cleaned'!Q1317</f>
        <v>1</v>
      </c>
      <c r="L884">
        <f>'insurance final cleaned'!R1317</f>
        <v>0</v>
      </c>
      <c r="M884">
        <f>'insurance final cleaned'!S1317</f>
        <v>0</v>
      </c>
    </row>
    <row r="885" spans="1:13" x14ac:dyDescent="0.3">
      <c r="A885">
        <f>'insurance final cleaned'!J1034</f>
        <v>18259.22</v>
      </c>
      <c r="B885">
        <f>'insurance final cleaned'!B1034</f>
        <v>22</v>
      </c>
      <c r="C885">
        <f>'insurance final cleaned'!D1034</f>
        <v>24.4</v>
      </c>
      <c r="D885">
        <f>'insurance final cleaned'!G1034</f>
        <v>3</v>
      </c>
      <c r="E885">
        <f>'insurance final cleaned'!E1034</f>
        <v>83</v>
      </c>
      <c r="F885">
        <f>'insurance final cleaned'!L1034</f>
        <v>24.4</v>
      </c>
      <c r="G885">
        <f>'insurance final cleaned'!M1034</f>
        <v>0</v>
      </c>
      <c r="H885">
        <f>'insurance final cleaned'!N1034</f>
        <v>1</v>
      </c>
      <c r="I885">
        <f>'insurance final cleaned'!O1034</f>
        <v>0</v>
      </c>
      <c r="J885">
        <f>'insurance final cleaned'!P1034</f>
        <v>0.65115951855133558</v>
      </c>
      <c r="K885">
        <f>'insurance final cleaned'!Q1034</f>
        <v>1</v>
      </c>
      <c r="L885">
        <f>'insurance final cleaned'!R1034</f>
        <v>1</v>
      </c>
      <c r="M885">
        <f>'insurance final cleaned'!S1034</f>
        <v>0</v>
      </c>
    </row>
    <row r="886" spans="1:13" x14ac:dyDescent="0.3">
      <c r="A886">
        <f>'insurance final cleaned'!J545</f>
        <v>7443.64</v>
      </c>
      <c r="B886">
        <f>'insurance final cleaned'!B545</f>
        <v>31</v>
      </c>
      <c r="C886">
        <f>'insurance final cleaned'!D545</f>
        <v>36.200000000000003</v>
      </c>
      <c r="D886">
        <f>'insurance final cleaned'!G545</f>
        <v>1</v>
      </c>
      <c r="E886">
        <f>'insurance final cleaned'!E545</f>
        <v>96</v>
      </c>
      <c r="F886">
        <f>'insurance final cleaned'!L545</f>
        <v>0</v>
      </c>
      <c r="G886">
        <f>'insurance final cleaned'!M545</f>
        <v>0</v>
      </c>
      <c r="H886">
        <f>'insurance final cleaned'!N545</f>
        <v>0</v>
      </c>
      <c r="I886">
        <f>'insurance final cleaned'!O545</f>
        <v>1</v>
      </c>
      <c r="J886">
        <f>'insurance final cleaned'!P545</f>
        <v>0.6538098985453118</v>
      </c>
      <c r="K886">
        <f>'insurance final cleaned'!Q545</f>
        <v>0</v>
      </c>
      <c r="L886">
        <f>'insurance final cleaned'!R545</f>
        <v>0</v>
      </c>
      <c r="M886">
        <f>'insurance final cleaned'!S545</f>
        <v>1</v>
      </c>
    </row>
    <row r="887" spans="1:13" x14ac:dyDescent="0.3">
      <c r="A887">
        <f>'insurance final cleaned'!J1023</f>
        <v>17663.14</v>
      </c>
      <c r="B887">
        <f>'insurance final cleaned'!B1023</f>
        <v>19</v>
      </c>
      <c r="C887">
        <f>'insurance final cleaned'!D1023</f>
        <v>24</v>
      </c>
      <c r="D887">
        <f>'insurance final cleaned'!G1023</f>
        <v>3</v>
      </c>
      <c r="E887">
        <f>'insurance final cleaned'!E1023</f>
        <v>80</v>
      </c>
      <c r="F887">
        <f>'insurance final cleaned'!L1023</f>
        <v>24</v>
      </c>
      <c r="G887">
        <f>'insurance final cleaned'!M1023</f>
        <v>1</v>
      </c>
      <c r="H887">
        <f>'insurance final cleaned'!N1023</f>
        <v>0</v>
      </c>
      <c r="I887">
        <f>'insurance final cleaned'!O1023</f>
        <v>0</v>
      </c>
      <c r="J887">
        <f>'insurance final cleaned'!P1023</f>
        <v>0.65397063239718856</v>
      </c>
      <c r="K887">
        <f>'insurance final cleaned'!Q1023</f>
        <v>1</v>
      </c>
      <c r="L887">
        <f>'insurance final cleaned'!R1023</f>
        <v>0</v>
      </c>
      <c r="M887">
        <f>'insurance final cleaned'!S1023</f>
        <v>0</v>
      </c>
    </row>
    <row r="888" spans="1:13" x14ac:dyDescent="0.3">
      <c r="A888">
        <f>'insurance final cleaned'!J193</f>
        <v>2974.13</v>
      </c>
      <c r="B888">
        <f>'insurance final cleaned'!B193</f>
        <v>28</v>
      </c>
      <c r="C888">
        <f>'insurance final cleaned'!D193</f>
        <v>24.1</v>
      </c>
      <c r="D888">
        <f>'insurance final cleaned'!G193</f>
        <v>0</v>
      </c>
      <c r="E888">
        <f>'insurance final cleaned'!E193</f>
        <v>80</v>
      </c>
      <c r="F888">
        <f>'insurance final cleaned'!L193</f>
        <v>0</v>
      </c>
      <c r="G888">
        <f>'insurance final cleaned'!M193</f>
        <v>0</v>
      </c>
      <c r="H888">
        <f>'insurance final cleaned'!N193</f>
        <v>1</v>
      </c>
      <c r="I888">
        <f>'insurance final cleaned'!O193</f>
        <v>0</v>
      </c>
      <c r="J888">
        <f>'insurance final cleaned'!P193</f>
        <v>0.6560372055268695</v>
      </c>
      <c r="K888">
        <f>'insurance final cleaned'!Q193</f>
        <v>0</v>
      </c>
      <c r="L888">
        <f>'insurance final cleaned'!R193</f>
        <v>0</v>
      </c>
      <c r="M888">
        <f>'insurance final cleaned'!S193</f>
        <v>1</v>
      </c>
    </row>
    <row r="889" spans="1:13" x14ac:dyDescent="0.3">
      <c r="A889">
        <f>'insurance final cleaned'!J636</f>
        <v>8798.59</v>
      </c>
      <c r="B889">
        <f>'insurance final cleaned'!B636</f>
        <v>29</v>
      </c>
      <c r="C889">
        <f>'insurance final cleaned'!D636</f>
        <v>37</v>
      </c>
      <c r="D889">
        <f>'insurance final cleaned'!G636</f>
        <v>0</v>
      </c>
      <c r="E889">
        <f>'insurance final cleaned'!E636</f>
        <v>84</v>
      </c>
      <c r="F889">
        <f>'insurance final cleaned'!L636</f>
        <v>0</v>
      </c>
      <c r="G889">
        <f>'insurance final cleaned'!M636</f>
        <v>0</v>
      </c>
      <c r="H889">
        <f>'insurance final cleaned'!N636</f>
        <v>1</v>
      </c>
      <c r="I889">
        <f>'insurance final cleaned'!O636</f>
        <v>0</v>
      </c>
      <c r="J889">
        <f>'insurance final cleaned'!P636</f>
        <v>0.65643706139598945</v>
      </c>
      <c r="K889">
        <f>'insurance final cleaned'!Q636</f>
        <v>0</v>
      </c>
      <c r="L889">
        <f>'insurance final cleaned'!R636</f>
        <v>1</v>
      </c>
      <c r="M889">
        <f>'insurance final cleaned'!S636</f>
        <v>0</v>
      </c>
    </row>
    <row r="890" spans="1:13" x14ac:dyDescent="0.3">
      <c r="A890">
        <f>'insurance final cleaned'!J864</f>
        <v>12235.84</v>
      </c>
      <c r="B890">
        <f>'insurance final cleaned'!B864</f>
        <v>26</v>
      </c>
      <c r="C890">
        <f>'insurance final cleaned'!D864</f>
        <v>36.5</v>
      </c>
      <c r="D890">
        <f>'insurance final cleaned'!G864</f>
        <v>0</v>
      </c>
      <c r="E890">
        <f>'insurance final cleaned'!E864</f>
        <v>80</v>
      </c>
      <c r="F890">
        <f>'insurance final cleaned'!L864</f>
        <v>0</v>
      </c>
      <c r="G890">
        <f>'insurance final cleaned'!M864</f>
        <v>0</v>
      </c>
      <c r="H890">
        <f>'insurance final cleaned'!N864</f>
        <v>0</v>
      </c>
      <c r="I890">
        <f>'insurance final cleaned'!O864</f>
        <v>1</v>
      </c>
      <c r="J890">
        <f>'insurance final cleaned'!P864</f>
        <v>0.65672582269177926</v>
      </c>
      <c r="K890">
        <f>'insurance final cleaned'!Q864</f>
        <v>0</v>
      </c>
      <c r="L890">
        <f>'insurance final cleaned'!R864</f>
        <v>1</v>
      </c>
      <c r="M890">
        <f>'insurance final cleaned'!S864</f>
        <v>1</v>
      </c>
    </row>
    <row r="891" spans="1:13" x14ac:dyDescent="0.3">
      <c r="A891">
        <f>'insurance final cleaned'!J515</f>
        <v>7151.09</v>
      </c>
      <c r="B891">
        <f>'insurance final cleaned'!B515</f>
        <v>49</v>
      </c>
      <c r="C891">
        <f>'insurance final cleaned'!D515</f>
        <v>28</v>
      </c>
      <c r="D891">
        <f>'insurance final cleaned'!G515</f>
        <v>3</v>
      </c>
      <c r="E891">
        <f>'insurance final cleaned'!E515</f>
        <v>92</v>
      </c>
      <c r="F891">
        <f>'insurance final cleaned'!L515</f>
        <v>0</v>
      </c>
      <c r="G891">
        <f>'insurance final cleaned'!M515</f>
        <v>0</v>
      </c>
      <c r="H891">
        <f>'insurance final cleaned'!N515</f>
        <v>1</v>
      </c>
      <c r="I891">
        <f>'insurance final cleaned'!O515</f>
        <v>0</v>
      </c>
      <c r="J891">
        <f>'insurance final cleaned'!P515</f>
        <v>0.65826965039503493</v>
      </c>
      <c r="K891">
        <f>'insurance final cleaned'!Q515</f>
        <v>0</v>
      </c>
      <c r="L891">
        <f>'insurance final cleaned'!R515</f>
        <v>0</v>
      </c>
      <c r="M891">
        <f>'insurance final cleaned'!S515</f>
        <v>1</v>
      </c>
    </row>
    <row r="892" spans="1:13" x14ac:dyDescent="0.3">
      <c r="A892">
        <f>'insurance final cleaned'!J336</f>
        <v>4719.5200000000004</v>
      </c>
      <c r="B892">
        <f>'insurance final cleaned'!B336</f>
        <v>45</v>
      </c>
      <c r="C892">
        <f>'insurance final cleaned'!D336</f>
        <v>22.9</v>
      </c>
      <c r="D892">
        <f>'insurance final cleaned'!G336</f>
        <v>1</v>
      </c>
      <c r="E892">
        <f>'insurance final cleaned'!E336</f>
        <v>94</v>
      </c>
      <c r="F892">
        <f>'insurance final cleaned'!L336</f>
        <v>0</v>
      </c>
      <c r="G892">
        <f>'insurance final cleaned'!M336</f>
        <v>1</v>
      </c>
      <c r="H892">
        <f>'insurance final cleaned'!N336</f>
        <v>0</v>
      </c>
      <c r="I892">
        <f>'insurance final cleaned'!O336</f>
        <v>0</v>
      </c>
      <c r="J892">
        <f>'insurance final cleaned'!P336</f>
        <v>0.65885048367130039</v>
      </c>
      <c r="K892">
        <f>'insurance final cleaned'!Q336</f>
        <v>0</v>
      </c>
      <c r="L892">
        <f>'insurance final cleaned'!R336</f>
        <v>0</v>
      </c>
      <c r="M892">
        <f>'insurance final cleaned'!S336</f>
        <v>1</v>
      </c>
    </row>
    <row r="893" spans="1:13" x14ac:dyDescent="0.3">
      <c r="A893">
        <f>'insurance final cleaned'!J399</f>
        <v>5428.73</v>
      </c>
      <c r="B893">
        <f>'insurance final cleaned'!B399</f>
        <v>27</v>
      </c>
      <c r="C893">
        <f>'insurance final cleaned'!D399</f>
        <v>37.4</v>
      </c>
      <c r="D893">
        <f>'insurance final cleaned'!G399</f>
        <v>3</v>
      </c>
      <c r="E893">
        <f>'insurance final cleaned'!E399</f>
        <v>83</v>
      </c>
      <c r="F893">
        <f>'insurance final cleaned'!L399</f>
        <v>0</v>
      </c>
      <c r="G893">
        <f>'insurance final cleaned'!M399</f>
        <v>1</v>
      </c>
      <c r="H893">
        <f>'insurance final cleaned'!N399</f>
        <v>0</v>
      </c>
      <c r="I893">
        <f>'insurance final cleaned'!O399</f>
        <v>0</v>
      </c>
      <c r="J893">
        <f>'insurance final cleaned'!P399</f>
        <v>0.65894168170609946</v>
      </c>
      <c r="K893">
        <f>'insurance final cleaned'!Q399</f>
        <v>0</v>
      </c>
      <c r="L893">
        <f>'insurance final cleaned'!R399</f>
        <v>0</v>
      </c>
      <c r="M893">
        <f>'insurance final cleaned'!S399</f>
        <v>0</v>
      </c>
    </row>
    <row r="894" spans="1:13" x14ac:dyDescent="0.3">
      <c r="A894">
        <f>'insurance final cleaned'!J607</f>
        <v>8444.4699999999993</v>
      </c>
      <c r="B894">
        <f>'insurance final cleaned'!B607</f>
        <v>45</v>
      </c>
      <c r="C894">
        <f>'insurance final cleaned'!D607</f>
        <v>26.6</v>
      </c>
      <c r="D894">
        <f>'insurance final cleaned'!G607</f>
        <v>0</v>
      </c>
      <c r="E894">
        <f>'insurance final cleaned'!E607</f>
        <v>99</v>
      </c>
      <c r="F894">
        <f>'insurance final cleaned'!L607</f>
        <v>0</v>
      </c>
      <c r="G894">
        <f>'insurance final cleaned'!M607</f>
        <v>0</v>
      </c>
      <c r="H894">
        <f>'insurance final cleaned'!N607</f>
        <v>1</v>
      </c>
      <c r="I894">
        <f>'insurance final cleaned'!O607</f>
        <v>0</v>
      </c>
      <c r="J894">
        <f>'insurance final cleaned'!P607</f>
        <v>0.66054915023676719</v>
      </c>
      <c r="K894">
        <f>'insurance final cleaned'!Q607</f>
        <v>0</v>
      </c>
      <c r="L894">
        <f>'insurance final cleaned'!R607</f>
        <v>0</v>
      </c>
      <c r="M894">
        <f>'insurance final cleaned'!S607</f>
        <v>0</v>
      </c>
    </row>
    <row r="895" spans="1:13" x14ac:dyDescent="0.3">
      <c r="A895">
        <f>'insurance final cleaned'!J964</f>
        <v>14319.03</v>
      </c>
      <c r="B895">
        <f>'insurance final cleaned'!B964</f>
        <v>38</v>
      </c>
      <c r="C895">
        <f>'insurance final cleaned'!D964</f>
        <v>39.700000000000003</v>
      </c>
      <c r="D895">
        <f>'insurance final cleaned'!G964</f>
        <v>0</v>
      </c>
      <c r="E895">
        <f>'insurance final cleaned'!E964</f>
        <v>98</v>
      </c>
      <c r="F895">
        <f>'insurance final cleaned'!L964</f>
        <v>0</v>
      </c>
      <c r="G895">
        <f>'insurance final cleaned'!M964</f>
        <v>0</v>
      </c>
      <c r="H895">
        <f>'insurance final cleaned'!N964</f>
        <v>1</v>
      </c>
      <c r="I895">
        <f>'insurance final cleaned'!O964</f>
        <v>0</v>
      </c>
      <c r="J895">
        <f>'insurance final cleaned'!P964</f>
        <v>0.66233641844067193</v>
      </c>
      <c r="K895">
        <f>'insurance final cleaned'!Q964</f>
        <v>0</v>
      </c>
      <c r="L895">
        <f>'insurance final cleaned'!R964</f>
        <v>0</v>
      </c>
      <c r="M895">
        <f>'insurance final cleaned'!S964</f>
        <v>1</v>
      </c>
    </row>
    <row r="896" spans="1:13" x14ac:dyDescent="0.3">
      <c r="A896">
        <f>'insurance final cleaned'!J248</f>
        <v>3693.43</v>
      </c>
      <c r="B896">
        <f>'insurance final cleaned'!B248</f>
        <v>20</v>
      </c>
      <c r="C896">
        <f>'insurance final cleaned'!D248</f>
        <v>45.9</v>
      </c>
      <c r="D896">
        <f>'insurance final cleaned'!G248</f>
        <v>2</v>
      </c>
      <c r="E896">
        <f>'insurance final cleaned'!E248</f>
        <v>97</v>
      </c>
      <c r="F896">
        <f>'insurance final cleaned'!L248</f>
        <v>0</v>
      </c>
      <c r="G896">
        <f>'insurance final cleaned'!M248</f>
        <v>0</v>
      </c>
      <c r="H896">
        <f>'insurance final cleaned'!N248</f>
        <v>1</v>
      </c>
      <c r="I896">
        <f>'insurance final cleaned'!O248</f>
        <v>0</v>
      </c>
      <c r="J896">
        <f>'insurance final cleaned'!P248</f>
        <v>0.66323771898590445</v>
      </c>
      <c r="K896">
        <f>'insurance final cleaned'!Q248</f>
        <v>0</v>
      </c>
      <c r="L896">
        <f>'insurance final cleaned'!R248</f>
        <v>0</v>
      </c>
      <c r="M896">
        <f>'insurance final cleaned'!S248</f>
        <v>0</v>
      </c>
    </row>
    <row r="897" spans="1:13" x14ac:dyDescent="0.3">
      <c r="A897">
        <f>'insurance final cleaned'!J1089</f>
        <v>21232.18</v>
      </c>
      <c r="B897">
        <f>'insurance final cleaned'!B1089</f>
        <v>44</v>
      </c>
      <c r="C897">
        <f>'insurance final cleaned'!D1089</f>
        <v>29.6</v>
      </c>
      <c r="D897">
        <f>'insurance final cleaned'!G1089</f>
        <v>0</v>
      </c>
      <c r="E897">
        <f>'insurance final cleaned'!E1089</f>
        <v>91</v>
      </c>
      <c r="F897">
        <f>'insurance final cleaned'!L1089</f>
        <v>0</v>
      </c>
      <c r="G897">
        <f>'insurance final cleaned'!M1089</f>
        <v>0</v>
      </c>
      <c r="H897">
        <f>'insurance final cleaned'!N1089</f>
        <v>1</v>
      </c>
      <c r="I897">
        <f>'insurance final cleaned'!O1089</f>
        <v>0</v>
      </c>
      <c r="J897">
        <f>'insurance final cleaned'!P1089</f>
        <v>0.66332000016422343</v>
      </c>
      <c r="K897">
        <f>'insurance final cleaned'!Q1089</f>
        <v>0</v>
      </c>
      <c r="L897">
        <f>'insurance final cleaned'!R1089</f>
        <v>1</v>
      </c>
      <c r="M897">
        <f>'insurance final cleaned'!S1089</f>
        <v>0</v>
      </c>
    </row>
    <row r="898" spans="1:13" x14ac:dyDescent="0.3">
      <c r="A898">
        <f>'insurance final cleaned'!J1110</f>
        <v>22478.6</v>
      </c>
      <c r="B898">
        <f>'insurance final cleaned'!B1110</f>
        <v>49</v>
      </c>
      <c r="C898">
        <f>'insurance final cleaned'!D1110</f>
        <v>26.7</v>
      </c>
      <c r="D898">
        <f>'insurance final cleaned'!G1110</f>
        <v>2</v>
      </c>
      <c r="E898">
        <f>'insurance final cleaned'!E1110</f>
        <v>88</v>
      </c>
      <c r="F898">
        <f>'insurance final cleaned'!L1110</f>
        <v>26.7</v>
      </c>
      <c r="G898">
        <f>'insurance final cleaned'!M1110</f>
        <v>0</v>
      </c>
      <c r="H898">
        <f>'insurance final cleaned'!N1110</f>
        <v>1</v>
      </c>
      <c r="I898">
        <f>'insurance final cleaned'!O1110</f>
        <v>0</v>
      </c>
      <c r="J898">
        <f>'insurance final cleaned'!P1110</f>
        <v>0.66354559148295811</v>
      </c>
      <c r="K898">
        <f>'insurance final cleaned'!Q1110</f>
        <v>1</v>
      </c>
      <c r="L898">
        <f>'insurance final cleaned'!R1110</f>
        <v>0</v>
      </c>
      <c r="M898">
        <f>'insurance final cleaned'!S1110</f>
        <v>1</v>
      </c>
    </row>
    <row r="899" spans="1:13" x14ac:dyDescent="0.3">
      <c r="A899">
        <f>'insurance final cleaned'!J524</f>
        <v>7209.49</v>
      </c>
      <c r="B899">
        <f>'insurance final cleaned'!B524</f>
        <v>34</v>
      </c>
      <c r="C899">
        <f>'insurance final cleaned'!D524</f>
        <v>31.9</v>
      </c>
      <c r="D899">
        <f>'insurance final cleaned'!G524</f>
        <v>2</v>
      </c>
      <c r="E899">
        <f>'insurance final cleaned'!E524</f>
        <v>94</v>
      </c>
      <c r="F899">
        <f>'insurance final cleaned'!L524</f>
        <v>0</v>
      </c>
      <c r="G899">
        <f>'insurance final cleaned'!M524</f>
        <v>0</v>
      </c>
      <c r="H899">
        <f>'insurance final cleaned'!N524</f>
        <v>0</v>
      </c>
      <c r="I899">
        <f>'insurance final cleaned'!O524</f>
        <v>1</v>
      </c>
      <c r="J899">
        <f>'insurance final cleaned'!P524</f>
        <v>0.66362451344200768</v>
      </c>
      <c r="K899">
        <f>'insurance final cleaned'!Q524</f>
        <v>0</v>
      </c>
      <c r="L899">
        <f>'insurance final cleaned'!R524</f>
        <v>0</v>
      </c>
      <c r="M899">
        <f>'insurance final cleaned'!S524</f>
        <v>1</v>
      </c>
    </row>
    <row r="900" spans="1:13" x14ac:dyDescent="0.3">
      <c r="A900">
        <f>'insurance final cleaned'!J1273</f>
        <v>41034.22</v>
      </c>
      <c r="B900">
        <f>'insurance final cleaned'!B1273</f>
        <v>35</v>
      </c>
      <c r="C900">
        <f>'insurance final cleaned'!D1273</f>
        <v>35</v>
      </c>
      <c r="D900">
        <f>'insurance final cleaned'!G1273</f>
        <v>1</v>
      </c>
      <c r="E900">
        <f>'insurance final cleaned'!E1273</f>
        <v>109</v>
      </c>
      <c r="F900">
        <f>'insurance final cleaned'!L1273</f>
        <v>35</v>
      </c>
      <c r="G900">
        <f>'insurance final cleaned'!M1273</f>
        <v>0</v>
      </c>
      <c r="H900">
        <f>'insurance final cleaned'!N1273</f>
        <v>0</v>
      </c>
      <c r="I900">
        <f>'insurance final cleaned'!O1273</f>
        <v>0</v>
      </c>
      <c r="J900">
        <f>'insurance final cleaned'!P1273</f>
        <v>0.66387084434810795</v>
      </c>
      <c r="K900">
        <f>'insurance final cleaned'!Q1273</f>
        <v>1</v>
      </c>
      <c r="L900">
        <f>'insurance final cleaned'!R1273</f>
        <v>0</v>
      </c>
      <c r="M900">
        <f>'insurance final cleaned'!S1273</f>
        <v>0</v>
      </c>
    </row>
    <row r="901" spans="1:13" x14ac:dyDescent="0.3">
      <c r="A901">
        <f>'insurance final cleaned'!J1162</f>
        <v>27346.04</v>
      </c>
      <c r="B901">
        <f>'insurance final cleaned'!B1162</f>
        <v>36</v>
      </c>
      <c r="C901">
        <f>'insurance final cleaned'!D1162</f>
        <v>31.4</v>
      </c>
      <c r="D901">
        <f>'insurance final cleaned'!G1162</f>
        <v>0</v>
      </c>
      <c r="E901">
        <f>'insurance final cleaned'!E1162</f>
        <v>81</v>
      </c>
      <c r="F901">
        <f>'insurance final cleaned'!L1162</f>
        <v>0</v>
      </c>
      <c r="G901">
        <f>'insurance final cleaned'!M1162</f>
        <v>1</v>
      </c>
      <c r="H901">
        <f>'insurance final cleaned'!N1162</f>
        <v>0</v>
      </c>
      <c r="I901">
        <f>'insurance final cleaned'!O1162</f>
        <v>0</v>
      </c>
      <c r="J901">
        <f>'insurance final cleaned'!P1162</f>
        <v>0.66488015820000301</v>
      </c>
      <c r="K901">
        <f>'insurance final cleaned'!Q1162</f>
        <v>0</v>
      </c>
      <c r="L901">
        <f>'insurance final cleaned'!R1162</f>
        <v>1</v>
      </c>
      <c r="M901">
        <f>'insurance final cleaned'!S1162</f>
        <v>0</v>
      </c>
    </row>
    <row r="902" spans="1:13" x14ac:dyDescent="0.3">
      <c r="A902">
        <f>'insurance final cleaned'!J769</f>
        <v>10942.13</v>
      </c>
      <c r="B902">
        <f>'insurance final cleaned'!B769</f>
        <v>39</v>
      </c>
      <c r="C902">
        <f>'insurance final cleaned'!D769</f>
        <v>24.8</v>
      </c>
      <c r="D902">
        <f>'insurance final cleaned'!G769</f>
        <v>1</v>
      </c>
      <c r="E902">
        <f>'insurance final cleaned'!E769</f>
        <v>89</v>
      </c>
      <c r="F902">
        <f>'insurance final cleaned'!L769</f>
        <v>0</v>
      </c>
      <c r="G902">
        <f>'insurance final cleaned'!M769</f>
        <v>0</v>
      </c>
      <c r="H902">
        <f>'insurance final cleaned'!N769</f>
        <v>0</v>
      </c>
      <c r="I902">
        <f>'insurance final cleaned'!O769</f>
        <v>1</v>
      </c>
      <c r="J902">
        <f>'insurance final cleaned'!P769</f>
        <v>0.66532889195106071</v>
      </c>
      <c r="K902">
        <f>'insurance final cleaned'!Q769</f>
        <v>0</v>
      </c>
      <c r="L902">
        <f>'insurance final cleaned'!R769</f>
        <v>1</v>
      </c>
      <c r="M902">
        <f>'insurance final cleaned'!S769</f>
        <v>1</v>
      </c>
    </row>
    <row r="903" spans="1:13" x14ac:dyDescent="0.3">
      <c r="A903">
        <f>'insurance final cleaned'!J358</f>
        <v>4922.92</v>
      </c>
      <c r="B903">
        <f>'insurance final cleaned'!B358</f>
        <v>40</v>
      </c>
      <c r="C903">
        <f>'insurance final cleaned'!D358</f>
        <v>32.1</v>
      </c>
      <c r="D903">
        <f>'insurance final cleaned'!G358</f>
        <v>2</v>
      </c>
      <c r="E903">
        <f>'insurance final cleaned'!E358</f>
        <v>95</v>
      </c>
      <c r="F903">
        <f>'insurance final cleaned'!L358</f>
        <v>0</v>
      </c>
      <c r="G903">
        <f>'insurance final cleaned'!M358</f>
        <v>0</v>
      </c>
      <c r="H903">
        <f>'insurance final cleaned'!N358</f>
        <v>0</v>
      </c>
      <c r="I903">
        <f>'insurance final cleaned'!O358</f>
        <v>1</v>
      </c>
      <c r="J903">
        <f>'insurance final cleaned'!P358</f>
        <v>0.66562529596595921</v>
      </c>
      <c r="K903">
        <f>'insurance final cleaned'!Q358</f>
        <v>0</v>
      </c>
      <c r="L903">
        <f>'insurance final cleaned'!R358</f>
        <v>1</v>
      </c>
      <c r="M903">
        <f>'insurance final cleaned'!S358</f>
        <v>1</v>
      </c>
    </row>
    <row r="904" spans="1:13" x14ac:dyDescent="0.3">
      <c r="A904">
        <f>'insurance final cleaned'!J852</f>
        <v>12044.34</v>
      </c>
      <c r="B904">
        <f>'insurance final cleaned'!B852</f>
        <v>31</v>
      </c>
      <c r="C904">
        <f>'insurance final cleaned'!D852</f>
        <v>26.6</v>
      </c>
      <c r="D904">
        <f>'insurance final cleaned'!G852</f>
        <v>1</v>
      </c>
      <c r="E904">
        <f>'insurance final cleaned'!E852</f>
        <v>90</v>
      </c>
      <c r="F904">
        <f>'insurance final cleaned'!L852</f>
        <v>0</v>
      </c>
      <c r="G904">
        <f>'insurance final cleaned'!M852</f>
        <v>0</v>
      </c>
      <c r="H904">
        <f>'insurance final cleaned'!N852</f>
        <v>0</v>
      </c>
      <c r="I904">
        <f>'insurance final cleaned'!O852</f>
        <v>1</v>
      </c>
      <c r="J904">
        <f>'insurance final cleaned'!P852</f>
        <v>0.66655743491704089</v>
      </c>
      <c r="K904">
        <f>'insurance final cleaned'!Q852</f>
        <v>0</v>
      </c>
      <c r="L904">
        <f>'insurance final cleaned'!R852</f>
        <v>1</v>
      </c>
      <c r="M904">
        <f>'insurance final cleaned'!S852</f>
        <v>1</v>
      </c>
    </row>
    <row r="905" spans="1:13" x14ac:dyDescent="0.3">
      <c r="A905">
        <f>'insurance final cleaned'!J783</f>
        <v>11090.72</v>
      </c>
      <c r="B905">
        <f>'insurance final cleaned'!B783</f>
        <v>60</v>
      </c>
      <c r="C905">
        <f>'insurance final cleaned'!D783</f>
        <v>39.799999999999997</v>
      </c>
      <c r="D905">
        <f>'insurance final cleaned'!G783</f>
        <v>0</v>
      </c>
      <c r="E905">
        <f>'insurance final cleaned'!E783</f>
        <v>93</v>
      </c>
      <c r="F905">
        <f>'insurance final cleaned'!L783</f>
        <v>0</v>
      </c>
      <c r="G905">
        <f>'insurance final cleaned'!M783</f>
        <v>1</v>
      </c>
      <c r="H905">
        <f>'insurance final cleaned'!N783</f>
        <v>0</v>
      </c>
      <c r="I905">
        <f>'insurance final cleaned'!O783</f>
        <v>0</v>
      </c>
      <c r="J905">
        <f>'insurance final cleaned'!P783</f>
        <v>0.66675200997274553</v>
      </c>
      <c r="K905">
        <f>'insurance final cleaned'!Q783</f>
        <v>0</v>
      </c>
      <c r="L905">
        <f>'insurance final cleaned'!R783</f>
        <v>1</v>
      </c>
      <c r="M905">
        <f>'insurance final cleaned'!S783</f>
        <v>1</v>
      </c>
    </row>
    <row r="906" spans="1:13" x14ac:dyDescent="0.3">
      <c r="A906">
        <f>'insurance final cleaned'!J436</f>
        <v>6082.41</v>
      </c>
      <c r="B906">
        <f>'insurance final cleaned'!B436</f>
        <v>42</v>
      </c>
      <c r="C906">
        <f>'insurance final cleaned'!D436</f>
        <v>34.700000000000003</v>
      </c>
      <c r="D906">
        <f>'insurance final cleaned'!G436</f>
        <v>2</v>
      </c>
      <c r="E906">
        <f>'insurance final cleaned'!E436</f>
        <v>97</v>
      </c>
      <c r="F906">
        <f>'insurance final cleaned'!L436</f>
        <v>0</v>
      </c>
      <c r="G906">
        <f>'insurance final cleaned'!M436</f>
        <v>0</v>
      </c>
      <c r="H906">
        <f>'insurance final cleaned'!N436</f>
        <v>1</v>
      </c>
      <c r="I906">
        <f>'insurance final cleaned'!O436</f>
        <v>0</v>
      </c>
      <c r="J906">
        <f>'insurance final cleaned'!P436</f>
        <v>0.66677591646073786</v>
      </c>
      <c r="K906">
        <f>'insurance final cleaned'!Q436</f>
        <v>0</v>
      </c>
      <c r="L906">
        <f>'insurance final cleaned'!R436</f>
        <v>1</v>
      </c>
      <c r="M906">
        <f>'insurance final cleaned'!S436</f>
        <v>0</v>
      </c>
    </row>
    <row r="907" spans="1:13" x14ac:dyDescent="0.3">
      <c r="A907">
        <f>'insurance final cleaned'!J879</f>
        <v>12523.6</v>
      </c>
      <c r="B907">
        <f>'insurance final cleaned'!B879</f>
        <v>27</v>
      </c>
      <c r="C907">
        <f>'insurance final cleaned'!D879</f>
        <v>24.3</v>
      </c>
      <c r="D907">
        <f>'insurance final cleaned'!G879</f>
        <v>0</v>
      </c>
      <c r="E907">
        <f>'insurance final cleaned'!E879</f>
        <v>102</v>
      </c>
      <c r="F907">
        <f>'insurance final cleaned'!L879</f>
        <v>0</v>
      </c>
      <c r="G907">
        <f>'insurance final cleaned'!M879</f>
        <v>0</v>
      </c>
      <c r="H907">
        <f>'insurance final cleaned'!N879</f>
        <v>0</v>
      </c>
      <c r="I907">
        <f>'insurance final cleaned'!O879</f>
        <v>1</v>
      </c>
      <c r="J907">
        <f>'insurance final cleaned'!P879</f>
        <v>0.66684184324557194</v>
      </c>
      <c r="K907">
        <f>'insurance final cleaned'!Q879</f>
        <v>0</v>
      </c>
      <c r="L907">
        <f>'insurance final cleaned'!R879</f>
        <v>1</v>
      </c>
      <c r="M907">
        <f>'insurance final cleaned'!S879</f>
        <v>0</v>
      </c>
    </row>
    <row r="908" spans="1:13" x14ac:dyDescent="0.3">
      <c r="A908">
        <f>'insurance final cleaned'!J1124</f>
        <v>23967.38</v>
      </c>
      <c r="B908">
        <f>'insurance final cleaned'!B1124</f>
        <v>28</v>
      </c>
      <c r="C908">
        <f>'insurance final cleaned'!D1124</f>
        <v>24.8</v>
      </c>
      <c r="D908">
        <f>'insurance final cleaned'!G1124</f>
        <v>2</v>
      </c>
      <c r="E908">
        <f>'insurance final cleaned'!E1124</f>
        <v>92</v>
      </c>
      <c r="F908">
        <f>'insurance final cleaned'!L1124</f>
        <v>24.8</v>
      </c>
      <c r="G908">
        <f>'insurance final cleaned'!M1124</f>
        <v>0</v>
      </c>
      <c r="H908">
        <f>'insurance final cleaned'!N1124</f>
        <v>0</v>
      </c>
      <c r="I908">
        <f>'insurance final cleaned'!O1124</f>
        <v>1</v>
      </c>
      <c r="J908">
        <f>'insurance final cleaned'!P1124</f>
        <v>0.66737043873782409</v>
      </c>
      <c r="K908">
        <f>'insurance final cleaned'!Q1124</f>
        <v>1</v>
      </c>
      <c r="L908">
        <f>'insurance final cleaned'!R1124</f>
        <v>1</v>
      </c>
      <c r="M908">
        <f>'insurance final cleaned'!S1124</f>
        <v>0</v>
      </c>
    </row>
    <row r="909" spans="1:13" x14ac:dyDescent="0.3">
      <c r="A909">
        <f>'insurance final cleaned'!J1161</f>
        <v>27322.73</v>
      </c>
      <c r="B909">
        <f>'insurance final cleaned'!B1161</f>
        <v>30</v>
      </c>
      <c r="C909">
        <f>'insurance final cleaned'!D1161</f>
        <v>31.9</v>
      </c>
      <c r="D909">
        <f>'insurance final cleaned'!G1161</f>
        <v>3</v>
      </c>
      <c r="E909">
        <f>'insurance final cleaned'!E1161</f>
        <v>87</v>
      </c>
      <c r="F909">
        <f>'insurance final cleaned'!L1161</f>
        <v>0</v>
      </c>
      <c r="G909">
        <f>'insurance final cleaned'!M1161</f>
        <v>1</v>
      </c>
      <c r="H909">
        <f>'insurance final cleaned'!N1161</f>
        <v>0</v>
      </c>
      <c r="I909">
        <f>'insurance final cleaned'!O1161</f>
        <v>0</v>
      </c>
      <c r="J909">
        <f>'insurance final cleaned'!P1161</f>
        <v>0.66761812664736586</v>
      </c>
      <c r="K909">
        <f>'insurance final cleaned'!Q1161</f>
        <v>0</v>
      </c>
      <c r="L909">
        <f>'insurance final cleaned'!R1161</f>
        <v>1</v>
      </c>
      <c r="M909">
        <f>'insurance final cleaned'!S1161</f>
        <v>1</v>
      </c>
    </row>
    <row r="910" spans="1:13" x14ac:dyDescent="0.3">
      <c r="A910">
        <f>'insurance final cleaned'!J17</f>
        <v>1256.3</v>
      </c>
      <c r="B910">
        <f>'insurance final cleaned'!B17</f>
        <v>32</v>
      </c>
      <c r="C910">
        <f>'insurance final cleaned'!D17</f>
        <v>30.4</v>
      </c>
      <c r="D910">
        <f>'insurance final cleaned'!G17</f>
        <v>0</v>
      </c>
      <c r="E910">
        <f>'insurance final cleaned'!E17</f>
        <v>86</v>
      </c>
      <c r="F910">
        <f>'insurance final cleaned'!L17</f>
        <v>0</v>
      </c>
      <c r="G910">
        <f>'insurance final cleaned'!M17</f>
        <v>0</v>
      </c>
      <c r="H910">
        <f>'insurance final cleaned'!N17</f>
        <v>0</v>
      </c>
      <c r="I910">
        <f>'insurance final cleaned'!O17</f>
        <v>1</v>
      </c>
      <c r="J910">
        <f>'insurance final cleaned'!P17</f>
        <v>0.66782829645637298</v>
      </c>
      <c r="K910">
        <f>'insurance final cleaned'!Q17</f>
        <v>0</v>
      </c>
      <c r="L910">
        <f>'insurance final cleaned'!R17</f>
        <v>1</v>
      </c>
      <c r="M910">
        <f>'insurance final cleaned'!S17</f>
        <v>0</v>
      </c>
    </row>
    <row r="911" spans="1:13" x14ac:dyDescent="0.3">
      <c r="A911">
        <f>'insurance final cleaned'!J741</f>
        <v>10436.1</v>
      </c>
      <c r="B911">
        <f>'insurance final cleaned'!B741</f>
        <v>37</v>
      </c>
      <c r="C911">
        <f>'insurance final cleaned'!D741</f>
        <v>29.2</v>
      </c>
      <c r="D911">
        <f>'insurance final cleaned'!G741</f>
        <v>1</v>
      </c>
      <c r="E911">
        <f>'insurance final cleaned'!E741</f>
        <v>109</v>
      </c>
      <c r="F911">
        <f>'insurance final cleaned'!L741</f>
        <v>0</v>
      </c>
      <c r="G911">
        <f>'insurance final cleaned'!M741</f>
        <v>0</v>
      </c>
      <c r="H911">
        <f>'insurance final cleaned'!N741</f>
        <v>1</v>
      </c>
      <c r="I911">
        <f>'insurance final cleaned'!O741</f>
        <v>0</v>
      </c>
      <c r="J911">
        <f>'insurance final cleaned'!P741</f>
        <v>0.66833754167717752</v>
      </c>
      <c r="K911">
        <f>'insurance final cleaned'!Q741</f>
        <v>0</v>
      </c>
      <c r="L911">
        <f>'insurance final cleaned'!R741</f>
        <v>0</v>
      </c>
      <c r="M911">
        <f>'insurance final cleaned'!S741</f>
        <v>0</v>
      </c>
    </row>
    <row r="912" spans="1:13" x14ac:dyDescent="0.3">
      <c r="A912">
        <f>'insurance final cleaned'!J1040</f>
        <v>18767.740000000002</v>
      </c>
      <c r="B912">
        <f>'insurance final cleaned'!B1040</f>
        <v>21</v>
      </c>
      <c r="C912">
        <f>'insurance final cleaned'!D1040</f>
        <v>20.100000000000001</v>
      </c>
      <c r="D912">
        <f>'insurance final cleaned'!G1040</f>
        <v>2</v>
      </c>
      <c r="E912">
        <f>'insurance final cleaned'!E1040</f>
        <v>108</v>
      </c>
      <c r="F912">
        <f>'insurance final cleaned'!L1040</f>
        <v>20.100000000000001</v>
      </c>
      <c r="G912">
        <f>'insurance final cleaned'!M1040</f>
        <v>1</v>
      </c>
      <c r="H912">
        <f>'insurance final cleaned'!N1040</f>
        <v>0</v>
      </c>
      <c r="I912">
        <f>'insurance final cleaned'!O1040</f>
        <v>0</v>
      </c>
      <c r="J912">
        <f>'insurance final cleaned'!P1040</f>
        <v>0.6684085125762339</v>
      </c>
      <c r="K912">
        <f>'insurance final cleaned'!Q1040</f>
        <v>1</v>
      </c>
      <c r="L912">
        <f>'insurance final cleaned'!R1040</f>
        <v>0</v>
      </c>
      <c r="M912">
        <f>'insurance final cleaned'!S1040</f>
        <v>0</v>
      </c>
    </row>
    <row r="913" spans="1:13" x14ac:dyDescent="0.3">
      <c r="A913">
        <f>'insurance final cleaned'!J374</f>
        <v>5152.13</v>
      </c>
      <c r="B913">
        <f>'insurance final cleaned'!B374</f>
        <v>34</v>
      </c>
      <c r="C913">
        <f>'insurance final cleaned'!D374</f>
        <v>29.8</v>
      </c>
      <c r="D913">
        <f>'insurance final cleaned'!G374</f>
        <v>2</v>
      </c>
      <c r="E913">
        <f>'insurance final cleaned'!E374</f>
        <v>100</v>
      </c>
      <c r="F913">
        <f>'insurance final cleaned'!L374</f>
        <v>0</v>
      </c>
      <c r="G913">
        <f>'insurance final cleaned'!M374</f>
        <v>0</v>
      </c>
      <c r="H913">
        <f>'insurance final cleaned'!N374</f>
        <v>1</v>
      </c>
      <c r="I913">
        <f>'insurance final cleaned'!O374</f>
        <v>0</v>
      </c>
      <c r="J913">
        <f>'insurance final cleaned'!P374</f>
        <v>0.66851888594891451</v>
      </c>
      <c r="K913">
        <f>'insurance final cleaned'!Q374</f>
        <v>0</v>
      </c>
      <c r="L913">
        <f>'insurance final cleaned'!R374</f>
        <v>1</v>
      </c>
      <c r="M913">
        <f>'insurance final cleaned'!S374</f>
        <v>1</v>
      </c>
    </row>
    <row r="914" spans="1:13" x14ac:dyDescent="0.3">
      <c r="A914">
        <f>'insurance final cleaned'!J66</f>
        <v>1737.38</v>
      </c>
      <c r="B914">
        <f>'insurance final cleaned'!B66</f>
        <v>32</v>
      </c>
      <c r="C914">
        <f>'insurance final cleaned'!D66</f>
        <v>24.7</v>
      </c>
      <c r="D914">
        <f>'insurance final cleaned'!G66</f>
        <v>0</v>
      </c>
      <c r="E914">
        <f>'insurance final cleaned'!E66</f>
        <v>89</v>
      </c>
      <c r="F914">
        <f>'insurance final cleaned'!L66</f>
        <v>0</v>
      </c>
      <c r="G914">
        <f>'insurance final cleaned'!M66</f>
        <v>0</v>
      </c>
      <c r="H914">
        <f>'insurance final cleaned'!N66</f>
        <v>1</v>
      </c>
      <c r="I914">
        <f>'insurance final cleaned'!O66</f>
        <v>0</v>
      </c>
      <c r="J914">
        <f>'insurance final cleaned'!P66</f>
        <v>0.66863222934086497</v>
      </c>
      <c r="K914">
        <f>'insurance final cleaned'!Q66</f>
        <v>0</v>
      </c>
      <c r="L914">
        <f>'insurance final cleaned'!R66</f>
        <v>0</v>
      </c>
      <c r="M914">
        <f>'insurance final cleaned'!S66</f>
        <v>1</v>
      </c>
    </row>
    <row r="915" spans="1:13" x14ac:dyDescent="0.3">
      <c r="A915">
        <f>'insurance final cleaned'!J990</f>
        <v>15518.18</v>
      </c>
      <c r="B915">
        <f>'insurance final cleaned'!B990</f>
        <v>46</v>
      </c>
      <c r="C915">
        <f>'insurance final cleaned'!D990</f>
        <v>25.2</v>
      </c>
      <c r="D915">
        <f>'insurance final cleaned'!G990</f>
        <v>0</v>
      </c>
      <c r="E915">
        <f>'insurance final cleaned'!E990</f>
        <v>104</v>
      </c>
      <c r="F915">
        <f>'insurance final cleaned'!L990</f>
        <v>25.2</v>
      </c>
      <c r="G915">
        <f>'insurance final cleaned'!M990</f>
        <v>0</v>
      </c>
      <c r="H915">
        <f>'insurance final cleaned'!N990</f>
        <v>0</v>
      </c>
      <c r="I915">
        <f>'insurance final cleaned'!O990</f>
        <v>0</v>
      </c>
      <c r="J915">
        <f>'insurance final cleaned'!P990</f>
        <v>0.66921242016540794</v>
      </c>
      <c r="K915">
        <f>'insurance final cleaned'!Q990</f>
        <v>1</v>
      </c>
      <c r="L915">
        <f>'insurance final cleaned'!R990</f>
        <v>1</v>
      </c>
      <c r="M915">
        <f>'insurance final cleaned'!S990</f>
        <v>0</v>
      </c>
    </row>
    <row r="916" spans="1:13" x14ac:dyDescent="0.3">
      <c r="A916">
        <f>'insurance final cleaned'!J1173</f>
        <v>28868.66</v>
      </c>
      <c r="B916">
        <f>'insurance final cleaned'!B1173</f>
        <v>38</v>
      </c>
      <c r="C916">
        <f>'insurance final cleaned'!D1173</f>
        <v>28.3</v>
      </c>
      <c r="D916">
        <f>'insurance final cleaned'!G1173</f>
        <v>1</v>
      </c>
      <c r="E916">
        <f>'insurance final cleaned'!E1173</f>
        <v>93</v>
      </c>
      <c r="F916">
        <f>'insurance final cleaned'!L1173</f>
        <v>28.3</v>
      </c>
      <c r="G916">
        <f>'insurance final cleaned'!M1173</f>
        <v>0</v>
      </c>
      <c r="H916">
        <f>'insurance final cleaned'!N1173</f>
        <v>0</v>
      </c>
      <c r="I916">
        <f>'insurance final cleaned'!O1173</f>
        <v>1</v>
      </c>
      <c r="J916">
        <f>'insurance final cleaned'!P1173</f>
        <v>0.67069017413667631</v>
      </c>
      <c r="K916">
        <f>'insurance final cleaned'!Q1173</f>
        <v>1</v>
      </c>
      <c r="L916">
        <f>'insurance final cleaned'!R1173</f>
        <v>0</v>
      </c>
      <c r="M916">
        <f>'insurance final cleaned'!S1173</f>
        <v>0</v>
      </c>
    </row>
    <row r="917" spans="1:13" x14ac:dyDescent="0.3">
      <c r="A917">
        <f>'insurance final cleaned'!J1042</f>
        <v>18806.150000000001</v>
      </c>
      <c r="B917">
        <f>'insurance final cleaned'!B1042</f>
        <v>46</v>
      </c>
      <c r="C917">
        <f>'insurance final cleaned'!D1042</f>
        <v>35.299999999999997</v>
      </c>
      <c r="D917">
        <f>'insurance final cleaned'!G1042</f>
        <v>2</v>
      </c>
      <c r="E917">
        <f>'insurance final cleaned'!E1042</f>
        <v>89</v>
      </c>
      <c r="F917">
        <f>'insurance final cleaned'!L1042</f>
        <v>0</v>
      </c>
      <c r="G917">
        <f>'insurance final cleaned'!M1042</f>
        <v>1</v>
      </c>
      <c r="H917">
        <f>'insurance final cleaned'!N1042</f>
        <v>0</v>
      </c>
      <c r="I917">
        <f>'insurance final cleaned'!O1042</f>
        <v>0</v>
      </c>
      <c r="J917">
        <f>'insurance final cleaned'!P1042</f>
        <v>0.67135656286538703</v>
      </c>
      <c r="K917">
        <f>'insurance final cleaned'!Q1042</f>
        <v>0</v>
      </c>
      <c r="L917">
        <f>'insurance final cleaned'!R1042</f>
        <v>0</v>
      </c>
      <c r="M917">
        <f>'insurance final cleaned'!S1042</f>
        <v>0</v>
      </c>
    </row>
    <row r="918" spans="1:13" x14ac:dyDescent="0.3">
      <c r="A918">
        <f>'insurance final cleaned'!J843</f>
        <v>11884.05</v>
      </c>
      <c r="B918">
        <f>'insurance final cleaned'!B843</f>
        <v>23</v>
      </c>
      <c r="C918">
        <f>'insurance final cleaned'!D843</f>
        <v>21.8</v>
      </c>
      <c r="D918">
        <f>'insurance final cleaned'!G843</f>
        <v>2</v>
      </c>
      <c r="E918">
        <f>'insurance final cleaned'!E843</f>
        <v>92</v>
      </c>
      <c r="F918">
        <f>'insurance final cleaned'!L843</f>
        <v>0</v>
      </c>
      <c r="G918">
        <f>'insurance final cleaned'!M843</f>
        <v>1</v>
      </c>
      <c r="H918">
        <f>'insurance final cleaned'!N843</f>
        <v>0</v>
      </c>
      <c r="I918">
        <f>'insurance final cleaned'!O843</f>
        <v>0</v>
      </c>
      <c r="J918">
        <f>'insurance final cleaned'!P843</f>
        <v>0.67149050501760665</v>
      </c>
      <c r="K918">
        <f>'insurance final cleaned'!Q843</f>
        <v>0</v>
      </c>
      <c r="L918">
        <f>'insurance final cleaned'!R843</f>
        <v>0</v>
      </c>
      <c r="M918">
        <f>'insurance final cleaned'!S843</f>
        <v>0</v>
      </c>
    </row>
    <row r="919" spans="1:13" x14ac:dyDescent="0.3">
      <c r="A919">
        <f>'insurance final cleaned'!J304</f>
        <v>4415.16</v>
      </c>
      <c r="B919">
        <f>'insurance final cleaned'!B304</f>
        <v>41</v>
      </c>
      <c r="C919">
        <f>'insurance final cleaned'!D304</f>
        <v>27.7</v>
      </c>
      <c r="D919">
        <f>'insurance final cleaned'!G304</f>
        <v>0</v>
      </c>
      <c r="E919">
        <f>'insurance final cleaned'!E304</f>
        <v>92</v>
      </c>
      <c r="F919">
        <f>'insurance final cleaned'!L304</f>
        <v>0</v>
      </c>
      <c r="G919">
        <f>'insurance final cleaned'!M304</f>
        <v>1</v>
      </c>
      <c r="H919">
        <f>'insurance final cleaned'!N304</f>
        <v>0</v>
      </c>
      <c r="I919">
        <f>'insurance final cleaned'!O304</f>
        <v>0</v>
      </c>
      <c r="J919">
        <f>'insurance final cleaned'!P304</f>
        <v>0.67173875675972694</v>
      </c>
      <c r="K919">
        <f>'insurance final cleaned'!Q304</f>
        <v>0</v>
      </c>
      <c r="L919">
        <f>'insurance final cleaned'!R304</f>
        <v>1</v>
      </c>
      <c r="M919">
        <f>'insurance final cleaned'!S304</f>
        <v>1</v>
      </c>
    </row>
    <row r="920" spans="1:13" x14ac:dyDescent="0.3">
      <c r="A920">
        <f>'insurance final cleaned'!J1031</f>
        <v>18218.16</v>
      </c>
      <c r="B920">
        <f>'insurance final cleaned'!B1031</f>
        <v>35</v>
      </c>
      <c r="C920">
        <f>'insurance final cleaned'!D1031</f>
        <v>32.200000000000003</v>
      </c>
      <c r="D920">
        <f>'insurance final cleaned'!G1031</f>
        <v>1</v>
      </c>
      <c r="E920">
        <f>'insurance final cleaned'!E1031</f>
        <v>107</v>
      </c>
      <c r="F920">
        <f>'insurance final cleaned'!L1031</f>
        <v>0</v>
      </c>
      <c r="G920">
        <f>'insurance final cleaned'!M1031</f>
        <v>1</v>
      </c>
      <c r="H920">
        <f>'insurance final cleaned'!N1031</f>
        <v>0</v>
      </c>
      <c r="I920">
        <f>'insurance final cleaned'!O1031</f>
        <v>0</v>
      </c>
      <c r="J920">
        <f>'insurance final cleaned'!P1031</f>
        <v>0.67292569382000111</v>
      </c>
      <c r="K920">
        <f>'insurance final cleaned'!Q1031</f>
        <v>0</v>
      </c>
      <c r="L920">
        <f>'insurance final cleaned'!R1031</f>
        <v>1</v>
      </c>
      <c r="M920">
        <f>'insurance final cleaned'!S1031</f>
        <v>1</v>
      </c>
    </row>
    <row r="921" spans="1:13" x14ac:dyDescent="0.3">
      <c r="A921">
        <f>'insurance final cleaned'!J1128</f>
        <v>24227.34</v>
      </c>
      <c r="B921">
        <f>'insurance final cleaned'!B1128</f>
        <v>51</v>
      </c>
      <c r="C921">
        <f>'insurance final cleaned'!D1128</f>
        <v>41.9</v>
      </c>
      <c r="D921">
        <f>'insurance final cleaned'!G1128</f>
        <v>0</v>
      </c>
      <c r="E921">
        <f>'insurance final cleaned'!E1128</f>
        <v>106</v>
      </c>
      <c r="F921">
        <f>'insurance final cleaned'!L1128</f>
        <v>0</v>
      </c>
      <c r="G921">
        <f>'insurance final cleaned'!M1128</f>
        <v>1</v>
      </c>
      <c r="H921">
        <f>'insurance final cleaned'!N1128</f>
        <v>0</v>
      </c>
      <c r="I921">
        <f>'insurance final cleaned'!O1128</f>
        <v>0</v>
      </c>
      <c r="J921">
        <f>'insurance final cleaned'!P1128</f>
        <v>0.67372304743964939</v>
      </c>
      <c r="K921">
        <f>'insurance final cleaned'!Q1128</f>
        <v>0</v>
      </c>
      <c r="L921">
        <f>'insurance final cleaned'!R1128</f>
        <v>0</v>
      </c>
      <c r="M921">
        <f>'insurance final cleaned'!S1128</f>
        <v>1</v>
      </c>
    </row>
    <row r="922" spans="1:13" x14ac:dyDescent="0.3">
      <c r="A922">
        <f>'insurance final cleaned'!J5</f>
        <v>1136.4000000000001</v>
      </c>
      <c r="B922">
        <f>'insurance final cleaned'!B5</f>
        <v>38</v>
      </c>
      <c r="C922">
        <f>'insurance final cleaned'!D5</f>
        <v>33.700000000000003</v>
      </c>
      <c r="D922">
        <f>'insurance final cleaned'!G5</f>
        <v>0</v>
      </c>
      <c r="E922">
        <f>'insurance final cleaned'!E5</f>
        <v>80</v>
      </c>
      <c r="F922">
        <f>'insurance final cleaned'!L5</f>
        <v>0</v>
      </c>
      <c r="G922">
        <f>'insurance final cleaned'!M5</f>
        <v>0</v>
      </c>
      <c r="H922">
        <f>'insurance final cleaned'!N5</f>
        <v>0</v>
      </c>
      <c r="I922">
        <f>'insurance final cleaned'!O5</f>
        <v>1</v>
      </c>
      <c r="J922">
        <f>'insurance final cleaned'!P5</f>
        <v>0.674654772660915</v>
      </c>
      <c r="K922">
        <f>'insurance final cleaned'!Q5</f>
        <v>0</v>
      </c>
      <c r="L922">
        <f>'insurance final cleaned'!R5</f>
        <v>0</v>
      </c>
      <c r="M922">
        <f>'insurance final cleaned'!S5</f>
        <v>0</v>
      </c>
    </row>
    <row r="923" spans="1:13" x14ac:dyDescent="0.3">
      <c r="A923">
        <f>'insurance final cleaned'!J947</f>
        <v>13887.97</v>
      </c>
      <c r="B923">
        <f>'insurance final cleaned'!B947</f>
        <v>57</v>
      </c>
      <c r="C923">
        <f>'insurance final cleaned'!D947</f>
        <v>36.9</v>
      </c>
      <c r="D923">
        <f>'insurance final cleaned'!G947</f>
        <v>0</v>
      </c>
      <c r="E923">
        <f>'insurance final cleaned'!E947</f>
        <v>88</v>
      </c>
      <c r="F923">
        <f>'insurance final cleaned'!L947</f>
        <v>0</v>
      </c>
      <c r="G923">
        <f>'insurance final cleaned'!M947</f>
        <v>1</v>
      </c>
      <c r="H923">
        <f>'insurance final cleaned'!N947</f>
        <v>0</v>
      </c>
      <c r="I923">
        <f>'insurance final cleaned'!O947</f>
        <v>0</v>
      </c>
      <c r="J923">
        <f>'insurance final cleaned'!P947</f>
        <v>0.67523805168433026</v>
      </c>
      <c r="K923">
        <f>'insurance final cleaned'!Q947</f>
        <v>0</v>
      </c>
      <c r="L923">
        <f>'insurance final cleaned'!R947</f>
        <v>1</v>
      </c>
      <c r="M923">
        <f>'insurance final cleaned'!S947</f>
        <v>1</v>
      </c>
    </row>
    <row r="924" spans="1:13" x14ac:dyDescent="0.3">
      <c r="A924">
        <f>'insurance final cleaned'!J638</f>
        <v>8823.99</v>
      </c>
      <c r="B924">
        <f>'insurance final cleaned'!B638</f>
        <v>33</v>
      </c>
      <c r="C924">
        <f>'insurance final cleaned'!D638</f>
        <v>33.700000000000003</v>
      </c>
      <c r="D924">
        <f>'insurance final cleaned'!G638</f>
        <v>1</v>
      </c>
      <c r="E924">
        <f>'insurance final cleaned'!E638</f>
        <v>81</v>
      </c>
      <c r="F924">
        <f>'insurance final cleaned'!L638</f>
        <v>0</v>
      </c>
      <c r="G924">
        <f>'insurance final cleaned'!M638</f>
        <v>0</v>
      </c>
      <c r="H924">
        <f>'insurance final cleaned'!N638</f>
        <v>0</v>
      </c>
      <c r="I924">
        <f>'insurance final cleaned'!O638</f>
        <v>0</v>
      </c>
      <c r="J924">
        <f>'insurance final cleaned'!P638</f>
        <v>0.67541109209441574</v>
      </c>
      <c r="K924">
        <f>'insurance final cleaned'!Q638</f>
        <v>0</v>
      </c>
      <c r="L924">
        <f>'insurance final cleaned'!R638</f>
        <v>1</v>
      </c>
      <c r="M924">
        <f>'insurance final cleaned'!S638</f>
        <v>1</v>
      </c>
    </row>
    <row r="925" spans="1:13" x14ac:dyDescent="0.3">
      <c r="A925">
        <f>'insurance final cleaned'!J244</f>
        <v>3594.17</v>
      </c>
      <c r="B925">
        <f>'insurance final cleaned'!B244</f>
        <v>36</v>
      </c>
      <c r="C925">
        <f>'insurance final cleaned'!D244</f>
        <v>22.5</v>
      </c>
      <c r="D925">
        <f>'insurance final cleaned'!G244</f>
        <v>1</v>
      </c>
      <c r="E925">
        <f>'insurance final cleaned'!E244</f>
        <v>91</v>
      </c>
      <c r="F925">
        <f>'insurance final cleaned'!L244</f>
        <v>0</v>
      </c>
      <c r="G925">
        <f>'insurance final cleaned'!M244</f>
        <v>0</v>
      </c>
      <c r="H925">
        <f>'insurance final cleaned'!N244</f>
        <v>0</v>
      </c>
      <c r="I925">
        <f>'insurance final cleaned'!O244</f>
        <v>1</v>
      </c>
      <c r="J925">
        <f>'insurance final cleaned'!P244</f>
        <v>0.67568160532019972</v>
      </c>
      <c r="K925">
        <f>'insurance final cleaned'!Q244</f>
        <v>0</v>
      </c>
      <c r="L925">
        <f>'insurance final cleaned'!R244</f>
        <v>1</v>
      </c>
      <c r="M925">
        <f>'insurance final cleaned'!S244</f>
        <v>1</v>
      </c>
    </row>
    <row r="926" spans="1:13" x14ac:dyDescent="0.3">
      <c r="A926">
        <f>'insurance final cleaned'!J1068</f>
        <v>19964.75</v>
      </c>
      <c r="B926">
        <f>'insurance final cleaned'!B1068</f>
        <v>43</v>
      </c>
      <c r="C926">
        <f>'insurance final cleaned'!D1068</f>
        <v>23.4</v>
      </c>
      <c r="D926">
        <f>'insurance final cleaned'!G1068</f>
        <v>0</v>
      </c>
      <c r="E926">
        <f>'insurance final cleaned'!E1068</f>
        <v>82</v>
      </c>
      <c r="F926">
        <f>'insurance final cleaned'!L1068</f>
        <v>23.4</v>
      </c>
      <c r="G926">
        <f>'insurance final cleaned'!M1068</f>
        <v>0</v>
      </c>
      <c r="H926">
        <f>'insurance final cleaned'!N1068</f>
        <v>0</v>
      </c>
      <c r="I926">
        <f>'insurance final cleaned'!O1068</f>
        <v>0</v>
      </c>
      <c r="J926">
        <f>'insurance final cleaned'!P1068</f>
        <v>0.6764493529524902</v>
      </c>
      <c r="K926">
        <f>'insurance final cleaned'!Q1068</f>
        <v>1</v>
      </c>
      <c r="L926">
        <f>'insurance final cleaned'!R1068</f>
        <v>1</v>
      </c>
      <c r="M926">
        <f>'insurance final cleaned'!S1068</f>
        <v>1</v>
      </c>
    </row>
    <row r="927" spans="1:13" x14ac:dyDescent="0.3">
      <c r="A927">
        <f>'insurance final cleaned'!J1292</f>
        <v>43753.34</v>
      </c>
      <c r="B927">
        <f>'insurance final cleaned'!B1292</f>
        <v>47</v>
      </c>
      <c r="C927">
        <f>'insurance final cleaned'!D1292</f>
        <v>41.9</v>
      </c>
      <c r="D927">
        <f>'insurance final cleaned'!G1292</f>
        <v>3</v>
      </c>
      <c r="E927">
        <f>'insurance final cleaned'!E1292</f>
        <v>140</v>
      </c>
      <c r="F927">
        <f>'insurance final cleaned'!L1292</f>
        <v>41.9</v>
      </c>
      <c r="G927">
        <f>'insurance final cleaned'!M1292</f>
        <v>0</v>
      </c>
      <c r="H927">
        <f>'insurance final cleaned'!N1292</f>
        <v>0</v>
      </c>
      <c r="I927">
        <f>'insurance final cleaned'!O1292</f>
        <v>0</v>
      </c>
      <c r="J927">
        <f>'insurance final cleaned'!P1292</f>
        <v>0.67742361729609901</v>
      </c>
      <c r="K927">
        <f>'insurance final cleaned'!Q1292</f>
        <v>1</v>
      </c>
      <c r="L927">
        <f>'insurance final cleaned'!R1292</f>
        <v>1</v>
      </c>
      <c r="M927">
        <f>'insurance final cleaned'!S1292</f>
        <v>0</v>
      </c>
    </row>
    <row r="928" spans="1:13" x14ac:dyDescent="0.3">
      <c r="A928">
        <f>'insurance final cleaned'!J617</f>
        <v>8547.69</v>
      </c>
      <c r="B928">
        <f>'insurance final cleaned'!B617</f>
        <v>54</v>
      </c>
      <c r="C928">
        <f>'insurance final cleaned'!D617</f>
        <v>29.4</v>
      </c>
      <c r="D928">
        <f>'insurance final cleaned'!G617</f>
        <v>1</v>
      </c>
      <c r="E928">
        <f>'insurance final cleaned'!E617</f>
        <v>96</v>
      </c>
      <c r="F928">
        <f>'insurance final cleaned'!L617</f>
        <v>0</v>
      </c>
      <c r="G928">
        <f>'insurance final cleaned'!M617</f>
        <v>1</v>
      </c>
      <c r="H928">
        <f>'insurance final cleaned'!N617</f>
        <v>0</v>
      </c>
      <c r="I928">
        <f>'insurance final cleaned'!O617</f>
        <v>0</v>
      </c>
      <c r="J928">
        <f>'insurance final cleaned'!P617</f>
        <v>0.6775727261768334</v>
      </c>
      <c r="K928">
        <f>'insurance final cleaned'!Q617</f>
        <v>0</v>
      </c>
      <c r="L928">
        <f>'insurance final cleaned'!R617</f>
        <v>1</v>
      </c>
      <c r="M928">
        <f>'insurance final cleaned'!S617</f>
        <v>1</v>
      </c>
    </row>
    <row r="929" spans="1:13" x14ac:dyDescent="0.3">
      <c r="A929">
        <f>'insurance final cleaned'!J680</f>
        <v>9487.64</v>
      </c>
      <c r="B929">
        <f>'insurance final cleaned'!B680</f>
        <v>39</v>
      </c>
      <c r="C929">
        <f>'insurance final cleaned'!D680</f>
        <v>29.5</v>
      </c>
      <c r="D929">
        <f>'insurance final cleaned'!G680</f>
        <v>0</v>
      </c>
      <c r="E929">
        <f>'insurance final cleaned'!E680</f>
        <v>98</v>
      </c>
      <c r="F929">
        <f>'insurance final cleaned'!L680</f>
        <v>0</v>
      </c>
      <c r="G929">
        <f>'insurance final cleaned'!M680</f>
        <v>1</v>
      </c>
      <c r="H929">
        <f>'insurance final cleaned'!N680</f>
        <v>0</v>
      </c>
      <c r="I929">
        <f>'insurance final cleaned'!O680</f>
        <v>0</v>
      </c>
      <c r="J929">
        <f>'insurance final cleaned'!P680</f>
        <v>0.67780371899797731</v>
      </c>
      <c r="K929">
        <f>'insurance final cleaned'!Q680</f>
        <v>0</v>
      </c>
      <c r="L929">
        <f>'insurance final cleaned'!R680</f>
        <v>0</v>
      </c>
      <c r="M929">
        <f>'insurance final cleaned'!S680</f>
        <v>0</v>
      </c>
    </row>
    <row r="930" spans="1:13" x14ac:dyDescent="0.3">
      <c r="A930">
        <f>'insurance final cleaned'!J1098</f>
        <v>21774.32</v>
      </c>
      <c r="B930">
        <f>'insurance final cleaned'!B1098</f>
        <v>34</v>
      </c>
      <c r="C930">
        <f>'insurance final cleaned'!D1098</f>
        <v>26.9</v>
      </c>
      <c r="D930">
        <f>'insurance final cleaned'!G1098</f>
        <v>0</v>
      </c>
      <c r="E930">
        <f>'insurance final cleaned'!E1098</f>
        <v>105</v>
      </c>
      <c r="F930">
        <f>'insurance final cleaned'!L1098</f>
        <v>26.9</v>
      </c>
      <c r="G930">
        <f>'insurance final cleaned'!M1098</f>
        <v>0</v>
      </c>
      <c r="H930">
        <f>'insurance final cleaned'!N1098</f>
        <v>0</v>
      </c>
      <c r="I930">
        <f>'insurance final cleaned'!O1098</f>
        <v>1</v>
      </c>
      <c r="J930">
        <f>'insurance final cleaned'!P1098</f>
        <v>0.67809434851565986</v>
      </c>
      <c r="K930">
        <f>'insurance final cleaned'!Q1098</f>
        <v>1</v>
      </c>
      <c r="L930">
        <f>'insurance final cleaned'!R1098</f>
        <v>0</v>
      </c>
      <c r="M930">
        <f>'insurance final cleaned'!S1098</f>
        <v>1</v>
      </c>
    </row>
    <row r="931" spans="1:13" x14ac:dyDescent="0.3">
      <c r="A931">
        <f>'insurance final cleaned'!J1001</f>
        <v>16297.85</v>
      </c>
      <c r="B931">
        <f>'insurance final cleaned'!B1001</f>
        <v>33</v>
      </c>
      <c r="C931">
        <f>'insurance final cleaned'!D1001</f>
        <v>27.7</v>
      </c>
      <c r="D931">
        <f>'insurance final cleaned'!G1001</f>
        <v>0</v>
      </c>
      <c r="E931">
        <f>'insurance final cleaned'!E1001</f>
        <v>94</v>
      </c>
      <c r="F931">
        <f>'insurance final cleaned'!L1001</f>
        <v>27.7</v>
      </c>
      <c r="G931">
        <f>'insurance final cleaned'!M1001</f>
        <v>0</v>
      </c>
      <c r="H931">
        <f>'insurance final cleaned'!N1001</f>
        <v>1</v>
      </c>
      <c r="I931">
        <f>'insurance final cleaned'!O1001</f>
        <v>0</v>
      </c>
      <c r="J931">
        <f>'insurance final cleaned'!P1001</f>
        <v>0.67904681856175653</v>
      </c>
      <c r="K931">
        <f>'insurance final cleaned'!Q1001</f>
        <v>1</v>
      </c>
      <c r="L931">
        <f>'insurance final cleaned'!R1001</f>
        <v>0</v>
      </c>
      <c r="M931">
        <f>'insurance final cleaned'!S1001</f>
        <v>0</v>
      </c>
    </row>
    <row r="932" spans="1:13" x14ac:dyDescent="0.3">
      <c r="A932">
        <f>'insurance final cleaned'!J500</f>
        <v>6877.98</v>
      </c>
      <c r="B932">
        <f>'insurance final cleaned'!B500</f>
        <v>31</v>
      </c>
      <c r="C932">
        <f>'insurance final cleaned'!D500</f>
        <v>17.3</v>
      </c>
      <c r="D932">
        <f>'insurance final cleaned'!G500</f>
        <v>2</v>
      </c>
      <c r="E932">
        <f>'insurance final cleaned'!E500</f>
        <v>100</v>
      </c>
      <c r="F932">
        <f>'insurance final cleaned'!L500</f>
        <v>0</v>
      </c>
      <c r="G932">
        <f>'insurance final cleaned'!M500</f>
        <v>1</v>
      </c>
      <c r="H932">
        <f>'insurance final cleaned'!N500</f>
        <v>0</v>
      </c>
      <c r="I932">
        <f>'insurance final cleaned'!O500</f>
        <v>0</v>
      </c>
      <c r="J932">
        <f>'insurance final cleaned'!P500</f>
        <v>0.67962678159737822</v>
      </c>
      <c r="K932">
        <f>'insurance final cleaned'!Q500</f>
        <v>0</v>
      </c>
      <c r="L932">
        <f>'insurance final cleaned'!R500</f>
        <v>0</v>
      </c>
      <c r="M932">
        <f>'insurance final cleaned'!S500</f>
        <v>1</v>
      </c>
    </row>
    <row r="933" spans="1:13" x14ac:dyDescent="0.3">
      <c r="A933">
        <f>'insurance final cleaned'!J954</f>
        <v>14007.22</v>
      </c>
      <c r="B933">
        <f>'insurance final cleaned'!B954</f>
        <v>41</v>
      </c>
      <c r="C933">
        <f>'insurance final cleaned'!D954</f>
        <v>32.1</v>
      </c>
      <c r="D933">
        <f>'insurance final cleaned'!G954</f>
        <v>3</v>
      </c>
      <c r="E933">
        <f>'insurance final cleaned'!E954</f>
        <v>109</v>
      </c>
      <c r="F933">
        <f>'insurance final cleaned'!L954</f>
        <v>0</v>
      </c>
      <c r="G933">
        <f>'insurance final cleaned'!M954</f>
        <v>0</v>
      </c>
      <c r="H933">
        <f>'insurance final cleaned'!N954</f>
        <v>1</v>
      </c>
      <c r="I933">
        <f>'insurance final cleaned'!O954</f>
        <v>0</v>
      </c>
      <c r="J933">
        <f>'insurance final cleaned'!P954</f>
        <v>0.68007771323331123</v>
      </c>
      <c r="K933">
        <f>'insurance final cleaned'!Q954</f>
        <v>0</v>
      </c>
      <c r="L933">
        <f>'insurance final cleaned'!R954</f>
        <v>1</v>
      </c>
      <c r="M933">
        <f>'insurance final cleaned'!S954</f>
        <v>1</v>
      </c>
    </row>
    <row r="934" spans="1:13" x14ac:dyDescent="0.3">
      <c r="A934">
        <f>'insurance final cleaned'!J1046</f>
        <v>18963.169999999998</v>
      </c>
      <c r="B934">
        <f>'insurance final cleaned'!B1046</f>
        <v>36</v>
      </c>
      <c r="C934">
        <f>'insurance final cleaned'!D1046</f>
        <v>38.799999999999997</v>
      </c>
      <c r="D934">
        <f>'insurance final cleaned'!G1046</f>
        <v>1</v>
      </c>
      <c r="E934">
        <f>'insurance final cleaned'!E1046</f>
        <v>99</v>
      </c>
      <c r="F934">
        <f>'insurance final cleaned'!L1046</f>
        <v>0</v>
      </c>
      <c r="G934">
        <f>'insurance final cleaned'!M1046</f>
        <v>1</v>
      </c>
      <c r="H934">
        <f>'insurance final cleaned'!N1046</f>
        <v>0</v>
      </c>
      <c r="I934">
        <f>'insurance final cleaned'!O1046</f>
        <v>0</v>
      </c>
      <c r="J934">
        <f>'insurance final cleaned'!P1046</f>
        <v>0.68172741273986903</v>
      </c>
      <c r="K934">
        <f>'insurance final cleaned'!Q1046</f>
        <v>0</v>
      </c>
      <c r="L934">
        <f>'insurance final cleaned'!R1046</f>
        <v>0</v>
      </c>
      <c r="M934">
        <f>'insurance final cleaned'!S1046</f>
        <v>0</v>
      </c>
    </row>
    <row r="935" spans="1:13" x14ac:dyDescent="0.3">
      <c r="A935">
        <f>'insurance final cleaned'!J53</f>
        <v>1704.7</v>
      </c>
      <c r="B935">
        <f>'insurance final cleaned'!B53</f>
        <v>31</v>
      </c>
      <c r="C935">
        <f>'insurance final cleaned'!D53</f>
        <v>23.1</v>
      </c>
      <c r="D935">
        <f>'insurance final cleaned'!G53</f>
        <v>0</v>
      </c>
      <c r="E935">
        <f>'insurance final cleaned'!E53</f>
        <v>81</v>
      </c>
      <c r="F935">
        <f>'insurance final cleaned'!L53</f>
        <v>0</v>
      </c>
      <c r="G935">
        <f>'insurance final cleaned'!M53</f>
        <v>0</v>
      </c>
      <c r="H935">
        <f>'insurance final cleaned'!N53</f>
        <v>0</v>
      </c>
      <c r="I935">
        <f>'insurance final cleaned'!O53</f>
        <v>1</v>
      </c>
      <c r="J935">
        <f>'insurance final cleaned'!P53</f>
        <v>0.68288004602540664</v>
      </c>
      <c r="K935">
        <f>'insurance final cleaned'!Q53</f>
        <v>0</v>
      </c>
      <c r="L935">
        <f>'insurance final cleaned'!R53</f>
        <v>1</v>
      </c>
      <c r="M935">
        <f>'insurance final cleaned'!S53</f>
        <v>0</v>
      </c>
    </row>
    <row r="936" spans="1:13" x14ac:dyDescent="0.3">
      <c r="A936">
        <f>'insurance final cleaned'!J505</f>
        <v>6986.7</v>
      </c>
      <c r="B936">
        <f>'insurance final cleaned'!B505</f>
        <v>40</v>
      </c>
      <c r="C936">
        <f>'insurance final cleaned'!D505</f>
        <v>32.299999999999997</v>
      </c>
      <c r="D936">
        <f>'insurance final cleaned'!G505</f>
        <v>2</v>
      </c>
      <c r="E936">
        <f>'insurance final cleaned'!E505</f>
        <v>87</v>
      </c>
      <c r="F936">
        <f>'insurance final cleaned'!L505</f>
        <v>0</v>
      </c>
      <c r="G936">
        <f>'insurance final cleaned'!M505</f>
        <v>0</v>
      </c>
      <c r="H936">
        <f>'insurance final cleaned'!N505</f>
        <v>0</v>
      </c>
      <c r="I936">
        <f>'insurance final cleaned'!O505</f>
        <v>1</v>
      </c>
      <c r="J936">
        <f>'insurance final cleaned'!P505</f>
        <v>0.68290451655571205</v>
      </c>
      <c r="K936">
        <f>'insurance final cleaned'!Q505</f>
        <v>0</v>
      </c>
      <c r="L936">
        <f>'insurance final cleaned'!R505</f>
        <v>1</v>
      </c>
      <c r="M936">
        <f>'insurance final cleaned'!S505</f>
        <v>0</v>
      </c>
    </row>
    <row r="937" spans="1:13" x14ac:dyDescent="0.3">
      <c r="A937">
        <f>'insurance final cleaned'!J64</f>
        <v>1728.9</v>
      </c>
      <c r="B937">
        <f>'insurance final cleaned'!B64</f>
        <v>51</v>
      </c>
      <c r="C937">
        <f>'insurance final cleaned'!D64</f>
        <v>18.600000000000001</v>
      </c>
      <c r="D937">
        <f>'insurance final cleaned'!G64</f>
        <v>0</v>
      </c>
      <c r="E937">
        <f>'insurance final cleaned'!E64</f>
        <v>98</v>
      </c>
      <c r="F937">
        <f>'insurance final cleaned'!L64</f>
        <v>0</v>
      </c>
      <c r="G937">
        <f>'insurance final cleaned'!M64</f>
        <v>0</v>
      </c>
      <c r="H937">
        <f>'insurance final cleaned'!N64</f>
        <v>1</v>
      </c>
      <c r="I937">
        <f>'insurance final cleaned'!O64</f>
        <v>0</v>
      </c>
      <c r="J937">
        <f>'insurance final cleaned'!P64</f>
        <v>0.68343118393017421</v>
      </c>
      <c r="K937">
        <f>'insurance final cleaned'!Q64</f>
        <v>0</v>
      </c>
      <c r="L937">
        <f>'insurance final cleaned'!R64</f>
        <v>1</v>
      </c>
      <c r="M937">
        <f>'insurance final cleaned'!S64</f>
        <v>1</v>
      </c>
    </row>
    <row r="938" spans="1:13" x14ac:dyDescent="0.3">
      <c r="A938">
        <f>'insurance final cleaned'!J714</f>
        <v>9964.06</v>
      </c>
      <c r="B938">
        <f>'insurance final cleaned'!B714</f>
        <v>24</v>
      </c>
      <c r="C938">
        <f>'insurance final cleaned'!D714</f>
        <v>32.299999999999997</v>
      </c>
      <c r="D938">
        <f>'insurance final cleaned'!G714</f>
        <v>1</v>
      </c>
      <c r="E938">
        <f>'insurance final cleaned'!E714</f>
        <v>105</v>
      </c>
      <c r="F938">
        <f>'insurance final cleaned'!L714</f>
        <v>0</v>
      </c>
      <c r="G938">
        <f>'insurance final cleaned'!M714</f>
        <v>0</v>
      </c>
      <c r="H938">
        <f>'insurance final cleaned'!N714</f>
        <v>0</v>
      </c>
      <c r="I938">
        <f>'insurance final cleaned'!O714</f>
        <v>0</v>
      </c>
      <c r="J938">
        <f>'insurance final cleaned'!P714</f>
        <v>0.68370544020820434</v>
      </c>
      <c r="K938">
        <f>'insurance final cleaned'!Q714</f>
        <v>0</v>
      </c>
      <c r="L938">
        <f>'insurance final cleaned'!R714</f>
        <v>0</v>
      </c>
      <c r="M938">
        <f>'insurance final cleaned'!S714</f>
        <v>0</v>
      </c>
    </row>
    <row r="939" spans="1:13" x14ac:dyDescent="0.3">
      <c r="A939">
        <f>'insurance final cleaned'!J863</f>
        <v>12233.83</v>
      </c>
      <c r="B939">
        <f>'insurance final cleaned'!B863</f>
        <v>44</v>
      </c>
      <c r="C939">
        <f>'insurance final cleaned'!D863</f>
        <v>27.5</v>
      </c>
      <c r="D939">
        <f>'insurance final cleaned'!G863</f>
        <v>0</v>
      </c>
      <c r="E939">
        <f>'insurance final cleaned'!E863</f>
        <v>86</v>
      </c>
      <c r="F939">
        <f>'insurance final cleaned'!L863</f>
        <v>0</v>
      </c>
      <c r="G939">
        <f>'insurance final cleaned'!M863</f>
        <v>0</v>
      </c>
      <c r="H939">
        <f>'insurance final cleaned'!N863</f>
        <v>1</v>
      </c>
      <c r="I939">
        <f>'insurance final cleaned'!O863</f>
        <v>0</v>
      </c>
      <c r="J939">
        <f>'insurance final cleaned'!P863</f>
        <v>0.68592280372071901</v>
      </c>
      <c r="K939">
        <f>'insurance final cleaned'!Q863</f>
        <v>0</v>
      </c>
      <c r="L939">
        <f>'insurance final cleaned'!R863</f>
        <v>1</v>
      </c>
      <c r="M939">
        <f>'insurance final cleaned'!S863</f>
        <v>1</v>
      </c>
    </row>
    <row r="940" spans="1:13" x14ac:dyDescent="0.3">
      <c r="A940">
        <f>'insurance final cleaned'!J370</f>
        <v>5124.1899999999996</v>
      </c>
      <c r="B940">
        <f>'insurance final cleaned'!B370</f>
        <v>39</v>
      </c>
      <c r="C940">
        <f>'insurance final cleaned'!D370</f>
        <v>42.1</v>
      </c>
      <c r="D940">
        <f>'insurance final cleaned'!G370</f>
        <v>2</v>
      </c>
      <c r="E940">
        <f>'insurance final cleaned'!E370</f>
        <v>100</v>
      </c>
      <c r="F940">
        <f>'insurance final cleaned'!L370</f>
        <v>0</v>
      </c>
      <c r="G940">
        <f>'insurance final cleaned'!M370</f>
        <v>1</v>
      </c>
      <c r="H940">
        <f>'insurance final cleaned'!N370</f>
        <v>0</v>
      </c>
      <c r="I940">
        <f>'insurance final cleaned'!O370</f>
        <v>0</v>
      </c>
      <c r="J940">
        <f>'insurance final cleaned'!P370</f>
        <v>0.685969964739785</v>
      </c>
      <c r="K940">
        <f>'insurance final cleaned'!Q370</f>
        <v>0</v>
      </c>
      <c r="L940">
        <f>'insurance final cleaned'!R370</f>
        <v>0</v>
      </c>
      <c r="M940">
        <f>'insurance final cleaned'!S370</f>
        <v>0</v>
      </c>
    </row>
    <row r="941" spans="1:13" x14ac:dyDescent="0.3">
      <c r="A941">
        <f>'insurance final cleaned'!J43</f>
        <v>1635.73</v>
      </c>
      <c r="B941">
        <f>'insurance final cleaned'!B43</f>
        <v>18</v>
      </c>
      <c r="C941">
        <f>'insurance final cleaned'!D43</f>
        <v>27.8</v>
      </c>
      <c r="D941">
        <f>'insurance final cleaned'!G43</f>
        <v>0</v>
      </c>
      <c r="E941">
        <f>'insurance final cleaned'!E43</f>
        <v>93</v>
      </c>
      <c r="F941">
        <f>'insurance final cleaned'!L43</f>
        <v>0</v>
      </c>
      <c r="G941">
        <f>'insurance final cleaned'!M43</f>
        <v>0</v>
      </c>
      <c r="H941">
        <f>'insurance final cleaned'!N43</f>
        <v>0</v>
      </c>
      <c r="I941">
        <f>'insurance final cleaned'!O43</f>
        <v>1</v>
      </c>
      <c r="J941">
        <f>'insurance final cleaned'!P43</f>
        <v>0.68730976727114468</v>
      </c>
      <c r="K941">
        <f>'insurance final cleaned'!Q43</f>
        <v>0</v>
      </c>
      <c r="L941">
        <f>'insurance final cleaned'!R43</f>
        <v>0</v>
      </c>
      <c r="M941">
        <f>'insurance final cleaned'!S43</f>
        <v>0</v>
      </c>
    </row>
    <row r="942" spans="1:13" x14ac:dyDescent="0.3">
      <c r="A942">
        <f>'insurance final cleaned'!J1045</f>
        <v>18955.22</v>
      </c>
      <c r="B942">
        <f>'insurance final cleaned'!B1045</f>
        <v>41</v>
      </c>
      <c r="C942">
        <f>'insurance final cleaned'!D1045</f>
        <v>27.6</v>
      </c>
      <c r="D942">
        <f>'insurance final cleaned'!G1045</f>
        <v>0</v>
      </c>
      <c r="E942">
        <f>'insurance final cleaned'!E1045</f>
        <v>89</v>
      </c>
      <c r="F942">
        <f>'insurance final cleaned'!L1045</f>
        <v>0</v>
      </c>
      <c r="G942">
        <f>'insurance final cleaned'!M1045</f>
        <v>0</v>
      </c>
      <c r="H942">
        <f>'insurance final cleaned'!N1045</f>
        <v>1</v>
      </c>
      <c r="I942">
        <f>'insurance final cleaned'!O1045</f>
        <v>0</v>
      </c>
      <c r="J942">
        <f>'insurance final cleaned'!P1045</f>
        <v>0.68805104109735782</v>
      </c>
      <c r="K942">
        <f>'insurance final cleaned'!Q1045</f>
        <v>0</v>
      </c>
      <c r="L942">
        <f>'insurance final cleaned'!R1045</f>
        <v>0</v>
      </c>
      <c r="M942">
        <f>'insurance final cleaned'!S1045</f>
        <v>1</v>
      </c>
    </row>
    <row r="943" spans="1:13" x14ac:dyDescent="0.3">
      <c r="A943">
        <f>'insurance final cleaned'!J1144</f>
        <v>25382.3</v>
      </c>
      <c r="B943">
        <f>'insurance final cleaned'!B1144</f>
        <v>26</v>
      </c>
      <c r="C943">
        <f>'insurance final cleaned'!D1144</f>
        <v>25.1</v>
      </c>
      <c r="D943">
        <f>'insurance final cleaned'!G1144</f>
        <v>3</v>
      </c>
      <c r="E943">
        <f>'insurance final cleaned'!E1144</f>
        <v>85</v>
      </c>
      <c r="F943">
        <f>'insurance final cleaned'!L1144</f>
        <v>25.1</v>
      </c>
      <c r="G943">
        <f>'insurance final cleaned'!M1144</f>
        <v>0</v>
      </c>
      <c r="H943">
        <f>'insurance final cleaned'!N1144</f>
        <v>1</v>
      </c>
      <c r="I943">
        <f>'insurance final cleaned'!O1144</f>
        <v>0</v>
      </c>
      <c r="J943">
        <f>'insurance final cleaned'!P1144</f>
        <v>0.68810849340235436</v>
      </c>
      <c r="K943">
        <f>'insurance final cleaned'!Q1144</f>
        <v>1</v>
      </c>
      <c r="L943">
        <f>'insurance final cleaned'!R1144</f>
        <v>0</v>
      </c>
      <c r="M943">
        <f>'insurance final cleaned'!S1144</f>
        <v>0</v>
      </c>
    </row>
    <row r="944" spans="1:13" x14ac:dyDescent="0.3">
      <c r="A944">
        <f>'insurance final cleaned'!J1229</f>
        <v>37079.370000000003</v>
      </c>
      <c r="B944">
        <f>'insurance final cleaned'!B1229</f>
        <v>48</v>
      </c>
      <c r="C944">
        <f>'insurance final cleaned'!D1229</f>
        <v>33.5</v>
      </c>
      <c r="D944">
        <f>'insurance final cleaned'!G1229</f>
        <v>0</v>
      </c>
      <c r="E944">
        <f>'insurance final cleaned'!E1229</f>
        <v>124</v>
      </c>
      <c r="F944">
        <f>'insurance final cleaned'!L1229</f>
        <v>33.5</v>
      </c>
      <c r="G944">
        <f>'insurance final cleaned'!M1229</f>
        <v>0</v>
      </c>
      <c r="H944">
        <f>'insurance final cleaned'!N1229</f>
        <v>1</v>
      </c>
      <c r="I944">
        <f>'insurance final cleaned'!O1229</f>
        <v>0</v>
      </c>
      <c r="J944">
        <f>'insurance final cleaned'!P1229</f>
        <v>0.68853317899560051</v>
      </c>
      <c r="K944">
        <f>'insurance final cleaned'!Q1229</f>
        <v>1</v>
      </c>
      <c r="L944">
        <f>'insurance final cleaned'!R1229</f>
        <v>0</v>
      </c>
      <c r="M944">
        <f>'insurance final cleaned'!S1229</f>
        <v>1</v>
      </c>
    </row>
    <row r="945" spans="1:13" x14ac:dyDescent="0.3">
      <c r="A945">
        <f>'insurance final cleaned'!J7</f>
        <v>1137.47</v>
      </c>
      <c r="B945">
        <f>'insurance final cleaned'!B7</f>
        <v>38</v>
      </c>
      <c r="C945">
        <f>'insurance final cleaned'!D7</f>
        <v>34.4</v>
      </c>
      <c r="D945">
        <f>'insurance final cleaned'!G7</f>
        <v>0</v>
      </c>
      <c r="E945">
        <f>'insurance final cleaned'!E7</f>
        <v>96</v>
      </c>
      <c r="F945">
        <f>'insurance final cleaned'!L7</f>
        <v>0</v>
      </c>
      <c r="G945">
        <f>'insurance final cleaned'!M7</f>
        <v>0</v>
      </c>
      <c r="H945">
        <f>'insurance final cleaned'!N7</f>
        <v>0</v>
      </c>
      <c r="I945">
        <f>'insurance final cleaned'!O7</f>
        <v>1</v>
      </c>
      <c r="J945">
        <f>'insurance final cleaned'!P7</f>
        <v>0.68910948759611224</v>
      </c>
      <c r="K945">
        <f>'insurance final cleaned'!Q7</f>
        <v>0</v>
      </c>
      <c r="L945">
        <f>'insurance final cleaned'!R7</f>
        <v>1</v>
      </c>
      <c r="M945">
        <f>'insurance final cleaned'!S7</f>
        <v>0</v>
      </c>
    </row>
    <row r="946" spans="1:13" x14ac:dyDescent="0.3">
      <c r="A946">
        <f>'insurance final cleaned'!J661</f>
        <v>9222.4</v>
      </c>
      <c r="B946">
        <f>'insurance final cleaned'!B661</f>
        <v>19</v>
      </c>
      <c r="C946">
        <f>'insurance final cleaned'!D661</f>
        <v>29.6</v>
      </c>
      <c r="D946">
        <f>'insurance final cleaned'!G661</f>
        <v>5</v>
      </c>
      <c r="E946">
        <f>'insurance final cleaned'!E661</f>
        <v>94</v>
      </c>
      <c r="F946">
        <f>'insurance final cleaned'!L661</f>
        <v>0</v>
      </c>
      <c r="G946">
        <f>'insurance final cleaned'!M661</f>
        <v>0</v>
      </c>
      <c r="H946">
        <f>'insurance final cleaned'!N661</f>
        <v>0</v>
      </c>
      <c r="I946">
        <f>'insurance final cleaned'!O661</f>
        <v>0</v>
      </c>
      <c r="J946">
        <f>'insurance final cleaned'!P661</f>
        <v>0.68939835866104948</v>
      </c>
      <c r="K946">
        <f>'insurance final cleaned'!Q661</f>
        <v>0</v>
      </c>
      <c r="L946">
        <f>'insurance final cleaned'!R661</f>
        <v>0</v>
      </c>
      <c r="M946">
        <f>'insurance final cleaned'!S661</f>
        <v>0</v>
      </c>
    </row>
    <row r="947" spans="1:13" x14ac:dyDescent="0.3">
      <c r="A947">
        <f>'insurance final cleaned'!J238</f>
        <v>3556.92</v>
      </c>
      <c r="B947">
        <f>'insurance final cleaned'!B238</f>
        <v>59</v>
      </c>
      <c r="C947">
        <f>'insurance final cleaned'!D238</f>
        <v>34.799999999999997</v>
      </c>
      <c r="D947">
        <f>'insurance final cleaned'!G238</f>
        <v>0</v>
      </c>
      <c r="E947">
        <f>'insurance final cleaned'!E238</f>
        <v>85</v>
      </c>
      <c r="F947">
        <f>'insurance final cleaned'!L238</f>
        <v>0</v>
      </c>
      <c r="G947">
        <f>'insurance final cleaned'!M238</f>
        <v>0</v>
      </c>
      <c r="H947">
        <f>'insurance final cleaned'!N238</f>
        <v>0</v>
      </c>
      <c r="I947">
        <f>'insurance final cleaned'!O238</f>
        <v>1</v>
      </c>
      <c r="J947">
        <f>'insurance final cleaned'!P238</f>
        <v>0.68978194796056747</v>
      </c>
      <c r="K947">
        <f>'insurance final cleaned'!Q238</f>
        <v>0</v>
      </c>
      <c r="L947">
        <f>'insurance final cleaned'!R238</f>
        <v>1</v>
      </c>
      <c r="M947">
        <f>'insurance final cleaned'!S238</f>
        <v>1</v>
      </c>
    </row>
    <row r="948" spans="1:13" x14ac:dyDescent="0.3">
      <c r="A948">
        <f>'insurance final cleaned'!J9</f>
        <v>1146.8</v>
      </c>
      <c r="B948">
        <f>'insurance final cleaned'!B9</f>
        <v>19</v>
      </c>
      <c r="C948">
        <f>'insurance final cleaned'!D9</f>
        <v>41.1</v>
      </c>
      <c r="D948">
        <f>'insurance final cleaned'!G9</f>
        <v>0</v>
      </c>
      <c r="E948">
        <f>'insurance final cleaned'!E9</f>
        <v>100</v>
      </c>
      <c r="F948">
        <f>'insurance final cleaned'!L9</f>
        <v>0</v>
      </c>
      <c r="G948">
        <f>'insurance final cleaned'!M9</f>
        <v>0</v>
      </c>
      <c r="H948">
        <f>'insurance final cleaned'!N9</f>
        <v>0</v>
      </c>
      <c r="I948">
        <f>'insurance final cleaned'!O9</f>
        <v>1</v>
      </c>
      <c r="J948">
        <f>'insurance final cleaned'!P9</f>
        <v>0.68992857608799318</v>
      </c>
      <c r="K948">
        <f>'insurance final cleaned'!Q9</f>
        <v>0</v>
      </c>
      <c r="L948">
        <f>'insurance final cleaned'!R9</f>
        <v>0</v>
      </c>
      <c r="M948">
        <f>'insurance final cleaned'!S9</f>
        <v>0</v>
      </c>
    </row>
    <row r="949" spans="1:13" x14ac:dyDescent="0.3">
      <c r="A949">
        <f>'insurance final cleaned'!J168</f>
        <v>2709.11</v>
      </c>
      <c r="B949">
        <f>'insurance final cleaned'!B168</f>
        <v>51</v>
      </c>
      <c r="C949">
        <f>'insurance final cleaned'!D168</f>
        <v>24.5</v>
      </c>
      <c r="D949">
        <f>'insurance final cleaned'!G168</f>
        <v>1</v>
      </c>
      <c r="E949">
        <f>'insurance final cleaned'!E168</f>
        <v>80</v>
      </c>
      <c r="F949">
        <f>'insurance final cleaned'!L168</f>
        <v>0</v>
      </c>
      <c r="G949">
        <f>'insurance final cleaned'!M168</f>
        <v>0</v>
      </c>
      <c r="H949">
        <f>'insurance final cleaned'!N168</f>
        <v>0</v>
      </c>
      <c r="I949">
        <f>'insurance final cleaned'!O168</f>
        <v>1</v>
      </c>
      <c r="J949">
        <f>'insurance final cleaned'!P168</f>
        <v>0.69071836082079674</v>
      </c>
      <c r="K949">
        <f>'insurance final cleaned'!Q168</f>
        <v>0</v>
      </c>
      <c r="L949">
        <f>'insurance final cleaned'!R168</f>
        <v>1</v>
      </c>
      <c r="M949">
        <f>'insurance final cleaned'!S168</f>
        <v>1</v>
      </c>
    </row>
    <row r="950" spans="1:13" x14ac:dyDescent="0.3">
      <c r="A950">
        <f>'insurance final cleaned'!J712</f>
        <v>9910.36</v>
      </c>
      <c r="B950">
        <f>'insurance final cleaned'!B712</f>
        <v>49</v>
      </c>
      <c r="C950">
        <f>'insurance final cleaned'!D712</f>
        <v>30.1</v>
      </c>
      <c r="D950">
        <f>'insurance final cleaned'!G712</f>
        <v>1</v>
      </c>
      <c r="E950">
        <f>'insurance final cleaned'!E712</f>
        <v>100</v>
      </c>
      <c r="F950">
        <f>'insurance final cleaned'!L712</f>
        <v>0</v>
      </c>
      <c r="G950">
        <f>'insurance final cleaned'!M712</f>
        <v>0</v>
      </c>
      <c r="H950">
        <f>'insurance final cleaned'!N712</f>
        <v>0</v>
      </c>
      <c r="I950">
        <f>'insurance final cleaned'!O712</f>
        <v>1</v>
      </c>
      <c r="J950">
        <f>'insurance final cleaned'!P712</f>
        <v>0.69091994227608722</v>
      </c>
      <c r="K950">
        <f>'insurance final cleaned'!Q712</f>
        <v>0</v>
      </c>
      <c r="L950">
        <f>'insurance final cleaned'!R712</f>
        <v>1</v>
      </c>
      <c r="M950">
        <f>'insurance final cleaned'!S712</f>
        <v>1</v>
      </c>
    </row>
    <row r="951" spans="1:13" x14ac:dyDescent="0.3">
      <c r="A951">
        <f>'insurance final cleaned'!J692</f>
        <v>9634.5400000000009</v>
      </c>
      <c r="B951">
        <f>'insurance final cleaned'!B692</f>
        <v>26</v>
      </c>
      <c r="C951">
        <f>'insurance final cleaned'!D692</f>
        <v>37.4</v>
      </c>
      <c r="D951">
        <f>'insurance final cleaned'!G692</f>
        <v>0</v>
      </c>
      <c r="E951">
        <f>'insurance final cleaned'!E692</f>
        <v>103</v>
      </c>
      <c r="F951">
        <f>'insurance final cleaned'!L692</f>
        <v>0</v>
      </c>
      <c r="G951">
        <f>'insurance final cleaned'!M692</f>
        <v>0</v>
      </c>
      <c r="H951">
        <f>'insurance final cleaned'!N692</f>
        <v>1</v>
      </c>
      <c r="I951">
        <f>'insurance final cleaned'!O692</f>
        <v>0</v>
      </c>
      <c r="J951">
        <f>'insurance final cleaned'!P692</f>
        <v>0.69206442874217078</v>
      </c>
      <c r="K951">
        <f>'insurance final cleaned'!Q692</f>
        <v>0</v>
      </c>
      <c r="L951">
        <f>'insurance final cleaned'!R692</f>
        <v>1</v>
      </c>
      <c r="M951">
        <f>'insurance final cleaned'!S692</f>
        <v>1</v>
      </c>
    </row>
    <row r="952" spans="1:13" x14ac:dyDescent="0.3">
      <c r="A952">
        <f>'insurance final cleaned'!J501</f>
        <v>6933.24</v>
      </c>
      <c r="B952">
        <f>'insurance final cleaned'!B501</f>
        <v>60</v>
      </c>
      <c r="C952">
        <f>'insurance final cleaned'!D501</f>
        <v>19.5</v>
      </c>
      <c r="D952">
        <f>'insurance final cleaned'!G501</f>
        <v>2</v>
      </c>
      <c r="E952">
        <f>'insurance final cleaned'!E501</f>
        <v>95</v>
      </c>
      <c r="F952">
        <f>'insurance final cleaned'!L501</f>
        <v>0</v>
      </c>
      <c r="G952">
        <f>'insurance final cleaned'!M501</f>
        <v>0</v>
      </c>
      <c r="H952">
        <f>'insurance final cleaned'!N501</f>
        <v>0</v>
      </c>
      <c r="I952">
        <f>'insurance final cleaned'!O501</f>
        <v>1</v>
      </c>
      <c r="J952">
        <f>'insurance final cleaned'!P501</f>
        <v>0.69347762094044352</v>
      </c>
      <c r="K952">
        <f>'insurance final cleaned'!Q501</f>
        <v>0</v>
      </c>
      <c r="L952">
        <f>'insurance final cleaned'!R501</f>
        <v>0</v>
      </c>
      <c r="M952">
        <f>'insurance final cleaned'!S501</f>
        <v>1</v>
      </c>
    </row>
    <row r="953" spans="1:13" x14ac:dyDescent="0.3">
      <c r="A953">
        <f>'insurance final cleaned'!J130</f>
        <v>2254.8000000000002</v>
      </c>
      <c r="B953">
        <f>'insurance final cleaned'!B130</f>
        <v>31</v>
      </c>
      <c r="C953">
        <f>'insurance final cleaned'!D130</f>
        <v>31.7</v>
      </c>
      <c r="D953">
        <f>'insurance final cleaned'!G130</f>
        <v>0</v>
      </c>
      <c r="E953">
        <f>'insurance final cleaned'!E130</f>
        <v>90</v>
      </c>
      <c r="F953">
        <f>'insurance final cleaned'!L130</f>
        <v>0</v>
      </c>
      <c r="G953">
        <f>'insurance final cleaned'!M130</f>
        <v>0</v>
      </c>
      <c r="H953">
        <f>'insurance final cleaned'!N130</f>
        <v>0</v>
      </c>
      <c r="I953">
        <f>'insurance final cleaned'!O130</f>
        <v>1</v>
      </c>
      <c r="J953">
        <f>'insurance final cleaned'!P130</f>
        <v>0.69493257283006826</v>
      </c>
      <c r="K953">
        <f>'insurance final cleaned'!Q130</f>
        <v>0</v>
      </c>
      <c r="L953">
        <f>'insurance final cleaned'!R130</f>
        <v>0</v>
      </c>
      <c r="M953">
        <f>'insurance final cleaned'!S130</f>
        <v>0</v>
      </c>
    </row>
    <row r="954" spans="1:13" x14ac:dyDescent="0.3">
      <c r="A954">
        <f>'insurance final cleaned'!J598</f>
        <v>8310.84</v>
      </c>
      <c r="B954">
        <f>'insurance final cleaned'!B598</f>
        <v>38</v>
      </c>
      <c r="C954">
        <f>'insurance final cleaned'!D598</f>
        <v>30.7</v>
      </c>
      <c r="D954">
        <f>'insurance final cleaned'!G598</f>
        <v>2</v>
      </c>
      <c r="E954">
        <f>'insurance final cleaned'!E598</f>
        <v>92</v>
      </c>
      <c r="F954">
        <f>'insurance final cleaned'!L598</f>
        <v>0</v>
      </c>
      <c r="G954">
        <f>'insurance final cleaned'!M598</f>
        <v>0</v>
      </c>
      <c r="H954">
        <f>'insurance final cleaned'!N598</f>
        <v>0</v>
      </c>
      <c r="I954">
        <f>'insurance final cleaned'!O598</f>
        <v>1</v>
      </c>
      <c r="J954">
        <f>'insurance final cleaned'!P598</f>
        <v>0.69625005920235128</v>
      </c>
      <c r="K954">
        <f>'insurance final cleaned'!Q598</f>
        <v>0</v>
      </c>
      <c r="L954">
        <f>'insurance final cleaned'!R598</f>
        <v>1</v>
      </c>
      <c r="M954">
        <f>'insurance final cleaned'!S598</f>
        <v>1</v>
      </c>
    </row>
    <row r="955" spans="1:13" x14ac:dyDescent="0.3">
      <c r="A955">
        <f>'insurance final cleaned'!J1193</f>
        <v>33475.82</v>
      </c>
      <c r="B955">
        <f>'insurance final cleaned'!B1193</f>
        <v>29</v>
      </c>
      <c r="C955">
        <f>'insurance final cleaned'!D1193</f>
        <v>30.7</v>
      </c>
      <c r="D955">
        <f>'insurance final cleaned'!G1193</f>
        <v>0</v>
      </c>
      <c r="E955">
        <f>'insurance final cleaned'!E1193</f>
        <v>94</v>
      </c>
      <c r="F955">
        <f>'insurance final cleaned'!L1193</f>
        <v>30.7</v>
      </c>
      <c r="G955">
        <f>'insurance final cleaned'!M1193</f>
        <v>0</v>
      </c>
      <c r="H955">
        <f>'insurance final cleaned'!N1193</f>
        <v>0</v>
      </c>
      <c r="I955">
        <f>'insurance final cleaned'!O1193</f>
        <v>0</v>
      </c>
      <c r="J955">
        <f>'insurance final cleaned'!P1193</f>
        <v>0.69717765537250542</v>
      </c>
      <c r="K955">
        <f>'insurance final cleaned'!Q1193</f>
        <v>1</v>
      </c>
      <c r="L955">
        <f>'insurance final cleaned'!R1193</f>
        <v>0</v>
      </c>
      <c r="M955">
        <f>'insurance final cleaned'!S1193</f>
        <v>0</v>
      </c>
    </row>
    <row r="956" spans="1:13" x14ac:dyDescent="0.3">
      <c r="A956">
        <f>'insurance final cleaned'!J886</f>
        <v>12629.9</v>
      </c>
      <c r="B956">
        <f>'insurance final cleaned'!B886</f>
        <v>57</v>
      </c>
      <c r="C956">
        <f>'insurance final cleaned'!D886</f>
        <v>24.5</v>
      </c>
      <c r="D956">
        <f>'insurance final cleaned'!G886</f>
        <v>0</v>
      </c>
      <c r="E956">
        <f>'insurance final cleaned'!E886</f>
        <v>88</v>
      </c>
      <c r="F956">
        <f>'insurance final cleaned'!L886</f>
        <v>0</v>
      </c>
      <c r="G956">
        <f>'insurance final cleaned'!M886</f>
        <v>1</v>
      </c>
      <c r="H956">
        <f>'insurance final cleaned'!N886</f>
        <v>0</v>
      </c>
      <c r="I956">
        <f>'insurance final cleaned'!O886</f>
        <v>0</v>
      </c>
      <c r="J956">
        <f>'insurance final cleaned'!P886</f>
        <v>0.69829783954106583</v>
      </c>
      <c r="K956">
        <f>'insurance final cleaned'!Q886</f>
        <v>0</v>
      </c>
      <c r="L956">
        <f>'insurance final cleaned'!R886</f>
        <v>1</v>
      </c>
      <c r="M956">
        <f>'insurance final cleaned'!S886</f>
        <v>1</v>
      </c>
    </row>
    <row r="957" spans="1:13" x14ac:dyDescent="0.3">
      <c r="A957">
        <f>'insurance final cleaned'!J187</f>
        <v>2897.32</v>
      </c>
      <c r="B957">
        <f>'insurance final cleaned'!B187</f>
        <v>49</v>
      </c>
      <c r="C957">
        <f>'insurance final cleaned'!D187</f>
        <v>29.5</v>
      </c>
      <c r="D957">
        <f>'insurance final cleaned'!G187</f>
        <v>0</v>
      </c>
      <c r="E957">
        <f>'insurance final cleaned'!E187</f>
        <v>92</v>
      </c>
      <c r="F957">
        <f>'insurance final cleaned'!L187</f>
        <v>0</v>
      </c>
      <c r="G957">
        <f>'insurance final cleaned'!M187</f>
        <v>0</v>
      </c>
      <c r="H957">
        <f>'insurance final cleaned'!N187</f>
        <v>0</v>
      </c>
      <c r="I957">
        <f>'insurance final cleaned'!O187</f>
        <v>0</v>
      </c>
      <c r="J957">
        <f>'insurance final cleaned'!P187</f>
        <v>0.69914110658238837</v>
      </c>
      <c r="K957">
        <f>'insurance final cleaned'!Q187</f>
        <v>0</v>
      </c>
      <c r="L957">
        <f>'insurance final cleaned'!R187</f>
        <v>0</v>
      </c>
      <c r="M957">
        <f>'insurance final cleaned'!S187</f>
        <v>0</v>
      </c>
    </row>
    <row r="958" spans="1:13" x14ac:dyDescent="0.3">
      <c r="A958">
        <f>'insurance final cleaned'!J148</f>
        <v>2473.33</v>
      </c>
      <c r="B958">
        <f>'insurance final cleaned'!B148</f>
        <v>47</v>
      </c>
      <c r="C958">
        <f>'insurance final cleaned'!D148</f>
        <v>34</v>
      </c>
      <c r="D958">
        <f>'insurance final cleaned'!G148</f>
        <v>0</v>
      </c>
      <c r="E958">
        <f>'insurance final cleaned'!E148</f>
        <v>84</v>
      </c>
      <c r="F958">
        <f>'insurance final cleaned'!L148</f>
        <v>0</v>
      </c>
      <c r="G958">
        <f>'insurance final cleaned'!M148</f>
        <v>1</v>
      </c>
      <c r="H958">
        <f>'insurance final cleaned'!N148</f>
        <v>0</v>
      </c>
      <c r="I958">
        <f>'insurance final cleaned'!O148</f>
        <v>0</v>
      </c>
      <c r="J958">
        <f>'insurance final cleaned'!P148</f>
        <v>0.70002988240724051</v>
      </c>
      <c r="K958">
        <f>'insurance final cleaned'!Q148</f>
        <v>0</v>
      </c>
      <c r="L958">
        <f>'insurance final cleaned'!R148</f>
        <v>0</v>
      </c>
      <c r="M958">
        <f>'insurance final cleaned'!S148</f>
        <v>1</v>
      </c>
    </row>
    <row r="959" spans="1:13" x14ac:dyDescent="0.3">
      <c r="A959">
        <f>'insurance final cleaned'!J649</f>
        <v>8968.33</v>
      </c>
      <c r="B959">
        <f>'insurance final cleaned'!B649</f>
        <v>23</v>
      </c>
      <c r="C959">
        <f>'insurance final cleaned'!D649</f>
        <v>30.2</v>
      </c>
      <c r="D959">
        <f>'insurance final cleaned'!G649</f>
        <v>2</v>
      </c>
      <c r="E959">
        <f>'insurance final cleaned'!E649</f>
        <v>95</v>
      </c>
      <c r="F959">
        <f>'insurance final cleaned'!L649</f>
        <v>0</v>
      </c>
      <c r="G959">
        <f>'insurance final cleaned'!M649</f>
        <v>0</v>
      </c>
      <c r="H959">
        <f>'insurance final cleaned'!N649</f>
        <v>1</v>
      </c>
      <c r="I959">
        <f>'insurance final cleaned'!O649</f>
        <v>0</v>
      </c>
      <c r="J959">
        <f>'insurance final cleaned'!P649</f>
        <v>0.70071338724993071</v>
      </c>
      <c r="K959">
        <f>'insurance final cleaned'!Q649</f>
        <v>0</v>
      </c>
      <c r="L959">
        <f>'insurance final cleaned'!R649</f>
        <v>0</v>
      </c>
      <c r="M959">
        <f>'insurance final cleaned'!S649</f>
        <v>0</v>
      </c>
    </row>
    <row r="960" spans="1:13" x14ac:dyDescent="0.3">
      <c r="A960">
        <f>'insurance final cleaned'!J1319</f>
        <v>47291.06</v>
      </c>
      <c r="B960">
        <f>'insurance final cleaned'!B1319</f>
        <v>49</v>
      </c>
      <c r="C960">
        <f>'insurance final cleaned'!D1319</f>
        <v>31.3</v>
      </c>
      <c r="D960">
        <f>'insurance final cleaned'!G1319</f>
        <v>2</v>
      </c>
      <c r="E960">
        <f>'insurance final cleaned'!E1319</f>
        <v>111</v>
      </c>
      <c r="F960">
        <f>'insurance final cleaned'!L1319</f>
        <v>31.3</v>
      </c>
      <c r="G960">
        <f>'insurance final cleaned'!M1319</f>
        <v>0</v>
      </c>
      <c r="H960">
        <f>'insurance final cleaned'!N1319</f>
        <v>1</v>
      </c>
      <c r="I960">
        <f>'insurance final cleaned'!O1319</f>
        <v>0</v>
      </c>
      <c r="J960">
        <f>'insurance final cleaned'!P1319</f>
        <v>0.70116534825026144</v>
      </c>
      <c r="K960">
        <f>'insurance final cleaned'!Q1319</f>
        <v>1</v>
      </c>
      <c r="L960">
        <f>'insurance final cleaned'!R1319</f>
        <v>0</v>
      </c>
      <c r="M960">
        <f>'insurance final cleaned'!S1319</f>
        <v>1</v>
      </c>
    </row>
    <row r="961" spans="1:13" x14ac:dyDescent="0.3">
      <c r="A961">
        <f>'insurance final cleaned'!J10</f>
        <v>1149.4000000000001</v>
      </c>
      <c r="B961">
        <f>'insurance final cleaned'!B10</f>
        <v>20</v>
      </c>
      <c r="C961">
        <f>'insurance final cleaned'!D10</f>
        <v>43</v>
      </c>
      <c r="D961">
        <f>'insurance final cleaned'!G10</f>
        <v>0</v>
      </c>
      <c r="E961">
        <f>'insurance final cleaned'!E10</f>
        <v>86</v>
      </c>
      <c r="F961">
        <f>'insurance final cleaned'!L10</f>
        <v>0</v>
      </c>
      <c r="G961">
        <f>'insurance final cleaned'!M10</f>
        <v>0</v>
      </c>
      <c r="H961">
        <f>'insurance final cleaned'!N10</f>
        <v>0</v>
      </c>
      <c r="I961">
        <f>'insurance final cleaned'!O10</f>
        <v>1</v>
      </c>
      <c r="J961">
        <f>'insurance final cleaned'!P10</f>
        <v>0.70153267279255715</v>
      </c>
      <c r="K961">
        <f>'insurance final cleaned'!Q10</f>
        <v>0</v>
      </c>
      <c r="L961">
        <f>'insurance final cleaned'!R10</f>
        <v>0</v>
      </c>
      <c r="M961">
        <f>'insurance final cleaned'!S10</f>
        <v>0</v>
      </c>
    </row>
    <row r="962" spans="1:13" x14ac:dyDescent="0.3">
      <c r="A962">
        <f>'insurance final cleaned'!J936</f>
        <v>13616.36</v>
      </c>
      <c r="B962">
        <f>'insurance final cleaned'!B936</f>
        <v>41</v>
      </c>
      <c r="C962">
        <f>'insurance final cleaned'!D936</f>
        <v>22</v>
      </c>
      <c r="D962">
        <f>'insurance final cleaned'!G936</f>
        <v>0</v>
      </c>
      <c r="E962">
        <f>'insurance final cleaned'!E936</f>
        <v>89</v>
      </c>
      <c r="F962">
        <f>'insurance final cleaned'!L936</f>
        <v>0</v>
      </c>
      <c r="G962">
        <f>'insurance final cleaned'!M936</f>
        <v>0</v>
      </c>
      <c r="H962">
        <f>'insurance final cleaned'!N936</f>
        <v>0</v>
      </c>
      <c r="I962">
        <f>'insurance final cleaned'!O936</f>
        <v>0</v>
      </c>
      <c r="J962">
        <f>'insurance final cleaned'!P936</f>
        <v>0.70221798288120807</v>
      </c>
      <c r="K962">
        <f>'insurance final cleaned'!Q936</f>
        <v>0</v>
      </c>
      <c r="L962">
        <f>'insurance final cleaned'!R936</f>
        <v>0</v>
      </c>
      <c r="M962">
        <f>'insurance final cleaned'!S936</f>
        <v>1</v>
      </c>
    </row>
    <row r="963" spans="1:13" x14ac:dyDescent="0.3">
      <c r="A963">
        <f>'insurance final cleaned'!J673</f>
        <v>9386.16</v>
      </c>
      <c r="B963">
        <f>'insurance final cleaned'!B673</f>
        <v>34</v>
      </c>
      <c r="C963">
        <f>'insurance final cleaned'!D673</f>
        <v>36</v>
      </c>
      <c r="D963">
        <f>'insurance final cleaned'!G673</f>
        <v>1</v>
      </c>
      <c r="E963">
        <f>'insurance final cleaned'!E673</f>
        <v>100</v>
      </c>
      <c r="F963">
        <f>'insurance final cleaned'!L673</f>
        <v>0</v>
      </c>
      <c r="G963">
        <f>'insurance final cleaned'!M673</f>
        <v>1</v>
      </c>
      <c r="H963">
        <f>'insurance final cleaned'!N673</f>
        <v>0</v>
      </c>
      <c r="I963">
        <f>'insurance final cleaned'!O673</f>
        <v>0</v>
      </c>
      <c r="J963">
        <f>'insurance final cleaned'!P673</f>
        <v>0.70284782727132888</v>
      </c>
      <c r="K963">
        <f>'insurance final cleaned'!Q673</f>
        <v>0</v>
      </c>
      <c r="L963">
        <f>'insurance final cleaned'!R673</f>
        <v>1</v>
      </c>
      <c r="M963">
        <f>'insurance final cleaned'!S673</f>
        <v>0</v>
      </c>
    </row>
    <row r="964" spans="1:13" x14ac:dyDescent="0.3">
      <c r="A964">
        <f>'insurance final cleaned'!J507</f>
        <v>7046.72</v>
      </c>
      <c r="B964">
        <f>'insurance final cleaned'!B507</f>
        <v>34</v>
      </c>
      <c r="C964">
        <f>'insurance final cleaned'!D507</f>
        <v>26.2</v>
      </c>
      <c r="D964">
        <f>'insurance final cleaned'!G507</f>
        <v>1</v>
      </c>
      <c r="E964">
        <f>'insurance final cleaned'!E507</f>
        <v>88</v>
      </c>
      <c r="F964">
        <f>'insurance final cleaned'!L507</f>
        <v>0</v>
      </c>
      <c r="G964">
        <f>'insurance final cleaned'!M507</f>
        <v>1</v>
      </c>
      <c r="H964">
        <f>'insurance final cleaned'!N507</f>
        <v>0</v>
      </c>
      <c r="I964">
        <f>'insurance final cleaned'!O507</f>
        <v>0</v>
      </c>
      <c r="J964">
        <f>'insurance final cleaned'!P507</f>
        <v>0.70349055107478697</v>
      </c>
      <c r="K964">
        <f>'insurance final cleaned'!Q507</f>
        <v>0</v>
      </c>
      <c r="L964">
        <f>'insurance final cleaned'!R507</f>
        <v>1</v>
      </c>
      <c r="M964">
        <f>'insurance final cleaned'!S507</f>
        <v>1</v>
      </c>
    </row>
    <row r="965" spans="1:13" x14ac:dyDescent="0.3">
      <c r="A965">
        <f>'insurance final cleaned'!J1123</f>
        <v>23887.66</v>
      </c>
      <c r="B965">
        <f>'insurance final cleaned'!B1123</f>
        <v>59</v>
      </c>
      <c r="C965">
        <f>'insurance final cleaned'!D1123</f>
        <v>24.1</v>
      </c>
      <c r="D965">
        <f>'insurance final cleaned'!G1123</f>
        <v>1</v>
      </c>
      <c r="E965">
        <f>'insurance final cleaned'!E1123</f>
        <v>91</v>
      </c>
      <c r="F965">
        <f>'insurance final cleaned'!L1123</f>
        <v>24.1</v>
      </c>
      <c r="G965">
        <f>'insurance final cleaned'!M1123</f>
        <v>0</v>
      </c>
      <c r="H965">
        <f>'insurance final cleaned'!N1123</f>
        <v>0</v>
      </c>
      <c r="I965">
        <f>'insurance final cleaned'!O1123</f>
        <v>1</v>
      </c>
      <c r="J965">
        <f>'insurance final cleaned'!P1123</f>
        <v>0.70410313237081534</v>
      </c>
      <c r="K965">
        <f>'insurance final cleaned'!Q1123</f>
        <v>1</v>
      </c>
      <c r="L965">
        <f>'insurance final cleaned'!R1123</f>
        <v>1</v>
      </c>
      <c r="M965">
        <f>'insurance final cleaned'!S1123</f>
        <v>1</v>
      </c>
    </row>
    <row r="966" spans="1:13" x14ac:dyDescent="0.3">
      <c r="A966">
        <f>'insurance final cleaned'!J394</f>
        <v>5385.34</v>
      </c>
      <c r="B966">
        <f>'insurance final cleaned'!B394</f>
        <v>58</v>
      </c>
      <c r="C966">
        <f>'insurance final cleaned'!D394</f>
        <v>26.4</v>
      </c>
      <c r="D966">
        <f>'insurance final cleaned'!G394</f>
        <v>1</v>
      </c>
      <c r="E966">
        <f>'insurance final cleaned'!E394</f>
        <v>88</v>
      </c>
      <c r="F966">
        <f>'insurance final cleaned'!L394</f>
        <v>0</v>
      </c>
      <c r="G966">
        <f>'insurance final cleaned'!M394</f>
        <v>0</v>
      </c>
      <c r="H966">
        <f>'insurance final cleaned'!N394</f>
        <v>0</v>
      </c>
      <c r="I966">
        <f>'insurance final cleaned'!O394</f>
        <v>1</v>
      </c>
      <c r="J966">
        <f>'insurance final cleaned'!P394</f>
        <v>0.70573092592036268</v>
      </c>
      <c r="K966">
        <f>'insurance final cleaned'!Q394</f>
        <v>0</v>
      </c>
      <c r="L966">
        <f>'insurance final cleaned'!R394</f>
        <v>1</v>
      </c>
      <c r="M966">
        <f>'insurance final cleaned'!S394</f>
        <v>1</v>
      </c>
    </row>
    <row r="967" spans="1:13" x14ac:dyDescent="0.3">
      <c r="A967">
        <f>'insurance final cleaned'!J644</f>
        <v>8930.93</v>
      </c>
      <c r="B967">
        <f>'insurance final cleaned'!B644</f>
        <v>54</v>
      </c>
      <c r="C967">
        <f>'insurance final cleaned'!D644</f>
        <v>29.5</v>
      </c>
      <c r="D967">
        <f>'insurance final cleaned'!G644</f>
        <v>1</v>
      </c>
      <c r="E967">
        <f>'insurance final cleaned'!E644</f>
        <v>99</v>
      </c>
      <c r="F967">
        <f>'insurance final cleaned'!L644</f>
        <v>0</v>
      </c>
      <c r="G967">
        <f>'insurance final cleaned'!M644</f>
        <v>0</v>
      </c>
      <c r="H967">
        <f>'insurance final cleaned'!N644</f>
        <v>0</v>
      </c>
      <c r="I967">
        <f>'insurance final cleaned'!O644</f>
        <v>1</v>
      </c>
      <c r="J967">
        <f>'insurance final cleaned'!P644</f>
        <v>0.70819470097400417</v>
      </c>
      <c r="K967">
        <f>'insurance final cleaned'!Q644</f>
        <v>0</v>
      </c>
      <c r="L967">
        <f>'insurance final cleaned'!R644</f>
        <v>0</v>
      </c>
      <c r="M967">
        <f>'insurance final cleaned'!S644</f>
        <v>1</v>
      </c>
    </row>
    <row r="968" spans="1:13" x14ac:dyDescent="0.3">
      <c r="A968">
        <f>'insurance final cleaned'!J537</f>
        <v>7348.14</v>
      </c>
      <c r="B968">
        <f>'insurance final cleaned'!B537</f>
        <v>37</v>
      </c>
      <c r="C968">
        <f>'insurance final cleaned'!D537</f>
        <v>35.299999999999997</v>
      </c>
      <c r="D968">
        <f>'insurance final cleaned'!G537</f>
        <v>0</v>
      </c>
      <c r="E968">
        <f>'insurance final cleaned'!E537</f>
        <v>100</v>
      </c>
      <c r="F968">
        <f>'insurance final cleaned'!L537</f>
        <v>0</v>
      </c>
      <c r="G968">
        <f>'insurance final cleaned'!M537</f>
        <v>0</v>
      </c>
      <c r="H968">
        <f>'insurance final cleaned'!N537</f>
        <v>1</v>
      </c>
      <c r="I968">
        <f>'insurance final cleaned'!O537</f>
        <v>0</v>
      </c>
      <c r="J968">
        <f>'insurance final cleaned'!P537</f>
        <v>0.7085130717392325</v>
      </c>
      <c r="K968">
        <f>'insurance final cleaned'!Q537</f>
        <v>0</v>
      </c>
      <c r="L968">
        <f>'insurance final cleaned'!R537</f>
        <v>0</v>
      </c>
      <c r="M968">
        <f>'insurance final cleaned'!S537</f>
        <v>1</v>
      </c>
    </row>
    <row r="969" spans="1:13" x14ac:dyDescent="0.3">
      <c r="A969">
        <f>'insurance final cleaned'!J18</f>
        <v>1261.44</v>
      </c>
      <c r="B969">
        <f>'insurance final cleaned'!B18</f>
        <v>35</v>
      </c>
      <c r="C969">
        <f>'insurance final cleaned'!D18</f>
        <v>34.1</v>
      </c>
      <c r="D969">
        <f>'insurance final cleaned'!G18</f>
        <v>0</v>
      </c>
      <c r="E969">
        <f>'insurance final cleaned'!E18</f>
        <v>90</v>
      </c>
      <c r="F969">
        <f>'insurance final cleaned'!L18</f>
        <v>0</v>
      </c>
      <c r="G969">
        <f>'insurance final cleaned'!M18</f>
        <v>0</v>
      </c>
      <c r="H969">
        <f>'insurance final cleaned'!N18</f>
        <v>1</v>
      </c>
      <c r="I969">
        <f>'insurance final cleaned'!O18</f>
        <v>0</v>
      </c>
      <c r="J969">
        <f>'insurance final cleaned'!P18</f>
        <v>0.70871844070246559</v>
      </c>
      <c r="K969">
        <f>'insurance final cleaned'!Q18</f>
        <v>0</v>
      </c>
      <c r="L969">
        <f>'insurance final cleaned'!R18</f>
        <v>0</v>
      </c>
      <c r="M969">
        <f>'insurance final cleaned'!S18</f>
        <v>0</v>
      </c>
    </row>
    <row r="970" spans="1:13" x14ac:dyDescent="0.3">
      <c r="A970">
        <f>'insurance final cleaned'!J773</f>
        <v>10976.25</v>
      </c>
      <c r="B970">
        <f>'insurance final cleaned'!B773</f>
        <v>30</v>
      </c>
      <c r="C970">
        <f>'insurance final cleaned'!D773</f>
        <v>33.700000000000003</v>
      </c>
      <c r="D970">
        <f>'insurance final cleaned'!G773</f>
        <v>0</v>
      </c>
      <c r="E970">
        <f>'insurance final cleaned'!E773</f>
        <v>103</v>
      </c>
      <c r="F970">
        <f>'insurance final cleaned'!L773</f>
        <v>0</v>
      </c>
      <c r="G970">
        <f>'insurance final cleaned'!M773</f>
        <v>0</v>
      </c>
      <c r="H970">
        <f>'insurance final cleaned'!N773</f>
        <v>0</v>
      </c>
      <c r="I970">
        <f>'insurance final cleaned'!O773</f>
        <v>1</v>
      </c>
      <c r="J970">
        <f>'insurance final cleaned'!P773</f>
        <v>0.70910736086803383</v>
      </c>
      <c r="K970">
        <f>'insurance final cleaned'!Q773</f>
        <v>0</v>
      </c>
      <c r="L970">
        <f>'insurance final cleaned'!R773</f>
        <v>1</v>
      </c>
      <c r="M970">
        <f>'insurance final cleaned'!S773</f>
        <v>0</v>
      </c>
    </row>
    <row r="971" spans="1:13" x14ac:dyDescent="0.3">
      <c r="A971">
        <f>'insurance final cleaned'!J986</f>
        <v>15161.53</v>
      </c>
      <c r="B971">
        <f>'insurance final cleaned'!B986</f>
        <v>24</v>
      </c>
      <c r="C971">
        <f>'insurance final cleaned'!D986</f>
        <v>33.700000000000003</v>
      </c>
      <c r="D971">
        <f>'insurance final cleaned'!G986</f>
        <v>3</v>
      </c>
      <c r="E971">
        <f>'insurance final cleaned'!E986</f>
        <v>101</v>
      </c>
      <c r="F971">
        <f>'insurance final cleaned'!L986</f>
        <v>0</v>
      </c>
      <c r="G971">
        <f>'insurance final cleaned'!M986</f>
        <v>1</v>
      </c>
      <c r="H971">
        <f>'insurance final cleaned'!N986</f>
        <v>0</v>
      </c>
      <c r="I971">
        <f>'insurance final cleaned'!O986</f>
        <v>0</v>
      </c>
      <c r="J971">
        <f>'insurance final cleaned'!P986</f>
        <v>0.71025673376354326</v>
      </c>
      <c r="K971">
        <f>'insurance final cleaned'!Q986</f>
        <v>0</v>
      </c>
      <c r="L971">
        <f>'insurance final cleaned'!R986</f>
        <v>0</v>
      </c>
      <c r="M971">
        <f>'insurance final cleaned'!S986</f>
        <v>0</v>
      </c>
    </row>
    <row r="972" spans="1:13" x14ac:dyDescent="0.3">
      <c r="A972">
        <f>'insurance final cleaned'!J270</f>
        <v>3987.93</v>
      </c>
      <c r="B972">
        <f>'insurance final cleaned'!B270</f>
        <v>48</v>
      </c>
      <c r="C972">
        <f>'insurance final cleaned'!D270</f>
        <v>34.200000000000003</v>
      </c>
      <c r="D972">
        <f>'insurance final cleaned'!G270</f>
        <v>2</v>
      </c>
      <c r="E972">
        <f>'insurance final cleaned'!E270</f>
        <v>99</v>
      </c>
      <c r="F972">
        <f>'insurance final cleaned'!L270</f>
        <v>0</v>
      </c>
      <c r="G972">
        <f>'insurance final cleaned'!M270</f>
        <v>0</v>
      </c>
      <c r="H972">
        <f>'insurance final cleaned'!N270</f>
        <v>1</v>
      </c>
      <c r="I972">
        <f>'insurance final cleaned'!O270</f>
        <v>0</v>
      </c>
      <c r="J972">
        <f>'insurance final cleaned'!P270</f>
        <v>0.71105067759483287</v>
      </c>
      <c r="K972">
        <f>'insurance final cleaned'!Q270</f>
        <v>0</v>
      </c>
      <c r="L972">
        <f>'insurance final cleaned'!R270</f>
        <v>1</v>
      </c>
      <c r="M972">
        <f>'insurance final cleaned'!S270</f>
        <v>1</v>
      </c>
    </row>
    <row r="973" spans="1:13" x14ac:dyDescent="0.3">
      <c r="A973">
        <f>'insurance final cleaned'!J420</f>
        <v>5846.92</v>
      </c>
      <c r="B973">
        <f>'insurance final cleaned'!B420</f>
        <v>28</v>
      </c>
      <c r="C973">
        <f>'insurance final cleaned'!D420</f>
        <v>43.3</v>
      </c>
      <c r="D973">
        <f>'insurance final cleaned'!G420</f>
        <v>2</v>
      </c>
      <c r="E973">
        <f>'insurance final cleaned'!E420</f>
        <v>90</v>
      </c>
      <c r="F973">
        <f>'insurance final cleaned'!L420</f>
        <v>0</v>
      </c>
      <c r="G973">
        <f>'insurance final cleaned'!M420</f>
        <v>1</v>
      </c>
      <c r="H973">
        <f>'insurance final cleaned'!N420</f>
        <v>0</v>
      </c>
      <c r="I973">
        <f>'insurance final cleaned'!O420</f>
        <v>0</v>
      </c>
      <c r="J973">
        <f>'insurance final cleaned'!P420</f>
        <v>0.7119280375985434</v>
      </c>
      <c r="K973">
        <f>'insurance final cleaned'!Q420</f>
        <v>0</v>
      </c>
      <c r="L973">
        <f>'insurance final cleaned'!R420</f>
        <v>0</v>
      </c>
      <c r="M973">
        <f>'insurance final cleaned'!S420</f>
        <v>1</v>
      </c>
    </row>
    <row r="974" spans="1:13" x14ac:dyDescent="0.3">
      <c r="A974">
        <f>'insurance final cleaned'!J2</f>
        <v>1121.8699999999999</v>
      </c>
      <c r="B974">
        <f>'insurance final cleaned'!B2</f>
        <v>39</v>
      </c>
      <c r="C974">
        <f>'insurance final cleaned'!D2</f>
        <v>23.2</v>
      </c>
      <c r="D974">
        <f>'insurance final cleaned'!G2</f>
        <v>0</v>
      </c>
      <c r="E974">
        <f>'insurance final cleaned'!E2</f>
        <v>91</v>
      </c>
      <c r="F974">
        <f>'insurance final cleaned'!L2</f>
        <v>0</v>
      </c>
      <c r="G974">
        <f>'insurance final cleaned'!M2</f>
        <v>1</v>
      </c>
      <c r="H974">
        <f>'insurance final cleaned'!N2</f>
        <v>0</v>
      </c>
      <c r="I974">
        <f>'insurance final cleaned'!O2</f>
        <v>0</v>
      </c>
      <c r="J974">
        <f>'insurance final cleaned'!P2</f>
        <v>0.71471673812021075</v>
      </c>
      <c r="K974">
        <f>'insurance final cleaned'!Q2</f>
        <v>0</v>
      </c>
      <c r="L974">
        <f>'insurance final cleaned'!R2</f>
        <v>1</v>
      </c>
      <c r="M974">
        <f>'insurance final cleaned'!S2</f>
        <v>0</v>
      </c>
    </row>
    <row r="975" spans="1:13" x14ac:dyDescent="0.3">
      <c r="A975">
        <f>'insurance final cleaned'!J772</f>
        <v>10965.45</v>
      </c>
      <c r="B975">
        <f>'insurance final cleaned'!B772</f>
        <v>39</v>
      </c>
      <c r="C975">
        <f>'insurance final cleaned'!D772</f>
        <v>28.1</v>
      </c>
      <c r="D975">
        <f>'insurance final cleaned'!G772</f>
        <v>0</v>
      </c>
      <c r="E975">
        <f>'insurance final cleaned'!E772</f>
        <v>106</v>
      </c>
      <c r="F975">
        <f>'insurance final cleaned'!L772</f>
        <v>0</v>
      </c>
      <c r="G975">
        <f>'insurance final cleaned'!M772</f>
        <v>0</v>
      </c>
      <c r="H975">
        <f>'insurance final cleaned'!N772</f>
        <v>1</v>
      </c>
      <c r="I975">
        <f>'insurance final cleaned'!O772</f>
        <v>0</v>
      </c>
      <c r="J975">
        <f>'insurance final cleaned'!P772</f>
        <v>0.71491832624643648</v>
      </c>
      <c r="K975">
        <f>'insurance final cleaned'!Q772</f>
        <v>0</v>
      </c>
      <c r="L975">
        <f>'insurance final cleaned'!R772</f>
        <v>1</v>
      </c>
      <c r="M975">
        <f>'insurance final cleaned'!S772</f>
        <v>0</v>
      </c>
    </row>
    <row r="976" spans="1:13" x14ac:dyDescent="0.3">
      <c r="A976">
        <f>'insurance final cleaned'!J67</f>
        <v>1743.21</v>
      </c>
      <c r="B976">
        <f>'insurance final cleaned'!B67</f>
        <v>51</v>
      </c>
      <c r="C976">
        <f>'insurance final cleaned'!D67</f>
        <v>28.9</v>
      </c>
      <c r="D976">
        <f>'insurance final cleaned'!G67</f>
        <v>0</v>
      </c>
      <c r="E976">
        <f>'insurance final cleaned'!E67</f>
        <v>87</v>
      </c>
      <c r="F976">
        <f>'insurance final cleaned'!L67</f>
        <v>0</v>
      </c>
      <c r="G976">
        <f>'insurance final cleaned'!M67</f>
        <v>0</v>
      </c>
      <c r="H976">
        <f>'insurance final cleaned'!N67</f>
        <v>1</v>
      </c>
      <c r="I976">
        <f>'insurance final cleaned'!O67</f>
        <v>0</v>
      </c>
      <c r="J976">
        <f>'insurance final cleaned'!P67</f>
        <v>0.71575429574564209</v>
      </c>
      <c r="K976">
        <f>'insurance final cleaned'!Q67</f>
        <v>0</v>
      </c>
      <c r="L976">
        <f>'insurance final cleaned'!R67</f>
        <v>1</v>
      </c>
      <c r="M976">
        <f>'insurance final cleaned'!S67</f>
        <v>1</v>
      </c>
    </row>
    <row r="977" spans="1:13" x14ac:dyDescent="0.3">
      <c r="A977">
        <f>'insurance final cleaned'!J1213</f>
        <v>35585.58</v>
      </c>
      <c r="B977">
        <f>'insurance final cleaned'!B1213</f>
        <v>22</v>
      </c>
      <c r="C977">
        <f>'insurance final cleaned'!D1213</f>
        <v>35.6</v>
      </c>
      <c r="D977">
        <f>'insurance final cleaned'!G1213</f>
        <v>0</v>
      </c>
      <c r="E977">
        <f>'insurance final cleaned'!E1213</f>
        <v>97</v>
      </c>
      <c r="F977">
        <f>'insurance final cleaned'!L1213</f>
        <v>35.6</v>
      </c>
      <c r="G977">
        <f>'insurance final cleaned'!M1213</f>
        <v>0</v>
      </c>
      <c r="H977">
        <f>'insurance final cleaned'!N1213</f>
        <v>1</v>
      </c>
      <c r="I977">
        <f>'insurance final cleaned'!O1213</f>
        <v>0</v>
      </c>
      <c r="J977">
        <f>'insurance final cleaned'!P1213</f>
        <v>0.71713154851378269</v>
      </c>
      <c r="K977">
        <f>'insurance final cleaned'!Q1213</f>
        <v>1</v>
      </c>
      <c r="L977">
        <f>'insurance final cleaned'!R1213</f>
        <v>1</v>
      </c>
      <c r="M977">
        <f>'insurance final cleaned'!S1213</f>
        <v>0</v>
      </c>
    </row>
    <row r="978" spans="1:13" x14ac:dyDescent="0.3">
      <c r="A978">
        <f>'insurance final cleaned'!J708</f>
        <v>9872.7000000000007</v>
      </c>
      <c r="B978">
        <f>'insurance final cleaned'!B708</f>
        <v>28</v>
      </c>
      <c r="C978">
        <f>'insurance final cleaned'!D708</f>
        <v>34.200000000000003</v>
      </c>
      <c r="D978">
        <f>'insurance final cleaned'!G708</f>
        <v>1</v>
      </c>
      <c r="E978">
        <f>'insurance final cleaned'!E708</f>
        <v>86</v>
      </c>
      <c r="F978">
        <f>'insurance final cleaned'!L708</f>
        <v>0</v>
      </c>
      <c r="G978">
        <f>'insurance final cleaned'!M708</f>
        <v>0</v>
      </c>
      <c r="H978">
        <f>'insurance final cleaned'!N708</f>
        <v>1</v>
      </c>
      <c r="I978">
        <f>'insurance final cleaned'!O708</f>
        <v>0</v>
      </c>
      <c r="J978">
        <f>'insurance final cleaned'!P708</f>
        <v>0.71753132056989744</v>
      </c>
      <c r="K978">
        <f>'insurance final cleaned'!Q708</f>
        <v>0</v>
      </c>
      <c r="L978">
        <f>'insurance final cleaned'!R708</f>
        <v>0</v>
      </c>
      <c r="M978">
        <f>'insurance final cleaned'!S708</f>
        <v>1</v>
      </c>
    </row>
    <row r="979" spans="1:13" x14ac:dyDescent="0.3">
      <c r="A979">
        <f>'insurance final cleaned'!J785</f>
        <v>11150.78</v>
      </c>
      <c r="B979">
        <f>'insurance final cleaned'!B785</f>
        <v>46</v>
      </c>
      <c r="C979">
        <f>'insurance final cleaned'!D785</f>
        <v>26.7</v>
      </c>
      <c r="D979">
        <f>'insurance final cleaned'!G785</f>
        <v>2</v>
      </c>
      <c r="E979">
        <f>'insurance final cleaned'!E785</f>
        <v>102</v>
      </c>
      <c r="F979">
        <f>'insurance final cleaned'!L785</f>
        <v>0</v>
      </c>
      <c r="G979">
        <f>'insurance final cleaned'!M785</f>
        <v>0</v>
      </c>
      <c r="H979">
        <f>'insurance final cleaned'!N785</f>
        <v>1</v>
      </c>
      <c r="I979">
        <f>'insurance final cleaned'!O785</f>
        <v>0</v>
      </c>
      <c r="J979">
        <f>'insurance final cleaned'!P785</f>
        <v>0.71803403320471126</v>
      </c>
      <c r="K979">
        <f>'insurance final cleaned'!Q785</f>
        <v>0</v>
      </c>
      <c r="L979">
        <f>'insurance final cleaned'!R785</f>
        <v>1</v>
      </c>
      <c r="M979">
        <f>'insurance final cleaned'!S785</f>
        <v>1</v>
      </c>
    </row>
    <row r="980" spans="1:13" x14ac:dyDescent="0.3">
      <c r="A980">
        <f>'insurance final cleaned'!J907</f>
        <v>13012.21</v>
      </c>
      <c r="B980">
        <f>'insurance final cleaned'!B907</f>
        <v>58</v>
      </c>
      <c r="C980">
        <f>'insurance final cleaned'!D907</f>
        <v>24</v>
      </c>
      <c r="D980">
        <f>'insurance final cleaned'!G907</f>
        <v>0</v>
      </c>
      <c r="E980">
        <f>'insurance final cleaned'!E907</f>
        <v>109</v>
      </c>
      <c r="F980">
        <f>'insurance final cleaned'!L907</f>
        <v>0</v>
      </c>
      <c r="G980">
        <f>'insurance final cleaned'!M907</f>
        <v>0</v>
      </c>
      <c r="H980">
        <f>'insurance final cleaned'!N907</f>
        <v>0</v>
      </c>
      <c r="I980">
        <f>'insurance final cleaned'!O907</f>
        <v>1</v>
      </c>
      <c r="J980">
        <f>'insurance final cleaned'!P907</f>
        <v>0.71812666600129194</v>
      </c>
      <c r="K980">
        <f>'insurance final cleaned'!Q907</f>
        <v>0</v>
      </c>
      <c r="L980">
        <f>'insurance final cleaned'!R907</f>
        <v>0</v>
      </c>
      <c r="M980">
        <f>'insurance final cleaned'!S907</f>
        <v>1</v>
      </c>
    </row>
    <row r="981" spans="1:13" x14ac:dyDescent="0.3">
      <c r="A981">
        <f>'insurance final cleaned'!J478</f>
        <v>6600.21</v>
      </c>
      <c r="B981">
        <f>'insurance final cleaned'!B478</f>
        <v>45</v>
      </c>
      <c r="C981">
        <f>'insurance final cleaned'!D478</f>
        <v>34.1</v>
      </c>
      <c r="D981">
        <f>'insurance final cleaned'!G478</f>
        <v>1</v>
      </c>
      <c r="E981">
        <f>'insurance final cleaned'!E478</f>
        <v>96</v>
      </c>
      <c r="F981">
        <f>'insurance final cleaned'!L478</f>
        <v>0</v>
      </c>
      <c r="G981">
        <f>'insurance final cleaned'!M478</f>
        <v>1</v>
      </c>
      <c r="H981">
        <f>'insurance final cleaned'!N478</f>
        <v>0</v>
      </c>
      <c r="I981">
        <f>'insurance final cleaned'!O478</f>
        <v>0</v>
      </c>
      <c r="J981">
        <f>'insurance final cleaned'!P478</f>
        <v>0.71945222897485506</v>
      </c>
      <c r="K981">
        <f>'insurance final cleaned'!Q478</f>
        <v>0</v>
      </c>
      <c r="L981">
        <f>'insurance final cleaned'!R478</f>
        <v>0</v>
      </c>
      <c r="M981">
        <f>'insurance final cleaned'!S478</f>
        <v>0</v>
      </c>
    </row>
    <row r="982" spans="1:13" x14ac:dyDescent="0.3">
      <c r="A982">
        <f>'insurance final cleaned'!J729</f>
        <v>10226.280000000001</v>
      </c>
      <c r="B982">
        <f>'insurance final cleaned'!B729</f>
        <v>32</v>
      </c>
      <c r="C982">
        <f>'insurance final cleaned'!D729</f>
        <v>38.299999999999997</v>
      </c>
      <c r="D982">
        <f>'insurance final cleaned'!G729</f>
        <v>0</v>
      </c>
      <c r="E982">
        <f>'insurance final cleaned'!E729</f>
        <v>92</v>
      </c>
      <c r="F982">
        <f>'insurance final cleaned'!L729</f>
        <v>0</v>
      </c>
      <c r="G982">
        <f>'insurance final cleaned'!M729</f>
        <v>1</v>
      </c>
      <c r="H982">
        <f>'insurance final cleaned'!N729</f>
        <v>0</v>
      </c>
      <c r="I982">
        <f>'insurance final cleaned'!O729</f>
        <v>0</v>
      </c>
      <c r="J982">
        <f>'insurance final cleaned'!P729</f>
        <v>0.71957204955242271</v>
      </c>
      <c r="K982">
        <f>'insurance final cleaned'!Q729</f>
        <v>0</v>
      </c>
      <c r="L982">
        <f>'insurance final cleaned'!R729</f>
        <v>1</v>
      </c>
      <c r="M982">
        <f>'insurance final cleaned'!S729</f>
        <v>0</v>
      </c>
    </row>
    <row r="983" spans="1:13" x14ac:dyDescent="0.3">
      <c r="A983">
        <f>'insurance final cleaned'!J1295</f>
        <v>43921.18</v>
      </c>
      <c r="B983">
        <f>'insurance final cleaned'!B1295</f>
        <v>28</v>
      </c>
      <c r="C983">
        <f>'insurance final cleaned'!D1295</f>
        <v>33.6</v>
      </c>
      <c r="D983">
        <f>'insurance final cleaned'!G1295</f>
        <v>0</v>
      </c>
      <c r="E983">
        <f>'insurance final cleaned'!E1295</f>
        <v>101</v>
      </c>
      <c r="F983">
        <f>'insurance final cleaned'!L1295</f>
        <v>33.6</v>
      </c>
      <c r="G983">
        <f>'insurance final cleaned'!M1295</f>
        <v>0</v>
      </c>
      <c r="H983">
        <f>'insurance final cleaned'!N1295</f>
        <v>0</v>
      </c>
      <c r="I983">
        <f>'insurance final cleaned'!O1295</f>
        <v>1</v>
      </c>
      <c r="J983">
        <f>'insurance final cleaned'!P1295</f>
        <v>0.7199022148262143</v>
      </c>
      <c r="K983">
        <f>'insurance final cleaned'!Q1295</f>
        <v>1</v>
      </c>
      <c r="L983">
        <f>'insurance final cleaned'!R1295</f>
        <v>1</v>
      </c>
      <c r="M983">
        <f>'insurance final cleaned'!S1295</f>
        <v>0</v>
      </c>
    </row>
    <row r="984" spans="1:13" x14ac:dyDescent="0.3">
      <c r="A984">
        <f>'insurance final cleaned'!J547</f>
        <v>7448.4</v>
      </c>
      <c r="B984">
        <f>'insurance final cleaned'!B547</f>
        <v>28</v>
      </c>
      <c r="C984">
        <f>'insurance final cleaned'!D547</f>
        <v>39.799999999999997</v>
      </c>
      <c r="D984">
        <f>'insurance final cleaned'!G547</f>
        <v>0</v>
      </c>
      <c r="E984">
        <f>'insurance final cleaned'!E547</f>
        <v>88</v>
      </c>
      <c r="F984">
        <f>'insurance final cleaned'!L547</f>
        <v>0</v>
      </c>
      <c r="G984">
        <f>'insurance final cleaned'!M547</f>
        <v>1</v>
      </c>
      <c r="H984">
        <f>'insurance final cleaned'!N547</f>
        <v>0</v>
      </c>
      <c r="I984">
        <f>'insurance final cleaned'!O547</f>
        <v>0</v>
      </c>
      <c r="J984">
        <f>'insurance final cleaned'!P547</f>
        <v>0.7233185446470578</v>
      </c>
      <c r="K984">
        <f>'insurance final cleaned'!Q547</f>
        <v>0</v>
      </c>
      <c r="L984">
        <f>'insurance final cleaned'!R547</f>
        <v>0</v>
      </c>
      <c r="M984">
        <f>'insurance final cleaned'!S547</f>
        <v>0</v>
      </c>
    </row>
    <row r="985" spans="1:13" x14ac:dyDescent="0.3">
      <c r="A985">
        <f>'insurance final cleaned'!J518</f>
        <v>7160.09</v>
      </c>
      <c r="B985">
        <f>'insurance final cleaned'!B518</f>
        <v>48</v>
      </c>
      <c r="C985">
        <f>'insurance final cleaned'!D518</f>
        <v>35.799999999999997</v>
      </c>
      <c r="D985">
        <f>'insurance final cleaned'!G518</f>
        <v>2</v>
      </c>
      <c r="E985">
        <f>'insurance final cleaned'!E518</f>
        <v>82</v>
      </c>
      <c r="F985">
        <f>'insurance final cleaned'!L518</f>
        <v>0</v>
      </c>
      <c r="G985">
        <f>'insurance final cleaned'!M518</f>
        <v>0</v>
      </c>
      <c r="H985">
        <f>'insurance final cleaned'!N518</f>
        <v>1</v>
      </c>
      <c r="I985">
        <f>'insurance final cleaned'!O518</f>
        <v>0</v>
      </c>
      <c r="J985">
        <f>'insurance final cleaned'!P518</f>
        <v>0.72392498374103509</v>
      </c>
      <c r="K985">
        <f>'insurance final cleaned'!Q518</f>
        <v>0</v>
      </c>
      <c r="L985">
        <f>'insurance final cleaned'!R518</f>
        <v>1</v>
      </c>
      <c r="M985">
        <f>'insurance final cleaned'!S518</f>
        <v>0</v>
      </c>
    </row>
    <row r="986" spans="1:13" x14ac:dyDescent="0.3">
      <c r="A986">
        <f>'insurance final cleaned'!J75</f>
        <v>1832.09</v>
      </c>
      <c r="B986">
        <f>'insurance final cleaned'!B75</f>
        <v>20</v>
      </c>
      <c r="C986">
        <f>'insurance final cleaned'!D75</f>
        <v>20.9</v>
      </c>
      <c r="D986">
        <f>'insurance final cleaned'!G75</f>
        <v>1</v>
      </c>
      <c r="E986">
        <f>'insurance final cleaned'!E75</f>
        <v>98</v>
      </c>
      <c r="F986">
        <f>'insurance final cleaned'!L75</f>
        <v>0</v>
      </c>
      <c r="G986">
        <f>'insurance final cleaned'!M75</f>
        <v>0</v>
      </c>
      <c r="H986">
        <f>'insurance final cleaned'!N75</f>
        <v>1</v>
      </c>
      <c r="I986">
        <f>'insurance final cleaned'!O75</f>
        <v>0</v>
      </c>
      <c r="J986">
        <f>'insurance final cleaned'!P75</f>
        <v>0.72423517206769361</v>
      </c>
      <c r="K986">
        <f>'insurance final cleaned'!Q75</f>
        <v>0</v>
      </c>
      <c r="L986">
        <f>'insurance final cleaned'!R75</f>
        <v>0</v>
      </c>
      <c r="M986">
        <f>'insurance final cleaned'!S75</f>
        <v>0</v>
      </c>
    </row>
    <row r="987" spans="1:13" x14ac:dyDescent="0.3">
      <c r="A987">
        <f>'insurance final cleaned'!J488</f>
        <v>6746.74</v>
      </c>
      <c r="B987">
        <f>'insurance final cleaned'!B488</f>
        <v>48</v>
      </c>
      <c r="C987">
        <f>'insurance final cleaned'!D488</f>
        <v>27.6</v>
      </c>
      <c r="D987">
        <f>'insurance final cleaned'!G488</f>
        <v>3</v>
      </c>
      <c r="E987">
        <f>'insurance final cleaned'!E488</f>
        <v>90</v>
      </c>
      <c r="F987">
        <f>'insurance final cleaned'!L488</f>
        <v>0</v>
      </c>
      <c r="G987">
        <f>'insurance final cleaned'!M488</f>
        <v>1</v>
      </c>
      <c r="H987">
        <f>'insurance final cleaned'!N488</f>
        <v>0</v>
      </c>
      <c r="I987">
        <f>'insurance final cleaned'!O488</f>
        <v>0</v>
      </c>
      <c r="J987">
        <f>'insurance final cleaned'!P488</f>
        <v>0.72495403229730404</v>
      </c>
      <c r="K987">
        <f>'insurance final cleaned'!Q488</f>
        <v>0</v>
      </c>
      <c r="L987">
        <f>'insurance final cleaned'!R488</f>
        <v>1</v>
      </c>
      <c r="M987">
        <f>'insurance final cleaned'!S488</f>
        <v>0</v>
      </c>
    </row>
    <row r="988" spans="1:13" x14ac:dyDescent="0.3">
      <c r="A988">
        <f>'insurance final cleaned'!J815</f>
        <v>11534.87</v>
      </c>
      <c r="B988">
        <f>'insurance final cleaned'!B815</f>
        <v>35</v>
      </c>
      <c r="C988">
        <f>'insurance final cleaned'!D815</f>
        <v>18.3</v>
      </c>
      <c r="D988">
        <f>'insurance final cleaned'!G815</f>
        <v>0</v>
      </c>
      <c r="E988">
        <f>'insurance final cleaned'!E815</f>
        <v>95</v>
      </c>
      <c r="F988">
        <f>'insurance final cleaned'!L815</f>
        <v>0</v>
      </c>
      <c r="G988">
        <f>'insurance final cleaned'!M815</f>
        <v>0</v>
      </c>
      <c r="H988">
        <f>'insurance final cleaned'!N815</f>
        <v>0</v>
      </c>
      <c r="I988">
        <f>'insurance final cleaned'!O815</f>
        <v>0</v>
      </c>
      <c r="J988">
        <f>'insurance final cleaned'!P815</f>
        <v>0.7251150111807334</v>
      </c>
      <c r="K988">
        <f>'insurance final cleaned'!Q815</f>
        <v>0</v>
      </c>
      <c r="L988">
        <f>'insurance final cleaned'!R815</f>
        <v>0</v>
      </c>
      <c r="M988">
        <f>'insurance final cleaned'!S815</f>
        <v>0</v>
      </c>
    </row>
    <row r="989" spans="1:13" x14ac:dyDescent="0.3">
      <c r="A989">
        <f>'insurance final cleaned'!J37</f>
        <v>1631.82</v>
      </c>
      <c r="B989">
        <f>'insurance final cleaned'!B37</f>
        <v>47</v>
      </c>
      <c r="C989">
        <f>'insurance final cleaned'!D37</f>
        <v>38.299999999999997</v>
      </c>
      <c r="D989">
        <f>'insurance final cleaned'!G37</f>
        <v>0</v>
      </c>
      <c r="E989">
        <f>'insurance final cleaned'!E37</f>
        <v>93</v>
      </c>
      <c r="F989">
        <f>'insurance final cleaned'!L37</f>
        <v>0</v>
      </c>
      <c r="G989">
        <f>'insurance final cleaned'!M37</f>
        <v>1</v>
      </c>
      <c r="H989">
        <f>'insurance final cleaned'!N37</f>
        <v>0</v>
      </c>
      <c r="I989">
        <f>'insurance final cleaned'!O37</f>
        <v>0</v>
      </c>
      <c r="J989">
        <f>'insurance final cleaned'!P37</f>
        <v>0.72533094223550898</v>
      </c>
      <c r="K989">
        <f>'insurance final cleaned'!Q37</f>
        <v>0</v>
      </c>
      <c r="L989">
        <f>'insurance final cleaned'!R37</f>
        <v>0</v>
      </c>
      <c r="M989">
        <f>'insurance final cleaned'!S37</f>
        <v>1</v>
      </c>
    </row>
    <row r="990" spans="1:13" x14ac:dyDescent="0.3">
      <c r="A990">
        <f>'insurance final cleaned'!J446</f>
        <v>6198.75</v>
      </c>
      <c r="B990">
        <f>'insurance final cleaned'!B446</f>
        <v>27</v>
      </c>
      <c r="C990">
        <f>'insurance final cleaned'!D446</f>
        <v>24.3</v>
      </c>
      <c r="D990">
        <f>'insurance final cleaned'!G446</f>
        <v>2</v>
      </c>
      <c r="E990">
        <f>'insurance final cleaned'!E446</f>
        <v>82</v>
      </c>
      <c r="F990">
        <f>'insurance final cleaned'!L446</f>
        <v>0</v>
      </c>
      <c r="G990">
        <f>'insurance final cleaned'!M446</f>
        <v>0</v>
      </c>
      <c r="H990">
        <f>'insurance final cleaned'!N446</f>
        <v>0</v>
      </c>
      <c r="I990">
        <f>'insurance final cleaned'!O446</f>
        <v>1</v>
      </c>
      <c r="J990">
        <f>'insurance final cleaned'!P446</f>
        <v>0.72599397205536464</v>
      </c>
      <c r="K990">
        <f>'insurance final cleaned'!Q446</f>
        <v>0</v>
      </c>
      <c r="L990">
        <f>'insurance final cleaned'!R446</f>
        <v>0</v>
      </c>
      <c r="M990">
        <f>'insurance final cleaned'!S446</f>
        <v>0</v>
      </c>
    </row>
    <row r="991" spans="1:13" x14ac:dyDescent="0.3">
      <c r="A991">
        <f>'insurance final cleaned'!J110</f>
        <v>2138.0700000000002</v>
      </c>
      <c r="B991">
        <f>'insurance final cleaned'!B110</f>
        <v>26</v>
      </c>
      <c r="C991">
        <f>'insurance final cleaned'!D110</f>
        <v>37.4</v>
      </c>
      <c r="D991">
        <f>'insurance final cleaned'!G110</f>
        <v>0</v>
      </c>
      <c r="E991">
        <f>'insurance final cleaned'!E110</f>
        <v>83</v>
      </c>
      <c r="F991">
        <f>'insurance final cleaned'!L110</f>
        <v>0</v>
      </c>
      <c r="G991">
        <f>'insurance final cleaned'!M110</f>
        <v>0</v>
      </c>
      <c r="H991">
        <f>'insurance final cleaned'!N110</f>
        <v>0</v>
      </c>
      <c r="I991">
        <f>'insurance final cleaned'!O110</f>
        <v>1</v>
      </c>
      <c r="J991">
        <f>'insurance final cleaned'!P110</f>
        <v>0.72633569603728632</v>
      </c>
      <c r="K991">
        <f>'insurance final cleaned'!Q110</f>
        <v>0</v>
      </c>
      <c r="L991">
        <f>'insurance final cleaned'!R110</f>
        <v>1</v>
      </c>
      <c r="M991">
        <f>'insurance final cleaned'!S110</f>
        <v>1</v>
      </c>
    </row>
    <row r="992" spans="1:13" x14ac:dyDescent="0.3">
      <c r="A992">
        <f>'insurance final cleaned'!J1313</f>
        <v>46599.11</v>
      </c>
      <c r="B992">
        <f>'insurance final cleaned'!B1313</f>
        <v>38</v>
      </c>
      <c r="C992">
        <f>'insurance final cleaned'!D1313</f>
        <v>35.9</v>
      </c>
      <c r="D992">
        <f>'insurance final cleaned'!G1313</f>
        <v>0</v>
      </c>
      <c r="E992">
        <f>'insurance final cleaned'!E1313</f>
        <v>117</v>
      </c>
      <c r="F992">
        <f>'insurance final cleaned'!L1313</f>
        <v>35.9</v>
      </c>
      <c r="G992">
        <f>'insurance final cleaned'!M1313</f>
        <v>1</v>
      </c>
      <c r="H992">
        <f>'insurance final cleaned'!N1313</f>
        <v>0</v>
      </c>
      <c r="I992">
        <f>'insurance final cleaned'!O1313</f>
        <v>0</v>
      </c>
      <c r="J992">
        <f>'insurance final cleaned'!P1313</f>
        <v>0.72723681885527403</v>
      </c>
      <c r="K992">
        <f>'insurance final cleaned'!Q1313</f>
        <v>1</v>
      </c>
      <c r="L992">
        <f>'insurance final cleaned'!R1313</f>
        <v>1</v>
      </c>
      <c r="M992">
        <f>'insurance final cleaned'!S1313</f>
        <v>0</v>
      </c>
    </row>
    <row r="993" spans="1:13" x14ac:dyDescent="0.3">
      <c r="A993">
        <f>'insurance final cleaned'!J725</f>
        <v>10141.14</v>
      </c>
      <c r="B993">
        <f>'insurance final cleaned'!B725</f>
        <v>18</v>
      </c>
      <c r="C993">
        <f>'insurance final cleaned'!D725</f>
        <v>30.8</v>
      </c>
      <c r="D993">
        <f>'insurance final cleaned'!G725</f>
        <v>3</v>
      </c>
      <c r="E993">
        <f>'insurance final cleaned'!E725</f>
        <v>94</v>
      </c>
      <c r="F993">
        <f>'insurance final cleaned'!L725</f>
        <v>0</v>
      </c>
      <c r="G993">
        <f>'insurance final cleaned'!M725</f>
        <v>0</v>
      </c>
      <c r="H993">
        <f>'insurance final cleaned'!N725</f>
        <v>0</v>
      </c>
      <c r="I993">
        <f>'insurance final cleaned'!O725</f>
        <v>0</v>
      </c>
      <c r="J993">
        <f>'insurance final cleaned'!P725</f>
        <v>0.72731566936265069</v>
      </c>
      <c r="K993">
        <f>'insurance final cleaned'!Q725</f>
        <v>0</v>
      </c>
      <c r="L993">
        <f>'insurance final cleaned'!R725</f>
        <v>0</v>
      </c>
      <c r="M993">
        <f>'insurance final cleaned'!S725</f>
        <v>0</v>
      </c>
    </row>
    <row r="994" spans="1:13" x14ac:dyDescent="0.3">
      <c r="A994">
        <f>'insurance final cleaned'!J1146</f>
        <v>25656.58</v>
      </c>
      <c r="B994">
        <f>'insurance final cleaned'!B1146</f>
        <v>47</v>
      </c>
      <c r="C994">
        <f>'insurance final cleaned'!D1146</f>
        <v>27.4</v>
      </c>
      <c r="D994">
        <f>'insurance final cleaned'!G1146</f>
        <v>0</v>
      </c>
      <c r="E994">
        <f>'insurance final cleaned'!E1146</f>
        <v>80</v>
      </c>
      <c r="F994">
        <f>'insurance final cleaned'!L1146</f>
        <v>0</v>
      </c>
      <c r="G994">
        <f>'insurance final cleaned'!M1146</f>
        <v>0</v>
      </c>
      <c r="H994">
        <f>'insurance final cleaned'!N1146</f>
        <v>0</v>
      </c>
      <c r="I994">
        <f>'insurance final cleaned'!O1146</f>
        <v>0</v>
      </c>
      <c r="J994">
        <f>'insurance final cleaned'!P1146</f>
        <v>0.72894809220325607</v>
      </c>
      <c r="K994">
        <f>'insurance final cleaned'!Q1146</f>
        <v>0</v>
      </c>
      <c r="L994">
        <f>'insurance final cleaned'!R1146</f>
        <v>0</v>
      </c>
      <c r="M994">
        <f>'insurance final cleaned'!S1146</f>
        <v>1</v>
      </c>
    </row>
    <row r="995" spans="1:13" x14ac:dyDescent="0.3">
      <c r="A995">
        <f>'insurance final cleaned'!J369</f>
        <v>5116.5</v>
      </c>
      <c r="B995">
        <f>'insurance final cleaned'!B369</f>
        <v>19</v>
      </c>
      <c r="C995">
        <f>'insurance final cleaned'!D369</f>
        <v>17.899999999999999</v>
      </c>
      <c r="D995">
        <f>'insurance final cleaned'!G369</f>
        <v>1</v>
      </c>
      <c r="E995">
        <f>'insurance final cleaned'!E369</f>
        <v>90</v>
      </c>
      <c r="F995">
        <f>'insurance final cleaned'!L369</f>
        <v>0</v>
      </c>
      <c r="G995">
        <f>'insurance final cleaned'!M369</f>
        <v>0</v>
      </c>
      <c r="H995">
        <f>'insurance final cleaned'!N369</f>
        <v>0</v>
      </c>
      <c r="I995">
        <f>'insurance final cleaned'!O369</f>
        <v>1</v>
      </c>
      <c r="J995">
        <f>'insurance final cleaned'!P369</f>
        <v>0.73024495363203823</v>
      </c>
      <c r="K995">
        <f>'insurance final cleaned'!Q369</f>
        <v>0</v>
      </c>
      <c r="L995">
        <f>'insurance final cleaned'!R369</f>
        <v>0</v>
      </c>
      <c r="M995">
        <f>'insurance final cleaned'!S369</f>
        <v>0</v>
      </c>
    </row>
    <row r="996" spans="1:13" x14ac:dyDescent="0.3">
      <c r="A996">
        <f>'insurance final cleaned'!J116</f>
        <v>2196.4699999999998</v>
      </c>
      <c r="B996">
        <f>'insurance final cleaned'!B116</f>
        <v>47</v>
      </c>
      <c r="C996">
        <f>'insurance final cleaned'!D116</f>
        <v>25.1</v>
      </c>
      <c r="D996">
        <f>'insurance final cleaned'!G116</f>
        <v>0</v>
      </c>
      <c r="E996">
        <f>'insurance final cleaned'!E116</f>
        <v>80</v>
      </c>
      <c r="F996">
        <f>'insurance final cleaned'!L116</f>
        <v>0</v>
      </c>
      <c r="G996">
        <f>'insurance final cleaned'!M116</f>
        <v>1</v>
      </c>
      <c r="H996">
        <f>'insurance final cleaned'!N116</f>
        <v>0</v>
      </c>
      <c r="I996">
        <f>'insurance final cleaned'!O116</f>
        <v>0</v>
      </c>
      <c r="J996">
        <f>'insurance final cleaned'!P116</f>
        <v>0.73187014903617398</v>
      </c>
      <c r="K996">
        <f>'insurance final cleaned'!Q116</f>
        <v>0</v>
      </c>
      <c r="L996">
        <f>'insurance final cleaned'!R116</f>
        <v>0</v>
      </c>
      <c r="M996">
        <f>'insurance final cleaned'!S116</f>
        <v>1</v>
      </c>
    </row>
    <row r="997" spans="1:13" x14ac:dyDescent="0.3">
      <c r="A997">
        <f>'insurance final cleaned'!J310</f>
        <v>4441.21</v>
      </c>
      <c r="B997">
        <f>'insurance final cleaned'!B310</f>
        <v>41</v>
      </c>
      <c r="C997">
        <f>'insurance final cleaned'!D310</f>
        <v>26.9</v>
      </c>
      <c r="D997">
        <f>'insurance final cleaned'!G310</f>
        <v>1</v>
      </c>
      <c r="E997">
        <f>'insurance final cleaned'!E310</f>
        <v>90</v>
      </c>
      <c r="F997">
        <f>'insurance final cleaned'!L310</f>
        <v>0</v>
      </c>
      <c r="G997">
        <f>'insurance final cleaned'!M310</f>
        <v>1</v>
      </c>
      <c r="H997">
        <f>'insurance final cleaned'!N310</f>
        <v>0</v>
      </c>
      <c r="I997">
        <f>'insurance final cleaned'!O310</f>
        <v>0</v>
      </c>
      <c r="J997">
        <f>'insurance final cleaned'!P310</f>
        <v>0.73307053993498827</v>
      </c>
      <c r="K997">
        <f>'insurance final cleaned'!Q310</f>
        <v>0</v>
      </c>
      <c r="L997">
        <f>'insurance final cleaned'!R310</f>
        <v>0</v>
      </c>
      <c r="M997">
        <f>'insurance final cleaned'!S310</f>
        <v>0</v>
      </c>
    </row>
    <row r="998" spans="1:13" x14ac:dyDescent="0.3">
      <c r="A998">
        <f>'insurance final cleaned'!J158</f>
        <v>2585.27</v>
      </c>
      <c r="B998">
        <f>'insurance final cleaned'!B158</f>
        <v>33</v>
      </c>
      <c r="C998">
        <f>'insurance final cleaned'!D158</f>
        <v>17.399999999999999</v>
      </c>
      <c r="D998">
        <f>'insurance final cleaned'!G158</f>
        <v>1</v>
      </c>
      <c r="E998">
        <f>'insurance final cleaned'!E158</f>
        <v>87</v>
      </c>
      <c r="F998">
        <f>'insurance final cleaned'!L158</f>
        <v>0</v>
      </c>
      <c r="G998">
        <f>'insurance final cleaned'!M158</f>
        <v>0</v>
      </c>
      <c r="H998">
        <f>'insurance final cleaned'!N158</f>
        <v>1</v>
      </c>
      <c r="I998">
        <f>'insurance final cleaned'!O158</f>
        <v>0</v>
      </c>
      <c r="J998">
        <f>'insurance final cleaned'!P158</f>
        <v>0.73338216033803372</v>
      </c>
      <c r="K998">
        <f>'insurance final cleaned'!Q158</f>
        <v>0</v>
      </c>
      <c r="L998">
        <f>'insurance final cleaned'!R158</f>
        <v>0</v>
      </c>
      <c r="M998">
        <f>'insurance final cleaned'!S158</f>
        <v>1</v>
      </c>
    </row>
    <row r="999" spans="1:13" x14ac:dyDescent="0.3">
      <c r="A999">
        <f>'insurance final cleaned'!J1087</f>
        <v>21195.82</v>
      </c>
      <c r="B999">
        <f>'insurance final cleaned'!B1087</f>
        <v>38</v>
      </c>
      <c r="C999">
        <f>'insurance final cleaned'!D1087</f>
        <v>20.9</v>
      </c>
      <c r="D999">
        <f>'insurance final cleaned'!G1087</f>
        <v>0</v>
      </c>
      <c r="E999">
        <f>'insurance final cleaned'!E1087</f>
        <v>98</v>
      </c>
      <c r="F999">
        <f>'insurance final cleaned'!L1087</f>
        <v>20.9</v>
      </c>
      <c r="G999">
        <f>'insurance final cleaned'!M1087</f>
        <v>1</v>
      </c>
      <c r="H999">
        <f>'insurance final cleaned'!N1087</f>
        <v>0</v>
      </c>
      <c r="I999">
        <f>'insurance final cleaned'!O1087</f>
        <v>0</v>
      </c>
      <c r="J999">
        <f>'insurance final cleaned'!P1087</f>
        <v>0.7339496846608824</v>
      </c>
      <c r="K999">
        <f>'insurance final cleaned'!Q1087</f>
        <v>1</v>
      </c>
      <c r="L999">
        <f>'insurance final cleaned'!R1087</f>
        <v>0</v>
      </c>
      <c r="M999">
        <f>'insurance final cleaned'!S1087</f>
        <v>0</v>
      </c>
    </row>
    <row r="1000" spans="1:13" x14ac:dyDescent="0.3">
      <c r="A1000">
        <f>'insurance final cleaned'!J302</f>
        <v>4399.7299999999996</v>
      </c>
      <c r="B1000">
        <f>'insurance final cleaned'!B302</f>
        <v>37</v>
      </c>
      <c r="C1000">
        <f>'insurance final cleaned'!D302</f>
        <v>29.7</v>
      </c>
      <c r="D1000">
        <f>'insurance final cleaned'!G302</f>
        <v>0</v>
      </c>
      <c r="E1000">
        <f>'insurance final cleaned'!E302</f>
        <v>81</v>
      </c>
      <c r="F1000">
        <f>'insurance final cleaned'!L302</f>
        <v>0</v>
      </c>
      <c r="G1000">
        <f>'insurance final cleaned'!M302</f>
        <v>1</v>
      </c>
      <c r="H1000">
        <f>'insurance final cleaned'!N302</f>
        <v>0</v>
      </c>
      <c r="I1000">
        <f>'insurance final cleaned'!O302</f>
        <v>0</v>
      </c>
      <c r="J1000">
        <f>'insurance final cleaned'!P302</f>
        <v>0.73509751257151978</v>
      </c>
      <c r="K1000">
        <f>'insurance final cleaned'!Q302</f>
        <v>0</v>
      </c>
      <c r="L1000">
        <f>'insurance final cleaned'!R302</f>
        <v>0</v>
      </c>
      <c r="M1000">
        <f>'insurance final cleaned'!S302</f>
        <v>0</v>
      </c>
    </row>
    <row r="1001" spans="1:13" x14ac:dyDescent="0.3">
      <c r="A1001">
        <f>'insurance final cleaned'!J1090</f>
        <v>21259.38</v>
      </c>
      <c r="B1001">
        <f>'insurance final cleaned'!B1090</f>
        <v>33</v>
      </c>
      <c r="C1001">
        <f>'insurance final cleaned'!D1090</f>
        <v>24.6</v>
      </c>
      <c r="D1001">
        <f>'insurance final cleaned'!G1090</f>
        <v>2</v>
      </c>
      <c r="E1001">
        <f>'insurance final cleaned'!E1090</f>
        <v>87</v>
      </c>
      <c r="F1001">
        <f>'insurance final cleaned'!L1090</f>
        <v>24.6</v>
      </c>
      <c r="G1001">
        <f>'insurance final cleaned'!M1090</f>
        <v>0</v>
      </c>
      <c r="H1001">
        <f>'insurance final cleaned'!N1090</f>
        <v>0</v>
      </c>
      <c r="I1001">
        <f>'insurance final cleaned'!O1090</f>
        <v>0</v>
      </c>
      <c r="J1001">
        <f>'insurance final cleaned'!P1090</f>
        <v>0.73639712079903108</v>
      </c>
      <c r="K1001">
        <f>'insurance final cleaned'!Q1090</f>
        <v>1</v>
      </c>
      <c r="L1001">
        <f>'insurance final cleaned'!R1090</f>
        <v>1</v>
      </c>
      <c r="M1001">
        <f>'insurance final cleaned'!S1090</f>
        <v>0</v>
      </c>
    </row>
    <row r="1002" spans="1:13" x14ac:dyDescent="0.3">
      <c r="A1002">
        <f>'insurance final cleaned'!J1187</f>
        <v>32108.66</v>
      </c>
      <c r="B1002">
        <f>'insurance final cleaned'!B1187</f>
        <v>18</v>
      </c>
      <c r="C1002">
        <f>'insurance final cleaned'!D1187</f>
        <v>29.7</v>
      </c>
      <c r="D1002">
        <f>'insurance final cleaned'!G1187</f>
        <v>2</v>
      </c>
      <c r="E1002">
        <f>'insurance final cleaned'!E1187</f>
        <v>103</v>
      </c>
      <c r="F1002">
        <f>'insurance final cleaned'!L1187</f>
        <v>0</v>
      </c>
      <c r="G1002">
        <f>'insurance final cleaned'!M1187</f>
        <v>0</v>
      </c>
      <c r="H1002">
        <f>'insurance final cleaned'!N1187</f>
        <v>0</v>
      </c>
      <c r="I1002">
        <f>'insurance final cleaned'!O1187</f>
        <v>0</v>
      </c>
      <c r="J1002">
        <f>'insurance final cleaned'!P1187</f>
        <v>0.73807086817892353</v>
      </c>
      <c r="K1002">
        <f>'insurance final cleaned'!Q1187</f>
        <v>0</v>
      </c>
      <c r="L1002">
        <f>'insurance final cleaned'!R1187</f>
        <v>0</v>
      </c>
      <c r="M1002">
        <f>'insurance final cleaned'!S1187</f>
        <v>0</v>
      </c>
    </row>
    <row r="1003" spans="1:13" x14ac:dyDescent="0.3">
      <c r="A1003">
        <f>'insurance final cleaned'!J129</f>
        <v>2250.84</v>
      </c>
      <c r="B1003">
        <f>'insurance final cleaned'!B129</f>
        <v>49</v>
      </c>
      <c r="C1003">
        <f>'insurance final cleaned'!D129</f>
        <v>28.9</v>
      </c>
      <c r="D1003">
        <f>'insurance final cleaned'!G129</f>
        <v>0</v>
      </c>
      <c r="E1003">
        <f>'insurance final cleaned'!E129</f>
        <v>81</v>
      </c>
      <c r="F1003">
        <f>'insurance final cleaned'!L129</f>
        <v>0</v>
      </c>
      <c r="G1003">
        <f>'insurance final cleaned'!M129</f>
        <v>0</v>
      </c>
      <c r="H1003">
        <f>'insurance final cleaned'!N129</f>
        <v>0</v>
      </c>
      <c r="I1003">
        <f>'insurance final cleaned'!O129</f>
        <v>1</v>
      </c>
      <c r="J1003">
        <f>'insurance final cleaned'!P129</f>
        <v>0.73849601147656074</v>
      </c>
      <c r="K1003">
        <f>'insurance final cleaned'!Q129</f>
        <v>0</v>
      </c>
      <c r="L1003">
        <f>'insurance final cleaned'!R129</f>
        <v>0</v>
      </c>
      <c r="M1003">
        <f>'insurance final cleaned'!S129</f>
        <v>0</v>
      </c>
    </row>
    <row r="1004" spans="1:13" x14ac:dyDescent="0.3">
      <c r="A1004">
        <f>'insurance final cleaned'!J12</f>
        <v>1241.57</v>
      </c>
      <c r="B1004">
        <f>'insurance final cleaned'!B12</f>
        <v>36</v>
      </c>
      <c r="C1004">
        <f>'insurance final cleaned'!D12</f>
        <v>19.8</v>
      </c>
      <c r="D1004">
        <f>'insurance final cleaned'!G12</f>
        <v>0</v>
      </c>
      <c r="E1004">
        <f>'insurance final cleaned'!E12</f>
        <v>88</v>
      </c>
      <c r="F1004">
        <f>'insurance final cleaned'!L12</f>
        <v>0</v>
      </c>
      <c r="G1004">
        <f>'insurance final cleaned'!M12</f>
        <v>0</v>
      </c>
      <c r="H1004">
        <f>'insurance final cleaned'!N12</f>
        <v>0</v>
      </c>
      <c r="I1004">
        <f>'insurance final cleaned'!O12</f>
        <v>1</v>
      </c>
      <c r="J1004">
        <f>'insurance final cleaned'!P12</f>
        <v>0.74024267527775622</v>
      </c>
      <c r="K1004">
        <f>'insurance final cleaned'!Q12</f>
        <v>0</v>
      </c>
      <c r="L1004">
        <f>'insurance final cleaned'!R12</f>
        <v>1</v>
      </c>
      <c r="M1004">
        <f>'insurance final cleaned'!S12</f>
        <v>0</v>
      </c>
    </row>
    <row r="1005" spans="1:13" x14ac:dyDescent="0.3">
      <c r="A1005">
        <f>'insurance final cleaned'!J145</f>
        <v>2457.5</v>
      </c>
      <c r="B1005">
        <f>'insurance final cleaned'!B145</f>
        <v>41</v>
      </c>
      <c r="C1005">
        <f>'insurance final cleaned'!D145</f>
        <v>22.6</v>
      </c>
      <c r="D1005">
        <f>'insurance final cleaned'!G145</f>
        <v>0</v>
      </c>
      <c r="E1005">
        <f>'insurance final cleaned'!E145</f>
        <v>91</v>
      </c>
      <c r="F1005">
        <f>'insurance final cleaned'!L145</f>
        <v>0</v>
      </c>
      <c r="G1005">
        <f>'insurance final cleaned'!M145</f>
        <v>0</v>
      </c>
      <c r="H1005">
        <f>'insurance final cleaned'!N145</f>
        <v>1</v>
      </c>
      <c r="I1005">
        <f>'insurance final cleaned'!O145</f>
        <v>0</v>
      </c>
      <c r="J1005">
        <f>'insurance final cleaned'!P145</f>
        <v>0.74066166162785618</v>
      </c>
      <c r="K1005">
        <f>'insurance final cleaned'!Q145</f>
        <v>0</v>
      </c>
      <c r="L1005">
        <f>'insurance final cleaned'!R145</f>
        <v>1</v>
      </c>
      <c r="M1005">
        <f>'insurance final cleaned'!S145</f>
        <v>1</v>
      </c>
    </row>
    <row r="1006" spans="1:13" x14ac:dyDescent="0.3">
      <c r="A1006">
        <f>'insurance final cleaned'!J422</f>
        <v>5910.94</v>
      </c>
      <c r="B1006">
        <f>'insurance final cleaned'!B422</f>
        <v>58</v>
      </c>
      <c r="C1006">
        <f>'insurance final cleaned'!D422</f>
        <v>29.6</v>
      </c>
      <c r="D1006">
        <f>'insurance final cleaned'!G422</f>
        <v>0</v>
      </c>
      <c r="E1006">
        <f>'insurance final cleaned'!E422</f>
        <v>95</v>
      </c>
      <c r="F1006">
        <f>'insurance final cleaned'!L422</f>
        <v>0</v>
      </c>
      <c r="G1006">
        <f>'insurance final cleaned'!M422</f>
        <v>0</v>
      </c>
      <c r="H1006">
        <f>'insurance final cleaned'!N422</f>
        <v>1</v>
      </c>
      <c r="I1006">
        <f>'insurance final cleaned'!O422</f>
        <v>0</v>
      </c>
      <c r="J1006">
        <f>'insurance final cleaned'!P422</f>
        <v>0.74112250831772186</v>
      </c>
      <c r="K1006">
        <f>'insurance final cleaned'!Q422</f>
        <v>0</v>
      </c>
      <c r="L1006">
        <f>'insurance final cleaned'!R422</f>
        <v>1</v>
      </c>
      <c r="M1006">
        <f>'insurance final cleaned'!S422</f>
        <v>1</v>
      </c>
    </row>
    <row r="1007" spans="1:13" x14ac:dyDescent="0.3">
      <c r="A1007">
        <f>'insurance final cleaned'!J1192</f>
        <v>33471.97</v>
      </c>
      <c r="B1007">
        <f>'insurance final cleaned'!B1192</f>
        <v>29</v>
      </c>
      <c r="C1007">
        <f>'insurance final cleaned'!D1192</f>
        <v>37.5</v>
      </c>
      <c r="D1007">
        <f>'insurance final cleaned'!G1192</f>
        <v>2</v>
      </c>
      <c r="E1007">
        <f>'insurance final cleaned'!E1192</f>
        <v>106</v>
      </c>
      <c r="F1007">
        <f>'insurance final cleaned'!L1192</f>
        <v>0</v>
      </c>
      <c r="G1007">
        <f>'insurance final cleaned'!M1192</f>
        <v>0</v>
      </c>
      <c r="H1007">
        <f>'insurance final cleaned'!N1192</f>
        <v>0</v>
      </c>
      <c r="I1007">
        <f>'insurance final cleaned'!O1192</f>
        <v>1</v>
      </c>
      <c r="J1007">
        <f>'insurance final cleaned'!P1192</f>
        <v>0.74133275387306785</v>
      </c>
      <c r="K1007">
        <f>'insurance final cleaned'!Q1192</f>
        <v>0</v>
      </c>
      <c r="L1007">
        <f>'insurance final cleaned'!R1192</f>
        <v>1</v>
      </c>
      <c r="M1007">
        <f>'insurance final cleaned'!S1192</f>
        <v>1</v>
      </c>
    </row>
    <row r="1008" spans="1:13" x14ac:dyDescent="0.3">
      <c r="A1008">
        <f>'insurance final cleaned'!J190</f>
        <v>2904.09</v>
      </c>
      <c r="B1008">
        <f>'insurance final cleaned'!B190</f>
        <v>35</v>
      </c>
      <c r="C1008">
        <f>'insurance final cleaned'!D190</f>
        <v>30</v>
      </c>
      <c r="D1008">
        <f>'insurance final cleaned'!G190</f>
        <v>1</v>
      </c>
      <c r="E1008">
        <f>'insurance final cleaned'!E190</f>
        <v>86</v>
      </c>
      <c r="F1008">
        <f>'insurance final cleaned'!L190</f>
        <v>0</v>
      </c>
      <c r="G1008">
        <f>'insurance final cleaned'!M190</f>
        <v>0</v>
      </c>
      <c r="H1008">
        <f>'insurance final cleaned'!N190</f>
        <v>1</v>
      </c>
      <c r="I1008">
        <f>'insurance final cleaned'!O190</f>
        <v>0</v>
      </c>
      <c r="J1008">
        <f>'insurance final cleaned'!P190</f>
        <v>0.74172393829260252</v>
      </c>
      <c r="K1008">
        <f>'insurance final cleaned'!Q190</f>
        <v>0</v>
      </c>
      <c r="L1008">
        <f>'insurance final cleaned'!R190</f>
        <v>0</v>
      </c>
      <c r="M1008">
        <f>'insurance final cleaned'!S190</f>
        <v>0</v>
      </c>
    </row>
    <row r="1009" spans="1:13" x14ac:dyDescent="0.3">
      <c r="A1009">
        <f>'insurance final cleaned'!J689</f>
        <v>9620.33</v>
      </c>
      <c r="B1009">
        <f>'insurance final cleaned'!B689</f>
        <v>50</v>
      </c>
      <c r="C1009">
        <f>'insurance final cleaned'!D689</f>
        <v>29.8</v>
      </c>
      <c r="D1009">
        <f>'insurance final cleaned'!G689</f>
        <v>3</v>
      </c>
      <c r="E1009">
        <f>'insurance final cleaned'!E689</f>
        <v>86</v>
      </c>
      <c r="F1009">
        <f>'insurance final cleaned'!L689</f>
        <v>0</v>
      </c>
      <c r="G1009">
        <f>'insurance final cleaned'!M689</f>
        <v>0</v>
      </c>
      <c r="H1009">
        <f>'insurance final cleaned'!N689</f>
        <v>0</v>
      </c>
      <c r="I1009">
        <f>'insurance final cleaned'!O689</f>
        <v>1</v>
      </c>
      <c r="J1009">
        <f>'insurance final cleaned'!P689</f>
        <v>0.74187613824325238</v>
      </c>
      <c r="K1009">
        <f>'insurance final cleaned'!Q689</f>
        <v>0</v>
      </c>
      <c r="L1009">
        <f>'insurance final cleaned'!R689</f>
        <v>1</v>
      </c>
      <c r="M1009">
        <f>'insurance final cleaned'!S689</f>
        <v>0</v>
      </c>
    </row>
    <row r="1010" spans="1:13" x14ac:dyDescent="0.3">
      <c r="A1010">
        <f>'insurance final cleaned'!J1279</f>
        <v>41999.519999999997</v>
      </c>
      <c r="B1010">
        <f>'insurance final cleaned'!B1279</f>
        <v>46</v>
      </c>
      <c r="C1010">
        <f>'insurance final cleaned'!D1279</f>
        <v>30.8</v>
      </c>
      <c r="D1010">
        <f>'insurance final cleaned'!G1279</f>
        <v>1</v>
      </c>
      <c r="E1010">
        <f>'insurance final cleaned'!E1279</f>
        <v>120</v>
      </c>
      <c r="F1010">
        <f>'insurance final cleaned'!L1279</f>
        <v>30.8</v>
      </c>
      <c r="G1010">
        <f>'insurance final cleaned'!M1279</f>
        <v>1</v>
      </c>
      <c r="H1010">
        <f>'insurance final cleaned'!N1279</f>
        <v>0</v>
      </c>
      <c r="I1010">
        <f>'insurance final cleaned'!O1279</f>
        <v>0</v>
      </c>
      <c r="J1010">
        <f>'insurance final cleaned'!P1279</f>
        <v>0.74354887171957751</v>
      </c>
      <c r="K1010">
        <f>'insurance final cleaned'!Q1279</f>
        <v>1</v>
      </c>
      <c r="L1010">
        <f>'insurance final cleaned'!R1279</f>
        <v>0</v>
      </c>
      <c r="M1010">
        <f>'insurance final cleaned'!S1279</f>
        <v>0</v>
      </c>
    </row>
    <row r="1011" spans="1:13" x14ac:dyDescent="0.3">
      <c r="A1011">
        <f>'insurance final cleaned'!J1018</f>
        <v>17361.77</v>
      </c>
      <c r="B1011">
        <f>'insurance final cleaned'!B1018</f>
        <v>19</v>
      </c>
      <c r="C1011">
        <f>'insurance final cleaned'!D1018</f>
        <v>23</v>
      </c>
      <c r="D1011">
        <f>'insurance final cleaned'!G1018</f>
        <v>2</v>
      </c>
      <c r="E1011">
        <f>'insurance final cleaned'!E1018</f>
        <v>99</v>
      </c>
      <c r="F1011">
        <f>'insurance final cleaned'!L1018</f>
        <v>23</v>
      </c>
      <c r="G1011">
        <f>'insurance final cleaned'!M1018</f>
        <v>0</v>
      </c>
      <c r="H1011">
        <f>'insurance final cleaned'!N1018</f>
        <v>0</v>
      </c>
      <c r="I1011">
        <f>'insurance final cleaned'!O1018</f>
        <v>1</v>
      </c>
      <c r="J1011">
        <f>'insurance final cleaned'!P1018</f>
        <v>0.74430073098310767</v>
      </c>
      <c r="K1011">
        <f>'insurance final cleaned'!Q1018</f>
        <v>1</v>
      </c>
      <c r="L1011">
        <f>'insurance final cleaned'!R1018</f>
        <v>1</v>
      </c>
      <c r="M1011">
        <f>'insurance final cleaned'!S1018</f>
        <v>0</v>
      </c>
    </row>
    <row r="1012" spans="1:13" x14ac:dyDescent="0.3">
      <c r="A1012">
        <f>'insurance final cleaned'!J258</f>
        <v>3861.21</v>
      </c>
      <c r="B1012">
        <f>'insurance final cleaned'!B258</f>
        <v>34</v>
      </c>
      <c r="C1012">
        <f>'insurance final cleaned'!D258</f>
        <v>20.2</v>
      </c>
      <c r="D1012">
        <f>'insurance final cleaned'!G258</f>
        <v>3</v>
      </c>
      <c r="E1012">
        <f>'insurance final cleaned'!E258</f>
        <v>80</v>
      </c>
      <c r="F1012">
        <f>'insurance final cleaned'!L258</f>
        <v>0</v>
      </c>
      <c r="G1012">
        <f>'insurance final cleaned'!M258</f>
        <v>0</v>
      </c>
      <c r="H1012">
        <f>'insurance final cleaned'!N258</f>
        <v>0</v>
      </c>
      <c r="I1012">
        <f>'insurance final cleaned'!O258</f>
        <v>0</v>
      </c>
      <c r="J1012">
        <f>'insurance final cleaned'!P258</f>
        <v>0.74493050527792881</v>
      </c>
      <c r="K1012">
        <f>'insurance final cleaned'!Q258</f>
        <v>0</v>
      </c>
      <c r="L1012">
        <f>'insurance final cleaned'!R258</f>
        <v>0</v>
      </c>
      <c r="M1012">
        <f>'insurance final cleaned'!S258</f>
        <v>0</v>
      </c>
    </row>
    <row r="1013" spans="1:13" x14ac:dyDescent="0.3">
      <c r="A1013">
        <f>'insurance final cleaned'!J157</f>
        <v>2566.4699999999998</v>
      </c>
      <c r="B1013">
        <f>'insurance final cleaned'!B157</f>
        <v>49</v>
      </c>
      <c r="C1013">
        <f>'insurance final cleaned'!D157</f>
        <v>31.1</v>
      </c>
      <c r="D1013">
        <f>'insurance final cleaned'!G157</f>
        <v>2</v>
      </c>
      <c r="E1013">
        <f>'insurance final cleaned'!E157</f>
        <v>88</v>
      </c>
      <c r="F1013">
        <f>'insurance final cleaned'!L157</f>
        <v>0</v>
      </c>
      <c r="G1013">
        <f>'insurance final cleaned'!M157</f>
        <v>1</v>
      </c>
      <c r="H1013">
        <f>'insurance final cleaned'!N157</f>
        <v>0</v>
      </c>
      <c r="I1013">
        <f>'insurance final cleaned'!O157</f>
        <v>0</v>
      </c>
      <c r="J1013">
        <f>'insurance final cleaned'!P157</f>
        <v>0.74510163566453624</v>
      </c>
      <c r="K1013">
        <f>'insurance final cleaned'!Q157</f>
        <v>0</v>
      </c>
      <c r="L1013">
        <f>'insurance final cleaned'!R157</f>
        <v>1</v>
      </c>
      <c r="M1013">
        <f>'insurance final cleaned'!S157</f>
        <v>0</v>
      </c>
    </row>
    <row r="1014" spans="1:13" x14ac:dyDescent="0.3">
      <c r="A1014">
        <f>'insurance final cleaned'!J1194</f>
        <v>33732.69</v>
      </c>
      <c r="B1014">
        <f>'insurance final cleaned'!B1194</f>
        <v>47</v>
      </c>
      <c r="C1014">
        <f>'insurance final cleaned'!D1194</f>
        <v>31.7</v>
      </c>
      <c r="D1014">
        <f>'insurance final cleaned'!G1194</f>
        <v>0</v>
      </c>
      <c r="E1014">
        <f>'insurance final cleaned'!E1194</f>
        <v>129</v>
      </c>
      <c r="F1014">
        <f>'insurance final cleaned'!L1194</f>
        <v>31.7</v>
      </c>
      <c r="G1014">
        <f>'insurance final cleaned'!M1194</f>
        <v>0</v>
      </c>
      <c r="H1014">
        <f>'insurance final cleaned'!N1194</f>
        <v>0</v>
      </c>
      <c r="I1014">
        <f>'insurance final cleaned'!O1194</f>
        <v>0</v>
      </c>
      <c r="J1014">
        <f>'insurance final cleaned'!P1194</f>
        <v>0.74579358534357132</v>
      </c>
      <c r="K1014">
        <f>'insurance final cleaned'!Q1194</f>
        <v>1</v>
      </c>
      <c r="L1014">
        <f>'insurance final cleaned'!R1194</f>
        <v>1</v>
      </c>
      <c r="M1014">
        <f>'insurance final cleaned'!S1194</f>
        <v>0</v>
      </c>
    </row>
    <row r="1015" spans="1:13" x14ac:dyDescent="0.3">
      <c r="A1015">
        <f>'insurance final cleaned'!J1049</f>
        <v>19040.88</v>
      </c>
      <c r="B1015">
        <f>'insurance final cleaned'!B1049</f>
        <v>27</v>
      </c>
      <c r="C1015">
        <f>'insurance final cleaned'!D1049</f>
        <v>27.1</v>
      </c>
      <c r="D1015">
        <f>'insurance final cleaned'!G1049</f>
        <v>1</v>
      </c>
      <c r="E1015">
        <f>'insurance final cleaned'!E1049</f>
        <v>104</v>
      </c>
      <c r="F1015">
        <f>'insurance final cleaned'!L1049</f>
        <v>27.1</v>
      </c>
      <c r="G1015">
        <f>'insurance final cleaned'!M1049</f>
        <v>0</v>
      </c>
      <c r="H1015">
        <f>'insurance final cleaned'!N1049</f>
        <v>1</v>
      </c>
      <c r="I1015">
        <f>'insurance final cleaned'!O1049</f>
        <v>0</v>
      </c>
      <c r="J1015">
        <f>'insurance final cleaned'!P1049</f>
        <v>0.74592854017640375</v>
      </c>
      <c r="K1015">
        <f>'insurance final cleaned'!Q1049</f>
        <v>1</v>
      </c>
      <c r="L1015">
        <f>'insurance final cleaned'!R1049</f>
        <v>0</v>
      </c>
      <c r="M1015">
        <f>'insurance final cleaned'!S1049</f>
        <v>0</v>
      </c>
    </row>
    <row r="1016" spans="1:13" x14ac:dyDescent="0.3">
      <c r="A1016">
        <f>'insurance final cleaned'!J925</f>
        <v>13405.39</v>
      </c>
      <c r="B1016">
        <f>'insurance final cleaned'!B925</f>
        <v>45</v>
      </c>
      <c r="C1016">
        <f>'insurance final cleaned'!D925</f>
        <v>41.5</v>
      </c>
      <c r="D1016">
        <f>'insurance final cleaned'!G925</f>
        <v>0</v>
      </c>
      <c r="E1016">
        <f>'insurance final cleaned'!E925</f>
        <v>103</v>
      </c>
      <c r="F1016">
        <f>'insurance final cleaned'!L925</f>
        <v>0</v>
      </c>
      <c r="G1016">
        <f>'insurance final cleaned'!M925</f>
        <v>1</v>
      </c>
      <c r="H1016">
        <f>'insurance final cleaned'!N925</f>
        <v>0</v>
      </c>
      <c r="I1016">
        <f>'insurance final cleaned'!O925</f>
        <v>0</v>
      </c>
      <c r="J1016">
        <f>'insurance final cleaned'!P925</f>
        <v>0.74609605079900654</v>
      </c>
      <c r="K1016">
        <f>'insurance final cleaned'!Q925</f>
        <v>0</v>
      </c>
      <c r="L1016">
        <f>'insurance final cleaned'!R925</f>
        <v>1</v>
      </c>
      <c r="M1016">
        <f>'insurance final cleaned'!S925</f>
        <v>0</v>
      </c>
    </row>
    <row r="1017" spans="1:13" x14ac:dyDescent="0.3">
      <c r="A1017">
        <f>'insurance final cleaned'!J487</f>
        <v>6710.19</v>
      </c>
      <c r="B1017">
        <f>'insurance final cleaned'!B487</f>
        <v>37</v>
      </c>
      <c r="C1017">
        <f>'insurance final cleaned'!D487</f>
        <v>24.5</v>
      </c>
      <c r="D1017">
        <f>'insurance final cleaned'!G487</f>
        <v>2</v>
      </c>
      <c r="E1017">
        <f>'insurance final cleaned'!E487</f>
        <v>86</v>
      </c>
      <c r="F1017">
        <f>'insurance final cleaned'!L487</f>
        <v>0</v>
      </c>
      <c r="G1017">
        <f>'insurance final cleaned'!M487</f>
        <v>0</v>
      </c>
      <c r="H1017">
        <f>'insurance final cleaned'!N487</f>
        <v>0</v>
      </c>
      <c r="I1017">
        <f>'insurance final cleaned'!O487</f>
        <v>1</v>
      </c>
      <c r="J1017">
        <f>'insurance final cleaned'!P487</f>
        <v>0.74737940583068008</v>
      </c>
      <c r="K1017">
        <f>'insurance final cleaned'!Q487</f>
        <v>0</v>
      </c>
      <c r="L1017">
        <f>'insurance final cleaned'!R487</f>
        <v>0</v>
      </c>
      <c r="M1017">
        <f>'insurance final cleaned'!S487</f>
        <v>0</v>
      </c>
    </row>
    <row r="1018" spans="1:13" x14ac:dyDescent="0.3">
      <c r="A1018">
        <f>'insurance final cleaned'!J461</f>
        <v>6389.38</v>
      </c>
      <c r="B1018">
        <f>'insurance final cleaned'!B461</f>
        <v>21</v>
      </c>
      <c r="C1018">
        <f>'insurance final cleaned'!D461</f>
        <v>26.3</v>
      </c>
      <c r="D1018">
        <f>'insurance final cleaned'!G461</f>
        <v>1</v>
      </c>
      <c r="E1018">
        <f>'insurance final cleaned'!E461</f>
        <v>85</v>
      </c>
      <c r="F1018">
        <f>'insurance final cleaned'!L461</f>
        <v>0</v>
      </c>
      <c r="G1018">
        <f>'insurance final cleaned'!M461</f>
        <v>0</v>
      </c>
      <c r="H1018">
        <f>'insurance final cleaned'!N461</f>
        <v>0</v>
      </c>
      <c r="I1018">
        <f>'insurance final cleaned'!O461</f>
        <v>1</v>
      </c>
      <c r="J1018">
        <f>'insurance final cleaned'!P461</f>
        <v>0.74802069045987152</v>
      </c>
      <c r="K1018">
        <f>'insurance final cleaned'!Q461</f>
        <v>0</v>
      </c>
      <c r="L1018">
        <f>'insurance final cleaned'!R461</f>
        <v>1</v>
      </c>
      <c r="M1018">
        <f>'insurance final cleaned'!S461</f>
        <v>0</v>
      </c>
    </row>
    <row r="1019" spans="1:13" x14ac:dyDescent="0.3">
      <c r="A1019">
        <f>'insurance final cleaned'!J1269</f>
        <v>40904.199999999997</v>
      </c>
      <c r="B1019">
        <f>'insurance final cleaned'!B1269</f>
        <v>43</v>
      </c>
      <c r="C1019">
        <f>'insurance final cleaned'!D1269</f>
        <v>42.8</v>
      </c>
      <c r="D1019">
        <f>'insurance final cleaned'!G1269</f>
        <v>1</v>
      </c>
      <c r="E1019">
        <f>'insurance final cleaned'!E1269</f>
        <v>105</v>
      </c>
      <c r="F1019">
        <f>'insurance final cleaned'!L1269</f>
        <v>42.8</v>
      </c>
      <c r="G1019">
        <f>'insurance final cleaned'!M1269</f>
        <v>0</v>
      </c>
      <c r="H1019">
        <f>'insurance final cleaned'!N1269</f>
        <v>0</v>
      </c>
      <c r="I1019">
        <f>'insurance final cleaned'!O1269</f>
        <v>0</v>
      </c>
      <c r="J1019">
        <f>'insurance final cleaned'!P1269</f>
        <v>0.74924037413959954</v>
      </c>
      <c r="K1019">
        <f>'insurance final cleaned'!Q1269</f>
        <v>1</v>
      </c>
      <c r="L1019">
        <f>'insurance final cleaned'!R1269</f>
        <v>1</v>
      </c>
      <c r="M1019">
        <f>'insurance final cleaned'!S1269</f>
        <v>1</v>
      </c>
    </row>
    <row r="1020" spans="1:13" x14ac:dyDescent="0.3">
      <c r="A1020">
        <f>'insurance final cleaned'!J1256</f>
        <v>39722.75</v>
      </c>
      <c r="B1020">
        <f>'insurance final cleaned'!B1256</f>
        <v>46</v>
      </c>
      <c r="C1020">
        <f>'insurance final cleaned'!D1256</f>
        <v>44.9</v>
      </c>
      <c r="D1020">
        <f>'insurance final cleaned'!G1256</f>
        <v>0</v>
      </c>
      <c r="E1020">
        <f>'insurance final cleaned'!E1256</f>
        <v>138</v>
      </c>
      <c r="F1020">
        <f>'insurance final cleaned'!L1256</f>
        <v>44.9</v>
      </c>
      <c r="G1020">
        <f>'insurance final cleaned'!M1256</f>
        <v>1</v>
      </c>
      <c r="H1020">
        <f>'insurance final cleaned'!N1256</f>
        <v>0</v>
      </c>
      <c r="I1020">
        <f>'insurance final cleaned'!O1256</f>
        <v>0</v>
      </c>
      <c r="J1020">
        <f>'insurance final cleaned'!P1256</f>
        <v>0.74929742137797295</v>
      </c>
      <c r="K1020">
        <f>'insurance final cleaned'!Q1256</f>
        <v>1</v>
      </c>
      <c r="L1020">
        <f>'insurance final cleaned'!R1256</f>
        <v>1</v>
      </c>
      <c r="M1020">
        <f>'insurance final cleaned'!S1256</f>
        <v>0</v>
      </c>
    </row>
    <row r="1021" spans="1:13" x14ac:dyDescent="0.3">
      <c r="A1021">
        <f>'insurance final cleaned'!J690</f>
        <v>9625.92</v>
      </c>
      <c r="B1021">
        <f>'insurance final cleaned'!B690</f>
        <v>60</v>
      </c>
      <c r="C1021">
        <f>'insurance final cleaned'!D690</f>
        <v>31.2</v>
      </c>
      <c r="D1021">
        <f>'insurance final cleaned'!G690</f>
        <v>0</v>
      </c>
      <c r="E1021">
        <f>'insurance final cleaned'!E690</f>
        <v>88</v>
      </c>
      <c r="F1021">
        <f>'insurance final cleaned'!L690</f>
        <v>0</v>
      </c>
      <c r="G1021">
        <f>'insurance final cleaned'!M690</f>
        <v>0</v>
      </c>
      <c r="H1021">
        <f>'insurance final cleaned'!N690</f>
        <v>1</v>
      </c>
      <c r="I1021">
        <f>'insurance final cleaned'!O690</f>
        <v>0</v>
      </c>
      <c r="J1021">
        <f>'insurance final cleaned'!P690</f>
        <v>0.74962431743759272</v>
      </c>
      <c r="K1021">
        <f>'insurance final cleaned'!Q690</f>
        <v>0</v>
      </c>
      <c r="L1021">
        <f>'insurance final cleaned'!R690</f>
        <v>1</v>
      </c>
      <c r="M1021">
        <f>'insurance final cleaned'!S690</f>
        <v>1</v>
      </c>
    </row>
    <row r="1022" spans="1:13" x14ac:dyDescent="0.3">
      <c r="A1022">
        <f>'insurance final cleaned'!J722</f>
        <v>10107.219999999999</v>
      </c>
      <c r="B1022">
        <f>'insurance final cleaned'!B722</f>
        <v>52</v>
      </c>
      <c r="C1022">
        <f>'insurance final cleaned'!D722</f>
        <v>23.5</v>
      </c>
      <c r="D1022">
        <f>'insurance final cleaned'!G722</f>
        <v>2</v>
      </c>
      <c r="E1022">
        <f>'insurance final cleaned'!E722</f>
        <v>93</v>
      </c>
      <c r="F1022">
        <f>'insurance final cleaned'!L722</f>
        <v>0</v>
      </c>
      <c r="G1022">
        <f>'insurance final cleaned'!M722</f>
        <v>1</v>
      </c>
      <c r="H1022">
        <f>'insurance final cleaned'!N722</f>
        <v>0</v>
      </c>
      <c r="I1022">
        <f>'insurance final cleaned'!O722</f>
        <v>0</v>
      </c>
      <c r="J1022">
        <f>'insurance final cleaned'!P722</f>
        <v>0.7501341013440449</v>
      </c>
      <c r="K1022">
        <f>'insurance final cleaned'!Q722</f>
        <v>0</v>
      </c>
      <c r="L1022">
        <f>'insurance final cleaned'!R722</f>
        <v>0</v>
      </c>
      <c r="M1022">
        <f>'insurance final cleaned'!S722</f>
        <v>1</v>
      </c>
    </row>
    <row r="1023" spans="1:13" x14ac:dyDescent="0.3">
      <c r="A1023">
        <f>'insurance final cleaned'!J678</f>
        <v>9447.25</v>
      </c>
      <c r="B1023">
        <f>'insurance final cleaned'!B678</f>
        <v>40</v>
      </c>
      <c r="C1023">
        <f>'insurance final cleaned'!D678</f>
        <v>27.3</v>
      </c>
      <c r="D1023">
        <f>'insurance final cleaned'!G678</f>
        <v>1</v>
      </c>
      <c r="E1023">
        <f>'insurance final cleaned'!E678</f>
        <v>100</v>
      </c>
      <c r="F1023">
        <f>'insurance final cleaned'!L678</f>
        <v>0</v>
      </c>
      <c r="G1023">
        <f>'insurance final cleaned'!M678</f>
        <v>0</v>
      </c>
      <c r="H1023">
        <f>'insurance final cleaned'!N678</f>
        <v>0</v>
      </c>
      <c r="I1023">
        <f>'insurance final cleaned'!O678</f>
        <v>0</v>
      </c>
      <c r="J1023">
        <f>'insurance final cleaned'!P678</f>
        <v>0.75160538843720748</v>
      </c>
      <c r="K1023">
        <f>'insurance final cleaned'!Q678</f>
        <v>0</v>
      </c>
      <c r="L1023">
        <f>'insurance final cleaned'!R678</f>
        <v>0</v>
      </c>
      <c r="M1023">
        <f>'insurance final cleaned'!S678</f>
        <v>1</v>
      </c>
    </row>
    <row r="1024" spans="1:13" x14ac:dyDescent="0.3">
      <c r="A1024">
        <f>'insurance final cleaned'!J314</f>
        <v>4463.21</v>
      </c>
      <c r="B1024">
        <f>'insurance final cleaned'!B314</f>
        <v>21</v>
      </c>
      <c r="C1024">
        <f>'insurance final cleaned'!D314</f>
        <v>38.4</v>
      </c>
      <c r="D1024">
        <f>'insurance final cleaned'!G314</f>
        <v>2</v>
      </c>
      <c r="E1024">
        <f>'insurance final cleaned'!E314</f>
        <v>87</v>
      </c>
      <c r="F1024">
        <f>'insurance final cleaned'!L314</f>
        <v>0</v>
      </c>
      <c r="G1024">
        <f>'insurance final cleaned'!M314</f>
        <v>1</v>
      </c>
      <c r="H1024">
        <f>'insurance final cleaned'!N314</f>
        <v>0</v>
      </c>
      <c r="I1024">
        <f>'insurance final cleaned'!O314</f>
        <v>0</v>
      </c>
      <c r="J1024">
        <f>'insurance final cleaned'!P314</f>
        <v>0.7521234703237879</v>
      </c>
      <c r="K1024">
        <f>'insurance final cleaned'!Q314</f>
        <v>0</v>
      </c>
      <c r="L1024">
        <f>'insurance final cleaned'!R314</f>
        <v>1</v>
      </c>
      <c r="M1024">
        <f>'insurance final cleaned'!S314</f>
        <v>0</v>
      </c>
    </row>
    <row r="1025" spans="1:13" x14ac:dyDescent="0.3">
      <c r="A1025">
        <f>'insurance final cleaned'!J479</f>
        <v>6600.36</v>
      </c>
      <c r="B1025">
        <f>'insurance final cleaned'!B479</f>
        <v>31</v>
      </c>
      <c r="C1025">
        <f>'insurance final cleaned'!D479</f>
        <v>29.9</v>
      </c>
      <c r="D1025">
        <f>'insurance final cleaned'!G479</f>
        <v>2</v>
      </c>
      <c r="E1025">
        <f>'insurance final cleaned'!E479</f>
        <v>99</v>
      </c>
      <c r="F1025">
        <f>'insurance final cleaned'!L479</f>
        <v>0</v>
      </c>
      <c r="G1025">
        <f>'insurance final cleaned'!M479</f>
        <v>0</v>
      </c>
      <c r="H1025">
        <f>'insurance final cleaned'!N479</f>
        <v>1</v>
      </c>
      <c r="I1025">
        <f>'insurance final cleaned'!O479</f>
        <v>0</v>
      </c>
      <c r="J1025">
        <f>'insurance final cleaned'!P479</f>
        <v>0.75289495590841915</v>
      </c>
      <c r="K1025">
        <f>'insurance final cleaned'!Q479</f>
        <v>0</v>
      </c>
      <c r="L1025">
        <f>'insurance final cleaned'!R479</f>
        <v>1</v>
      </c>
      <c r="M1025">
        <f>'insurance final cleaned'!S479</f>
        <v>0</v>
      </c>
    </row>
    <row r="1026" spans="1:13" x14ac:dyDescent="0.3">
      <c r="A1026">
        <f>'insurance final cleaned'!J1000</f>
        <v>16232.85</v>
      </c>
      <c r="B1026">
        <f>'insurance final cleaned'!B1000</f>
        <v>34</v>
      </c>
      <c r="C1026">
        <f>'insurance final cleaned'!D1000</f>
        <v>27.3</v>
      </c>
      <c r="D1026">
        <f>'insurance final cleaned'!G1000</f>
        <v>0</v>
      </c>
      <c r="E1026">
        <f>'insurance final cleaned'!E1000</f>
        <v>89</v>
      </c>
      <c r="F1026">
        <f>'insurance final cleaned'!L1000</f>
        <v>27.3</v>
      </c>
      <c r="G1026">
        <f>'insurance final cleaned'!M1000</f>
        <v>0</v>
      </c>
      <c r="H1026">
        <f>'insurance final cleaned'!N1000</f>
        <v>1</v>
      </c>
      <c r="I1026">
        <f>'insurance final cleaned'!O1000</f>
        <v>0</v>
      </c>
      <c r="J1026">
        <f>'insurance final cleaned'!P1000</f>
        <v>0.75326501417835068</v>
      </c>
      <c r="K1026">
        <f>'insurance final cleaned'!Q1000</f>
        <v>1</v>
      </c>
      <c r="L1026">
        <f>'insurance final cleaned'!R1000</f>
        <v>1</v>
      </c>
      <c r="M1026">
        <f>'insurance final cleaned'!S1000</f>
        <v>0</v>
      </c>
    </row>
    <row r="1027" spans="1:13" x14ac:dyDescent="0.3">
      <c r="A1027">
        <f>'insurance final cleaned'!J980</f>
        <v>14692.67</v>
      </c>
      <c r="B1027">
        <f>'insurance final cleaned'!B980</f>
        <v>35</v>
      </c>
      <c r="C1027">
        <f>'insurance final cleaned'!D980</f>
        <v>33</v>
      </c>
      <c r="D1027">
        <f>'insurance final cleaned'!G980</f>
        <v>0</v>
      </c>
      <c r="E1027">
        <f>'insurance final cleaned'!E980</f>
        <v>105</v>
      </c>
      <c r="F1027">
        <f>'insurance final cleaned'!L980</f>
        <v>0</v>
      </c>
      <c r="G1027">
        <f>'insurance final cleaned'!M980</f>
        <v>0</v>
      </c>
      <c r="H1027">
        <f>'insurance final cleaned'!N980</f>
        <v>0</v>
      </c>
      <c r="I1027">
        <f>'insurance final cleaned'!O980</f>
        <v>1</v>
      </c>
      <c r="J1027">
        <f>'insurance final cleaned'!P980</f>
        <v>0.75346150499688624</v>
      </c>
      <c r="K1027">
        <f>'insurance final cleaned'!Q980</f>
        <v>0</v>
      </c>
      <c r="L1027">
        <f>'insurance final cleaned'!R980</f>
        <v>0</v>
      </c>
      <c r="M1027">
        <f>'insurance final cleaned'!S980</f>
        <v>1</v>
      </c>
    </row>
    <row r="1028" spans="1:13" x14ac:dyDescent="0.3">
      <c r="A1028">
        <f>'insurance final cleaned'!J777</f>
        <v>11015.17</v>
      </c>
      <c r="B1028">
        <f>'insurance final cleaned'!B777</f>
        <v>50</v>
      </c>
      <c r="C1028">
        <f>'insurance final cleaned'!D777</f>
        <v>27.9</v>
      </c>
      <c r="D1028">
        <f>'insurance final cleaned'!G777</f>
        <v>4</v>
      </c>
      <c r="E1028">
        <f>'insurance final cleaned'!E777</f>
        <v>83</v>
      </c>
      <c r="F1028">
        <f>'insurance final cleaned'!L777</f>
        <v>0</v>
      </c>
      <c r="G1028">
        <f>'insurance final cleaned'!M777</f>
        <v>0</v>
      </c>
      <c r="H1028">
        <f>'insurance final cleaned'!N777</f>
        <v>0</v>
      </c>
      <c r="I1028">
        <f>'insurance final cleaned'!O777</f>
        <v>1</v>
      </c>
      <c r="J1028">
        <f>'insurance final cleaned'!P777</f>
        <v>0.75587862434747921</v>
      </c>
      <c r="K1028">
        <f>'insurance final cleaned'!Q777</f>
        <v>0</v>
      </c>
      <c r="L1028">
        <f>'insurance final cleaned'!R777</f>
        <v>1</v>
      </c>
      <c r="M1028">
        <f>'insurance final cleaned'!S777</f>
        <v>1</v>
      </c>
    </row>
    <row r="1029" spans="1:13" x14ac:dyDescent="0.3">
      <c r="A1029">
        <f>'insurance final cleaned'!J61</f>
        <v>1725.55</v>
      </c>
      <c r="B1029">
        <f>'insurance final cleaned'!B61</f>
        <v>47</v>
      </c>
      <c r="C1029">
        <f>'insurance final cleaned'!D61</f>
        <v>33.799999999999997</v>
      </c>
      <c r="D1029">
        <f>'insurance final cleaned'!G61</f>
        <v>1</v>
      </c>
      <c r="E1029">
        <f>'insurance final cleaned'!E61</f>
        <v>90</v>
      </c>
      <c r="F1029">
        <f>'insurance final cleaned'!L61</f>
        <v>0</v>
      </c>
      <c r="G1029">
        <f>'insurance final cleaned'!M61</f>
        <v>1</v>
      </c>
      <c r="H1029">
        <f>'insurance final cleaned'!N61</f>
        <v>0</v>
      </c>
      <c r="I1029">
        <f>'insurance final cleaned'!O61</f>
        <v>0</v>
      </c>
      <c r="J1029">
        <f>'insurance final cleaned'!P61</f>
        <v>0.75709272325402732</v>
      </c>
      <c r="K1029">
        <f>'insurance final cleaned'!Q61</f>
        <v>0</v>
      </c>
      <c r="L1029">
        <f>'insurance final cleaned'!R61</f>
        <v>0</v>
      </c>
      <c r="M1029">
        <f>'insurance final cleaned'!S61</f>
        <v>0</v>
      </c>
    </row>
    <row r="1030" spans="1:13" x14ac:dyDescent="0.3">
      <c r="A1030">
        <f>'insurance final cleaned'!J590</f>
        <v>8233.1</v>
      </c>
      <c r="B1030">
        <f>'insurance final cleaned'!B590</f>
        <v>33</v>
      </c>
      <c r="C1030">
        <f>'insurance final cleaned'!D590</f>
        <v>28.1</v>
      </c>
      <c r="D1030">
        <f>'insurance final cleaned'!G590</f>
        <v>1</v>
      </c>
      <c r="E1030">
        <f>'insurance final cleaned'!E590</f>
        <v>92</v>
      </c>
      <c r="F1030">
        <f>'insurance final cleaned'!L590</f>
        <v>0</v>
      </c>
      <c r="G1030">
        <f>'insurance final cleaned'!M590</f>
        <v>1</v>
      </c>
      <c r="H1030">
        <f>'insurance final cleaned'!N590</f>
        <v>0</v>
      </c>
      <c r="I1030">
        <f>'insurance final cleaned'!O590</f>
        <v>0</v>
      </c>
      <c r="J1030">
        <f>'insurance final cleaned'!P590</f>
        <v>0.75897332469825407</v>
      </c>
      <c r="K1030">
        <f>'insurance final cleaned'!Q590</f>
        <v>0</v>
      </c>
      <c r="L1030">
        <f>'insurance final cleaned'!R590</f>
        <v>0</v>
      </c>
      <c r="M1030">
        <f>'insurance final cleaned'!S590</f>
        <v>1</v>
      </c>
    </row>
    <row r="1031" spans="1:13" x14ac:dyDescent="0.3">
      <c r="A1031">
        <f>'insurance final cleaned'!J59</f>
        <v>1719.44</v>
      </c>
      <c r="B1031">
        <f>'insurance final cleaned'!B59</f>
        <v>32</v>
      </c>
      <c r="C1031">
        <f>'insurance final cleaned'!D59</f>
        <v>29.4</v>
      </c>
      <c r="D1031">
        <f>'insurance final cleaned'!G59</f>
        <v>1</v>
      </c>
      <c r="E1031">
        <f>'insurance final cleaned'!E59</f>
        <v>97</v>
      </c>
      <c r="F1031">
        <f>'insurance final cleaned'!L59</f>
        <v>0</v>
      </c>
      <c r="G1031">
        <f>'insurance final cleaned'!M59</f>
        <v>1</v>
      </c>
      <c r="H1031">
        <f>'insurance final cleaned'!N59</f>
        <v>0</v>
      </c>
      <c r="I1031">
        <f>'insurance final cleaned'!O59</f>
        <v>0</v>
      </c>
      <c r="J1031">
        <f>'insurance final cleaned'!P59</f>
        <v>0.7601842524641792</v>
      </c>
      <c r="K1031">
        <f>'insurance final cleaned'!Q59</f>
        <v>0</v>
      </c>
      <c r="L1031">
        <f>'insurance final cleaned'!R59</f>
        <v>0</v>
      </c>
      <c r="M1031">
        <f>'insurance final cleaned'!S59</f>
        <v>0</v>
      </c>
    </row>
    <row r="1032" spans="1:13" x14ac:dyDescent="0.3">
      <c r="A1032">
        <f>'insurance final cleaned'!J855</f>
        <v>12105.32</v>
      </c>
      <c r="B1032">
        <f>'insurance final cleaned'!B855</f>
        <v>27</v>
      </c>
      <c r="C1032">
        <f>'insurance final cleaned'!D855</f>
        <v>30.8</v>
      </c>
      <c r="D1032">
        <f>'insurance final cleaned'!G855</f>
        <v>3</v>
      </c>
      <c r="E1032">
        <f>'insurance final cleaned'!E855</f>
        <v>97</v>
      </c>
      <c r="F1032">
        <f>'insurance final cleaned'!L855</f>
        <v>0</v>
      </c>
      <c r="G1032">
        <f>'insurance final cleaned'!M855</f>
        <v>0</v>
      </c>
      <c r="H1032">
        <f>'insurance final cleaned'!N855</f>
        <v>1</v>
      </c>
      <c r="I1032">
        <f>'insurance final cleaned'!O855</f>
        <v>0</v>
      </c>
      <c r="J1032">
        <f>'insurance final cleaned'!P855</f>
        <v>0.76064745322936422</v>
      </c>
      <c r="K1032">
        <f>'insurance final cleaned'!Q855</f>
        <v>0</v>
      </c>
      <c r="L1032">
        <f>'insurance final cleaned'!R855</f>
        <v>1</v>
      </c>
      <c r="M1032">
        <f>'insurance final cleaned'!S855</f>
        <v>1</v>
      </c>
    </row>
    <row r="1033" spans="1:13" x14ac:dyDescent="0.3">
      <c r="A1033">
        <f>'insurance final cleaned'!J508</f>
        <v>7050.02</v>
      </c>
      <c r="B1033">
        <f>'insurance final cleaned'!B508</f>
        <v>56</v>
      </c>
      <c r="C1033">
        <f>'insurance final cleaned'!D508</f>
        <v>32.9</v>
      </c>
      <c r="D1033">
        <f>'insurance final cleaned'!G508</f>
        <v>0</v>
      </c>
      <c r="E1033">
        <f>'insurance final cleaned'!E508</f>
        <v>84</v>
      </c>
      <c r="F1033">
        <f>'insurance final cleaned'!L508</f>
        <v>0</v>
      </c>
      <c r="G1033">
        <f>'insurance final cleaned'!M508</f>
        <v>1</v>
      </c>
      <c r="H1033">
        <f>'insurance final cleaned'!N508</f>
        <v>0</v>
      </c>
      <c r="I1033">
        <f>'insurance final cleaned'!O508</f>
        <v>0</v>
      </c>
      <c r="J1033">
        <f>'insurance final cleaned'!P508</f>
        <v>0.76176901457968449</v>
      </c>
      <c r="K1033">
        <f>'insurance final cleaned'!Q508</f>
        <v>0</v>
      </c>
      <c r="L1033">
        <f>'insurance final cleaned'!R508</f>
        <v>1</v>
      </c>
      <c r="M1033">
        <f>'insurance final cleaned'!S508</f>
        <v>1</v>
      </c>
    </row>
    <row r="1034" spans="1:13" x14ac:dyDescent="0.3">
      <c r="A1034">
        <f>'insurance final cleaned'!J269</f>
        <v>3981.98</v>
      </c>
      <c r="B1034">
        <f>'insurance final cleaned'!B269</f>
        <v>35</v>
      </c>
      <c r="C1034">
        <f>'insurance final cleaned'!D269</f>
        <v>29.9</v>
      </c>
      <c r="D1034">
        <f>'insurance final cleaned'!G269</f>
        <v>2</v>
      </c>
      <c r="E1034">
        <f>'insurance final cleaned'!E269</f>
        <v>93</v>
      </c>
      <c r="F1034">
        <f>'insurance final cleaned'!L269</f>
        <v>0</v>
      </c>
      <c r="G1034">
        <f>'insurance final cleaned'!M269</f>
        <v>1</v>
      </c>
      <c r="H1034">
        <f>'insurance final cleaned'!N269</f>
        <v>0</v>
      </c>
      <c r="I1034">
        <f>'insurance final cleaned'!O269</f>
        <v>0</v>
      </c>
      <c r="J1034">
        <f>'insurance final cleaned'!P269</f>
        <v>0.76235337260710057</v>
      </c>
      <c r="K1034">
        <f>'insurance final cleaned'!Q269</f>
        <v>0</v>
      </c>
      <c r="L1034">
        <f>'insurance final cleaned'!R269</f>
        <v>1</v>
      </c>
      <c r="M1034">
        <f>'insurance final cleaned'!S269</f>
        <v>1</v>
      </c>
    </row>
    <row r="1035" spans="1:13" x14ac:dyDescent="0.3">
      <c r="A1035">
        <f>'insurance final cleaned'!J65</f>
        <v>1731.68</v>
      </c>
      <c r="B1035">
        <f>'insurance final cleaned'!B65</f>
        <v>60</v>
      </c>
      <c r="C1035">
        <f>'insurance final cleaned'!D65</f>
        <v>20.6</v>
      </c>
      <c r="D1035">
        <f>'insurance final cleaned'!G65</f>
        <v>0</v>
      </c>
      <c r="E1035">
        <f>'insurance final cleaned'!E65</f>
        <v>90</v>
      </c>
      <c r="F1035">
        <f>'insurance final cleaned'!L65</f>
        <v>0</v>
      </c>
      <c r="G1035">
        <f>'insurance final cleaned'!M65</f>
        <v>0</v>
      </c>
      <c r="H1035">
        <f>'insurance final cleaned'!N65</f>
        <v>1</v>
      </c>
      <c r="I1035">
        <f>'insurance final cleaned'!O65</f>
        <v>0</v>
      </c>
      <c r="J1035">
        <f>'insurance final cleaned'!P65</f>
        <v>0.76440070635353397</v>
      </c>
      <c r="K1035">
        <f>'insurance final cleaned'!Q65</f>
        <v>0</v>
      </c>
      <c r="L1035">
        <f>'insurance final cleaned'!R65</f>
        <v>0</v>
      </c>
      <c r="M1035">
        <f>'insurance final cleaned'!S65</f>
        <v>1</v>
      </c>
    </row>
    <row r="1036" spans="1:13" x14ac:dyDescent="0.3">
      <c r="A1036">
        <f>'insurance final cleaned'!J373</f>
        <v>5148.55</v>
      </c>
      <c r="B1036">
        <f>'insurance final cleaned'!B373</f>
        <v>33</v>
      </c>
      <c r="C1036">
        <f>'insurance final cleaned'!D373</f>
        <v>31.5</v>
      </c>
      <c r="D1036">
        <f>'insurance final cleaned'!G373</f>
        <v>1</v>
      </c>
      <c r="E1036">
        <f>'insurance final cleaned'!E373</f>
        <v>86</v>
      </c>
      <c r="F1036">
        <f>'insurance final cleaned'!L373</f>
        <v>0</v>
      </c>
      <c r="G1036">
        <f>'insurance final cleaned'!M373</f>
        <v>1</v>
      </c>
      <c r="H1036">
        <f>'insurance final cleaned'!N373</f>
        <v>0</v>
      </c>
      <c r="I1036">
        <f>'insurance final cleaned'!O373</f>
        <v>0</v>
      </c>
      <c r="J1036">
        <f>'insurance final cleaned'!P373</f>
        <v>0.76458524337709488</v>
      </c>
      <c r="K1036">
        <f>'insurance final cleaned'!Q373</f>
        <v>0</v>
      </c>
      <c r="L1036">
        <f>'insurance final cleaned'!R373</f>
        <v>0</v>
      </c>
      <c r="M1036">
        <f>'insurance final cleaned'!S373</f>
        <v>1</v>
      </c>
    </row>
    <row r="1037" spans="1:13" x14ac:dyDescent="0.3">
      <c r="A1037">
        <f>'insurance final cleaned'!J1154</f>
        <v>26392.26</v>
      </c>
      <c r="B1037">
        <f>'insurance final cleaned'!B1154</f>
        <v>38</v>
      </c>
      <c r="C1037">
        <f>'insurance final cleaned'!D1154</f>
        <v>35.9</v>
      </c>
      <c r="D1037">
        <f>'insurance final cleaned'!G1154</f>
        <v>1</v>
      </c>
      <c r="E1037">
        <f>'insurance final cleaned'!E1154</f>
        <v>128</v>
      </c>
      <c r="F1037">
        <f>'insurance final cleaned'!L1154</f>
        <v>0</v>
      </c>
      <c r="G1037">
        <f>'insurance final cleaned'!M1154</f>
        <v>0</v>
      </c>
      <c r="H1037">
        <f>'insurance final cleaned'!N1154</f>
        <v>0</v>
      </c>
      <c r="I1037">
        <f>'insurance final cleaned'!O1154</f>
        <v>0</v>
      </c>
      <c r="J1037">
        <f>'insurance final cleaned'!P1154</f>
        <v>0.76526480849016765</v>
      </c>
      <c r="K1037">
        <f>'insurance final cleaned'!Q1154</f>
        <v>0</v>
      </c>
      <c r="L1037">
        <f>'insurance final cleaned'!R1154</f>
        <v>0</v>
      </c>
      <c r="M1037">
        <f>'insurance final cleaned'!S1154</f>
        <v>1</v>
      </c>
    </row>
    <row r="1038" spans="1:13" x14ac:dyDescent="0.3">
      <c r="A1038">
        <f>'insurance final cleaned'!J311</f>
        <v>4449.46</v>
      </c>
      <c r="B1038">
        <f>'insurance final cleaned'!B311</f>
        <v>32</v>
      </c>
      <c r="C1038">
        <f>'insurance final cleaned'!D311</f>
        <v>33</v>
      </c>
      <c r="D1038">
        <f>'insurance final cleaned'!G311</f>
        <v>3</v>
      </c>
      <c r="E1038">
        <f>'insurance final cleaned'!E311</f>
        <v>94</v>
      </c>
      <c r="F1038">
        <f>'insurance final cleaned'!L311</f>
        <v>0</v>
      </c>
      <c r="G1038">
        <f>'insurance final cleaned'!M311</f>
        <v>1</v>
      </c>
      <c r="H1038">
        <f>'insurance final cleaned'!N311</f>
        <v>0</v>
      </c>
      <c r="I1038">
        <f>'insurance final cleaned'!O311</f>
        <v>0</v>
      </c>
      <c r="J1038">
        <f>'insurance final cleaned'!P311</f>
        <v>0.7655249523131038</v>
      </c>
      <c r="K1038">
        <f>'insurance final cleaned'!Q311</f>
        <v>0</v>
      </c>
      <c r="L1038">
        <f>'insurance final cleaned'!R311</f>
        <v>1</v>
      </c>
      <c r="M1038">
        <f>'insurance final cleaned'!S311</f>
        <v>0</v>
      </c>
    </row>
    <row r="1039" spans="1:13" x14ac:dyDescent="0.3">
      <c r="A1039">
        <f>'insurance final cleaned'!J514</f>
        <v>7147.47</v>
      </c>
      <c r="B1039">
        <f>'insurance final cleaned'!B514</f>
        <v>46</v>
      </c>
      <c r="C1039">
        <f>'insurance final cleaned'!D514</f>
        <v>34.299999999999997</v>
      </c>
      <c r="D1039">
        <f>'insurance final cleaned'!G514</f>
        <v>1</v>
      </c>
      <c r="E1039">
        <f>'insurance final cleaned'!E514</f>
        <v>89</v>
      </c>
      <c r="F1039">
        <f>'insurance final cleaned'!L514</f>
        <v>0</v>
      </c>
      <c r="G1039">
        <f>'insurance final cleaned'!M514</f>
        <v>1</v>
      </c>
      <c r="H1039">
        <f>'insurance final cleaned'!N514</f>
        <v>0</v>
      </c>
      <c r="I1039">
        <f>'insurance final cleaned'!O514</f>
        <v>0</v>
      </c>
      <c r="J1039">
        <f>'insurance final cleaned'!P514</f>
        <v>0.7668539572574814</v>
      </c>
      <c r="K1039">
        <f>'insurance final cleaned'!Q514</f>
        <v>0</v>
      </c>
      <c r="L1039">
        <f>'insurance final cleaned'!R514</f>
        <v>0</v>
      </c>
      <c r="M1039">
        <f>'insurance final cleaned'!S514</f>
        <v>0</v>
      </c>
    </row>
    <row r="1040" spans="1:13" x14ac:dyDescent="0.3">
      <c r="A1040">
        <f>'insurance final cleaned'!J36</f>
        <v>1631.67</v>
      </c>
      <c r="B1040">
        <f>'insurance final cleaned'!B36</f>
        <v>43</v>
      </c>
      <c r="C1040">
        <f>'insurance final cleaned'!D36</f>
        <v>38.200000000000003</v>
      </c>
      <c r="D1040">
        <f>'insurance final cleaned'!G36</f>
        <v>0</v>
      </c>
      <c r="E1040">
        <f>'insurance final cleaned'!E36</f>
        <v>86</v>
      </c>
      <c r="F1040">
        <f>'insurance final cleaned'!L36</f>
        <v>0</v>
      </c>
      <c r="G1040">
        <f>'insurance final cleaned'!M36</f>
        <v>1</v>
      </c>
      <c r="H1040">
        <f>'insurance final cleaned'!N36</f>
        <v>0</v>
      </c>
      <c r="I1040">
        <f>'insurance final cleaned'!O36</f>
        <v>0</v>
      </c>
      <c r="J1040">
        <f>'insurance final cleaned'!P36</f>
        <v>0.76892981538106642</v>
      </c>
      <c r="K1040">
        <f>'insurance final cleaned'!Q36</f>
        <v>0</v>
      </c>
      <c r="L1040">
        <f>'insurance final cleaned'!R36</f>
        <v>1</v>
      </c>
      <c r="M1040">
        <f>'insurance final cleaned'!S36</f>
        <v>1</v>
      </c>
    </row>
    <row r="1041" spans="1:13" x14ac:dyDescent="0.3">
      <c r="A1041">
        <f>'insurance final cleaned'!J871</f>
        <v>12347.17</v>
      </c>
      <c r="B1041">
        <f>'insurance final cleaned'!B871</f>
        <v>40</v>
      </c>
      <c r="C1041">
        <f>'insurance final cleaned'!D871</f>
        <v>37.1</v>
      </c>
      <c r="D1041">
        <f>'insurance final cleaned'!G871</f>
        <v>1</v>
      </c>
      <c r="E1041">
        <f>'insurance final cleaned'!E871</f>
        <v>84</v>
      </c>
      <c r="F1041">
        <f>'insurance final cleaned'!L871</f>
        <v>0</v>
      </c>
      <c r="G1041">
        <f>'insurance final cleaned'!M871</f>
        <v>0</v>
      </c>
      <c r="H1041">
        <f>'insurance final cleaned'!N871</f>
        <v>1</v>
      </c>
      <c r="I1041">
        <f>'insurance final cleaned'!O871</f>
        <v>0</v>
      </c>
      <c r="J1041">
        <f>'insurance final cleaned'!P871</f>
        <v>0.76945603752192837</v>
      </c>
      <c r="K1041">
        <f>'insurance final cleaned'!Q871</f>
        <v>0</v>
      </c>
      <c r="L1041">
        <f>'insurance final cleaned'!R871</f>
        <v>1</v>
      </c>
      <c r="M1041">
        <f>'insurance final cleaned'!S871</f>
        <v>0</v>
      </c>
    </row>
    <row r="1042" spans="1:13" x14ac:dyDescent="0.3">
      <c r="A1042">
        <f>'insurance final cleaned'!J575</f>
        <v>8023.14</v>
      </c>
      <c r="B1042">
        <f>'insurance final cleaned'!B575</f>
        <v>42</v>
      </c>
      <c r="C1042">
        <f>'insurance final cleaned'!D575</f>
        <v>37</v>
      </c>
      <c r="D1042">
        <f>'insurance final cleaned'!G575</f>
        <v>1</v>
      </c>
      <c r="E1042">
        <f>'insurance final cleaned'!E575</f>
        <v>80</v>
      </c>
      <c r="F1042">
        <f>'insurance final cleaned'!L575</f>
        <v>0</v>
      </c>
      <c r="G1042">
        <f>'insurance final cleaned'!M575</f>
        <v>0</v>
      </c>
      <c r="H1042">
        <f>'insurance final cleaned'!N575</f>
        <v>0</v>
      </c>
      <c r="I1042">
        <f>'insurance final cleaned'!O575</f>
        <v>1</v>
      </c>
      <c r="J1042">
        <f>'insurance final cleaned'!P575</f>
        <v>0.76955053593122247</v>
      </c>
      <c r="K1042">
        <f>'insurance final cleaned'!Q575</f>
        <v>0</v>
      </c>
      <c r="L1042">
        <f>'insurance final cleaned'!R575</f>
        <v>0</v>
      </c>
      <c r="M1042">
        <f>'insurance final cleaned'!S575</f>
        <v>1</v>
      </c>
    </row>
    <row r="1043" spans="1:13" x14ac:dyDescent="0.3">
      <c r="A1043">
        <f>'insurance final cleaned'!J789</f>
        <v>11244.38</v>
      </c>
      <c r="B1043">
        <f>'insurance final cleaned'!B789</f>
        <v>47</v>
      </c>
      <c r="C1043">
        <f>'insurance final cleaned'!D789</f>
        <v>26.4</v>
      </c>
      <c r="D1043">
        <f>'insurance final cleaned'!G789</f>
        <v>2</v>
      </c>
      <c r="E1043">
        <f>'insurance final cleaned'!E789</f>
        <v>84</v>
      </c>
      <c r="F1043">
        <f>'insurance final cleaned'!L789</f>
        <v>0</v>
      </c>
      <c r="G1043">
        <f>'insurance final cleaned'!M789</f>
        <v>0</v>
      </c>
      <c r="H1043">
        <f>'insurance final cleaned'!N789</f>
        <v>0</v>
      </c>
      <c r="I1043">
        <f>'insurance final cleaned'!O789</f>
        <v>0</v>
      </c>
      <c r="J1043">
        <f>'insurance final cleaned'!P789</f>
        <v>0.7702888398824308</v>
      </c>
      <c r="K1043">
        <f>'insurance final cleaned'!Q789</f>
        <v>0</v>
      </c>
      <c r="L1043">
        <f>'insurance final cleaned'!R789</f>
        <v>0</v>
      </c>
      <c r="M1043">
        <f>'insurance final cleaned'!S789</f>
        <v>0</v>
      </c>
    </row>
    <row r="1044" spans="1:13" x14ac:dyDescent="0.3">
      <c r="A1044">
        <f>'insurance final cleaned'!J20</f>
        <v>1263.25</v>
      </c>
      <c r="B1044">
        <f>'insurance final cleaned'!B20</f>
        <v>49</v>
      </c>
      <c r="C1044">
        <f>'insurance final cleaned'!D20</f>
        <v>35.4</v>
      </c>
      <c r="D1044">
        <f>'insurance final cleaned'!G20</f>
        <v>0</v>
      </c>
      <c r="E1044">
        <f>'insurance final cleaned'!E20</f>
        <v>97</v>
      </c>
      <c r="F1044">
        <f>'insurance final cleaned'!L20</f>
        <v>0</v>
      </c>
      <c r="G1044">
        <f>'insurance final cleaned'!M20</f>
        <v>0</v>
      </c>
      <c r="H1044">
        <f>'insurance final cleaned'!N20</f>
        <v>1</v>
      </c>
      <c r="I1044">
        <f>'insurance final cleaned'!O20</f>
        <v>0</v>
      </c>
      <c r="J1044">
        <f>'insurance final cleaned'!P20</f>
        <v>0.77034982095688254</v>
      </c>
      <c r="K1044">
        <f>'insurance final cleaned'!Q20</f>
        <v>0</v>
      </c>
      <c r="L1044">
        <f>'insurance final cleaned'!R20</f>
        <v>1</v>
      </c>
      <c r="M1044">
        <f>'insurance final cleaned'!S20</f>
        <v>0</v>
      </c>
    </row>
    <row r="1045" spans="1:13" x14ac:dyDescent="0.3">
      <c r="A1045">
        <f>'insurance final cleaned'!J260</f>
        <v>3875.73</v>
      </c>
      <c r="B1045">
        <f>'insurance final cleaned'!B260</f>
        <v>32</v>
      </c>
      <c r="C1045">
        <f>'insurance final cleaned'!D260</f>
        <v>39.5</v>
      </c>
      <c r="D1045">
        <f>'insurance final cleaned'!G260</f>
        <v>1</v>
      </c>
      <c r="E1045">
        <f>'insurance final cleaned'!E260</f>
        <v>88</v>
      </c>
      <c r="F1045">
        <f>'insurance final cleaned'!L260</f>
        <v>0</v>
      </c>
      <c r="G1045">
        <f>'insurance final cleaned'!M260</f>
        <v>1</v>
      </c>
      <c r="H1045">
        <f>'insurance final cleaned'!N260</f>
        <v>0</v>
      </c>
      <c r="I1045">
        <f>'insurance final cleaned'!O260</f>
        <v>0</v>
      </c>
      <c r="J1045">
        <f>'insurance final cleaned'!P260</f>
        <v>0.77108827870680963</v>
      </c>
      <c r="K1045">
        <f>'insurance final cleaned'!Q260</f>
        <v>0</v>
      </c>
      <c r="L1045">
        <f>'insurance final cleaned'!R260</f>
        <v>1</v>
      </c>
      <c r="M1045">
        <f>'insurance final cleaned'!S260</f>
        <v>0</v>
      </c>
    </row>
    <row r="1046" spans="1:13" x14ac:dyDescent="0.3">
      <c r="A1046">
        <f>'insurance final cleaned'!J770</f>
        <v>10959.33</v>
      </c>
      <c r="B1046">
        <f>'insurance final cleaned'!B770</f>
        <v>37</v>
      </c>
      <c r="C1046">
        <f>'insurance final cleaned'!D770</f>
        <v>23.7</v>
      </c>
      <c r="D1046">
        <f>'insurance final cleaned'!G770</f>
        <v>0</v>
      </c>
      <c r="E1046">
        <f>'insurance final cleaned'!E770</f>
        <v>91</v>
      </c>
      <c r="F1046">
        <f>'insurance final cleaned'!L770</f>
        <v>0</v>
      </c>
      <c r="G1046">
        <f>'insurance final cleaned'!M770</f>
        <v>0</v>
      </c>
      <c r="H1046">
        <f>'insurance final cleaned'!N770</f>
        <v>1</v>
      </c>
      <c r="I1046">
        <f>'insurance final cleaned'!O770</f>
        <v>0</v>
      </c>
      <c r="J1046">
        <f>'insurance final cleaned'!P770</f>
        <v>0.77162778627902784</v>
      </c>
      <c r="K1046">
        <f>'insurance final cleaned'!Q770</f>
        <v>0</v>
      </c>
      <c r="L1046">
        <f>'insurance final cleaned'!R770</f>
        <v>1</v>
      </c>
      <c r="M1046">
        <f>'insurance final cleaned'!S770</f>
        <v>0</v>
      </c>
    </row>
    <row r="1047" spans="1:13" x14ac:dyDescent="0.3">
      <c r="A1047">
        <f>'insurance final cleaned'!J836</f>
        <v>11842.44</v>
      </c>
      <c r="B1047">
        <f>'insurance final cleaned'!B836</f>
        <v>45</v>
      </c>
      <c r="C1047">
        <f>'insurance final cleaned'!D836</f>
        <v>29</v>
      </c>
      <c r="D1047">
        <f>'insurance final cleaned'!G836</f>
        <v>0</v>
      </c>
      <c r="E1047">
        <f>'insurance final cleaned'!E836</f>
        <v>87</v>
      </c>
      <c r="F1047">
        <f>'insurance final cleaned'!L836</f>
        <v>0</v>
      </c>
      <c r="G1047">
        <f>'insurance final cleaned'!M836</f>
        <v>0</v>
      </c>
      <c r="H1047">
        <f>'insurance final cleaned'!N836</f>
        <v>1</v>
      </c>
      <c r="I1047">
        <f>'insurance final cleaned'!O836</f>
        <v>0</v>
      </c>
      <c r="J1047">
        <f>'insurance final cleaned'!P836</f>
        <v>0.7727896237712234</v>
      </c>
      <c r="K1047">
        <f>'insurance final cleaned'!Q836</f>
        <v>0</v>
      </c>
      <c r="L1047">
        <f>'insurance final cleaned'!R836</f>
        <v>0</v>
      </c>
      <c r="M1047">
        <f>'insurance final cleaned'!S836</f>
        <v>1</v>
      </c>
    </row>
    <row r="1048" spans="1:13" x14ac:dyDescent="0.3">
      <c r="A1048">
        <f>'insurance final cleaned'!J832</f>
        <v>11830.61</v>
      </c>
      <c r="B1048">
        <f>'insurance final cleaned'!B832</f>
        <v>50</v>
      </c>
      <c r="C1048">
        <f>'insurance final cleaned'!D832</f>
        <v>23.2</v>
      </c>
      <c r="D1048">
        <f>'insurance final cleaned'!G832</f>
        <v>0</v>
      </c>
      <c r="E1048">
        <f>'insurance final cleaned'!E832</f>
        <v>89</v>
      </c>
      <c r="F1048">
        <f>'insurance final cleaned'!L832</f>
        <v>0</v>
      </c>
      <c r="G1048">
        <f>'insurance final cleaned'!M832</f>
        <v>0</v>
      </c>
      <c r="H1048">
        <f>'insurance final cleaned'!N832</f>
        <v>0</v>
      </c>
      <c r="I1048">
        <f>'insurance final cleaned'!O832</f>
        <v>1</v>
      </c>
      <c r="J1048">
        <f>'insurance final cleaned'!P832</f>
        <v>0.77303622085016255</v>
      </c>
      <c r="K1048">
        <f>'insurance final cleaned'!Q832</f>
        <v>0</v>
      </c>
      <c r="L1048">
        <f>'insurance final cleaned'!R832</f>
        <v>0</v>
      </c>
      <c r="M1048">
        <f>'insurance final cleaned'!S832</f>
        <v>1</v>
      </c>
    </row>
    <row r="1049" spans="1:13" x14ac:dyDescent="0.3">
      <c r="A1049">
        <f>'insurance final cleaned'!J521</f>
        <v>7173.36</v>
      </c>
      <c r="B1049">
        <f>'insurance final cleaned'!B521</f>
        <v>24</v>
      </c>
      <c r="C1049">
        <f>'insurance final cleaned'!D521</f>
        <v>22.7</v>
      </c>
      <c r="D1049">
        <f>'insurance final cleaned'!G521</f>
        <v>2</v>
      </c>
      <c r="E1049">
        <f>'insurance final cleaned'!E521</f>
        <v>88</v>
      </c>
      <c r="F1049">
        <f>'insurance final cleaned'!L521</f>
        <v>0</v>
      </c>
      <c r="G1049">
        <f>'insurance final cleaned'!M521</f>
        <v>1</v>
      </c>
      <c r="H1049">
        <f>'insurance final cleaned'!N521</f>
        <v>0</v>
      </c>
      <c r="I1049">
        <f>'insurance final cleaned'!O521</f>
        <v>0</v>
      </c>
      <c r="J1049">
        <f>'insurance final cleaned'!P521</f>
        <v>0.77406312051874615</v>
      </c>
      <c r="K1049">
        <f>'insurance final cleaned'!Q521</f>
        <v>0</v>
      </c>
      <c r="L1049">
        <f>'insurance final cleaned'!R521</f>
        <v>1</v>
      </c>
      <c r="M1049">
        <f>'insurance final cleaned'!S521</f>
        <v>0</v>
      </c>
    </row>
    <row r="1050" spans="1:13" x14ac:dyDescent="0.3">
      <c r="A1050">
        <f>'insurance final cleaned'!J601</f>
        <v>8342.91</v>
      </c>
      <c r="B1050">
        <f>'insurance final cleaned'!B601</f>
        <v>34</v>
      </c>
      <c r="C1050">
        <f>'insurance final cleaned'!D601</f>
        <v>39.4</v>
      </c>
      <c r="D1050">
        <f>'insurance final cleaned'!G601</f>
        <v>1</v>
      </c>
      <c r="E1050">
        <f>'insurance final cleaned'!E601</f>
        <v>94</v>
      </c>
      <c r="F1050">
        <f>'insurance final cleaned'!L601</f>
        <v>0</v>
      </c>
      <c r="G1050">
        <f>'insurance final cleaned'!M601</f>
        <v>0</v>
      </c>
      <c r="H1050">
        <f>'insurance final cleaned'!N601</f>
        <v>0</v>
      </c>
      <c r="I1050">
        <f>'insurance final cleaned'!O601</f>
        <v>0</v>
      </c>
      <c r="J1050">
        <f>'insurance final cleaned'!P601</f>
        <v>0.77422443837874266</v>
      </c>
      <c r="K1050">
        <f>'insurance final cleaned'!Q601</f>
        <v>0</v>
      </c>
      <c r="L1050">
        <f>'insurance final cleaned'!R601</f>
        <v>1</v>
      </c>
      <c r="M1050">
        <f>'insurance final cleaned'!S601</f>
        <v>0</v>
      </c>
    </row>
    <row r="1051" spans="1:13" x14ac:dyDescent="0.3">
      <c r="A1051">
        <f>'insurance final cleaned'!J831</f>
        <v>11763</v>
      </c>
      <c r="B1051">
        <f>'insurance final cleaned'!B831</f>
        <v>25</v>
      </c>
      <c r="C1051">
        <f>'insurance final cleaned'!D831</f>
        <v>32.1</v>
      </c>
      <c r="D1051">
        <f>'insurance final cleaned'!G831</f>
        <v>1</v>
      </c>
      <c r="E1051">
        <f>'insurance final cleaned'!E831</f>
        <v>97</v>
      </c>
      <c r="F1051">
        <f>'insurance final cleaned'!L831</f>
        <v>0</v>
      </c>
      <c r="G1051">
        <f>'insurance final cleaned'!M831</f>
        <v>0</v>
      </c>
      <c r="H1051">
        <f>'insurance final cleaned'!N831</f>
        <v>0</v>
      </c>
      <c r="I1051">
        <f>'insurance final cleaned'!O831</f>
        <v>0</v>
      </c>
      <c r="J1051">
        <f>'insurance final cleaned'!P831</f>
        <v>0.77529545144822154</v>
      </c>
      <c r="K1051">
        <f>'insurance final cleaned'!Q831</f>
        <v>0</v>
      </c>
      <c r="L1051">
        <f>'insurance final cleaned'!R831</f>
        <v>1</v>
      </c>
      <c r="M1051">
        <f>'insurance final cleaned'!S831</f>
        <v>0</v>
      </c>
    </row>
    <row r="1052" spans="1:13" x14ac:dyDescent="0.3">
      <c r="A1052">
        <f>'insurance final cleaned'!J1290</f>
        <v>43254.42</v>
      </c>
      <c r="B1052">
        <f>'insurance final cleaned'!B1290</f>
        <v>22</v>
      </c>
      <c r="C1052">
        <f>'insurance final cleaned'!D1290</f>
        <v>34.1</v>
      </c>
      <c r="D1052">
        <f>'insurance final cleaned'!G1290</f>
        <v>0</v>
      </c>
      <c r="E1052">
        <f>'insurance final cleaned'!E1290</f>
        <v>108</v>
      </c>
      <c r="F1052">
        <f>'insurance final cleaned'!L1290</f>
        <v>34.1</v>
      </c>
      <c r="G1052">
        <f>'insurance final cleaned'!M1290</f>
        <v>0</v>
      </c>
      <c r="H1052">
        <f>'insurance final cleaned'!N1290</f>
        <v>0</v>
      </c>
      <c r="I1052">
        <f>'insurance final cleaned'!O1290</f>
        <v>0</v>
      </c>
      <c r="J1052">
        <f>'insurance final cleaned'!P1290</f>
        <v>0.77575213403931742</v>
      </c>
      <c r="K1052">
        <f>'insurance final cleaned'!Q1290</f>
        <v>1</v>
      </c>
      <c r="L1052">
        <f>'insurance final cleaned'!R1290</f>
        <v>0</v>
      </c>
      <c r="M1052">
        <f>'insurance final cleaned'!S1290</f>
        <v>0</v>
      </c>
    </row>
    <row r="1053" spans="1:13" x14ac:dyDescent="0.3">
      <c r="A1053">
        <f>'insurance final cleaned'!J911</f>
        <v>13063.88</v>
      </c>
      <c r="B1053">
        <f>'insurance final cleaned'!B911</f>
        <v>25</v>
      </c>
      <c r="C1053">
        <f>'insurance final cleaned'!D911</f>
        <v>44</v>
      </c>
      <c r="D1053">
        <f>'insurance final cleaned'!G911</f>
        <v>0</v>
      </c>
      <c r="E1053">
        <f>'insurance final cleaned'!E911</f>
        <v>88</v>
      </c>
      <c r="F1053">
        <f>'insurance final cleaned'!L911</f>
        <v>0</v>
      </c>
      <c r="G1053">
        <f>'insurance final cleaned'!M911</f>
        <v>0</v>
      </c>
      <c r="H1053">
        <f>'insurance final cleaned'!N911</f>
        <v>1</v>
      </c>
      <c r="I1053">
        <f>'insurance final cleaned'!O911</f>
        <v>0</v>
      </c>
      <c r="J1053">
        <f>'insurance final cleaned'!P911</f>
        <v>0.77644822047779316</v>
      </c>
      <c r="K1053">
        <f>'insurance final cleaned'!Q911</f>
        <v>0</v>
      </c>
      <c r="L1053">
        <f>'insurance final cleaned'!R911</f>
        <v>1</v>
      </c>
      <c r="M1053">
        <f>'insurance final cleaned'!S911</f>
        <v>1</v>
      </c>
    </row>
    <row r="1054" spans="1:13" x14ac:dyDescent="0.3">
      <c r="A1054">
        <f>'insurance final cleaned'!J429</f>
        <v>5974.38</v>
      </c>
      <c r="B1054">
        <f>'insurance final cleaned'!B429</f>
        <v>35</v>
      </c>
      <c r="C1054">
        <f>'insurance final cleaned'!D429</f>
        <v>28.9</v>
      </c>
      <c r="D1054">
        <f>'insurance final cleaned'!G429</f>
        <v>1</v>
      </c>
      <c r="E1054">
        <f>'insurance final cleaned'!E429</f>
        <v>97</v>
      </c>
      <c r="F1054">
        <f>'insurance final cleaned'!L429</f>
        <v>0</v>
      </c>
      <c r="G1054">
        <f>'insurance final cleaned'!M429</f>
        <v>1</v>
      </c>
      <c r="H1054">
        <f>'insurance final cleaned'!N429</f>
        <v>0</v>
      </c>
      <c r="I1054">
        <f>'insurance final cleaned'!O429</f>
        <v>0</v>
      </c>
      <c r="J1054">
        <f>'insurance final cleaned'!P429</f>
        <v>0.77667272983902091</v>
      </c>
      <c r="K1054">
        <f>'insurance final cleaned'!Q429</f>
        <v>0</v>
      </c>
      <c r="L1054">
        <f>'insurance final cleaned'!R429</f>
        <v>1</v>
      </c>
      <c r="M1054">
        <f>'insurance final cleaned'!S429</f>
        <v>1</v>
      </c>
    </row>
    <row r="1055" spans="1:13" x14ac:dyDescent="0.3">
      <c r="A1055">
        <f>'insurance final cleaned'!J760</f>
        <v>10795.94</v>
      </c>
      <c r="B1055">
        <f>'insurance final cleaned'!B760</f>
        <v>57</v>
      </c>
      <c r="C1055">
        <f>'insurance final cleaned'!D760</f>
        <v>33.4</v>
      </c>
      <c r="D1055">
        <f>'insurance final cleaned'!G760</f>
        <v>0</v>
      </c>
      <c r="E1055">
        <f>'insurance final cleaned'!E760</f>
        <v>84</v>
      </c>
      <c r="F1055">
        <f>'insurance final cleaned'!L760</f>
        <v>0</v>
      </c>
      <c r="G1055">
        <f>'insurance final cleaned'!M760</f>
        <v>0</v>
      </c>
      <c r="H1055">
        <f>'insurance final cleaned'!N760</f>
        <v>1</v>
      </c>
      <c r="I1055">
        <f>'insurance final cleaned'!O760</f>
        <v>0</v>
      </c>
      <c r="J1055">
        <f>'insurance final cleaned'!P760</f>
        <v>0.77686514121809558</v>
      </c>
      <c r="K1055">
        <f>'insurance final cleaned'!Q760</f>
        <v>0</v>
      </c>
      <c r="L1055">
        <f>'insurance final cleaned'!R760</f>
        <v>1</v>
      </c>
      <c r="M1055">
        <f>'insurance final cleaned'!S760</f>
        <v>1</v>
      </c>
    </row>
    <row r="1056" spans="1:13" x14ac:dyDescent="0.3">
      <c r="A1056">
        <f>'insurance final cleaned'!J216</f>
        <v>3268.85</v>
      </c>
      <c r="B1056">
        <f>'insurance final cleaned'!B216</f>
        <v>43</v>
      </c>
      <c r="C1056">
        <f>'insurance final cleaned'!D216</f>
        <v>35.4</v>
      </c>
      <c r="D1056">
        <f>'insurance final cleaned'!G216</f>
        <v>0</v>
      </c>
      <c r="E1056">
        <f>'insurance final cleaned'!E216</f>
        <v>86</v>
      </c>
      <c r="F1056">
        <f>'insurance final cleaned'!L216</f>
        <v>0</v>
      </c>
      <c r="G1056">
        <f>'insurance final cleaned'!M216</f>
        <v>0</v>
      </c>
      <c r="H1056">
        <f>'insurance final cleaned'!N216</f>
        <v>0</v>
      </c>
      <c r="I1056">
        <f>'insurance final cleaned'!O216</f>
        <v>0</v>
      </c>
      <c r="J1056">
        <f>'insurance final cleaned'!P216</f>
        <v>0.77791908132069443</v>
      </c>
      <c r="K1056">
        <f>'insurance final cleaned'!Q216</f>
        <v>0</v>
      </c>
      <c r="L1056">
        <f>'insurance final cleaned'!R216</f>
        <v>1</v>
      </c>
      <c r="M1056">
        <f>'insurance final cleaned'!S216</f>
        <v>0</v>
      </c>
    </row>
    <row r="1057" spans="1:13" x14ac:dyDescent="0.3">
      <c r="A1057">
        <f>'insurance final cleaned'!J687</f>
        <v>9583.89</v>
      </c>
      <c r="B1057">
        <f>'insurance final cleaned'!B687</f>
        <v>57</v>
      </c>
      <c r="C1057">
        <f>'insurance final cleaned'!D687</f>
        <v>34.799999999999997</v>
      </c>
      <c r="D1057">
        <f>'insurance final cleaned'!G687</f>
        <v>1</v>
      </c>
      <c r="E1057">
        <f>'insurance final cleaned'!E687</f>
        <v>87</v>
      </c>
      <c r="F1057">
        <f>'insurance final cleaned'!L687</f>
        <v>0</v>
      </c>
      <c r="G1057">
        <f>'insurance final cleaned'!M687</f>
        <v>0</v>
      </c>
      <c r="H1057">
        <f>'insurance final cleaned'!N687</f>
        <v>0</v>
      </c>
      <c r="I1057">
        <f>'insurance final cleaned'!O687</f>
        <v>1</v>
      </c>
      <c r="J1057">
        <f>'insurance final cleaned'!P687</f>
        <v>0.77824239042012322</v>
      </c>
      <c r="K1057">
        <f>'insurance final cleaned'!Q687</f>
        <v>0</v>
      </c>
      <c r="L1057">
        <f>'insurance final cleaned'!R687</f>
        <v>0</v>
      </c>
      <c r="M1057">
        <f>'insurance final cleaned'!S687</f>
        <v>1</v>
      </c>
    </row>
    <row r="1058" spans="1:13" x14ac:dyDescent="0.3">
      <c r="A1058">
        <f>'insurance final cleaned'!J265</f>
        <v>3943.6</v>
      </c>
      <c r="B1058">
        <f>'insurance final cleaned'!B265</f>
        <v>46</v>
      </c>
      <c r="C1058">
        <f>'insurance final cleaned'!D265</f>
        <v>31.2</v>
      </c>
      <c r="D1058">
        <f>'insurance final cleaned'!G265</f>
        <v>0</v>
      </c>
      <c r="E1058">
        <f>'insurance final cleaned'!E265</f>
        <v>88</v>
      </c>
      <c r="F1058">
        <f>'insurance final cleaned'!L265</f>
        <v>0</v>
      </c>
      <c r="G1058">
        <f>'insurance final cleaned'!M265</f>
        <v>0</v>
      </c>
      <c r="H1058">
        <f>'insurance final cleaned'!N265</f>
        <v>0</v>
      </c>
      <c r="I1058">
        <f>'insurance final cleaned'!O265</f>
        <v>0</v>
      </c>
      <c r="J1058">
        <f>'insurance final cleaned'!P265</f>
        <v>0.77940342137014484</v>
      </c>
      <c r="K1058">
        <f>'insurance final cleaned'!Q265</f>
        <v>0</v>
      </c>
      <c r="L1058">
        <f>'insurance final cleaned'!R265</f>
        <v>1</v>
      </c>
      <c r="M1058">
        <f>'insurance final cleaned'!S265</f>
        <v>1</v>
      </c>
    </row>
    <row r="1059" spans="1:13" x14ac:dyDescent="0.3">
      <c r="A1059">
        <f>'insurance final cleaned'!J754</f>
        <v>10602.39</v>
      </c>
      <c r="B1059">
        <f>'insurance final cleaned'!B754</f>
        <v>40</v>
      </c>
      <c r="C1059">
        <f>'insurance final cleaned'!D754</f>
        <v>40.299999999999997</v>
      </c>
      <c r="D1059">
        <f>'insurance final cleaned'!G754</f>
        <v>0</v>
      </c>
      <c r="E1059">
        <f>'insurance final cleaned'!E754</f>
        <v>96</v>
      </c>
      <c r="F1059">
        <f>'insurance final cleaned'!L754</f>
        <v>0</v>
      </c>
      <c r="G1059">
        <f>'insurance final cleaned'!M754</f>
        <v>0</v>
      </c>
      <c r="H1059">
        <f>'insurance final cleaned'!N754</f>
        <v>1</v>
      </c>
      <c r="I1059">
        <f>'insurance final cleaned'!O754</f>
        <v>0</v>
      </c>
      <c r="J1059">
        <f>'insurance final cleaned'!P754</f>
        <v>0.77951808016284563</v>
      </c>
      <c r="K1059">
        <f>'insurance final cleaned'!Q754</f>
        <v>0</v>
      </c>
      <c r="L1059">
        <f>'insurance final cleaned'!R754</f>
        <v>0</v>
      </c>
      <c r="M1059">
        <f>'insurance final cleaned'!S754</f>
        <v>0</v>
      </c>
    </row>
    <row r="1060" spans="1:13" x14ac:dyDescent="0.3">
      <c r="A1060">
        <f>'insurance final cleaned'!J634</f>
        <v>8765.25</v>
      </c>
      <c r="B1060">
        <f>'insurance final cleaned'!B634</f>
        <v>18</v>
      </c>
      <c r="C1060">
        <f>'insurance final cleaned'!D634</f>
        <v>32.299999999999997</v>
      </c>
      <c r="D1060">
        <f>'insurance final cleaned'!G634</f>
        <v>1</v>
      </c>
      <c r="E1060">
        <f>'insurance final cleaned'!E634</f>
        <v>98</v>
      </c>
      <c r="F1060">
        <f>'insurance final cleaned'!L634</f>
        <v>0</v>
      </c>
      <c r="G1060">
        <f>'insurance final cleaned'!M634</f>
        <v>0</v>
      </c>
      <c r="H1060">
        <f>'insurance final cleaned'!N634</f>
        <v>0</v>
      </c>
      <c r="I1060">
        <f>'insurance final cleaned'!O634</f>
        <v>1</v>
      </c>
      <c r="J1060">
        <f>'insurance final cleaned'!P634</f>
        <v>0.77994957274391286</v>
      </c>
      <c r="K1060">
        <f>'insurance final cleaned'!Q634</f>
        <v>0</v>
      </c>
      <c r="L1060">
        <f>'insurance final cleaned'!R634</f>
        <v>1</v>
      </c>
      <c r="M1060">
        <f>'insurance final cleaned'!S634</f>
        <v>0</v>
      </c>
    </row>
    <row r="1061" spans="1:13" x14ac:dyDescent="0.3">
      <c r="A1061">
        <f>'insurance final cleaned'!J731</f>
        <v>10264.44</v>
      </c>
      <c r="B1061">
        <f>'insurance final cleaned'!B731</f>
        <v>31</v>
      </c>
      <c r="C1061">
        <f>'insurance final cleaned'!D731</f>
        <v>28.7</v>
      </c>
      <c r="D1061">
        <f>'insurance final cleaned'!G731</f>
        <v>3</v>
      </c>
      <c r="E1061">
        <f>'insurance final cleaned'!E731</f>
        <v>107</v>
      </c>
      <c r="F1061">
        <f>'insurance final cleaned'!L731</f>
        <v>0</v>
      </c>
      <c r="G1061">
        <f>'insurance final cleaned'!M731</f>
        <v>0</v>
      </c>
      <c r="H1061">
        <f>'insurance final cleaned'!N731</f>
        <v>0</v>
      </c>
      <c r="I1061">
        <f>'insurance final cleaned'!O731</f>
        <v>1</v>
      </c>
      <c r="J1061">
        <f>'insurance final cleaned'!P731</f>
        <v>0.78092869964257672</v>
      </c>
      <c r="K1061">
        <f>'insurance final cleaned'!Q731</f>
        <v>0</v>
      </c>
      <c r="L1061">
        <f>'insurance final cleaned'!R731</f>
        <v>1</v>
      </c>
      <c r="M1061">
        <f>'insurance final cleaned'!S731</f>
        <v>0</v>
      </c>
    </row>
    <row r="1062" spans="1:13" x14ac:dyDescent="0.3">
      <c r="A1062">
        <f>'insurance final cleaned'!J1180</f>
        <v>30063.58</v>
      </c>
      <c r="B1062">
        <f>'insurance final cleaned'!B1180</f>
        <v>27</v>
      </c>
      <c r="C1062">
        <f>'insurance final cleaned'!D1180</f>
        <v>37.700000000000003</v>
      </c>
      <c r="D1062">
        <f>'insurance final cleaned'!G1180</f>
        <v>3</v>
      </c>
      <c r="E1062">
        <f>'insurance final cleaned'!E1180</f>
        <v>95</v>
      </c>
      <c r="F1062">
        <f>'insurance final cleaned'!L1180</f>
        <v>0</v>
      </c>
      <c r="G1062">
        <f>'insurance final cleaned'!M1180</f>
        <v>0</v>
      </c>
      <c r="H1062">
        <f>'insurance final cleaned'!N1180</f>
        <v>0</v>
      </c>
      <c r="I1062">
        <f>'insurance final cleaned'!O1180</f>
        <v>1</v>
      </c>
      <c r="J1062">
        <f>'insurance final cleaned'!P1180</f>
        <v>0.78110209303566103</v>
      </c>
      <c r="K1062">
        <f>'insurance final cleaned'!Q1180</f>
        <v>0</v>
      </c>
      <c r="L1062">
        <f>'insurance final cleaned'!R1180</f>
        <v>0</v>
      </c>
      <c r="M1062">
        <f>'insurance final cleaned'!S1180</f>
        <v>0</v>
      </c>
    </row>
    <row r="1063" spans="1:13" x14ac:dyDescent="0.3">
      <c r="A1063">
        <f>'insurance final cleaned'!J1181</f>
        <v>30166.62</v>
      </c>
      <c r="B1063">
        <f>'insurance final cleaned'!B1181</f>
        <v>19</v>
      </c>
      <c r="C1063">
        <f>'insurance final cleaned'!D1181</f>
        <v>24.7</v>
      </c>
      <c r="D1063">
        <f>'insurance final cleaned'!G1181</f>
        <v>1</v>
      </c>
      <c r="E1063">
        <f>'insurance final cleaned'!E1181</f>
        <v>97</v>
      </c>
      <c r="F1063">
        <f>'insurance final cleaned'!L1181</f>
        <v>0</v>
      </c>
      <c r="G1063">
        <f>'insurance final cleaned'!M1181</f>
        <v>0</v>
      </c>
      <c r="H1063">
        <f>'insurance final cleaned'!N1181</f>
        <v>0</v>
      </c>
      <c r="I1063">
        <f>'insurance final cleaned'!O1181</f>
        <v>1</v>
      </c>
      <c r="J1063">
        <f>'insurance final cleaned'!P1181</f>
        <v>0.78307388040192671</v>
      </c>
      <c r="K1063">
        <f>'insurance final cleaned'!Q1181</f>
        <v>0</v>
      </c>
      <c r="L1063">
        <f>'insurance final cleaned'!R1181</f>
        <v>1</v>
      </c>
      <c r="M1063">
        <f>'insurance final cleaned'!S1181</f>
        <v>0</v>
      </c>
    </row>
    <row r="1064" spans="1:13" x14ac:dyDescent="0.3">
      <c r="A1064">
        <f>'insurance final cleaned'!J656</f>
        <v>9140.9500000000007</v>
      </c>
      <c r="B1064">
        <f>'insurance final cleaned'!B656</f>
        <v>43</v>
      </c>
      <c r="C1064">
        <f>'insurance final cleaned'!D656</f>
        <v>34.1</v>
      </c>
      <c r="D1064">
        <f>'insurance final cleaned'!G656</f>
        <v>0</v>
      </c>
      <c r="E1064">
        <f>'insurance final cleaned'!E656</f>
        <v>89</v>
      </c>
      <c r="F1064">
        <f>'insurance final cleaned'!L656</f>
        <v>0</v>
      </c>
      <c r="G1064">
        <f>'insurance final cleaned'!M656</f>
        <v>1</v>
      </c>
      <c r="H1064">
        <f>'insurance final cleaned'!N656</f>
        <v>0</v>
      </c>
      <c r="I1064">
        <f>'insurance final cleaned'!O656</f>
        <v>0</v>
      </c>
      <c r="J1064">
        <f>'insurance final cleaned'!P656</f>
        <v>0.78489081627799429</v>
      </c>
      <c r="K1064">
        <f>'insurance final cleaned'!Q656</f>
        <v>0</v>
      </c>
      <c r="L1064">
        <f>'insurance final cleaned'!R656</f>
        <v>1</v>
      </c>
      <c r="M1064">
        <f>'insurance final cleaned'!S656</f>
        <v>0</v>
      </c>
    </row>
    <row r="1065" spans="1:13" x14ac:dyDescent="0.3">
      <c r="A1065">
        <f>'insurance final cleaned'!J1017</f>
        <v>17352.68</v>
      </c>
      <c r="B1065">
        <f>'insurance final cleaned'!B1017</f>
        <v>47</v>
      </c>
      <c r="C1065">
        <f>'insurance final cleaned'!D1017</f>
        <v>29.1</v>
      </c>
      <c r="D1065">
        <f>'insurance final cleaned'!G1017</f>
        <v>0</v>
      </c>
      <c r="E1065">
        <f>'insurance final cleaned'!E1017</f>
        <v>97</v>
      </c>
      <c r="F1065">
        <f>'insurance final cleaned'!L1017</f>
        <v>29.1</v>
      </c>
      <c r="G1065">
        <f>'insurance final cleaned'!M1017</f>
        <v>0</v>
      </c>
      <c r="H1065">
        <f>'insurance final cleaned'!N1017</f>
        <v>0</v>
      </c>
      <c r="I1065">
        <f>'insurance final cleaned'!O1017</f>
        <v>1</v>
      </c>
      <c r="J1065">
        <f>'insurance final cleaned'!P1017</f>
        <v>0.78554489440964625</v>
      </c>
      <c r="K1065">
        <f>'insurance final cleaned'!Q1017</f>
        <v>1</v>
      </c>
      <c r="L1065">
        <f>'insurance final cleaned'!R1017</f>
        <v>0</v>
      </c>
      <c r="M1065">
        <f>'insurance final cleaned'!S1017</f>
        <v>0</v>
      </c>
    </row>
    <row r="1066" spans="1:13" x14ac:dyDescent="0.3">
      <c r="A1066">
        <f>'insurance final cleaned'!J334</f>
        <v>4687.8</v>
      </c>
      <c r="B1066">
        <f>'insurance final cleaned'!B334</f>
        <v>46</v>
      </c>
      <c r="C1066">
        <f>'insurance final cleaned'!D334</f>
        <v>28.6</v>
      </c>
      <c r="D1066">
        <f>'insurance final cleaned'!G334</f>
        <v>5</v>
      </c>
      <c r="E1066">
        <f>'insurance final cleaned'!E334</f>
        <v>80</v>
      </c>
      <c r="F1066">
        <f>'insurance final cleaned'!L334</f>
        <v>0</v>
      </c>
      <c r="G1066">
        <f>'insurance final cleaned'!M334</f>
        <v>0</v>
      </c>
      <c r="H1066">
        <f>'insurance final cleaned'!N334</f>
        <v>1</v>
      </c>
      <c r="I1066">
        <f>'insurance final cleaned'!O334</f>
        <v>0</v>
      </c>
      <c r="J1066">
        <f>'insurance final cleaned'!P334</f>
        <v>0.78645076575985728</v>
      </c>
      <c r="K1066">
        <f>'insurance final cleaned'!Q334</f>
        <v>0</v>
      </c>
      <c r="L1066">
        <f>'insurance final cleaned'!R334</f>
        <v>0</v>
      </c>
      <c r="M1066">
        <f>'insurance final cleaned'!S334</f>
        <v>1</v>
      </c>
    </row>
    <row r="1067" spans="1:13" x14ac:dyDescent="0.3">
      <c r="A1067">
        <f>'insurance final cleaned'!J867</f>
        <v>12268.63</v>
      </c>
      <c r="B1067">
        <f>'insurance final cleaned'!B867</f>
        <v>50</v>
      </c>
      <c r="C1067">
        <f>'insurance final cleaned'!D867</f>
        <v>32.799999999999997</v>
      </c>
      <c r="D1067">
        <f>'insurance final cleaned'!G867</f>
        <v>2</v>
      </c>
      <c r="E1067">
        <f>'insurance final cleaned'!E867</f>
        <v>86</v>
      </c>
      <c r="F1067">
        <f>'insurance final cleaned'!L867</f>
        <v>0</v>
      </c>
      <c r="G1067">
        <f>'insurance final cleaned'!M867</f>
        <v>0</v>
      </c>
      <c r="H1067">
        <f>'insurance final cleaned'!N867</f>
        <v>0</v>
      </c>
      <c r="I1067">
        <f>'insurance final cleaned'!O867</f>
        <v>1</v>
      </c>
      <c r="J1067">
        <f>'insurance final cleaned'!P867</f>
        <v>0.78786584708017149</v>
      </c>
      <c r="K1067">
        <f>'insurance final cleaned'!Q867</f>
        <v>0</v>
      </c>
      <c r="L1067">
        <f>'insurance final cleaned'!R867</f>
        <v>0</v>
      </c>
      <c r="M1067">
        <f>'insurance final cleaned'!S867</f>
        <v>1</v>
      </c>
    </row>
    <row r="1068" spans="1:13" x14ac:dyDescent="0.3">
      <c r="A1068">
        <f>'insurance final cleaned'!J751</f>
        <v>10600.55</v>
      </c>
      <c r="B1068">
        <f>'insurance final cleaned'!B751</f>
        <v>40</v>
      </c>
      <c r="C1068">
        <f>'insurance final cleaned'!D751</f>
        <v>31</v>
      </c>
      <c r="D1068">
        <f>'insurance final cleaned'!G751</f>
        <v>3</v>
      </c>
      <c r="E1068">
        <f>'insurance final cleaned'!E751</f>
        <v>100</v>
      </c>
      <c r="F1068">
        <f>'insurance final cleaned'!L751</f>
        <v>0</v>
      </c>
      <c r="G1068">
        <f>'insurance final cleaned'!M751</f>
        <v>0</v>
      </c>
      <c r="H1068">
        <f>'insurance final cleaned'!N751</f>
        <v>0</v>
      </c>
      <c r="I1068">
        <f>'insurance final cleaned'!O751</f>
        <v>1</v>
      </c>
      <c r="J1068">
        <f>'insurance final cleaned'!P751</f>
        <v>0.78790637879287062</v>
      </c>
      <c r="K1068">
        <f>'insurance final cleaned'!Q751</f>
        <v>0</v>
      </c>
      <c r="L1068">
        <f>'insurance final cleaned'!R751</f>
        <v>0</v>
      </c>
      <c r="M1068">
        <f>'insurance final cleaned'!S751</f>
        <v>0</v>
      </c>
    </row>
    <row r="1069" spans="1:13" x14ac:dyDescent="0.3">
      <c r="A1069">
        <f>'insurance final cleaned'!J79</f>
        <v>1875.34</v>
      </c>
      <c r="B1069">
        <f>'insurance final cleaned'!B79</f>
        <v>50</v>
      </c>
      <c r="C1069">
        <f>'insurance final cleaned'!D79</f>
        <v>29.6</v>
      </c>
      <c r="D1069">
        <f>'insurance final cleaned'!G79</f>
        <v>0</v>
      </c>
      <c r="E1069">
        <f>'insurance final cleaned'!E79</f>
        <v>95</v>
      </c>
      <c r="F1069">
        <f>'insurance final cleaned'!L79</f>
        <v>0</v>
      </c>
      <c r="G1069">
        <f>'insurance final cleaned'!M79</f>
        <v>0</v>
      </c>
      <c r="H1069">
        <f>'insurance final cleaned'!N79</f>
        <v>1</v>
      </c>
      <c r="I1069">
        <f>'insurance final cleaned'!O79</f>
        <v>0</v>
      </c>
      <c r="J1069">
        <f>'insurance final cleaned'!P79</f>
        <v>0.78887395046599873</v>
      </c>
      <c r="K1069">
        <f>'insurance final cleaned'!Q79</f>
        <v>0</v>
      </c>
      <c r="L1069">
        <f>'insurance final cleaned'!R79</f>
        <v>0</v>
      </c>
      <c r="M1069">
        <f>'insurance final cleaned'!S79</f>
        <v>1</v>
      </c>
    </row>
    <row r="1070" spans="1:13" x14ac:dyDescent="0.3">
      <c r="A1070">
        <f>'insurance final cleaned'!J534</f>
        <v>7337.75</v>
      </c>
      <c r="B1070">
        <f>'insurance final cleaned'!B534</f>
        <v>56</v>
      </c>
      <c r="C1070">
        <f>'insurance final cleaned'!D534</f>
        <v>29.9</v>
      </c>
      <c r="D1070">
        <f>'insurance final cleaned'!G534</f>
        <v>1</v>
      </c>
      <c r="E1070">
        <f>'insurance final cleaned'!E534</f>
        <v>81</v>
      </c>
      <c r="F1070">
        <f>'insurance final cleaned'!L534</f>
        <v>0</v>
      </c>
      <c r="G1070">
        <f>'insurance final cleaned'!M534</f>
        <v>0</v>
      </c>
      <c r="H1070">
        <f>'insurance final cleaned'!N534</f>
        <v>1</v>
      </c>
      <c r="I1070">
        <f>'insurance final cleaned'!O534</f>
        <v>0</v>
      </c>
      <c r="J1070">
        <f>'insurance final cleaned'!P534</f>
        <v>0.7888938898775949</v>
      </c>
      <c r="K1070">
        <f>'insurance final cleaned'!Q534</f>
        <v>0</v>
      </c>
      <c r="L1070">
        <f>'insurance final cleaned'!R534</f>
        <v>1</v>
      </c>
      <c r="M1070">
        <f>'insurance final cleaned'!S534</f>
        <v>1</v>
      </c>
    </row>
    <row r="1071" spans="1:13" x14ac:dyDescent="0.3">
      <c r="A1071">
        <f>'insurance final cleaned'!J599</f>
        <v>8334.4599999999991</v>
      </c>
      <c r="B1071">
        <f>'insurance final cleaned'!B599</f>
        <v>20</v>
      </c>
      <c r="C1071">
        <f>'insurance final cleaned'!D599</f>
        <v>33.299999999999997</v>
      </c>
      <c r="D1071">
        <f>'insurance final cleaned'!G599</f>
        <v>1</v>
      </c>
      <c r="E1071">
        <f>'insurance final cleaned'!E599</f>
        <v>93</v>
      </c>
      <c r="F1071">
        <f>'insurance final cleaned'!L599</f>
        <v>0</v>
      </c>
      <c r="G1071">
        <f>'insurance final cleaned'!M599</f>
        <v>0</v>
      </c>
      <c r="H1071">
        <f>'insurance final cleaned'!N599</f>
        <v>0</v>
      </c>
      <c r="I1071">
        <f>'insurance final cleaned'!O599</f>
        <v>0</v>
      </c>
      <c r="J1071">
        <f>'insurance final cleaned'!P599</f>
        <v>0.78957751072989424</v>
      </c>
      <c r="K1071">
        <f>'insurance final cleaned'!Q599</f>
        <v>0</v>
      </c>
      <c r="L1071">
        <f>'insurance final cleaned'!R599</f>
        <v>1</v>
      </c>
      <c r="M1071">
        <f>'insurance final cleaned'!S599</f>
        <v>0</v>
      </c>
    </row>
    <row r="1072" spans="1:13" x14ac:dyDescent="0.3">
      <c r="A1072">
        <f>'insurance final cleaned'!J920</f>
        <v>13224.69</v>
      </c>
      <c r="B1072">
        <f>'insurance final cleaned'!B920</f>
        <v>56</v>
      </c>
      <c r="C1072">
        <f>'insurance final cleaned'!D920</f>
        <v>28.7</v>
      </c>
      <c r="D1072">
        <f>'insurance final cleaned'!G920</f>
        <v>1</v>
      </c>
      <c r="E1072">
        <f>'insurance final cleaned'!E920</f>
        <v>95</v>
      </c>
      <c r="F1072">
        <f>'insurance final cleaned'!L920</f>
        <v>0</v>
      </c>
      <c r="G1072">
        <f>'insurance final cleaned'!M920</f>
        <v>0</v>
      </c>
      <c r="H1072">
        <f>'insurance final cleaned'!N920</f>
        <v>1</v>
      </c>
      <c r="I1072">
        <f>'insurance final cleaned'!O920</f>
        <v>0</v>
      </c>
      <c r="J1072">
        <f>'insurance final cleaned'!P920</f>
        <v>0.79010891190149601</v>
      </c>
      <c r="K1072">
        <f>'insurance final cleaned'!Q920</f>
        <v>0</v>
      </c>
      <c r="L1072">
        <f>'insurance final cleaned'!R920</f>
        <v>0</v>
      </c>
      <c r="M1072">
        <f>'insurance final cleaned'!S920</f>
        <v>1</v>
      </c>
    </row>
    <row r="1073" spans="1:13" x14ac:dyDescent="0.3">
      <c r="A1073">
        <f>'insurance final cleaned'!J365</f>
        <v>5012.47</v>
      </c>
      <c r="B1073">
        <f>'insurance final cleaned'!B365</f>
        <v>25</v>
      </c>
      <c r="C1073">
        <f>'insurance final cleaned'!D365</f>
        <v>33.700000000000003</v>
      </c>
      <c r="D1073">
        <f>'insurance final cleaned'!G365</f>
        <v>1</v>
      </c>
      <c r="E1073">
        <f>'insurance final cleaned'!E365</f>
        <v>95</v>
      </c>
      <c r="F1073">
        <f>'insurance final cleaned'!L365</f>
        <v>0</v>
      </c>
      <c r="G1073">
        <f>'insurance final cleaned'!M365</f>
        <v>0</v>
      </c>
      <c r="H1073">
        <f>'insurance final cleaned'!N365</f>
        <v>1</v>
      </c>
      <c r="I1073">
        <f>'insurance final cleaned'!O365</f>
        <v>0</v>
      </c>
      <c r="J1073">
        <f>'insurance final cleaned'!P365</f>
        <v>0.79282920650833788</v>
      </c>
      <c r="K1073">
        <f>'insurance final cleaned'!Q365</f>
        <v>0</v>
      </c>
      <c r="L1073">
        <f>'insurance final cleaned'!R365</f>
        <v>0</v>
      </c>
      <c r="M1073">
        <f>'insurance final cleaned'!S365</f>
        <v>1</v>
      </c>
    </row>
    <row r="1074" spans="1:13" x14ac:dyDescent="0.3">
      <c r="A1074">
        <f>'insurance final cleaned'!J963</f>
        <v>14313.85</v>
      </c>
      <c r="B1074">
        <f>'insurance final cleaned'!B963</f>
        <v>38</v>
      </c>
      <c r="C1074">
        <f>'insurance final cleaned'!D963</f>
        <v>36</v>
      </c>
      <c r="D1074">
        <f>'insurance final cleaned'!G963</f>
        <v>0</v>
      </c>
      <c r="E1074">
        <f>'insurance final cleaned'!E963</f>
        <v>83</v>
      </c>
      <c r="F1074">
        <f>'insurance final cleaned'!L963</f>
        <v>0</v>
      </c>
      <c r="G1074">
        <f>'insurance final cleaned'!M963</f>
        <v>1</v>
      </c>
      <c r="H1074">
        <f>'insurance final cleaned'!N963</f>
        <v>0</v>
      </c>
      <c r="I1074">
        <f>'insurance final cleaned'!O963</f>
        <v>0</v>
      </c>
      <c r="J1074">
        <f>'insurance final cleaned'!P963</f>
        <v>0.79324010131896083</v>
      </c>
      <c r="K1074">
        <f>'insurance final cleaned'!Q963</f>
        <v>0</v>
      </c>
      <c r="L1074">
        <f>'insurance final cleaned'!R963</f>
        <v>0</v>
      </c>
      <c r="M1074">
        <f>'insurance final cleaned'!S963</f>
        <v>1</v>
      </c>
    </row>
    <row r="1075" spans="1:13" x14ac:dyDescent="0.3">
      <c r="A1075">
        <f>'insurance final cleaned'!J779</f>
        <v>11070.54</v>
      </c>
      <c r="B1075">
        <f>'insurance final cleaned'!B779</f>
        <v>53</v>
      </c>
      <c r="C1075">
        <f>'insurance final cleaned'!D779</f>
        <v>25.3</v>
      </c>
      <c r="D1075">
        <f>'insurance final cleaned'!G779</f>
        <v>0</v>
      </c>
      <c r="E1075">
        <f>'insurance final cleaned'!E779</f>
        <v>104</v>
      </c>
      <c r="F1075">
        <f>'insurance final cleaned'!L779</f>
        <v>0</v>
      </c>
      <c r="G1075">
        <f>'insurance final cleaned'!M779</f>
        <v>0</v>
      </c>
      <c r="H1075">
        <f>'insurance final cleaned'!N779</f>
        <v>1</v>
      </c>
      <c r="I1075">
        <f>'insurance final cleaned'!O779</f>
        <v>0</v>
      </c>
      <c r="J1075">
        <f>'insurance final cleaned'!P779</f>
        <v>0.794734858179443</v>
      </c>
      <c r="K1075">
        <f>'insurance final cleaned'!Q779</f>
        <v>0</v>
      </c>
      <c r="L1075">
        <f>'insurance final cleaned'!R779</f>
        <v>1</v>
      </c>
      <c r="M1075">
        <f>'insurance final cleaned'!S779</f>
        <v>1</v>
      </c>
    </row>
    <row r="1076" spans="1:13" x14ac:dyDescent="0.3">
      <c r="A1076">
        <f>'insurance final cleaned'!J1296</f>
        <v>43943.88</v>
      </c>
      <c r="B1076">
        <f>'insurance final cleaned'!B1296</f>
        <v>36</v>
      </c>
      <c r="C1076">
        <f>'insurance final cleaned'!D1296</f>
        <v>30.2</v>
      </c>
      <c r="D1076">
        <f>'insurance final cleaned'!G1296</f>
        <v>1</v>
      </c>
      <c r="E1076">
        <f>'insurance final cleaned'!E1296</f>
        <v>130</v>
      </c>
      <c r="F1076">
        <f>'insurance final cleaned'!L1296</f>
        <v>30.2</v>
      </c>
      <c r="G1076">
        <f>'insurance final cleaned'!M1296</f>
        <v>0</v>
      </c>
      <c r="H1076">
        <f>'insurance final cleaned'!N1296</f>
        <v>0</v>
      </c>
      <c r="I1076">
        <f>'insurance final cleaned'!O1296</f>
        <v>1</v>
      </c>
      <c r="J1076">
        <f>'insurance final cleaned'!P1296</f>
        <v>0.79549543714783399</v>
      </c>
      <c r="K1076">
        <f>'insurance final cleaned'!Q1296</f>
        <v>1</v>
      </c>
      <c r="L1076">
        <f>'insurance final cleaned'!R1296</f>
        <v>0</v>
      </c>
      <c r="M1076">
        <f>'insurance final cleaned'!S1296</f>
        <v>1</v>
      </c>
    </row>
    <row r="1077" spans="1:13" x14ac:dyDescent="0.3">
      <c r="A1077">
        <f>'insurance final cleaned'!J1306</f>
        <v>45710.21</v>
      </c>
      <c r="B1077">
        <f>'insurance final cleaned'!B1306</f>
        <v>42</v>
      </c>
      <c r="C1077">
        <f>'insurance final cleaned'!D1306</f>
        <v>32</v>
      </c>
      <c r="D1077">
        <f>'insurance final cleaned'!G1306</f>
        <v>0</v>
      </c>
      <c r="E1077">
        <f>'insurance final cleaned'!E1306</f>
        <v>83</v>
      </c>
      <c r="F1077">
        <f>'insurance final cleaned'!L1306</f>
        <v>32</v>
      </c>
      <c r="G1077">
        <f>'insurance final cleaned'!M1306</f>
        <v>0</v>
      </c>
      <c r="H1077">
        <f>'insurance final cleaned'!N1306</f>
        <v>0</v>
      </c>
      <c r="I1077">
        <f>'insurance final cleaned'!O1306</f>
        <v>0</v>
      </c>
      <c r="J1077">
        <f>'insurance final cleaned'!P1306</f>
        <v>0.79714984949763712</v>
      </c>
      <c r="K1077">
        <f>'insurance final cleaned'!Q1306</f>
        <v>1</v>
      </c>
      <c r="L1077">
        <f>'insurance final cleaned'!R1306</f>
        <v>1</v>
      </c>
      <c r="M1077">
        <f>'insurance final cleaned'!S1306</f>
        <v>0</v>
      </c>
    </row>
    <row r="1078" spans="1:13" x14ac:dyDescent="0.3">
      <c r="A1078">
        <f>'insurance final cleaned'!J483</f>
        <v>6653.79</v>
      </c>
      <c r="B1078">
        <f>'insurance final cleaned'!B483</f>
        <v>20</v>
      </c>
      <c r="C1078">
        <f>'insurance final cleaned'!D483</f>
        <v>33.4</v>
      </c>
      <c r="D1078">
        <f>'insurance final cleaned'!G483</f>
        <v>5</v>
      </c>
      <c r="E1078">
        <f>'insurance final cleaned'!E483</f>
        <v>89</v>
      </c>
      <c r="F1078">
        <f>'insurance final cleaned'!L483</f>
        <v>0</v>
      </c>
      <c r="G1078">
        <f>'insurance final cleaned'!M483</f>
        <v>1</v>
      </c>
      <c r="H1078">
        <f>'insurance final cleaned'!N483</f>
        <v>0</v>
      </c>
      <c r="I1078">
        <f>'insurance final cleaned'!O483</f>
        <v>0</v>
      </c>
      <c r="J1078">
        <f>'insurance final cleaned'!P483</f>
        <v>0.79773651261170064</v>
      </c>
      <c r="K1078">
        <f>'insurance final cleaned'!Q483</f>
        <v>0</v>
      </c>
      <c r="L1078">
        <f>'insurance final cleaned'!R483</f>
        <v>1</v>
      </c>
      <c r="M1078">
        <f>'insurance final cleaned'!S483</f>
        <v>0</v>
      </c>
    </row>
    <row r="1079" spans="1:13" x14ac:dyDescent="0.3">
      <c r="A1079">
        <f>'insurance final cleaned'!J1082</f>
        <v>20781.490000000002</v>
      </c>
      <c r="B1079">
        <f>'insurance final cleaned'!B1082</f>
        <v>43</v>
      </c>
      <c r="C1079">
        <f>'insurance final cleaned'!D1082</f>
        <v>33</v>
      </c>
      <c r="D1079">
        <f>'insurance final cleaned'!G1082</f>
        <v>0</v>
      </c>
      <c r="E1079">
        <f>'insurance final cleaned'!E1082</f>
        <v>85</v>
      </c>
      <c r="F1079">
        <f>'insurance final cleaned'!L1082</f>
        <v>0</v>
      </c>
      <c r="G1079">
        <f>'insurance final cleaned'!M1082</f>
        <v>1</v>
      </c>
      <c r="H1079">
        <f>'insurance final cleaned'!N1082</f>
        <v>0</v>
      </c>
      <c r="I1079">
        <f>'insurance final cleaned'!O1082</f>
        <v>0</v>
      </c>
      <c r="J1079">
        <f>'insurance final cleaned'!P1082</f>
        <v>0.79791548704405635</v>
      </c>
      <c r="K1079">
        <f>'insurance final cleaned'!Q1082</f>
        <v>0</v>
      </c>
      <c r="L1079">
        <f>'insurance final cleaned'!R1082</f>
        <v>0</v>
      </c>
      <c r="M1079">
        <f>'insurance final cleaned'!S1082</f>
        <v>0</v>
      </c>
    </row>
    <row r="1080" spans="1:13" x14ac:dyDescent="0.3">
      <c r="A1080">
        <f>'insurance final cleaned'!J352</f>
        <v>4883.87</v>
      </c>
      <c r="B1080">
        <f>'insurance final cleaned'!B352</f>
        <v>60</v>
      </c>
      <c r="C1080">
        <f>'insurance final cleaned'!D352</f>
        <v>26.2</v>
      </c>
      <c r="D1080">
        <f>'insurance final cleaned'!G352</f>
        <v>0</v>
      </c>
      <c r="E1080">
        <f>'insurance final cleaned'!E352</f>
        <v>99</v>
      </c>
      <c r="F1080">
        <f>'insurance final cleaned'!L352</f>
        <v>0</v>
      </c>
      <c r="G1080">
        <f>'insurance final cleaned'!M352</f>
        <v>0</v>
      </c>
      <c r="H1080">
        <f>'insurance final cleaned'!N352</f>
        <v>1</v>
      </c>
      <c r="I1080">
        <f>'insurance final cleaned'!O352</f>
        <v>0</v>
      </c>
      <c r="J1080">
        <f>'insurance final cleaned'!P352</f>
        <v>0.79893636150671288</v>
      </c>
      <c r="K1080">
        <f>'insurance final cleaned'!Q352</f>
        <v>0</v>
      </c>
      <c r="L1080">
        <f>'insurance final cleaned'!R352</f>
        <v>0</v>
      </c>
      <c r="M1080">
        <f>'insurance final cleaned'!S352</f>
        <v>1</v>
      </c>
    </row>
    <row r="1081" spans="1:13" x14ac:dyDescent="0.3">
      <c r="A1081">
        <f>'insurance final cleaned'!J111</f>
        <v>2150.4699999999998</v>
      </c>
      <c r="B1081">
        <f>'insurance final cleaned'!B111</f>
        <v>41</v>
      </c>
      <c r="C1081">
        <f>'insurance final cleaned'!D111</f>
        <v>24.3</v>
      </c>
      <c r="D1081">
        <f>'insurance final cleaned'!G111</f>
        <v>0</v>
      </c>
      <c r="E1081">
        <f>'insurance final cleaned'!E111</f>
        <v>91</v>
      </c>
      <c r="F1081">
        <f>'insurance final cleaned'!L111</f>
        <v>0</v>
      </c>
      <c r="G1081">
        <f>'insurance final cleaned'!M111</f>
        <v>0</v>
      </c>
      <c r="H1081">
        <f>'insurance final cleaned'!N111</f>
        <v>1</v>
      </c>
      <c r="I1081">
        <f>'insurance final cleaned'!O111</f>
        <v>0</v>
      </c>
      <c r="J1081">
        <f>'insurance final cleaned'!P111</f>
        <v>0.79948990240476037</v>
      </c>
      <c r="K1081">
        <f>'insurance final cleaned'!Q111</f>
        <v>0</v>
      </c>
      <c r="L1081">
        <f>'insurance final cleaned'!R111</f>
        <v>1</v>
      </c>
      <c r="M1081">
        <f>'insurance final cleaned'!S111</f>
        <v>1</v>
      </c>
    </row>
    <row r="1082" spans="1:13" x14ac:dyDescent="0.3">
      <c r="A1082">
        <f>'insurance final cleaned'!J274</f>
        <v>4032.24</v>
      </c>
      <c r="B1082">
        <f>'insurance final cleaned'!B274</f>
        <v>44</v>
      </c>
      <c r="C1082">
        <f>'insurance final cleaned'!D274</f>
        <v>24.1</v>
      </c>
      <c r="D1082">
        <f>'insurance final cleaned'!G274</f>
        <v>1</v>
      </c>
      <c r="E1082">
        <f>'insurance final cleaned'!E274</f>
        <v>86</v>
      </c>
      <c r="F1082">
        <f>'insurance final cleaned'!L274</f>
        <v>0</v>
      </c>
      <c r="G1082">
        <f>'insurance final cleaned'!M274</f>
        <v>0</v>
      </c>
      <c r="H1082">
        <f>'insurance final cleaned'!N274</f>
        <v>0</v>
      </c>
      <c r="I1082">
        <f>'insurance final cleaned'!O274</f>
        <v>1</v>
      </c>
      <c r="J1082">
        <f>'insurance final cleaned'!P274</f>
        <v>0.80184701639166533</v>
      </c>
      <c r="K1082">
        <f>'insurance final cleaned'!Q274</f>
        <v>0</v>
      </c>
      <c r="L1082">
        <f>'insurance final cleaned'!R274</f>
        <v>0</v>
      </c>
      <c r="M1082">
        <f>'insurance final cleaned'!S274</f>
        <v>0</v>
      </c>
    </row>
    <row r="1083" spans="1:13" x14ac:dyDescent="0.3">
      <c r="A1083">
        <f>'insurance final cleaned'!J230</f>
        <v>3443.06</v>
      </c>
      <c r="B1083">
        <f>'insurance final cleaned'!B230</f>
        <v>40</v>
      </c>
      <c r="C1083">
        <f>'insurance final cleaned'!D230</f>
        <v>34.799999999999997</v>
      </c>
      <c r="D1083">
        <f>'insurance final cleaned'!G230</f>
        <v>3</v>
      </c>
      <c r="E1083">
        <f>'insurance final cleaned'!E230</f>
        <v>81</v>
      </c>
      <c r="F1083">
        <f>'insurance final cleaned'!L230</f>
        <v>0</v>
      </c>
      <c r="G1083">
        <f>'insurance final cleaned'!M230</f>
        <v>0</v>
      </c>
      <c r="H1083">
        <f>'insurance final cleaned'!N230</f>
        <v>1</v>
      </c>
      <c r="I1083">
        <f>'insurance final cleaned'!O230</f>
        <v>0</v>
      </c>
      <c r="J1083">
        <f>'insurance final cleaned'!P230</f>
        <v>0.80234922628082028</v>
      </c>
      <c r="K1083">
        <f>'insurance final cleaned'!Q230</f>
        <v>0</v>
      </c>
      <c r="L1083">
        <f>'insurance final cleaned'!R230</f>
        <v>0</v>
      </c>
      <c r="M1083">
        <f>'insurance final cleaned'!S230</f>
        <v>0</v>
      </c>
    </row>
    <row r="1084" spans="1:13" x14ac:dyDescent="0.3">
      <c r="A1084">
        <f>'insurance final cleaned'!J939</f>
        <v>13747.87</v>
      </c>
      <c r="B1084">
        <f>'insurance final cleaned'!B939</f>
        <v>33</v>
      </c>
      <c r="C1084">
        <f>'insurance final cleaned'!D939</f>
        <v>21.6</v>
      </c>
      <c r="D1084">
        <f>'insurance final cleaned'!G939</f>
        <v>0</v>
      </c>
      <c r="E1084">
        <f>'insurance final cleaned'!E939</f>
        <v>106</v>
      </c>
      <c r="F1084">
        <f>'insurance final cleaned'!L939</f>
        <v>21.6</v>
      </c>
      <c r="G1084">
        <f>'insurance final cleaned'!M939</f>
        <v>0</v>
      </c>
      <c r="H1084">
        <f>'insurance final cleaned'!N939</f>
        <v>0</v>
      </c>
      <c r="I1084">
        <f>'insurance final cleaned'!O939</f>
        <v>0</v>
      </c>
      <c r="J1084">
        <f>'insurance final cleaned'!P939</f>
        <v>0.80577768373692138</v>
      </c>
      <c r="K1084">
        <f>'insurance final cleaned'!Q939</f>
        <v>1</v>
      </c>
      <c r="L1084">
        <f>'insurance final cleaned'!R939</f>
        <v>1</v>
      </c>
      <c r="M1084">
        <f>'insurance final cleaned'!S939</f>
        <v>0</v>
      </c>
    </row>
    <row r="1085" spans="1:13" x14ac:dyDescent="0.3">
      <c r="A1085">
        <f>'insurance final cleaned'!J142</f>
        <v>2416.96</v>
      </c>
      <c r="B1085">
        <f>'insurance final cleaned'!B142</f>
        <v>47</v>
      </c>
      <c r="C1085">
        <f>'insurance final cleaned'!D142</f>
        <v>35.200000000000003</v>
      </c>
      <c r="D1085">
        <f>'insurance final cleaned'!G142</f>
        <v>1</v>
      </c>
      <c r="E1085">
        <f>'insurance final cleaned'!E142</f>
        <v>80</v>
      </c>
      <c r="F1085">
        <f>'insurance final cleaned'!L142</f>
        <v>0</v>
      </c>
      <c r="G1085">
        <f>'insurance final cleaned'!M142</f>
        <v>0</v>
      </c>
      <c r="H1085">
        <f>'insurance final cleaned'!N142</f>
        <v>1</v>
      </c>
      <c r="I1085">
        <f>'insurance final cleaned'!O142</f>
        <v>0</v>
      </c>
      <c r="J1085">
        <f>'insurance final cleaned'!P142</f>
        <v>0.8060976057337218</v>
      </c>
      <c r="K1085">
        <f>'insurance final cleaned'!Q142</f>
        <v>0</v>
      </c>
      <c r="L1085">
        <f>'insurance final cleaned'!R142</f>
        <v>0</v>
      </c>
      <c r="M1085">
        <f>'insurance final cleaned'!S142</f>
        <v>0</v>
      </c>
    </row>
    <row r="1086" spans="1:13" x14ac:dyDescent="0.3">
      <c r="A1086">
        <f>'insurance final cleaned'!J460</f>
        <v>6373.56</v>
      </c>
      <c r="B1086">
        <f>'insurance final cleaned'!B460</f>
        <v>34</v>
      </c>
      <c r="C1086">
        <f>'insurance final cleaned'!D460</f>
        <v>40.6</v>
      </c>
      <c r="D1086">
        <f>'insurance final cleaned'!G460</f>
        <v>1</v>
      </c>
      <c r="E1086">
        <f>'insurance final cleaned'!E460</f>
        <v>98</v>
      </c>
      <c r="F1086">
        <f>'insurance final cleaned'!L460</f>
        <v>0</v>
      </c>
      <c r="G1086">
        <f>'insurance final cleaned'!M460</f>
        <v>0</v>
      </c>
      <c r="H1086">
        <f>'insurance final cleaned'!N460</f>
        <v>0</v>
      </c>
      <c r="I1086">
        <f>'insurance final cleaned'!O460</f>
        <v>1</v>
      </c>
      <c r="J1086">
        <f>'insurance final cleaned'!P460</f>
        <v>0.8071114504515885</v>
      </c>
      <c r="K1086">
        <f>'insurance final cleaned'!Q460</f>
        <v>0</v>
      </c>
      <c r="L1086">
        <f>'insurance final cleaned'!R460</f>
        <v>0</v>
      </c>
      <c r="M1086">
        <f>'insurance final cleaned'!S460</f>
        <v>1</v>
      </c>
    </row>
    <row r="1087" spans="1:13" x14ac:dyDescent="0.3">
      <c r="A1087">
        <f>'insurance final cleaned'!J492</f>
        <v>6775.96</v>
      </c>
      <c r="B1087">
        <f>'insurance final cleaned'!B492</f>
        <v>54</v>
      </c>
      <c r="C1087">
        <f>'insurance final cleaned'!D492</f>
        <v>32.200000000000003</v>
      </c>
      <c r="D1087">
        <f>'insurance final cleaned'!G492</f>
        <v>1</v>
      </c>
      <c r="E1087">
        <f>'insurance final cleaned'!E492</f>
        <v>89</v>
      </c>
      <c r="F1087">
        <f>'insurance final cleaned'!L492</f>
        <v>0</v>
      </c>
      <c r="G1087">
        <f>'insurance final cleaned'!M492</f>
        <v>0</v>
      </c>
      <c r="H1087">
        <f>'insurance final cleaned'!N492</f>
        <v>1</v>
      </c>
      <c r="I1087">
        <f>'insurance final cleaned'!O492</f>
        <v>0</v>
      </c>
      <c r="J1087">
        <f>'insurance final cleaned'!P492</f>
        <v>0.80817497797053151</v>
      </c>
      <c r="K1087">
        <f>'insurance final cleaned'!Q492</f>
        <v>0</v>
      </c>
      <c r="L1087">
        <f>'insurance final cleaned'!R492</f>
        <v>0</v>
      </c>
      <c r="M1087">
        <f>'insurance final cleaned'!S492</f>
        <v>1</v>
      </c>
    </row>
    <row r="1088" spans="1:13" x14ac:dyDescent="0.3">
      <c r="A1088">
        <f>'insurance final cleaned'!J1074</f>
        <v>20277.810000000001</v>
      </c>
      <c r="B1088">
        <f>'insurance final cleaned'!B1074</f>
        <v>20</v>
      </c>
      <c r="C1088">
        <f>'insurance final cleaned'!D1074</f>
        <v>29.6</v>
      </c>
      <c r="D1088">
        <f>'insurance final cleaned'!G1074</f>
        <v>1</v>
      </c>
      <c r="E1088">
        <f>'insurance final cleaned'!E1074</f>
        <v>91</v>
      </c>
      <c r="F1088">
        <f>'insurance final cleaned'!L1074</f>
        <v>0</v>
      </c>
      <c r="G1088">
        <f>'insurance final cleaned'!M1074</f>
        <v>0</v>
      </c>
      <c r="H1088">
        <f>'insurance final cleaned'!N1074</f>
        <v>0</v>
      </c>
      <c r="I1088">
        <f>'insurance final cleaned'!O1074</f>
        <v>0</v>
      </c>
      <c r="J1088">
        <f>'insurance final cleaned'!P1074</f>
        <v>0.808418139606774</v>
      </c>
      <c r="K1088">
        <f>'insurance final cleaned'!Q1074</f>
        <v>0</v>
      </c>
      <c r="L1088">
        <f>'insurance final cleaned'!R1074</f>
        <v>1</v>
      </c>
      <c r="M1088">
        <f>'insurance final cleaned'!S1074</f>
        <v>0</v>
      </c>
    </row>
    <row r="1089" spans="1:13" x14ac:dyDescent="0.3">
      <c r="A1089">
        <f>'insurance final cleaned'!J139</f>
        <v>2395.17</v>
      </c>
      <c r="B1089">
        <f>'insurance final cleaned'!B139</f>
        <v>21</v>
      </c>
      <c r="C1089">
        <f>'insurance final cleaned'!D139</f>
        <v>23.8</v>
      </c>
      <c r="D1089">
        <f>'insurance final cleaned'!G139</f>
        <v>0</v>
      </c>
      <c r="E1089">
        <f>'insurance final cleaned'!E139</f>
        <v>95</v>
      </c>
      <c r="F1089">
        <f>'insurance final cleaned'!L139</f>
        <v>0</v>
      </c>
      <c r="G1089">
        <f>'insurance final cleaned'!M139</f>
        <v>1</v>
      </c>
      <c r="H1089">
        <f>'insurance final cleaned'!N139</f>
        <v>0</v>
      </c>
      <c r="I1089">
        <f>'insurance final cleaned'!O139</f>
        <v>0</v>
      </c>
      <c r="J1089">
        <f>'insurance final cleaned'!P139</f>
        <v>0.80855538455537834</v>
      </c>
      <c r="K1089">
        <f>'insurance final cleaned'!Q139</f>
        <v>0</v>
      </c>
      <c r="L1089">
        <f>'insurance final cleaned'!R139</f>
        <v>1</v>
      </c>
      <c r="M1089">
        <f>'insurance final cleaned'!S139</f>
        <v>0</v>
      </c>
    </row>
    <row r="1090" spans="1:13" x14ac:dyDescent="0.3">
      <c r="A1090">
        <f>'insurance final cleaned'!J1156</f>
        <v>26926.51</v>
      </c>
      <c r="B1090">
        <f>'insurance final cleaned'!B1156</f>
        <v>31</v>
      </c>
      <c r="C1090">
        <f>'insurance final cleaned'!D1156</f>
        <v>23.8</v>
      </c>
      <c r="D1090">
        <f>'insurance final cleaned'!G1156</f>
        <v>0</v>
      </c>
      <c r="E1090">
        <f>'insurance final cleaned'!E1156</f>
        <v>126</v>
      </c>
      <c r="F1090">
        <f>'insurance final cleaned'!L1156</f>
        <v>23.8</v>
      </c>
      <c r="G1090">
        <f>'insurance final cleaned'!M1156</f>
        <v>1</v>
      </c>
      <c r="H1090">
        <f>'insurance final cleaned'!N1156</f>
        <v>0</v>
      </c>
      <c r="I1090">
        <f>'insurance final cleaned'!O1156</f>
        <v>0</v>
      </c>
      <c r="J1090">
        <f>'insurance final cleaned'!P1156</f>
        <v>0.80954666222214466</v>
      </c>
      <c r="K1090">
        <f>'insurance final cleaned'!Q1156</f>
        <v>1</v>
      </c>
      <c r="L1090">
        <f>'insurance final cleaned'!R1156</f>
        <v>1</v>
      </c>
      <c r="M1090">
        <f>'insurance final cleaned'!S1156</f>
        <v>0</v>
      </c>
    </row>
    <row r="1091" spans="1:13" x14ac:dyDescent="0.3">
      <c r="A1091">
        <f>'insurance final cleaned'!J345</f>
        <v>4779.6000000000004</v>
      </c>
      <c r="B1091">
        <f>'insurance final cleaned'!B345</f>
        <v>56</v>
      </c>
      <c r="C1091">
        <f>'insurance final cleaned'!D345</f>
        <v>28.3</v>
      </c>
      <c r="D1091">
        <f>'insurance final cleaned'!G345</f>
        <v>1</v>
      </c>
      <c r="E1091">
        <f>'insurance final cleaned'!E345</f>
        <v>100</v>
      </c>
      <c r="F1091">
        <f>'insurance final cleaned'!L345</f>
        <v>0</v>
      </c>
      <c r="G1091">
        <f>'insurance final cleaned'!M345</f>
        <v>1</v>
      </c>
      <c r="H1091">
        <f>'insurance final cleaned'!N345</f>
        <v>0</v>
      </c>
      <c r="I1091">
        <f>'insurance final cleaned'!O345</f>
        <v>0</v>
      </c>
      <c r="J1091">
        <f>'insurance final cleaned'!P345</f>
        <v>0.81073903394394886</v>
      </c>
      <c r="K1091">
        <f>'insurance final cleaned'!Q345</f>
        <v>0</v>
      </c>
      <c r="L1091">
        <f>'insurance final cleaned'!R345</f>
        <v>1</v>
      </c>
      <c r="M1091">
        <f>'insurance final cleaned'!S345</f>
        <v>1</v>
      </c>
    </row>
    <row r="1092" spans="1:13" x14ac:dyDescent="0.3">
      <c r="A1092">
        <f>'insurance final cleaned'!J1339</f>
        <v>60021.4</v>
      </c>
      <c r="B1092">
        <f>'insurance final cleaned'!B1339</f>
        <v>30</v>
      </c>
      <c r="C1092">
        <f>'insurance final cleaned'!D1339</f>
        <v>34.5</v>
      </c>
      <c r="D1092">
        <f>'insurance final cleaned'!G1339</f>
        <v>3</v>
      </c>
      <c r="E1092">
        <f>'insurance final cleaned'!E1339</f>
        <v>91</v>
      </c>
      <c r="F1092">
        <f>'insurance final cleaned'!L1339</f>
        <v>34.5</v>
      </c>
      <c r="G1092">
        <f>'insurance final cleaned'!M1339</f>
        <v>0</v>
      </c>
      <c r="H1092">
        <f>'insurance final cleaned'!N1339</f>
        <v>0</v>
      </c>
      <c r="I1092">
        <f>'insurance final cleaned'!O1339</f>
        <v>1</v>
      </c>
      <c r="J1092">
        <f>'insurance final cleaned'!P1339</f>
        <v>0.81120721250184002</v>
      </c>
      <c r="K1092">
        <f>'insurance final cleaned'!Q1339</f>
        <v>1</v>
      </c>
      <c r="L1092">
        <f>'insurance final cleaned'!R1339</f>
        <v>1</v>
      </c>
      <c r="M1092">
        <f>'insurance final cleaned'!S1339</f>
        <v>0</v>
      </c>
    </row>
    <row r="1093" spans="1:13" x14ac:dyDescent="0.3">
      <c r="A1093">
        <f>'insurance final cleaned'!J858</f>
        <v>12142.58</v>
      </c>
      <c r="B1093">
        <f>'insurance final cleaned'!B858</f>
        <v>35</v>
      </c>
      <c r="C1093">
        <f>'insurance final cleaned'!D858</f>
        <v>25.7</v>
      </c>
      <c r="D1093">
        <f>'insurance final cleaned'!G858</f>
        <v>0</v>
      </c>
      <c r="E1093">
        <f>'insurance final cleaned'!E858</f>
        <v>90</v>
      </c>
      <c r="F1093">
        <f>'insurance final cleaned'!L858</f>
        <v>0</v>
      </c>
      <c r="G1093">
        <f>'insurance final cleaned'!M858</f>
        <v>1</v>
      </c>
      <c r="H1093">
        <f>'insurance final cleaned'!N858</f>
        <v>0</v>
      </c>
      <c r="I1093">
        <f>'insurance final cleaned'!O858</f>
        <v>0</v>
      </c>
      <c r="J1093">
        <f>'insurance final cleaned'!P858</f>
        <v>0.81184949935381856</v>
      </c>
      <c r="K1093">
        <f>'insurance final cleaned'!Q858</f>
        <v>0</v>
      </c>
      <c r="L1093">
        <f>'insurance final cleaned'!R858</f>
        <v>1</v>
      </c>
      <c r="M1093">
        <f>'insurance final cleaned'!S858</f>
        <v>0</v>
      </c>
    </row>
    <row r="1094" spans="1:13" x14ac:dyDescent="0.3">
      <c r="A1094">
        <f>'insurance final cleaned'!J931</f>
        <v>13462.52</v>
      </c>
      <c r="B1094">
        <f>'insurance final cleaned'!B931</f>
        <v>26</v>
      </c>
      <c r="C1094">
        <f>'insurance final cleaned'!D931</f>
        <v>33.200000000000003</v>
      </c>
      <c r="D1094">
        <f>'insurance final cleaned'!G931</f>
        <v>0</v>
      </c>
      <c r="E1094">
        <f>'insurance final cleaned'!E931</f>
        <v>106</v>
      </c>
      <c r="F1094">
        <f>'insurance final cleaned'!L931</f>
        <v>0</v>
      </c>
      <c r="G1094">
        <f>'insurance final cleaned'!M931</f>
        <v>0</v>
      </c>
      <c r="H1094">
        <f>'insurance final cleaned'!N931</f>
        <v>1</v>
      </c>
      <c r="I1094">
        <f>'insurance final cleaned'!O931</f>
        <v>0</v>
      </c>
      <c r="J1094">
        <f>'insurance final cleaned'!P931</f>
        <v>0.81237987847671445</v>
      </c>
      <c r="K1094">
        <f>'insurance final cleaned'!Q931</f>
        <v>0</v>
      </c>
      <c r="L1094">
        <f>'insurance final cleaned'!R931</f>
        <v>0</v>
      </c>
      <c r="M1094">
        <f>'insurance final cleaned'!S931</f>
        <v>1</v>
      </c>
    </row>
    <row r="1095" spans="1:13" x14ac:dyDescent="0.3">
      <c r="A1095">
        <f>'insurance final cleaned'!J437</f>
        <v>6112.35</v>
      </c>
      <c r="B1095">
        <f>'insurance final cleaned'!B437</f>
        <v>38</v>
      </c>
      <c r="C1095">
        <f>'insurance final cleaned'!D437</f>
        <v>34.1</v>
      </c>
      <c r="D1095">
        <f>'insurance final cleaned'!G437</f>
        <v>1</v>
      </c>
      <c r="E1095">
        <f>'insurance final cleaned'!E437</f>
        <v>93</v>
      </c>
      <c r="F1095">
        <f>'insurance final cleaned'!L437</f>
        <v>0</v>
      </c>
      <c r="G1095">
        <f>'insurance final cleaned'!M437</f>
        <v>0</v>
      </c>
      <c r="H1095">
        <f>'insurance final cleaned'!N437</f>
        <v>0</v>
      </c>
      <c r="I1095">
        <f>'insurance final cleaned'!O437</f>
        <v>1</v>
      </c>
      <c r="J1095">
        <f>'insurance final cleaned'!P437</f>
        <v>0.81276215367249927</v>
      </c>
      <c r="K1095">
        <f>'insurance final cleaned'!Q437</f>
        <v>0</v>
      </c>
      <c r="L1095">
        <f>'insurance final cleaned'!R437</f>
        <v>0</v>
      </c>
      <c r="M1095">
        <f>'insurance final cleaned'!S437</f>
        <v>1</v>
      </c>
    </row>
    <row r="1096" spans="1:13" x14ac:dyDescent="0.3">
      <c r="A1096">
        <f>'insurance final cleaned'!J949</f>
        <v>13937.67</v>
      </c>
      <c r="B1096">
        <f>'insurance final cleaned'!B949</f>
        <v>33</v>
      </c>
      <c r="C1096">
        <f>'insurance final cleaned'!D949</f>
        <v>27.6</v>
      </c>
      <c r="D1096">
        <f>'insurance final cleaned'!G949</f>
        <v>1</v>
      </c>
      <c r="E1096">
        <f>'insurance final cleaned'!E949</f>
        <v>109</v>
      </c>
      <c r="F1096">
        <f>'insurance final cleaned'!L949</f>
        <v>0</v>
      </c>
      <c r="G1096">
        <f>'insurance final cleaned'!M949</f>
        <v>0</v>
      </c>
      <c r="H1096">
        <f>'insurance final cleaned'!N949</f>
        <v>0</v>
      </c>
      <c r="I1096">
        <f>'insurance final cleaned'!O949</f>
        <v>1</v>
      </c>
      <c r="J1096">
        <f>'insurance final cleaned'!P949</f>
        <v>0.81285203661017447</v>
      </c>
      <c r="K1096">
        <f>'insurance final cleaned'!Q949</f>
        <v>0</v>
      </c>
      <c r="L1096">
        <f>'insurance final cleaned'!R949</f>
        <v>0</v>
      </c>
      <c r="M1096">
        <f>'insurance final cleaned'!S949</f>
        <v>0</v>
      </c>
    </row>
    <row r="1097" spans="1:13" x14ac:dyDescent="0.3">
      <c r="A1097">
        <f>'insurance final cleaned'!J271</f>
        <v>3989.84</v>
      </c>
      <c r="B1097">
        <f>'insurance final cleaned'!B271</f>
        <v>49</v>
      </c>
      <c r="C1097">
        <f>'insurance final cleaned'!D271</f>
        <v>41.1</v>
      </c>
      <c r="D1097">
        <f>'insurance final cleaned'!G271</f>
        <v>0</v>
      </c>
      <c r="E1097">
        <f>'insurance final cleaned'!E271</f>
        <v>88</v>
      </c>
      <c r="F1097">
        <f>'insurance final cleaned'!L271</f>
        <v>0</v>
      </c>
      <c r="G1097">
        <f>'insurance final cleaned'!M271</f>
        <v>0</v>
      </c>
      <c r="H1097">
        <f>'insurance final cleaned'!N271</f>
        <v>1</v>
      </c>
      <c r="I1097">
        <f>'insurance final cleaned'!O271</f>
        <v>0</v>
      </c>
      <c r="J1097">
        <f>'insurance final cleaned'!P271</f>
        <v>0.8146012574282484</v>
      </c>
      <c r="K1097">
        <f>'insurance final cleaned'!Q271</f>
        <v>0</v>
      </c>
      <c r="L1097">
        <f>'insurance final cleaned'!R271</f>
        <v>1</v>
      </c>
      <c r="M1097">
        <f>'insurance final cleaned'!S271</f>
        <v>1</v>
      </c>
    </row>
    <row r="1098" spans="1:13" x14ac:dyDescent="0.3">
      <c r="A1098">
        <f>'insurance final cleaned'!J196</f>
        <v>3046.06</v>
      </c>
      <c r="B1098">
        <f>'insurance final cleaned'!B196</f>
        <v>57</v>
      </c>
      <c r="C1098">
        <f>'insurance final cleaned'!D196</f>
        <v>26.6</v>
      </c>
      <c r="D1098">
        <f>'insurance final cleaned'!G196</f>
        <v>0</v>
      </c>
      <c r="E1098">
        <f>'insurance final cleaned'!E196</f>
        <v>83</v>
      </c>
      <c r="F1098">
        <f>'insurance final cleaned'!L196</f>
        <v>0</v>
      </c>
      <c r="G1098">
        <f>'insurance final cleaned'!M196</f>
        <v>0</v>
      </c>
      <c r="H1098">
        <f>'insurance final cleaned'!N196</f>
        <v>0</v>
      </c>
      <c r="I1098">
        <f>'insurance final cleaned'!O196</f>
        <v>0</v>
      </c>
      <c r="J1098">
        <f>'insurance final cleaned'!P196</f>
        <v>0.81714661952574175</v>
      </c>
      <c r="K1098">
        <f>'insurance final cleaned'!Q196</f>
        <v>0</v>
      </c>
      <c r="L1098">
        <f>'insurance final cleaned'!R196</f>
        <v>0</v>
      </c>
      <c r="M1098">
        <f>'insurance final cleaned'!S196</f>
        <v>1</v>
      </c>
    </row>
    <row r="1099" spans="1:13" x14ac:dyDescent="0.3">
      <c r="A1099">
        <f>'insurance final cleaned'!J276</f>
        <v>4058.12</v>
      </c>
      <c r="B1099">
        <f>'insurance final cleaned'!B276</f>
        <v>24</v>
      </c>
      <c r="C1099">
        <f>'insurance final cleaned'!D276</f>
        <v>37.299999999999997</v>
      </c>
      <c r="D1099">
        <f>'insurance final cleaned'!G276</f>
        <v>2</v>
      </c>
      <c r="E1099">
        <f>'insurance final cleaned'!E276</f>
        <v>99</v>
      </c>
      <c r="F1099">
        <f>'insurance final cleaned'!L276</f>
        <v>0</v>
      </c>
      <c r="G1099">
        <f>'insurance final cleaned'!M276</f>
        <v>1</v>
      </c>
      <c r="H1099">
        <f>'insurance final cleaned'!N276</f>
        <v>0</v>
      </c>
      <c r="I1099">
        <f>'insurance final cleaned'!O276</f>
        <v>0</v>
      </c>
      <c r="J1099">
        <f>'insurance final cleaned'!P276</f>
        <v>0.81822610429284248</v>
      </c>
      <c r="K1099">
        <f>'insurance final cleaned'!Q276</f>
        <v>0</v>
      </c>
      <c r="L1099">
        <f>'insurance final cleaned'!R276</f>
        <v>1</v>
      </c>
      <c r="M1099">
        <f>'insurance final cleaned'!S276</f>
        <v>0</v>
      </c>
    </row>
    <row r="1100" spans="1:13" x14ac:dyDescent="0.3">
      <c r="A1100">
        <f>'insurance final cleaned'!J468</f>
        <v>6457.84</v>
      </c>
      <c r="B1100">
        <f>'insurance final cleaned'!B468</f>
        <v>24</v>
      </c>
      <c r="C1100">
        <f>'insurance final cleaned'!D468</f>
        <v>29.3</v>
      </c>
      <c r="D1100">
        <f>'insurance final cleaned'!G468</f>
        <v>2</v>
      </c>
      <c r="E1100">
        <f>'insurance final cleaned'!E468</f>
        <v>93</v>
      </c>
      <c r="F1100">
        <f>'insurance final cleaned'!L468</f>
        <v>0</v>
      </c>
      <c r="G1100">
        <f>'insurance final cleaned'!M468</f>
        <v>0</v>
      </c>
      <c r="H1100">
        <f>'insurance final cleaned'!N468</f>
        <v>0</v>
      </c>
      <c r="I1100">
        <f>'insurance final cleaned'!O468</f>
        <v>1</v>
      </c>
      <c r="J1100">
        <f>'insurance final cleaned'!P468</f>
        <v>0.81863376619388128</v>
      </c>
      <c r="K1100">
        <f>'insurance final cleaned'!Q468</f>
        <v>0</v>
      </c>
      <c r="L1100">
        <f>'insurance final cleaned'!R468</f>
        <v>0</v>
      </c>
      <c r="M1100">
        <f>'insurance final cleaned'!S468</f>
        <v>0</v>
      </c>
    </row>
    <row r="1101" spans="1:13" x14ac:dyDescent="0.3">
      <c r="A1101">
        <f>'insurance final cleaned'!J795</f>
        <v>11299.34</v>
      </c>
      <c r="B1101">
        <f>'insurance final cleaned'!B795</f>
        <v>37</v>
      </c>
      <c r="C1101">
        <f>'insurance final cleaned'!D795</f>
        <v>33.700000000000003</v>
      </c>
      <c r="D1101">
        <f>'insurance final cleaned'!G795</f>
        <v>4</v>
      </c>
      <c r="E1101">
        <f>'insurance final cleaned'!E795</f>
        <v>91</v>
      </c>
      <c r="F1101">
        <f>'insurance final cleaned'!L795</f>
        <v>0</v>
      </c>
      <c r="G1101">
        <f>'insurance final cleaned'!M795</f>
        <v>0</v>
      </c>
      <c r="H1101">
        <f>'insurance final cleaned'!N795</f>
        <v>1</v>
      </c>
      <c r="I1101">
        <f>'insurance final cleaned'!O795</f>
        <v>0</v>
      </c>
      <c r="J1101">
        <f>'insurance final cleaned'!P795</f>
        <v>0.81988693077844488</v>
      </c>
      <c r="K1101">
        <f>'insurance final cleaned'!Q795</f>
        <v>0</v>
      </c>
      <c r="L1101">
        <f>'insurance final cleaned'!R795</f>
        <v>1</v>
      </c>
      <c r="M1101">
        <f>'insurance final cleaned'!S795</f>
        <v>1</v>
      </c>
    </row>
    <row r="1102" spans="1:13" x14ac:dyDescent="0.3">
      <c r="A1102">
        <f>'insurance final cleaned'!J1099</f>
        <v>21797</v>
      </c>
      <c r="B1102">
        <f>'insurance final cleaned'!B1099</f>
        <v>39</v>
      </c>
      <c r="C1102">
        <f>'insurance final cleaned'!D1099</f>
        <v>37.4</v>
      </c>
      <c r="D1102">
        <f>'insurance final cleaned'!G1099</f>
        <v>0</v>
      </c>
      <c r="E1102">
        <f>'insurance final cleaned'!E1099</f>
        <v>99</v>
      </c>
      <c r="F1102">
        <f>'insurance final cleaned'!L1099</f>
        <v>0</v>
      </c>
      <c r="G1102">
        <f>'insurance final cleaned'!M1099</f>
        <v>0</v>
      </c>
      <c r="H1102">
        <f>'insurance final cleaned'!N1099</f>
        <v>1</v>
      </c>
      <c r="I1102">
        <f>'insurance final cleaned'!O1099</f>
        <v>0</v>
      </c>
      <c r="J1102">
        <f>'insurance final cleaned'!P1099</f>
        <v>0.82021287557938805</v>
      </c>
      <c r="K1102">
        <f>'insurance final cleaned'!Q1099</f>
        <v>0</v>
      </c>
      <c r="L1102">
        <f>'insurance final cleaned'!R1099</f>
        <v>1</v>
      </c>
      <c r="M1102">
        <f>'insurance final cleaned'!S1099</f>
        <v>0</v>
      </c>
    </row>
    <row r="1103" spans="1:13" x14ac:dyDescent="0.3">
      <c r="A1103">
        <f>'insurance final cleaned'!J571</f>
        <v>7954.52</v>
      </c>
      <c r="B1103">
        <f>'insurance final cleaned'!B571</f>
        <v>49</v>
      </c>
      <c r="C1103">
        <f>'insurance final cleaned'!D571</f>
        <v>32.6</v>
      </c>
      <c r="D1103">
        <f>'insurance final cleaned'!G571</f>
        <v>3</v>
      </c>
      <c r="E1103">
        <f>'insurance final cleaned'!E571</f>
        <v>97</v>
      </c>
      <c r="F1103">
        <f>'insurance final cleaned'!L571</f>
        <v>0</v>
      </c>
      <c r="G1103">
        <f>'insurance final cleaned'!M571</f>
        <v>0</v>
      </c>
      <c r="H1103">
        <f>'insurance final cleaned'!N571</f>
        <v>1</v>
      </c>
      <c r="I1103">
        <f>'insurance final cleaned'!O571</f>
        <v>0</v>
      </c>
      <c r="J1103">
        <f>'insurance final cleaned'!P571</f>
        <v>0.82162293017781163</v>
      </c>
      <c r="K1103">
        <f>'insurance final cleaned'!Q571</f>
        <v>0</v>
      </c>
      <c r="L1103">
        <f>'insurance final cleaned'!R571</f>
        <v>0</v>
      </c>
      <c r="M1103">
        <f>'insurance final cleaned'!S571</f>
        <v>1</v>
      </c>
    </row>
    <row r="1104" spans="1:13" x14ac:dyDescent="0.3">
      <c r="A1104">
        <f>'insurance final cleaned'!J423</f>
        <v>5920.1</v>
      </c>
      <c r="B1104">
        <f>'insurance final cleaned'!B423</f>
        <v>51</v>
      </c>
      <c r="C1104">
        <f>'insurance final cleaned'!D423</f>
        <v>36.200000000000003</v>
      </c>
      <c r="D1104">
        <f>'insurance final cleaned'!G423</f>
        <v>0</v>
      </c>
      <c r="E1104">
        <f>'insurance final cleaned'!E423</f>
        <v>90</v>
      </c>
      <c r="F1104">
        <f>'insurance final cleaned'!L423</f>
        <v>0</v>
      </c>
      <c r="G1104">
        <f>'insurance final cleaned'!M423</f>
        <v>1</v>
      </c>
      <c r="H1104">
        <f>'insurance final cleaned'!N423</f>
        <v>0</v>
      </c>
      <c r="I1104">
        <f>'insurance final cleaned'!O423</f>
        <v>0</v>
      </c>
      <c r="J1104">
        <f>'insurance final cleaned'!P423</f>
        <v>0.82242060389062177</v>
      </c>
      <c r="K1104">
        <f>'insurance final cleaned'!Q423</f>
        <v>0</v>
      </c>
      <c r="L1104">
        <f>'insurance final cleaned'!R423</f>
        <v>1</v>
      </c>
      <c r="M1104">
        <f>'insurance final cleaned'!S423</f>
        <v>1</v>
      </c>
    </row>
    <row r="1105" spans="1:13" x14ac:dyDescent="0.3">
      <c r="A1105">
        <f>'insurance final cleaned'!J1183</f>
        <v>30260</v>
      </c>
      <c r="B1105">
        <f>'insurance final cleaned'!B1183</f>
        <v>32</v>
      </c>
      <c r="C1105">
        <f>'insurance final cleaned'!D1183</f>
        <v>28.6</v>
      </c>
      <c r="D1105">
        <f>'insurance final cleaned'!G1183</f>
        <v>0</v>
      </c>
      <c r="E1105">
        <f>'insurance final cleaned'!E1183</f>
        <v>132</v>
      </c>
      <c r="F1105">
        <f>'insurance final cleaned'!L1183</f>
        <v>0</v>
      </c>
      <c r="G1105">
        <f>'insurance final cleaned'!M1183</f>
        <v>0</v>
      </c>
      <c r="H1105">
        <f>'insurance final cleaned'!N1183</f>
        <v>0</v>
      </c>
      <c r="I1105">
        <f>'insurance final cleaned'!O1183</f>
        <v>0</v>
      </c>
      <c r="J1105">
        <f>'insurance final cleaned'!P1183</f>
        <v>0.82271171129191023</v>
      </c>
      <c r="K1105">
        <f>'insurance final cleaned'!Q1183</f>
        <v>0</v>
      </c>
      <c r="L1105">
        <f>'insurance final cleaned'!R1183</f>
        <v>0</v>
      </c>
      <c r="M1105">
        <f>'insurance final cleaned'!S1183</f>
        <v>0</v>
      </c>
    </row>
    <row r="1106" spans="1:13" x14ac:dyDescent="0.3">
      <c r="A1106">
        <f>'insurance final cleaned'!J1252</f>
        <v>39241.440000000002</v>
      </c>
      <c r="B1106">
        <f>'insurance final cleaned'!B1252</f>
        <v>42</v>
      </c>
      <c r="C1106">
        <f>'insurance final cleaned'!D1252</f>
        <v>37.799999999999997</v>
      </c>
      <c r="D1106">
        <f>'insurance final cleaned'!G1252</f>
        <v>2</v>
      </c>
      <c r="E1106">
        <f>'insurance final cleaned'!E1252</f>
        <v>106</v>
      </c>
      <c r="F1106">
        <f>'insurance final cleaned'!L1252</f>
        <v>37.799999999999997</v>
      </c>
      <c r="G1106">
        <f>'insurance final cleaned'!M1252</f>
        <v>0</v>
      </c>
      <c r="H1106">
        <f>'insurance final cleaned'!N1252</f>
        <v>1</v>
      </c>
      <c r="I1106">
        <f>'insurance final cleaned'!O1252</f>
        <v>0</v>
      </c>
      <c r="J1106">
        <f>'insurance final cleaned'!P1252</f>
        <v>0.82396403556484143</v>
      </c>
      <c r="K1106">
        <f>'insurance final cleaned'!Q1252</f>
        <v>1</v>
      </c>
      <c r="L1106">
        <f>'insurance final cleaned'!R1252</f>
        <v>0</v>
      </c>
      <c r="M1106">
        <f>'insurance final cleaned'!S1252</f>
        <v>0</v>
      </c>
    </row>
    <row r="1107" spans="1:13" x14ac:dyDescent="0.3">
      <c r="A1107">
        <f>'insurance final cleaned'!J1027</f>
        <v>17929.3</v>
      </c>
      <c r="B1107">
        <f>'insurance final cleaned'!B1027</f>
        <v>59</v>
      </c>
      <c r="C1107">
        <f>'insurance final cleaned'!D1027</f>
        <v>31.8</v>
      </c>
      <c r="D1107">
        <f>'insurance final cleaned'!G1027</f>
        <v>0</v>
      </c>
      <c r="E1107">
        <f>'insurance final cleaned'!E1027</f>
        <v>103</v>
      </c>
      <c r="F1107">
        <f>'insurance final cleaned'!L1027</f>
        <v>0</v>
      </c>
      <c r="G1107">
        <f>'insurance final cleaned'!M1027</f>
        <v>1</v>
      </c>
      <c r="H1107">
        <f>'insurance final cleaned'!N1027</f>
        <v>0</v>
      </c>
      <c r="I1107">
        <f>'insurance final cleaned'!O1027</f>
        <v>0</v>
      </c>
      <c r="J1107">
        <f>'insurance final cleaned'!P1027</f>
        <v>0.82410046535373094</v>
      </c>
      <c r="K1107">
        <f>'insurance final cleaned'!Q1027</f>
        <v>0</v>
      </c>
      <c r="L1107">
        <f>'insurance final cleaned'!R1027</f>
        <v>1</v>
      </c>
      <c r="M1107">
        <f>'insurance final cleaned'!S1027</f>
        <v>1</v>
      </c>
    </row>
    <row r="1108" spans="1:13" x14ac:dyDescent="0.3">
      <c r="A1108">
        <f>'insurance final cleaned'!J1007</f>
        <v>16657.72</v>
      </c>
      <c r="B1108">
        <f>'insurance final cleaned'!B1007</f>
        <v>56</v>
      </c>
      <c r="C1108">
        <f>'insurance final cleaned'!D1007</f>
        <v>21.8</v>
      </c>
      <c r="D1108">
        <f>'insurance final cleaned'!G1007</f>
        <v>1</v>
      </c>
      <c r="E1108">
        <f>'insurance final cleaned'!E1007</f>
        <v>105</v>
      </c>
      <c r="F1108">
        <f>'insurance final cleaned'!L1007</f>
        <v>21.8</v>
      </c>
      <c r="G1108">
        <f>'insurance final cleaned'!M1007</f>
        <v>0</v>
      </c>
      <c r="H1108">
        <f>'insurance final cleaned'!N1007</f>
        <v>0</v>
      </c>
      <c r="I1108">
        <f>'insurance final cleaned'!O1007</f>
        <v>0</v>
      </c>
      <c r="J1108">
        <f>'insurance final cleaned'!P1007</f>
        <v>0.82497971090388478</v>
      </c>
      <c r="K1108">
        <f>'insurance final cleaned'!Q1007</f>
        <v>1</v>
      </c>
      <c r="L1108">
        <f>'insurance final cleaned'!R1007</f>
        <v>0</v>
      </c>
      <c r="M1108">
        <f>'insurance final cleaned'!S1007</f>
        <v>1</v>
      </c>
    </row>
    <row r="1109" spans="1:13" x14ac:dyDescent="0.3">
      <c r="A1109">
        <f>'insurance final cleaned'!J1323</f>
        <v>47496.49</v>
      </c>
      <c r="B1109">
        <f>'insurance final cleaned'!B1323</f>
        <v>26</v>
      </c>
      <c r="C1109">
        <f>'insurance final cleaned'!D1323</f>
        <v>37</v>
      </c>
      <c r="D1109">
        <f>'insurance final cleaned'!G1323</f>
        <v>2</v>
      </c>
      <c r="E1109">
        <f>'insurance final cleaned'!E1323</f>
        <v>81</v>
      </c>
      <c r="F1109">
        <f>'insurance final cleaned'!L1323</f>
        <v>37</v>
      </c>
      <c r="G1109">
        <f>'insurance final cleaned'!M1323</f>
        <v>0</v>
      </c>
      <c r="H1109">
        <f>'insurance final cleaned'!N1323</f>
        <v>0</v>
      </c>
      <c r="I1109">
        <f>'insurance final cleaned'!O1323</f>
        <v>1</v>
      </c>
      <c r="J1109">
        <f>'insurance final cleaned'!P1323</f>
        <v>0.82600924704245726</v>
      </c>
      <c r="K1109">
        <f>'insurance final cleaned'!Q1323</f>
        <v>1</v>
      </c>
      <c r="L1109">
        <f>'insurance final cleaned'!R1323</f>
        <v>0</v>
      </c>
      <c r="M1109">
        <f>'insurance final cleaned'!S1323</f>
        <v>0</v>
      </c>
    </row>
    <row r="1110" spans="1:13" x14ac:dyDescent="0.3">
      <c r="A1110">
        <f>'insurance final cleaned'!J1112</f>
        <v>23045.57</v>
      </c>
      <c r="B1110">
        <f>'insurance final cleaned'!B1112</f>
        <v>57</v>
      </c>
      <c r="C1110">
        <f>'insurance final cleaned'!D1112</f>
        <v>30.9</v>
      </c>
      <c r="D1110">
        <f>'insurance final cleaned'!G1112</f>
        <v>0</v>
      </c>
      <c r="E1110">
        <f>'insurance final cleaned'!E1112</f>
        <v>83</v>
      </c>
      <c r="F1110">
        <f>'insurance final cleaned'!L1112</f>
        <v>0</v>
      </c>
      <c r="G1110">
        <f>'insurance final cleaned'!M1112</f>
        <v>0</v>
      </c>
      <c r="H1110">
        <f>'insurance final cleaned'!N1112</f>
        <v>0</v>
      </c>
      <c r="I1110">
        <f>'insurance final cleaned'!O1112</f>
        <v>0</v>
      </c>
      <c r="J1110">
        <f>'insurance final cleaned'!P1112</f>
        <v>0.82711116826526643</v>
      </c>
      <c r="K1110">
        <f>'insurance final cleaned'!Q1112</f>
        <v>0</v>
      </c>
      <c r="L1110">
        <f>'insurance final cleaned'!R1112</f>
        <v>0</v>
      </c>
      <c r="M1110">
        <f>'insurance final cleaned'!S1112</f>
        <v>1</v>
      </c>
    </row>
    <row r="1111" spans="1:13" x14ac:dyDescent="0.3">
      <c r="A1111">
        <f>'insurance final cleaned'!J747</f>
        <v>10577.09</v>
      </c>
      <c r="B1111">
        <f>'insurance final cleaned'!B747</f>
        <v>40</v>
      </c>
      <c r="C1111">
        <f>'insurance final cleaned'!D747</f>
        <v>22.1</v>
      </c>
      <c r="D1111">
        <f>'insurance final cleaned'!G747</f>
        <v>0</v>
      </c>
      <c r="E1111">
        <f>'insurance final cleaned'!E747</f>
        <v>83</v>
      </c>
      <c r="F1111">
        <f>'insurance final cleaned'!L747</f>
        <v>0</v>
      </c>
      <c r="G1111">
        <f>'insurance final cleaned'!M747</f>
        <v>0</v>
      </c>
      <c r="H1111">
        <f>'insurance final cleaned'!N747</f>
        <v>1</v>
      </c>
      <c r="I1111">
        <f>'insurance final cleaned'!O747</f>
        <v>0</v>
      </c>
      <c r="J1111">
        <f>'insurance final cleaned'!P747</f>
        <v>0.82730958714325809</v>
      </c>
      <c r="K1111">
        <f>'insurance final cleaned'!Q747</f>
        <v>0</v>
      </c>
      <c r="L1111">
        <f>'insurance final cleaned'!R747</f>
        <v>1</v>
      </c>
      <c r="M1111">
        <f>'insurance final cleaned'!S747</f>
        <v>0</v>
      </c>
    </row>
    <row r="1112" spans="1:13" x14ac:dyDescent="0.3">
      <c r="A1112">
        <f>'insurance final cleaned'!J1101</f>
        <v>21978.68</v>
      </c>
      <c r="B1112">
        <f>'insurance final cleaned'!B1101</f>
        <v>48</v>
      </c>
      <c r="C1112">
        <f>'insurance final cleaned'!D1101</f>
        <v>25.4</v>
      </c>
      <c r="D1112">
        <f>'insurance final cleaned'!G1101</f>
        <v>1</v>
      </c>
      <c r="E1112">
        <f>'insurance final cleaned'!E1101</f>
        <v>99</v>
      </c>
      <c r="F1112">
        <f>'insurance final cleaned'!L1101</f>
        <v>25.4</v>
      </c>
      <c r="G1112">
        <f>'insurance final cleaned'!M1101</f>
        <v>1</v>
      </c>
      <c r="H1112">
        <f>'insurance final cleaned'!N1101</f>
        <v>0</v>
      </c>
      <c r="I1112">
        <f>'insurance final cleaned'!O1101</f>
        <v>0</v>
      </c>
      <c r="J1112">
        <f>'insurance final cleaned'!P1101</f>
        <v>0.82766521997873654</v>
      </c>
      <c r="K1112">
        <f>'insurance final cleaned'!Q1101</f>
        <v>1</v>
      </c>
      <c r="L1112">
        <f>'insurance final cleaned'!R1101</f>
        <v>0</v>
      </c>
      <c r="M1112">
        <f>'insurance final cleaned'!S1101</f>
        <v>0</v>
      </c>
    </row>
    <row r="1113" spans="1:13" x14ac:dyDescent="0.3">
      <c r="A1113">
        <f>'insurance final cleaned'!J1215</f>
        <v>36021.01</v>
      </c>
      <c r="B1113">
        <f>'insurance final cleaned'!B1215</f>
        <v>30</v>
      </c>
      <c r="C1113">
        <f>'insurance final cleaned'!D1215</f>
        <v>32.799999999999997</v>
      </c>
      <c r="D1113">
        <f>'insurance final cleaned'!G1215</f>
        <v>2</v>
      </c>
      <c r="E1113">
        <f>'insurance final cleaned'!E1215</f>
        <v>98</v>
      </c>
      <c r="F1113">
        <f>'insurance final cleaned'!L1215</f>
        <v>32.799999999999997</v>
      </c>
      <c r="G1113">
        <f>'insurance final cleaned'!M1215</f>
        <v>1</v>
      </c>
      <c r="H1113">
        <f>'insurance final cleaned'!N1215</f>
        <v>0</v>
      </c>
      <c r="I1113">
        <f>'insurance final cleaned'!O1215</f>
        <v>0</v>
      </c>
      <c r="J1113">
        <f>'insurance final cleaned'!P1215</f>
        <v>0.82847207551094826</v>
      </c>
      <c r="K1113">
        <f>'insurance final cleaned'!Q1215</f>
        <v>1</v>
      </c>
      <c r="L1113">
        <f>'insurance final cleaned'!R1215</f>
        <v>0</v>
      </c>
      <c r="M1113">
        <f>'insurance final cleaned'!S1215</f>
        <v>1</v>
      </c>
    </row>
    <row r="1114" spans="1:13" x14ac:dyDescent="0.3">
      <c r="A1114">
        <f>'insurance final cleaned'!J362</f>
        <v>4992.38</v>
      </c>
      <c r="B1114">
        <f>'insurance final cleaned'!B362</f>
        <v>29</v>
      </c>
      <c r="C1114">
        <f>'insurance final cleaned'!D362</f>
        <v>23.6</v>
      </c>
      <c r="D1114">
        <f>'insurance final cleaned'!G362</f>
        <v>0</v>
      </c>
      <c r="E1114">
        <f>'insurance final cleaned'!E362</f>
        <v>87</v>
      </c>
      <c r="F1114">
        <f>'insurance final cleaned'!L362</f>
        <v>0</v>
      </c>
      <c r="G1114">
        <f>'insurance final cleaned'!M362</f>
        <v>1</v>
      </c>
      <c r="H1114">
        <f>'insurance final cleaned'!N362</f>
        <v>0</v>
      </c>
      <c r="I1114">
        <f>'insurance final cleaned'!O362</f>
        <v>0</v>
      </c>
      <c r="J1114">
        <f>'insurance final cleaned'!P362</f>
        <v>0.82895740317714572</v>
      </c>
      <c r="K1114">
        <f>'insurance final cleaned'!Q362</f>
        <v>0</v>
      </c>
      <c r="L1114">
        <f>'insurance final cleaned'!R362</f>
        <v>1</v>
      </c>
      <c r="M1114">
        <f>'insurance final cleaned'!S362</f>
        <v>1</v>
      </c>
    </row>
    <row r="1115" spans="1:13" x14ac:dyDescent="0.3">
      <c r="A1115">
        <f>'insurance final cleaned'!J676</f>
        <v>9414.92</v>
      </c>
      <c r="B1115">
        <f>'insurance final cleaned'!B676</f>
        <v>58</v>
      </c>
      <c r="C1115">
        <f>'insurance final cleaned'!D676</f>
        <v>30.8</v>
      </c>
      <c r="D1115">
        <f>'insurance final cleaned'!G676</f>
        <v>3</v>
      </c>
      <c r="E1115">
        <f>'insurance final cleaned'!E676</f>
        <v>93</v>
      </c>
      <c r="F1115">
        <f>'insurance final cleaned'!L676</f>
        <v>0</v>
      </c>
      <c r="G1115">
        <f>'insurance final cleaned'!M676</f>
        <v>0</v>
      </c>
      <c r="H1115">
        <f>'insurance final cleaned'!N676</f>
        <v>1</v>
      </c>
      <c r="I1115">
        <f>'insurance final cleaned'!O676</f>
        <v>0</v>
      </c>
      <c r="J1115">
        <f>'insurance final cleaned'!P676</f>
        <v>0.82965324948588337</v>
      </c>
      <c r="K1115">
        <f>'insurance final cleaned'!Q676</f>
        <v>0</v>
      </c>
      <c r="L1115">
        <f>'insurance final cleaned'!R676</f>
        <v>0</v>
      </c>
      <c r="M1115">
        <f>'insurance final cleaned'!S676</f>
        <v>1</v>
      </c>
    </row>
    <row r="1116" spans="1:13" x14ac:dyDescent="0.3">
      <c r="A1116">
        <f>'insurance final cleaned'!J1337</f>
        <v>55135.4</v>
      </c>
      <c r="B1116">
        <f>'insurance final cleaned'!B1337</f>
        <v>44</v>
      </c>
      <c r="C1116">
        <f>'insurance final cleaned'!D1337</f>
        <v>35.5</v>
      </c>
      <c r="D1116">
        <f>'insurance final cleaned'!G1337</f>
        <v>0</v>
      </c>
      <c r="E1116">
        <f>'insurance final cleaned'!E1337</f>
        <v>88</v>
      </c>
      <c r="F1116">
        <f>'insurance final cleaned'!L1337</f>
        <v>35.5</v>
      </c>
      <c r="G1116">
        <f>'insurance final cleaned'!M1337</f>
        <v>0</v>
      </c>
      <c r="H1116">
        <f>'insurance final cleaned'!N1337</f>
        <v>0</v>
      </c>
      <c r="I1116">
        <f>'insurance final cleaned'!O1337</f>
        <v>1</v>
      </c>
      <c r="J1116">
        <f>'insurance final cleaned'!P1337</f>
        <v>0.82992949632847557</v>
      </c>
      <c r="K1116">
        <f>'insurance final cleaned'!Q1337</f>
        <v>1</v>
      </c>
      <c r="L1116">
        <f>'insurance final cleaned'!R1337</f>
        <v>1</v>
      </c>
      <c r="M1116">
        <f>'insurance final cleaned'!S1337</f>
        <v>1</v>
      </c>
    </row>
    <row r="1117" spans="1:13" x14ac:dyDescent="0.3">
      <c r="A1117">
        <f>'insurance final cleaned'!J200</f>
        <v>1704.57</v>
      </c>
      <c r="B1117">
        <f>'insurance final cleaned'!B200</f>
        <v>25</v>
      </c>
      <c r="C1117">
        <f>'insurance final cleaned'!D200</f>
        <v>23</v>
      </c>
      <c r="D1117">
        <f>'insurance final cleaned'!G200</f>
        <v>0</v>
      </c>
      <c r="E1117">
        <f>'insurance final cleaned'!E200</f>
        <v>81</v>
      </c>
      <c r="F1117">
        <f>'insurance final cleaned'!L200</f>
        <v>0</v>
      </c>
      <c r="G1117">
        <f>'insurance final cleaned'!M200</f>
        <v>0</v>
      </c>
      <c r="H1117">
        <f>'insurance final cleaned'!N200</f>
        <v>0</v>
      </c>
      <c r="I1117">
        <f>'insurance final cleaned'!O200</f>
        <v>0</v>
      </c>
      <c r="J1117">
        <f>'insurance final cleaned'!P200</f>
        <v>0.83006041599244851</v>
      </c>
      <c r="K1117">
        <f>'insurance final cleaned'!Q200</f>
        <v>0</v>
      </c>
      <c r="L1117">
        <f>'insurance final cleaned'!R200</f>
        <v>1</v>
      </c>
      <c r="M1117">
        <f>'insurance final cleaned'!S200</f>
        <v>0</v>
      </c>
    </row>
    <row r="1118" spans="1:13" x14ac:dyDescent="0.3">
      <c r="A1118">
        <f>'insurance final cleaned'!J13</f>
        <v>1242.26</v>
      </c>
      <c r="B1118">
        <f>'insurance final cleaned'!B13</f>
        <v>37</v>
      </c>
      <c r="C1118">
        <f>'insurance final cleaned'!D13</f>
        <v>20.3</v>
      </c>
      <c r="D1118">
        <f>'insurance final cleaned'!G13</f>
        <v>0</v>
      </c>
      <c r="E1118">
        <f>'insurance final cleaned'!E13</f>
        <v>90</v>
      </c>
      <c r="F1118">
        <f>'insurance final cleaned'!L13</f>
        <v>0</v>
      </c>
      <c r="G1118">
        <f>'insurance final cleaned'!M13</f>
        <v>0</v>
      </c>
      <c r="H1118">
        <f>'insurance final cleaned'!N13</f>
        <v>0</v>
      </c>
      <c r="I1118">
        <f>'insurance final cleaned'!O13</f>
        <v>1</v>
      </c>
      <c r="J1118">
        <f>'insurance final cleaned'!P13</f>
        <v>0.83110142427607847</v>
      </c>
      <c r="K1118">
        <f>'insurance final cleaned'!Q13</f>
        <v>0</v>
      </c>
      <c r="L1118">
        <f>'insurance final cleaned'!R13</f>
        <v>1</v>
      </c>
      <c r="M1118">
        <f>'insurance final cleaned'!S13</f>
        <v>0</v>
      </c>
    </row>
    <row r="1119" spans="1:13" x14ac:dyDescent="0.3">
      <c r="A1119">
        <f>'insurance final cleaned'!J330</f>
        <v>4667.6099999999997</v>
      </c>
      <c r="B1119">
        <f>'insurance final cleaned'!B330</f>
        <v>26</v>
      </c>
      <c r="C1119">
        <f>'insurance final cleaned'!D330</f>
        <v>37.299999999999997</v>
      </c>
      <c r="D1119">
        <f>'insurance final cleaned'!G330</f>
        <v>1</v>
      </c>
      <c r="E1119">
        <f>'insurance final cleaned'!E330</f>
        <v>86</v>
      </c>
      <c r="F1119">
        <f>'insurance final cleaned'!L330</f>
        <v>0</v>
      </c>
      <c r="G1119">
        <f>'insurance final cleaned'!M330</f>
        <v>1</v>
      </c>
      <c r="H1119">
        <f>'insurance final cleaned'!N330</f>
        <v>0</v>
      </c>
      <c r="I1119">
        <f>'insurance final cleaned'!O330</f>
        <v>0</v>
      </c>
      <c r="J1119">
        <f>'insurance final cleaned'!P330</f>
        <v>0.83146530646880046</v>
      </c>
      <c r="K1119">
        <f>'insurance final cleaned'!Q330</f>
        <v>0</v>
      </c>
      <c r="L1119">
        <f>'insurance final cleaned'!R330</f>
        <v>1</v>
      </c>
      <c r="M1119">
        <f>'insurance final cleaned'!S330</f>
        <v>0</v>
      </c>
    </row>
    <row r="1120" spans="1:13" x14ac:dyDescent="0.3">
      <c r="A1120">
        <f>'insurance final cleaned'!J757</f>
        <v>10713.64</v>
      </c>
      <c r="B1120">
        <f>'insurance final cleaned'!B757</f>
        <v>47</v>
      </c>
      <c r="C1120">
        <f>'insurance final cleaned'!D757</f>
        <v>37.1</v>
      </c>
      <c r="D1120">
        <f>'insurance final cleaned'!G757</f>
        <v>0</v>
      </c>
      <c r="E1120">
        <f>'insurance final cleaned'!E757</f>
        <v>101</v>
      </c>
      <c r="F1120">
        <f>'insurance final cleaned'!L757</f>
        <v>0</v>
      </c>
      <c r="G1120">
        <f>'insurance final cleaned'!M757</f>
        <v>0</v>
      </c>
      <c r="H1120">
        <f>'insurance final cleaned'!N757</f>
        <v>1</v>
      </c>
      <c r="I1120">
        <f>'insurance final cleaned'!O757</f>
        <v>0</v>
      </c>
      <c r="J1120">
        <f>'insurance final cleaned'!P757</f>
        <v>0.8317530563108948</v>
      </c>
      <c r="K1120">
        <f>'insurance final cleaned'!Q757</f>
        <v>0</v>
      </c>
      <c r="L1120">
        <f>'insurance final cleaned'!R757</f>
        <v>1</v>
      </c>
      <c r="M1120">
        <f>'insurance final cleaned'!S757</f>
        <v>1</v>
      </c>
    </row>
    <row r="1121" spans="1:13" x14ac:dyDescent="0.3">
      <c r="A1121">
        <f>'insurance final cleaned'!J1084</f>
        <v>20984.09</v>
      </c>
      <c r="B1121">
        <f>'insurance final cleaned'!B1084</f>
        <v>30</v>
      </c>
      <c r="C1121">
        <f>'insurance final cleaned'!D1084</f>
        <v>27.7</v>
      </c>
      <c r="D1121">
        <f>'insurance final cleaned'!G1084</f>
        <v>2</v>
      </c>
      <c r="E1121">
        <f>'insurance final cleaned'!E1084</f>
        <v>89</v>
      </c>
      <c r="F1121">
        <f>'insurance final cleaned'!L1084</f>
        <v>27.7</v>
      </c>
      <c r="G1121">
        <f>'insurance final cleaned'!M1084</f>
        <v>0</v>
      </c>
      <c r="H1121">
        <f>'insurance final cleaned'!N1084</f>
        <v>0</v>
      </c>
      <c r="I1121">
        <f>'insurance final cleaned'!O1084</f>
        <v>0</v>
      </c>
      <c r="J1121">
        <f>'insurance final cleaned'!P1084</f>
        <v>0.83251729147616849</v>
      </c>
      <c r="K1121">
        <f>'insurance final cleaned'!Q1084</f>
        <v>1</v>
      </c>
      <c r="L1121">
        <f>'insurance final cleaned'!R1084</f>
        <v>1</v>
      </c>
      <c r="M1121">
        <f>'insurance final cleaned'!S1084</f>
        <v>0</v>
      </c>
    </row>
    <row r="1122" spans="1:13" x14ac:dyDescent="0.3">
      <c r="A1122">
        <f>'insurance final cleaned'!J778</f>
        <v>11033.66</v>
      </c>
      <c r="B1122">
        <f>'insurance final cleaned'!B778</f>
        <v>49</v>
      </c>
      <c r="C1122">
        <f>'insurance final cleaned'!D778</f>
        <v>41.2</v>
      </c>
      <c r="D1122">
        <f>'insurance final cleaned'!G778</f>
        <v>4</v>
      </c>
      <c r="E1122">
        <f>'insurance final cleaned'!E778</f>
        <v>92</v>
      </c>
      <c r="F1122">
        <f>'insurance final cleaned'!L778</f>
        <v>0</v>
      </c>
      <c r="G1122">
        <f>'insurance final cleaned'!M778</f>
        <v>0</v>
      </c>
      <c r="H1122">
        <f>'insurance final cleaned'!N778</f>
        <v>0</v>
      </c>
      <c r="I1122">
        <f>'insurance final cleaned'!O778</f>
        <v>1</v>
      </c>
      <c r="J1122">
        <f>'insurance final cleaned'!P778</f>
        <v>0.83408127486997408</v>
      </c>
      <c r="K1122">
        <f>'insurance final cleaned'!Q778</f>
        <v>0</v>
      </c>
      <c r="L1122">
        <f>'insurance final cleaned'!R778</f>
        <v>1</v>
      </c>
      <c r="M1122">
        <f>'insurance final cleaned'!S778</f>
        <v>1</v>
      </c>
    </row>
    <row r="1123" spans="1:13" x14ac:dyDescent="0.3">
      <c r="A1123">
        <f>'insurance final cleaned'!J96</f>
        <v>2020.18</v>
      </c>
      <c r="B1123">
        <f>'insurance final cleaned'!B96</f>
        <v>48</v>
      </c>
      <c r="C1123">
        <f>'insurance final cleaned'!D96</f>
        <v>34.6</v>
      </c>
      <c r="D1123">
        <f>'insurance final cleaned'!G96</f>
        <v>0</v>
      </c>
      <c r="E1123">
        <f>'insurance final cleaned'!E96</f>
        <v>99</v>
      </c>
      <c r="F1123">
        <f>'insurance final cleaned'!L96</f>
        <v>0</v>
      </c>
      <c r="G1123">
        <f>'insurance final cleaned'!M96</f>
        <v>0</v>
      </c>
      <c r="H1123">
        <f>'insurance final cleaned'!N96</f>
        <v>1</v>
      </c>
      <c r="I1123">
        <f>'insurance final cleaned'!O96</f>
        <v>0</v>
      </c>
      <c r="J1123">
        <f>'insurance final cleaned'!P96</f>
        <v>0.83552574232505161</v>
      </c>
      <c r="K1123">
        <f>'insurance final cleaned'!Q96</f>
        <v>0</v>
      </c>
      <c r="L1123">
        <f>'insurance final cleaned'!R96</f>
        <v>0</v>
      </c>
      <c r="M1123">
        <f>'insurance final cleaned'!S96</f>
        <v>1</v>
      </c>
    </row>
    <row r="1124" spans="1:13" x14ac:dyDescent="0.3">
      <c r="A1124">
        <f>'insurance final cleaned'!J324</f>
        <v>4562.84</v>
      </c>
      <c r="B1124">
        <f>'insurance final cleaned'!B324</f>
        <v>55</v>
      </c>
      <c r="C1124">
        <f>'insurance final cleaned'!D324</f>
        <v>29.6</v>
      </c>
      <c r="D1124">
        <f>'insurance final cleaned'!G324</f>
        <v>1</v>
      </c>
      <c r="E1124">
        <f>'insurance final cleaned'!E324</f>
        <v>93</v>
      </c>
      <c r="F1124">
        <f>'insurance final cleaned'!L324</f>
        <v>0</v>
      </c>
      <c r="G1124">
        <f>'insurance final cleaned'!M324</f>
        <v>1</v>
      </c>
      <c r="H1124">
        <f>'insurance final cleaned'!N324</f>
        <v>0</v>
      </c>
      <c r="I1124">
        <f>'insurance final cleaned'!O324</f>
        <v>0</v>
      </c>
      <c r="J1124">
        <f>'insurance final cleaned'!P324</f>
        <v>0.83621582314489806</v>
      </c>
      <c r="K1124">
        <f>'insurance final cleaned'!Q324</f>
        <v>0</v>
      </c>
      <c r="L1124">
        <f>'insurance final cleaned'!R324</f>
        <v>1</v>
      </c>
      <c r="M1124">
        <f>'insurance final cleaned'!S324</f>
        <v>1</v>
      </c>
    </row>
    <row r="1125" spans="1:13" x14ac:dyDescent="0.3">
      <c r="A1125">
        <f>'insurance final cleaned'!J884</f>
        <v>12622.18</v>
      </c>
      <c r="B1125">
        <f>'insurance final cleaned'!B884</f>
        <v>55</v>
      </c>
      <c r="C1125">
        <f>'insurance final cleaned'!D884</f>
        <v>31.4</v>
      </c>
      <c r="D1125">
        <f>'insurance final cleaned'!G884</f>
        <v>0</v>
      </c>
      <c r="E1125">
        <f>'insurance final cleaned'!E884</f>
        <v>85</v>
      </c>
      <c r="F1125">
        <f>'insurance final cleaned'!L884</f>
        <v>0</v>
      </c>
      <c r="G1125">
        <f>'insurance final cleaned'!M884</f>
        <v>0</v>
      </c>
      <c r="H1125">
        <f>'insurance final cleaned'!N884</f>
        <v>0</v>
      </c>
      <c r="I1125">
        <f>'insurance final cleaned'!O884</f>
        <v>1</v>
      </c>
      <c r="J1125">
        <f>'insurance final cleaned'!P884</f>
        <v>0.83628384746608198</v>
      </c>
      <c r="K1125">
        <f>'insurance final cleaned'!Q884</f>
        <v>0</v>
      </c>
      <c r="L1125">
        <f>'insurance final cleaned'!R884</f>
        <v>0</v>
      </c>
      <c r="M1125">
        <f>'insurance final cleaned'!S884</f>
        <v>1</v>
      </c>
    </row>
    <row r="1126" spans="1:13" x14ac:dyDescent="0.3">
      <c r="A1126">
        <f>'insurance final cleaned'!J694</f>
        <v>9704.67</v>
      </c>
      <c r="B1126">
        <f>'insurance final cleaned'!B694</f>
        <v>44</v>
      </c>
      <c r="C1126">
        <f>'insurance final cleaned'!D694</f>
        <v>40</v>
      </c>
      <c r="D1126">
        <f>'insurance final cleaned'!G694</f>
        <v>3</v>
      </c>
      <c r="E1126">
        <f>'insurance final cleaned'!E694</f>
        <v>96</v>
      </c>
      <c r="F1126">
        <f>'insurance final cleaned'!L694</f>
        <v>0</v>
      </c>
      <c r="G1126">
        <f>'insurance final cleaned'!M694</f>
        <v>0</v>
      </c>
      <c r="H1126">
        <f>'insurance final cleaned'!N694</f>
        <v>0</v>
      </c>
      <c r="I1126">
        <f>'insurance final cleaned'!O694</f>
        <v>0</v>
      </c>
      <c r="J1126">
        <f>'insurance final cleaned'!P694</f>
        <v>0.83772999656683622</v>
      </c>
      <c r="K1126">
        <f>'insurance final cleaned'!Q694</f>
        <v>0</v>
      </c>
      <c r="L1126">
        <f>'insurance final cleaned'!R694</f>
        <v>0</v>
      </c>
      <c r="M1126">
        <f>'insurance final cleaned'!S694</f>
        <v>1</v>
      </c>
    </row>
    <row r="1127" spans="1:13" x14ac:dyDescent="0.3">
      <c r="A1127">
        <f>'insurance final cleaned'!J541</f>
        <v>7419.48</v>
      </c>
      <c r="B1127">
        <f>'insurance final cleaned'!B541</f>
        <v>51</v>
      </c>
      <c r="C1127">
        <f>'insurance final cleaned'!D541</f>
        <v>26.4</v>
      </c>
      <c r="D1127">
        <f>'insurance final cleaned'!G541</f>
        <v>0</v>
      </c>
      <c r="E1127">
        <f>'insurance final cleaned'!E541</f>
        <v>97</v>
      </c>
      <c r="F1127">
        <f>'insurance final cleaned'!L541</f>
        <v>0</v>
      </c>
      <c r="G1127">
        <f>'insurance final cleaned'!M541</f>
        <v>0</v>
      </c>
      <c r="H1127">
        <f>'insurance final cleaned'!N541</f>
        <v>0</v>
      </c>
      <c r="I1127">
        <f>'insurance final cleaned'!O541</f>
        <v>1</v>
      </c>
      <c r="J1127">
        <f>'insurance final cleaned'!P541</f>
        <v>0.83818559342443399</v>
      </c>
      <c r="K1127">
        <f>'insurance final cleaned'!Q541</f>
        <v>0</v>
      </c>
      <c r="L1127">
        <f>'insurance final cleaned'!R541</f>
        <v>0</v>
      </c>
      <c r="M1127">
        <f>'insurance final cleaned'!S541</f>
        <v>1</v>
      </c>
    </row>
    <row r="1128" spans="1:13" x14ac:dyDescent="0.3">
      <c r="A1128">
        <f>'insurance final cleaned'!J995</f>
        <v>15828.82</v>
      </c>
      <c r="B1128">
        <f>'insurance final cleaned'!B995</f>
        <v>34</v>
      </c>
      <c r="C1128">
        <f>'insurance final cleaned'!D995</f>
        <v>29.3</v>
      </c>
      <c r="D1128">
        <f>'insurance final cleaned'!G995</f>
        <v>4</v>
      </c>
      <c r="E1128">
        <f>'insurance final cleaned'!E995</f>
        <v>87</v>
      </c>
      <c r="F1128">
        <f>'insurance final cleaned'!L995</f>
        <v>0</v>
      </c>
      <c r="G1128">
        <f>'insurance final cleaned'!M995</f>
        <v>0</v>
      </c>
      <c r="H1128">
        <f>'insurance final cleaned'!N995</f>
        <v>1</v>
      </c>
      <c r="I1128">
        <f>'insurance final cleaned'!O995</f>
        <v>0</v>
      </c>
      <c r="J1128">
        <f>'insurance final cleaned'!P995</f>
        <v>0.83826378851926897</v>
      </c>
      <c r="K1128">
        <f>'insurance final cleaned'!Q995</f>
        <v>0</v>
      </c>
      <c r="L1128">
        <f>'insurance final cleaned'!R995</f>
        <v>1</v>
      </c>
      <c r="M1128">
        <f>'insurance final cleaned'!S995</f>
        <v>1</v>
      </c>
    </row>
    <row r="1129" spans="1:13" x14ac:dyDescent="0.3">
      <c r="A1129">
        <f>'insurance final cleaned'!J221</f>
        <v>3353.28</v>
      </c>
      <c r="B1129">
        <f>'insurance final cleaned'!B221</f>
        <v>49</v>
      </c>
      <c r="C1129">
        <f>'insurance final cleaned'!D221</f>
        <v>25.9</v>
      </c>
      <c r="D1129">
        <f>'insurance final cleaned'!G221</f>
        <v>0</v>
      </c>
      <c r="E1129">
        <f>'insurance final cleaned'!E221</f>
        <v>97</v>
      </c>
      <c r="F1129">
        <f>'insurance final cleaned'!L221</f>
        <v>0</v>
      </c>
      <c r="G1129">
        <f>'insurance final cleaned'!M221</f>
        <v>0</v>
      </c>
      <c r="H1129">
        <f>'insurance final cleaned'!N221</f>
        <v>1</v>
      </c>
      <c r="I1129">
        <f>'insurance final cleaned'!O221</f>
        <v>0</v>
      </c>
      <c r="J1129">
        <f>'insurance final cleaned'!P221</f>
        <v>0.83863403027275107</v>
      </c>
      <c r="K1129">
        <f>'insurance final cleaned'!Q221</f>
        <v>0</v>
      </c>
      <c r="L1129">
        <f>'insurance final cleaned'!R221</f>
        <v>0</v>
      </c>
      <c r="M1129">
        <f>'insurance final cleaned'!S221</f>
        <v>1</v>
      </c>
    </row>
    <row r="1130" spans="1:13" x14ac:dyDescent="0.3">
      <c r="A1130">
        <f>'insurance final cleaned'!J825</f>
        <v>11729.68</v>
      </c>
      <c r="B1130">
        <f>'insurance final cleaned'!B825</f>
        <v>50</v>
      </c>
      <c r="C1130">
        <f>'insurance final cleaned'!D825</f>
        <v>23.8</v>
      </c>
      <c r="D1130">
        <f>'insurance final cleaned'!G825</f>
        <v>2</v>
      </c>
      <c r="E1130">
        <f>'insurance final cleaned'!E825</f>
        <v>100</v>
      </c>
      <c r="F1130">
        <f>'insurance final cleaned'!L825</f>
        <v>0</v>
      </c>
      <c r="G1130">
        <f>'insurance final cleaned'!M825</f>
        <v>0</v>
      </c>
      <c r="H1130">
        <f>'insurance final cleaned'!N825</f>
        <v>0</v>
      </c>
      <c r="I1130">
        <f>'insurance final cleaned'!O825</f>
        <v>0</v>
      </c>
      <c r="J1130">
        <f>'insurance final cleaned'!P825</f>
        <v>0.83956335314093178</v>
      </c>
      <c r="K1130">
        <f>'insurance final cleaned'!Q825</f>
        <v>0</v>
      </c>
      <c r="L1130">
        <f>'insurance final cleaned'!R825</f>
        <v>0</v>
      </c>
      <c r="M1130">
        <f>'insurance final cleaned'!S825</f>
        <v>1</v>
      </c>
    </row>
    <row r="1131" spans="1:13" x14ac:dyDescent="0.3">
      <c r="A1131">
        <f>'insurance final cleaned'!J1243</f>
        <v>38415.47</v>
      </c>
      <c r="B1131">
        <f>'insurance final cleaned'!B1243</f>
        <v>32</v>
      </c>
      <c r="C1131">
        <f>'insurance final cleaned'!D1243</f>
        <v>33.4</v>
      </c>
      <c r="D1131">
        <f>'insurance final cleaned'!G1243</f>
        <v>2</v>
      </c>
      <c r="E1131">
        <f>'insurance final cleaned'!E1243</f>
        <v>112</v>
      </c>
      <c r="F1131">
        <f>'insurance final cleaned'!L1243</f>
        <v>33.4</v>
      </c>
      <c r="G1131">
        <f>'insurance final cleaned'!M1243</f>
        <v>0</v>
      </c>
      <c r="H1131">
        <f>'insurance final cleaned'!N1243</f>
        <v>1</v>
      </c>
      <c r="I1131">
        <f>'insurance final cleaned'!O1243</f>
        <v>0</v>
      </c>
      <c r="J1131">
        <f>'insurance final cleaned'!P1243</f>
        <v>0.84039219047504676</v>
      </c>
      <c r="K1131">
        <f>'insurance final cleaned'!Q1243</f>
        <v>1</v>
      </c>
      <c r="L1131">
        <f>'insurance final cleaned'!R1243</f>
        <v>1</v>
      </c>
      <c r="M1131">
        <f>'insurance final cleaned'!S1243</f>
        <v>0</v>
      </c>
    </row>
    <row r="1132" spans="1:13" x14ac:dyDescent="0.3">
      <c r="A1132">
        <f>'insurance final cleaned'!J1137</f>
        <v>24869.84</v>
      </c>
      <c r="B1132">
        <f>'insurance final cleaned'!B1137</f>
        <v>23</v>
      </c>
      <c r="C1132">
        <f>'insurance final cleaned'!D1137</f>
        <v>24.3</v>
      </c>
      <c r="D1132">
        <f>'insurance final cleaned'!G1137</f>
        <v>3</v>
      </c>
      <c r="E1132">
        <f>'insurance final cleaned'!E1137</f>
        <v>97</v>
      </c>
      <c r="F1132">
        <f>'insurance final cleaned'!L1137</f>
        <v>24.3</v>
      </c>
      <c r="G1132">
        <f>'insurance final cleaned'!M1137</f>
        <v>0</v>
      </c>
      <c r="H1132">
        <f>'insurance final cleaned'!N1137</f>
        <v>0</v>
      </c>
      <c r="I1132">
        <f>'insurance final cleaned'!O1137</f>
        <v>0</v>
      </c>
      <c r="J1132">
        <f>'insurance final cleaned'!P1137</f>
        <v>0.84553719096335334</v>
      </c>
      <c r="K1132">
        <f>'insurance final cleaned'!Q1137</f>
        <v>1</v>
      </c>
      <c r="L1132">
        <f>'insurance final cleaned'!R1137</f>
        <v>0</v>
      </c>
      <c r="M1132">
        <f>'insurance final cleaned'!S1137</f>
        <v>0</v>
      </c>
    </row>
    <row r="1133" spans="1:13" x14ac:dyDescent="0.3">
      <c r="A1133">
        <f>'insurance final cleaned'!J6</f>
        <v>1137.01</v>
      </c>
      <c r="B1133">
        <f>'insurance final cleaned'!B6</f>
        <v>38</v>
      </c>
      <c r="C1133">
        <f>'insurance final cleaned'!D6</f>
        <v>34.1</v>
      </c>
      <c r="D1133">
        <f>'insurance final cleaned'!G6</f>
        <v>0</v>
      </c>
      <c r="E1133">
        <f>'insurance final cleaned'!E6</f>
        <v>100</v>
      </c>
      <c r="F1133">
        <f>'insurance final cleaned'!L6</f>
        <v>0</v>
      </c>
      <c r="G1133">
        <f>'insurance final cleaned'!M6</f>
        <v>0</v>
      </c>
      <c r="H1133">
        <f>'insurance final cleaned'!N6</f>
        <v>0</v>
      </c>
      <c r="I1133">
        <f>'insurance final cleaned'!O6</f>
        <v>1</v>
      </c>
      <c r="J1133">
        <f>'insurance final cleaned'!P6</f>
        <v>0.84569391769793034</v>
      </c>
      <c r="K1133">
        <f>'insurance final cleaned'!Q6</f>
        <v>0</v>
      </c>
      <c r="L1133">
        <f>'insurance final cleaned'!R6</f>
        <v>0</v>
      </c>
      <c r="M1133">
        <f>'insurance final cleaned'!S6</f>
        <v>0</v>
      </c>
    </row>
    <row r="1134" spans="1:13" x14ac:dyDescent="0.3">
      <c r="A1134">
        <f>'insurance final cleaned'!J360</f>
        <v>4934.71</v>
      </c>
      <c r="B1134">
        <f>'insurance final cleaned'!B360</f>
        <v>25</v>
      </c>
      <c r="C1134">
        <f>'insurance final cleaned'!D360</f>
        <v>25.8</v>
      </c>
      <c r="D1134">
        <f>'insurance final cleaned'!G360</f>
        <v>2</v>
      </c>
      <c r="E1134">
        <f>'insurance final cleaned'!E360</f>
        <v>97</v>
      </c>
      <c r="F1134">
        <f>'insurance final cleaned'!L360</f>
        <v>0</v>
      </c>
      <c r="G1134">
        <f>'insurance final cleaned'!M360</f>
        <v>0</v>
      </c>
      <c r="H1134">
        <f>'insurance final cleaned'!N360</f>
        <v>1</v>
      </c>
      <c r="I1134">
        <f>'insurance final cleaned'!O360</f>
        <v>0</v>
      </c>
      <c r="J1134">
        <f>'insurance final cleaned'!P360</f>
        <v>0.84664614932479099</v>
      </c>
      <c r="K1134">
        <f>'insurance final cleaned'!Q360</f>
        <v>0</v>
      </c>
      <c r="L1134">
        <f>'insurance final cleaned'!R360</f>
        <v>1</v>
      </c>
      <c r="M1134">
        <f>'insurance final cleaned'!S360</f>
        <v>1</v>
      </c>
    </row>
    <row r="1135" spans="1:13" x14ac:dyDescent="0.3">
      <c r="A1135">
        <f>'insurance final cleaned'!J585</f>
        <v>8125.78</v>
      </c>
      <c r="B1135">
        <f>'insurance final cleaned'!B585</f>
        <v>44</v>
      </c>
      <c r="C1135">
        <f>'insurance final cleaned'!D585</f>
        <v>36.9</v>
      </c>
      <c r="D1135">
        <f>'insurance final cleaned'!G585</f>
        <v>0</v>
      </c>
      <c r="E1135">
        <f>'insurance final cleaned'!E585</f>
        <v>94</v>
      </c>
      <c r="F1135">
        <f>'insurance final cleaned'!L585</f>
        <v>0</v>
      </c>
      <c r="G1135">
        <f>'insurance final cleaned'!M585</f>
        <v>1</v>
      </c>
      <c r="H1135">
        <f>'insurance final cleaned'!N585</f>
        <v>0</v>
      </c>
      <c r="I1135">
        <f>'insurance final cleaned'!O585</f>
        <v>0</v>
      </c>
      <c r="J1135">
        <f>'insurance final cleaned'!P585</f>
        <v>0.84705905272168125</v>
      </c>
      <c r="K1135">
        <f>'insurance final cleaned'!Q585</f>
        <v>0</v>
      </c>
      <c r="L1135">
        <f>'insurance final cleaned'!R585</f>
        <v>0</v>
      </c>
      <c r="M1135">
        <f>'insurance final cleaned'!S585</f>
        <v>0</v>
      </c>
    </row>
    <row r="1136" spans="1:13" x14ac:dyDescent="0.3">
      <c r="A1136">
        <f>'insurance final cleaned'!J135</f>
        <v>2322.62</v>
      </c>
      <c r="B1136">
        <f>'insurance final cleaned'!B135</f>
        <v>47</v>
      </c>
      <c r="C1136">
        <f>'insurance final cleaned'!D135</f>
        <v>35.4</v>
      </c>
      <c r="D1136">
        <f>'insurance final cleaned'!G135</f>
        <v>0</v>
      </c>
      <c r="E1136">
        <f>'insurance final cleaned'!E135</f>
        <v>95</v>
      </c>
      <c r="F1136">
        <f>'insurance final cleaned'!L135</f>
        <v>0</v>
      </c>
      <c r="G1136">
        <f>'insurance final cleaned'!M135</f>
        <v>1</v>
      </c>
      <c r="H1136">
        <f>'insurance final cleaned'!N135</f>
        <v>0</v>
      </c>
      <c r="I1136">
        <f>'insurance final cleaned'!O135</f>
        <v>0</v>
      </c>
      <c r="J1136">
        <f>'insurance final cleaned'!P135</f>
        <v>0.84714485436639275</v>
      </c>
      <c r="K1136">
        <f>'insurance final cleaned'!Q135</f>
        <v>0</v>
      </c>
      <c r="L1136">
        <f>'insurance final cleaned'!R135</f>
        <v>0</v>
      </c>
      <c r="M1136">
        <f>'insurance final cleaned'!S135</f>
        <v>0</v>
      </c>
    </row>
    <row r="1137" spans="1:13" x14ac:dyDescent="0.3">
      <c r="A1137">
        <f>'insurance final cleaned'!J295</f>
        <v>4337.74</v>
      </c>
      <c r="B1137">
        <f>'insurance final cleaned'!B295</f>
        <v>37</v>
      </c>
      <c r="C1137">
        <f>'insurance final cleaned'!D295</f>
        <v>28.9</v>
      </c>
      <c r="D1137">
        <f>'insurance final cleaned'!G295</f>
        <v>1</v>
      </c>
      <c r="E1137">
        <f>'insurance final cleaned'!E295</f>
        <v>87</v>
      </c>
      <c r="F1137">
        <f>'insurance final cleaned'!L295</f>
        <v>0</v>
      </c>
      <c r="G1137">
        <f>'insurance final cleaned'!M295</f>
        <v>1</v>
      </c>
      <c r="H1137">
        <f>'insurance final cleaned'!N295</f>
        <v>0</v>
      </c>
      <c r="I1137">
        <f>'insurance final cleaned'!O295</f>
        <v>0</v>
      </c>
      <c r="J1137">
        <f>'insurance final cleaned'!P295</f>
        <v>0.85050568766244827</v>
      </c>
      <c r="K1137">
        <f>'insurance final cleaned'!Q295</f>
        <v>0</v>
      </c>
      <c r="L1137">
        <f>'insurance final cleaned'!R295</f>
        <v>0</v>
      </c>
      <c r="M1137">
        <f>'insurance final cleaned'!S295</f>
        <v>1</v>
      </c>
    </row>
    <row r="1138" spans="1:13" x14ac:dyDescent="0.3">
      <c r="A1138">
        <f>'insurance final cleaned'!J426</f>
        <v>5966.89</v>
      </c>
      <c r="B1138">
        <f>'insurance final cleaned'!B426</f>
        <v>25</v>
      </c>
      <c r="C1138">
        <f>'insurance final cleaned'!D426</f>
        <v>24.9</v>
      </c>
      <c r="D1138">
        <f>'insurance final cleaned'!G426</f>
        <v>0</v>
      </c>
      <c r="E1138">
        <f>'insurance final cleaned'!E426</f>
        <v>94</v>
      </c>
      <c r="F1138">
        <f>'insurance final cleaned'!L426</f>
        <v>0</v>
      </c>
      <c r="G1138">
        <f>'insurance final cleaned'!M426</f>
        <v>1</v>
      </c>
      <c r="H1138">
        <f>'insurance final cleaned'!N426</f>
        <v>0</v>
      </c>
      <c r="I1138">
        <f>'insurance final cleaned'!O426</f>
        <v>0</v>
      </c>
      <c r="J1138">
        <f>'insurance final cleaned'!P426</f>
        <v>0.85052365609516334</v>
      </c>
      <c r="K1138">
        <f>'insurance final cleaned'!Q426</f>
        <v>0</v>
      </c>
      <c r="L1138">
        <f>'insurance final cleaned'!R426</f>
        <v>0</v>
      </c>
      <c r="M1138">
        <f>'insurance final cleaned'!S426</f>
        <v>0</v>
      </c>
    </row>
    <row r="1139" spans="1:13" x14ac:dyDescent="0.3">
      <c r="A1139">
        <f>'insurance final cleaned'!J24</f>
        <v>1532.47</v>
      </c>
      <c r="B1139">
        <f>'insurance final cleaned'!B24</f>
        <v>18</v>
      </c>
      <c r="C1139">
        <f>'insurance final cleaned'!D24</f>
        <v>35.5</v>
      </c>
      <c r="D1139">
        <f>'insurance final cleaned'!G24</f>
        <v>0</v>
      </c>
      <c r="E1139">
        <f>'insurance final cleaned'!E24</f>
        <v>100</v>
      </c>
      <c r="F1139">
        <f>'insurance final cleaned'!L24</f>
        <v>0</v>
      </c>
      <c r="G1139">
        <f>'insurance final cleaned'!M24</f>
        <v>1</v>
      </c>
      <c r="H1139">
        <f>'insurance final cleaned'!N24</f>
        <v>0</v>
      </c>
      <c r="I1139">
        <f>'insurance final cleaned'!O24</f>
        <v>0</v>
      </c>
      <c r="J1139">
        <f>'insurance final cleaned'!P24</f>
        <v>0.85151494993836985</v>
      </c>
      <c r="K1139">
        <f>'insurance final cleaned'!Q24</f>
        <v>0</v>
      </c>
      <c r="L1139">
        <f>'insurance final cleaned'!R24</f>
        <v>1</v>
      </c>
      <c r="M1139">
        <f>'insurance final cleaned'!S24</f>
        <v>0</v>
      </c>
    </row>
    <row r="1140" spans="1:13" x14ac:dyDescent="0.3">
      <c r="A1140">
        <f>'insurance final cleaned'!J1107</f>
        <v>22395.74</v>
      </c>
      <c r="B1140">
        <f>'insurance final cleaned'!B1107</f>
        <v>45</v>
      </c>
      <c r="C1140">
        <f>'insurance final cleaned'!D1107</f>
        <v>24.2</v>
      </c>
      <c r="D1140">
        <f>'insurance final cleaned'!G1107</f>
        <v>2</v>
      </c>
      <c r="E1140">
        <f>'insurance final cleaned'!E1107</f>
        <v>103</v>
      </c>
      <c r="F1140">
        <f>'insurance final cleaned'!L1107</f>
        <v>0</v>
      </c>
      <c r="G1140">
        <f>'insurance final cleaned'!M1107</f>
        <v>0</v>
      </c>
      <c r="H1140">
        <f>'insurance final cleaned'!N1107</f>
        <v>0</v>
      </c>
      <c r="I1140">
        <f>'insurance final cleaned'!O1107</f>
        <v>0</v>
      </c>
      <c r="J1140">
        <f>'insurance final cleaned'!P1107</f>
        <v>0.85254287266095707</v>
      </c>
      <c r="K1140">
        <f>'insurance final cleaned'!Q1107</f>
        <v>0</v>
      </c>
      <c r="L1140">
        <f>'insurance final cleaned'!R1107</f>
        <v>0</v>
      </c>
      <c r="M1140">
        <f>'insurance final cleaned'!S1107</f>
        <v>1</v>
      </c>
    </row>
    <row r="1141" spans="1:13" x14ac:dyDescent="0.3">
      <c r="A1141">
        <f>'insurance final cleaned'!J1167</f>
        <v>27941.29</v>
      </c>
      <c r="B1141">
        <f>'insurance final cleaned'!B1167</f>
        <v>22</v>
      </c>
      <c r="C1141">
        <f>'insurance final cleaned'!D1167</f>
        <v>36.1</v>
      </c>
      <c r="D1141">
        <f>'insurance final cleaned'!G1167</f>
        <v>3</v>
      </c>
      <c r="E1141">
        <f>'insurance final cleaned'!E1167</f>
        <v>80</v>
      </c>
      <c r="F1141">
        <f>'insurance final cleaned'!L1167</f>
        <v>0</v>
      </c>
      <c r="G1141">
        <f>'insurance final cleaned'!M1167</f>
        <v>0</v>
      </c>
      <c r="H1141">
        <f>'insurance final cleaned'!N1167</f>
        <v>1</v>
      </c>
      <c r="I1141">
        <f>'insurance final cleaned'!O1167</f>
        <v>0</v>
      </c>
      <c r="J1141">
        <f>'insurance final cleaned'!P1167</f>
        <v>0.85376584311231385</v>
      </c>
      <c r="K1141">
        <f>'insurance final cleaned'!Q1167</f>
        <v>0</v>
      </c>
      <c r="L1141">
        <f>'insurance final cleaned'!R1167</f>
        <v>0</v>
      </c>
      <c r="M1141">
        <f>'insurance final cleaned'!S1167</f>
        <v>0</v>
      </c>
    </row>
    <row r="1142" spans="1:13" x14ac:dyDescent="0.3">
      <c r="A1142">
        <f>'insurance final cleaned'!J290</f>
        <v>4243.59</v>
      </c>
      <c r="B1142">
        <f>'insurance final cleaned'!B290</f>
        <v>37</v>
      </c>
      <c r="C1142">
        <f>'insurance final cleaned'!D290</f>
        <v>28.6</v>
      </c>
      <c r="D1142">
        <f>'insurance final cleaned'!G290</f>
        <v>1</v>
      </c>
      <c r="E1142">
        <f>'insurance final cleaned'!E290</f>
        <v>93</v>
      </c>
      <c r="F1142">
        <f>'insurance final cleaned'!L290</f>
        <v>0</v>
      </c>
      <c r="G1142">
        <f>'insurance final cleaned'!M290</f>
        <v>0</v>
      </c>
      <c r="H1142">
        <f>'insurance final cleaned'!N290</f>
        <v>0</v>
      </c>
      <c r="I1142">
        <f>'insurance final cleaned'!O290</f>
        <v>1</v>
      </c>
      <c r="J1142">
        <f>'insurance final cleaned'!P290</f>
        <v>0.85410879509087589</v>
      </c>
      <c r="K1142">
        <f>'insurance final cleaned'!Q290</f>
        <v>0</v>
      </c>
      <c r="L1142">
        <f>'insurance final cleaned'!R290</f>
        <v>1</v>
      </c>
      <c r="M1142">
        <f>'insurance final cleaned'!S290</f>
        <v>0</v>
      </c>
    </row>
    <row r="1143" spans="1:13" x14ac:dyDescent="0.3">
      <c r="A1143">
        <f>'insurance final cleaned'!J856</f>
        <v>12124.99</v>
      </c>
      <c r="B1143">
        <f>'insurance final cleaned'!B856</f>
        <v>50</v>
      </c>
      <c r="C1143">
        <f>'insurance final cleaned'!D856</f>
        <v>25.5</v>
      </c>
      <c r="D1143">
        <f>'insurance final cleaned'!G856</f>
        <v>0</v>
      </c>
      <c r="E1143">
        <f>'insurance final cleaned'!E856</f>
        <v>87</v>
      </c>
      <c r="F1143">
        <f>'insurance final cleaned'!L856</f>
        <v>0</v>
      </c>
      <c r="G1143">
        <f>'insurance final cleaned'!M856</f>
        <v>0</v>
      </c>
      <c r="H1143">
        <f>'insurance final cleaned'!N856</f>
        <v>0</v>
      </c>
      <c r="I1143">
        <f>'insurance final cleaned'!O856</f>
        <v>1</v>
      </c>
      <c r="J1143">
        <f>'insurance final cleaned'!P856</f>
        <v>0.85484743707684219</v>
      </c>
      <c r="K1143">
        <f>'insurance final cleaned'!Q856</f>
        <v>0</v>
      </c>
      <c r="L1143">
        <f>'insurance final cleaned'!R856</f>
        <v>0</v>
      </c>
      <c r="M1143">
        <f>'insurance final cleaned'!S856</f>
        <v>0</v>
      </c>
    </row>
    <row r="1144" spans="1:13" x14ac:dyDescent="0.3">
      <c r="A1144">
        <f>'insurance final cleaned'!J944</f>
        <v>13844.8</v>
      </c>
      <c r="B1144">
        <f>'insurance final cleaned'!B944</f>
        <v>34</v>
      </c>
      <c r="C1144">
        <f>'insurance final cleaned'!D944</f>
        <v>32.700000000000003</v>
      </c>
      <c r="D1144">
        <f>'insurance final cleaned'!G944</f>
        <v>0</v>
      </c>
      <c r="E1144">
        <f>'insurance final cleaned'!E944</f>
        <v>110</v>
      </c>
      <c r="F1144">
        <f>'insurance final cleaned'!L944</f>
        <v>0</v>
      </c>
      <c r="G1144">
        <f>'insurance final cleaned'!M944</f>
        <v>0</v>
      </c>
      <c r="H1144">
        <f>'insurance final cleaned'!N944</f>
        <v>0</v>
      </c>
      <c r="I1144">
        <f>'insurance final cleaned'!O944</f>
        <v>1</v>
      </c>
      <c r="J1144">
        <f>'insurance final cleaned'!P944</f>
        <v>0.85519311140104637</v>
      </c>
      <c r="K1144">
        <f>'insurance final cleaned'!Q944</f>
        <v>0</v>
      </c>
      <c r="L1144">
        <f>'insurance final cleaned'!R944</f>
        <v>1</v>
      </c>
      <c r="M1144">
        <f>'insurance final cleaned'!S944</f>
        <v>1</v>
      </c>
    </row>
    <row r="1145" spans="1:13" x14ac:dyDescent="0.3">
      <c r="A1145">
        <f>'insurance final cleaned'!J1228</f>
        <v>36950.26</v>
      </c>
      <c r="B1145">
        <f>'insurance final cleaned'!B1228</f>
        <v>46</v>
      </c>
      <c r="C1145">
        <f>'insurance final cleaned'!D1228</f>
        <v>35.5</v>
      </c>
      <c r="D1145">
        <f>'insurance final cleaned'!G1228</f>
        <v>0</v>
      </c>
      <c r="E1145">
        <f>'insurance final cleaned'!E1228</f>
        <v>140</v>
      </c>
      <c r="F1145">
        <f>'insurance final cleaned'!L1228</f>
        <v>35.5</v>
      </c>
      <c r="G1145">
        <f>'insurance final cleaned'!M1228</f>
        <v>1</v>
      </c>
      <c r="H1145">
        <f>'insurance final cleaned'!N1228</f>
        <v>0</v>
      </c>
      <c r="I1145">
        <f>'insurance final cleaned'!O1228</f>
        <v>0</v>
      </c>
      <c r="J1145">
        <f>'insurance final cleaned'!P1228</f>
        <v>0.85552111504252526</v>
      </c>
      <c r="K1145">
        <f>'insurance final cleaned'!Q1228</f>
        <v>1</v>
      </c>
      <c r="L1145">
        <f>'insurance final cleaned'!R1228</f>
        <v>1</v>
      </c>
      <c r="M1145">
        <f>'insurance final cleaned'!S1228</f>
        <v>0</v>
      </c>
    </row>
    <row r="1146" spans="1:13" x14ac:dyDescent="0.3">
      <c r="A1146">
        <f>'insurance final cleaned'!J560</f>
        <v>7726.85</v>
      </c>
      <c r="B1146">
        <f>'insurance final cleaned'!B560</f>
        <v>46</v>
      </c>
      <c r="C1146">
        <f>'insurance final cleaned'!D560</f>
        <v>27.4</v>
      </c>
      <c r="D1146">
        <f>'insurance final cleaned'!G560</f>
        <v>2</v>
      </c>
      <c r="E1146">
        <f>'insurance final cleaned'!E560</f>
        <v>88</v>
      </c>
      <c r="F1146">
        <f>'insurance final cleaned'!L560</f>
        <v>0</v>
      </c>
      <c r="G1146">
        <f>'insurance final cleaned'!M560</f>
        <v>0</v>
      </c>
      <c r="H1146">
        <f>'insurance final cleaned'!N560</f>
        <v>1</v>
      </c>
      <c r="I1146">
        <f>'insurance final cleaned'!O560</f>
        <v>0</v>
      </c>
      <c r="J1146">
        <f>'insurance final cleaned'!P560</f>
        <v>0.85574610471492984</v>
      </c>
      <c r="K1146">
        <f>'insurance final cleaned'!Q560</f>
        <v>0</v>
      </c>
      <c r="L1146">
        <f>'insurance final cleaned'!R560</f>
        <v>0</v>
      </c>
      <c r="M1146">
        <f>'insurance final cleaned'!S560</f>
        <v>0</v>
      </c>
    </row>
    <row r="1147" spans="1:13" x14ac:dyDescent="0.3">
      <c r="A1147">
        <f>'insurance final cleaned'!J210</f>
        <v>3206.49</v>
      </c>
      <c r="B1147">
        <f>'insurance final cleaned'!B210</f>
        <v>45</v>
      </c>
      <c r="C1147">
        <f>'insurance final cleaned'!D210</f>
        <v>23.5</v>
      </c>
      <c r="D1147">
        <f>'insurance final cleaned'!G210</f>
        <v>0</v>
      </c>
      <c r="E1147">
        <f>'insurance final cleaned'!E210</f>
        <v>96</v>
      </c>
      <c r="F1147">
        <f>'insurance final cleaned'!L210</f>
        <v>0</v>
      </c>
      <c r="G1147">
        <f>'insurance final cleaned'!M210</f>
        <v>0</v>
      </c>
      <c r="H1147">
        <f>'insurance final cleaned'!N210</f>
        <v>0</v>
      </c>
      <c r="I1147">
        <f>'insurance final cleaned'!O210</f>
        <v>0</v>
      </c>
      <c r="J1147">
        <f>'insurance final cleaned'!P210</f>
        <v>0.85634790479126643</v>
      </c>
      <c r="K1147">
        <f>'insurance final cleaned'!Q210</f>
        <v>0</v>
      </c>
      <c r="L1147">
        <f>'insurance final cleaned'!R210</f>
        <v>0</v>
      </c>
      <c r="M1147">
        <f>'insurance final cleaned'!S210</f>
        <v>1</v>
      </c>
    </row>
    <row r="1148" spans="1:13" x14ac:dyDescent="0.3">
      <c r="A1148">
        <f>'insurance final cleaned'!J1204</f>
        <v>34672.15</v>
      </c>
      <c r="B1148">
        <f>'insurance final cleaned'!B1204</f>
        <v>32</v>
      </c>
      <c r="C1148">
        <f>'insurance final cleaned'!D1204</f>
        <v>31.7</v>
      </c>
      <c r="D1148">
        <f>'insurance final cleaned'!G1204</f>
        <v>0</v>
      </c>
      <c r="E1148">
        <f>'insurance final cleaned'!E1204</f>
        <v>125</v>
      </c>
      <c r="F1148">
        <f>'insurance final cleaned'!L1204</f>
        <v>31.7</v>
      </c>
      <c r="G1148">
        <f>'insurance final cleaned'!M1204</f>
        <v>1</v>
      </c>
      <c r="H1148">
        <f>'insurance final cleaned'!N1204</f>
        <v>0</v>
      </c>
      <c r="I1148">
        <f>'insurance final cleaned'!O1204</f>
        <v>0</v>
      </c>
      <c r="J1148">
        <f>'insurance final cleaned'!P1204</f>
        <v>0.8567277593944872</v>
      </c>
      <c r="K1148">
        <f>'insurance final cleaned'!Q1204</f>
        <v>1</v>
      </c>
      <c r="L1148">
        <f>'insurance final cleaned'!R1204</f>
        <v>0</v>
      </c>
      <c r="M1148">
        <f>'insurance final cleaned'!S1204</f>
        <v>0</v>
      </c>
    </row>
    <row r="1149" spans="1:13" x14ac:dyDescent="0.3">
      <c r="A1149">
        <f>'insurance final cleaned'!J672</f>
        <v>9377.9</v>
      </c>
      <c r="B1149">
        <f>'insurance final cleaned'!B672</f>
        <v>37</v>
      </c>
      <c r="C1149">
        <f>'insurance final cleaned'!D672</f>
        <v>30</v>
      </c>
      <c r="D1149">
        <f>'insurance final cleaned'!G672</f>
        <v>1</v>
      </c>
      <c r="E1149">
        <f>'insurance final cleaned'!E672</f>
        <v>95</v>
      </c>
      <c r="F1149">
        <f>'insurance final cleaned'!L672</f>
        <v>0</v>
      </c>
      <c r="G1149">
        <f>'insurance final cleaned'!M672</f>
        <v>1</v>
      </c>
      <c r="H1149">
        <f>'insurance final cleaned'!N672</f>
        <v>0</v>
      </c>
      <c r="I1149">
        <f>'insurance final cleaned'!O672</f>
        <v>0</v>
      </c>
      <c r="J1149">
        <f>'insurance final cleaned'!P672</f>
        <v>0.85793486782177919</v>
      </c>
      <c r="K1149">
        <f>'insurance final cleaned'!Q672</f>
        <v>0</v>
      </c>
      <c r="L1149">
        <f>'insurance final cleaned'!R672</f>
        <v>0</v>
      </c>
      <c r="M1149">
        <f>'insurance final cleaned'!S672</f>
        <v>0</v>
      </c>
    </row>
    <row r="1150" spans="1:13" x14ac:dyDescent="0.3">
      <c r="A1150">
        <f>'insurance final cleaned'!J1134</f>
        <v>24603.05</v>
      </c>
      <c r="B1150">
        <f>'insurance final cleaned'!B1134</f>
        <v>46</v>
      </c>
      <c r="C1150">
        <f>'insurance final cleaned'!D1134</f>
        <v>27.6</v>
      </c>
      <c r="D1150">
        <f>'insurance final cleaned'!G1134</f>
        <v>0</v>
      </c>
      <c r="E1150">
        <f>'insurance final cleaned'!E1134</f>
        <v>84</v>
      </c>
      <c r="F1150">
        <f>'insurance final cleaned'!L1134</f>
        <v>0</v>
      </c>
      <c r="G1150">
        <f>'insurance final cleaned'!M1134</f>
        <v>0</v>
      </c>
      <c r="H1150">
        <f>'insurance final cleaned'!N1134</f>
        <v>1</v>
      </c>
      <c r="I1150">
        <f>'insurance final cleaned'!O1134</f>
        <v>0</v>
      </c>
      <c r="J1150">
        <f>'insurance final cleaned'!P1134</f>
        <v>0.85900242451065112</v>
      </c>
      <c r="K1150">
        <f>'insurance final cleaned'!Q1134</f>
        <v>0</v>
      </c>
      <c r="L1150">
        <f>'insurance final cleaned'!R1134</f>
        <v>0</v>
      </c>
      <c r="M1150">
        <f>'insurance final cleaned'!S1134</f>
        <v>0</v>
      </c>
    </row>
    <row r="1151" spans="1:13" x14ac:dyDescent="0.3">
      <c r="A1151">
        <f>'insurance final cleaned'!J684</f>
        <v>9549.57</v>
      </c>
      <c r="B1151">
        <f>'insurance final cleaned'!B684</f>
        <v>27</v>
      </c>
      <c r="C1151">
        <f>'insurance final cleaned'!D684</f>
        <v>46.1</v>
      </c>
      <c r="D1151">
        <f>'insurance final cleaned'!G684</f>
        <v>1</v>
      </c>
      <c r="E1151">
        <f>'insurance final cleaned'!E684</f>
        <v>106</v>
      </c>
      <c r="F1151">
        <f>'insurance final cleaned'!L684</f>
        <v>0</v>
      </c>
      <c r="G1151">
        <f>'insurance final cleaned'!M684</f>
        <v>1</v>
      </c>
      <c r="H1151">
        <f>'insurance final cleaned'!N684</f>
        <v>0</v>
      </c>
      <c r="I1151">
        <f>'insurance final cleaned'!O684</f>
        <v>0</v>
      </c>
      <c r="J1151">
        <f>'insurance final cleaned'!P684</f>
        <v>0.86046443184109178</v>
      </c>
      <c r="K1151">
        <f>'insurance final cleaned'!Q684</f>
        <v>0</v>
      </c>
      <c r="L1151">
        <f>'insurance final cleaned'!R684</f>
        <v>0</v>
      </c>
      <c r="M1151">
        <f>'insurance final cleaned'!S684</f>
        <v>1</v>
      </c>
    </row>
    <row r="1152" spans="1:13" x14ac:dyDescent="0.3">
      <c r="A1152">
        <f>'insurance final cleaned'!J786</f>
        <v>11163.57</v>
      </c>
      <c r="B1152">
        <f>'insurance final cleaned'!B786</f>
        <v>47</v>
      </c>
      <c r="C1152">
        <f>'insurance final cleaned'!D786</f>
        <v>35.9</v>
      </c>
      <c r="D1152">
        <f>'insurance final cleaned'!G786</f>
        <v>2</v>
      </c>
      <c r="E1152">
        <f>'insurance final cleaned'!E786</f>
        <v>104</v>
      </c>
      <c r="F1152">
        <f>'insurance final cleaned'!L786</f>
        <v>0</v>
      </c>
      <c r="G1152">
        <f>'insurance final cleaned'!M786</f>
        <v>0</v>
      </c>
      <c r="H1152">
        <f>'insurance final cleaned'!N786</f>
        <v>1</v>
      </c>
      <c r="I1152">
        <f>'insurance final cleaned'!O786</f>
        <v>0</v>
      </c>
      <c r="J1152">
        <f>'insurance final cleaned'!P786</f>
        <v>0.86391825003572709</v>
      </c>
      <c r="K1152">
        <f>'insurance final cleaned'!Q786</f>
        <v>0</v>
      </c>
      <c r="L1152">
        <f>'insurance final cleaned'!R786</f>
        <v>0</v>
      </c>
      <c r="M1152">
        <f>'insurance final cleaned'!S786</f>
        <v>1</v>
      </c>
    </row>
    <row r="1153" spans="1:13" x14ac:dyDescent="0.3">
      <c r="A1153">
        <f>'insurance final cleaned'!J701</f>
        <v>9800.89</v>
      </c>
      <c r="B1153">
        <f>'insurance final cleaned'!B701</f>
        <v>41</v>
      </c>
      <c r="C1153">
        <f>'insurance final cleaned'!D701</f>
        <v>42.7</v>
      </c>
      <c r="D1153">
        <f>'insurance final cleaned'!G701</f>
        <v>2</v>
      </c>
      <c r="E1153">
        <f>'insurance final cleaned'!E701</f>
        <v>105</v>
      </c>
      <c r="F1153">
        <f>'insurance final cleaned'!L701</f>
        <v>0</v>
      </c>
      <c r="G1153">
        <f>'insurance final cleaned'!M701</f>
        <v>1</v>
      </c>
      <c r="H1153">
        <f>'insurance final cleaned'!N701</f>
        <v>0</v>
      </c>
      <c r="I1153">
        <f>'insurance final cleaned'!O701</f>
        <v>0</v>
      </c>
      <c r="J1153">
        <f>'insurance final cleaned'!P701</f>
        <v>0.86509092682598598</v>
      </c>
      <c r="K1153">
        <f>'insurance final cleaned'!Q701</f>
        <v>0</v>
      </c>
      <c r="L1153">
        <f>'insurance final cleaned'!R701</f>
        <v>0</v>
      </c>
      <c r="M1153">
        <f>'insurance final cleaned'!S701</f>
        <v>1</v>
      </c>
    </row>
    <row r="1154" spans="1:13" x14ac:dyDescent="0.3">
      <c r="A1154">
        <f>'insurance final cleaned'!J912</f>
        <v>13112.6</v>
      </c>
      <c r="B1154">
        <f>'insurance final cleaned'!B912</f>
        <v>23</v>
      </c>
      <c r="C1154">
        <f>'insurance final cleaned'!D912</f>
        <v>24.3</v>
      </c>
      <c r="D1154">
        <f>'insurance final cleaned'!G912</f>
        <v>1</v>
      </c>
      <c r="E1154">
        <f>'insurance final cleaned'!E912</f>
        <v>90</v>
      </c>
      <c r="F1154">
        <f>'insurance final cleaned'!L912</f>
        <v>0</v>
      </c>
      <c r="G1154">
        <f>'insurance final cleaned'!M912</f>
        <v>0</v>
      </c>
      <c r="H1154">
        <f>'insurance final cleaned'!N912</f>
        <v>0</v>
      </c>
      <c r="I1154">
        <f>'insurance final cleaned'!O912</f>
        <v>1</v>
      </c>
      <c r="J1154">
        <f>'insurance final cleaned'!P912</f>
        <v>0.86519399677415587</v>
      </c>
      <c r="K1154">
        <f>'insurance final cleaned'!Q912</f>
        <v>0</v>
      </c>
      <c r="L1154">
        <f>'insurance final cleaned'!R912</f>
        <v>0</v>
      </c>
      <c r="M1154">
        <f>'insurance final cleaned'!S912</f>
        <v>0</v>
      </c>
    </row>
    <row r="1155" spans="1:13" x14ac:dyDescent="0.3">
      <c r="A1155">
        <f>'insurance final cleaned'!J946</f>
        <v>13887.2</v>
      </c>
      <c r="B1155">
        <f>'insurance final cleaned'!B946</f>
        <v>57</v>
      </c>
      <c r="C1155">
        <f>'insurance final cleaned'!D946</f>
        <v>36.299999999999997</v>
      </c>
      <c r="D1155">
        <f>'insurance final cleaned'!G946</f>
        <v>0</v>
      </c>
      <c r="E1155">
        <f>'insurance final cleaned'!E946</f>
        <v>98</v>
      </c>
      <c r="F1155">
        <f>'insurance final cleaned'!L946</f>
        <v>0</v>
      </c>
      <c r="G1155">
        <f>'insurance final cleaned'!M946</f>
        <v>1</v>
      </c>
      <c r="H1155">
        <f>'insurance final cleaned'!N946</f>
        <v>0</v>
      </c>
      <c r="I1155">
        <f>'insurance final cleaned'!O946</f>
        <v>0</v>
      </c>
      <c r="J1155">
        <f>'insurance final cleaned'!P946</f>
        <v>0.86529589158780673</v>
      </c>
      <c r="K1155">
        <f>'insurance final cleaned'!Q946</f>
        <v>0</v>
      </c>
      <c r="L1155">
        <f>'insurance final cleaned'!R946</f>
        <v>1</v>
      </c>
      <c r="M1155">
        <f>'insurance final cleaned'!S946</f>
        <v>1</v>
      </c>
    </row>
    <row r="1156" spans="1:13" x14ac:dyDescent="0.3">
      <c r="A1156">
        <f>'insurance final cleaned'!J702</f>
        <v>9850.43</v>
      </c>
      <c r="B1156">
        <f>'insurance final cleaned'!B702</f>
        <v>46</v>
      </c>
      <c r="C1156">
        <f>'insurance final cleaned'!D702</f>
        <v>31.6</v>
      </c>
      <c r="D1156">
        <f>'insurance final cleaned'!G702</f>
        <v>0</v>
      </c>
      <c r="E1156">
        <f>'insurance final cleaned'!E702</f>
        <v>106</v>
      </c>
      <c r="F1156">
        <f>'insurance final cleaned'!L702</f>
        <v>0</v>
      </c>
      <c r="G1156">
        <f>'insurance final cleaned'!M702</f>
        <v>0</v>
      </c>
      <c r="H1156">
        <f>'insurance final cleaned'!N702</f>
        <v>1</v>
      </c>
      <c r="I1156">
        <f>'insurance final cleaned'!O702</f>
        <v>0</v>
      </c>
      <c r="J1156">
        <f>'insurance final cleaned'!P702</f>
        <v>0.865841431675208</v>
      </c>
      <c r="K1156">
        <f>'insurance final cleaned'!Q702</f>
        <v>0</v>
      </c>
      <c r="L1156">
        <f>'insurance final cleaned'!R702</f>
        <v>0</v>
      </c>
      <c r="M1156">
        <f>'insurance final cleaned'!S702</f>
        <v>0</v>
      </c>
    </row>
    <row r="1157" spans="1:13" x14ac:dyDescent="0.3">
      <c r="A1157">
        <f>'insurance final cleaned'!J1002</f>
        <v>16420.490000000002</v>
      </c>
      <c r="B1157">
        <f>'insurance final cleaned'!B1002</f>
        <v>45</v>
      </c>
      <c r="C1157">
        <f>'insurance final cleaned'!D1002</f>
        <v>20</v>
      </c>
      <c r="D1157">
        <f>'insurance final cleaned'!G1002</f>
        <v>3</v>
      </c>
      <c r="E1157">
        <f>'insurance final cleaned'!E1002</f>
        <v>91</v>
      </c>
      <c r="F1157">
        <f>'insurance final cleaned'!L1002</f>
        <v>20</v>
      </c>
      <c r="G1157">
        <f>'insurance final cleaned'!M1002</f>
        <v>0</v>
      </c>
      <c r="H1157">
        <f>'insurance final cleaned'!N1002</f>
        <v>0</v>
      </c>
      <c r="I1157">
        <f>'insurance final cleaned'!O1002</f>
        <v>1</v>
      </c>
      <c r="J1157">
        <f>'insurance final cleaned'!P1002</f>
        <v>0.86739204094356637</v>
      </c>
      <c r="K1157">
        <f>'insurance final cleaned'!Q1002</f>
        <v>1</v>
      </c>
      <c r="L1157">
        <f>'insurance final cleaned'!R1002</f>
        <v>0</v>
      </c>
      <c r="M1157">
        <f>'insurance final cleaned'!S1002</f>
        <v>1</v>
      </c>
    </row>
    <row r="1158" spans="1:13" x14ac:dyDescent="0.3">
      <c r="A1158">
        <f>'insurance final cleaned'!J246</f>
        <v>3645.09</v>
      </c>
      <c r="B1158">
        <f>'insurance final cleaned'!B246</f>
        <v>18</v>
      </c>
      <c r="C1158">
        <f>'insurance final cleaned'!D246</f>
        <v>25.5</v>
      </c>
      <c r="D1158">
        <f>'insurance final cleaned'!G246</f>
        <v>0</v>
      </c>
      <c r="E1158">
        <f>'insurance final cleaned'!E246</f>
        <v>99</v>
      </c>
      <c r="F1158">
        <f>'insurance final cleaned'!L246</f>
        <v>0</v>
      </c>
      <c r="G1158">
        <f>'insurance final cleaned'!M246</f>
        <v>0</v>
      </c>
      <c r="H1158">
        <f>'insurance final cleaned'!N246</f>
        <v>0</v>
      </c>
      <c r="I1158">
        <f>'insurance final cleaned'!O246</f>
        <v>0</v>
      </c>
      <c r="J1158">
        <f>'insurance final cleaned'!P246</f>
        <v>0.86836036148304729</v>
      </c>
      <c r="K1158">
        <f>'insurance final cleaned'!Q246</f>
        <v>0</v>
      </c>
      <c r="L1158">
        <f>'insurance final cleaned'!R246</f>
        <v>1</v>
      </c>
      <c r="M1158">
        <f>'insurance final cleaned'!S246</f>
        <v>0</v>
      </c>
    </row>
    <row r="1159" spans="1:13" x14ac:dyDescent="0.3">
      <c r="A1159">
        <f>'insurance final cleaned'!J1211</f>
        <v>35160.129999999997</v>
      </c>
      <c r="B1159">
        <f>'insurance final cleaned'!B1211</f>
        <v>32</v>
      </c>
      <c r="C1159">
        <f>'insurance final cleaned'!D1211</f>
        <v>26.8</v>
      </c>
      <c r="D1159">
        <f>'insurance final cleaned'!G1211</f>
        <v>1</v>
      </c>
      <c r="E1159">
        <f>'insurance final cleaned'!E1211</f>
        <v>107</v>
      </c>
      <c r="F1159">
        <f>'insurance final cleaned'!L1211</f>
        <v>0</v>
      </c>
      <c r="G1159">
        <f>'insurance final cleaned'!M1211</f>
        <v>0</v>
      </c>
      <c r="H1159">
        <f>'insurance final cleaned'!N1211</f>
        <v>1</v>
      </c>
      <c r="I1159">
        <f>'insurance final cleaned'!O1211</f>
        <v>0</v>
      </c>
      <c r="J1159">
        <f>'insurance final cleaned'!P1211</f>
        <v>0.87025801175825002</v>
      </c>
      <c r="K1159">
        <f>'insurance final cleaned'!Q1211</f>
        <v>0</v>
      </c>
      <c r="L1159">
        <f>'insurance final cleaned'!R1211</f>
        <v>0</v>
      </c>
      <c r="M1159">
        <f>'insurance final cleaned'!S1211</f>
        <v>1</v>
      </c>
    </row>
    <row r="1160" spans="1:13" x14ac:dyDescent="0.3">
      <c r="A1160">
        <f>'insurance final cleaned'!J58</f>
        <v>1712.23</v>
      </c>
      <c r="B1160">
        <f>'insurance final cleaned'!B58</f>
        <v>23</v>
      </c>
      <c r="C1160">
        <f>'insurance final cleaned'!D58</f>
        <v>28.5</v>
      </c>
      <c r="D1160">
        <f>'insurance final cleaned'!G58</f>
        <v>0</v>
      </c>
      <c r="E1160">
        <f>'insurance final cleaned'!E58</f>
        <v>88</v>
      </c>
      <c r="F1160">
        <f>'insurance final cleaned'!L58</f>
        <v>0</v>
      </c>
      <c r="G1160">
        <f>'insurance final cleaned'!M58</f>
        <v>0</v>
      </c>
      <c r="H1160">
        <f>'insurance final cleaned'!N58</f>
        <v>0</v>
      </c>
      <c r="I1160">
        <f>'insurance final cleaned'!O58</f>
        <v>1</v>
      </c>
      <c r="J1160">
        <f>'insurance final cleaned'!P58</f>
        <v>0.87049889303227812</v>
      </c>
      <c r="K1160">
        <f>'insurance final cleaned'!Q58</f>
        <v>0</v>
      </c>
      <c r="L1160">
        <f>'insurance final cleaned'!R58</f>
        <v>1</v>
      </c>
      <c r="M1160">
        <f>'insurance final cleaned'!S58</f>
        <v>0</v>
      </c>
    </row>
    <row r="1161" spans="1:13" x14ac:dyDescent="0.3">
      <c r="A1161">
        <f>'insurance final cleaned'!J409</f>
        <v>5615.37</v>
      </c>
      <c r="B1161">
        <f>'insurance final cleaned'!B409</f>
        <v>31</v>
      </c>
      <c r="C1161">
        <f>'insurance final cleaned'!D409</f>
        <v>24.3</v>
      </c>
      <c r="D1161">
        <f>'insurance final cleaned'!G409</f>
        <v>5</v>
      </c>
      <c r="E1161">
        <f>'insurance final cleaned'!E409</f>
        <v>83</v>
      </c>
      <c r="F1161">
        <f>'insurance final cleaned'!L409</f>
        <v>0</v>
      </c>
      <c r="G1161">
        <f>'insurance final cleaned'!M409</f>
        <v>0</v>
      </c>
      <c r="H1161">
        <f>'insurance final cleaned'!N409</f>
        <v>1</v>
      </c>
      <c r="I1161">
        <f>'insurance final cleaned'!O409</f>
        <v>0</v>
      </c>
      <c r="J1161">
        <f>'insurance final cleaned'!P409</f>
        <v>0.87094706636674968</v>
      </c>
      <c r="K1161">
        <f>'insurance final cleaned'!Q409</f>
        <v>0</v>
      </c>
      <c r="L1161">
        <f>'insurance final cleaned'!R409</f>
        <v>1</v>
      </c>
      <c r="M1161">
        <f>'insurance final cleaned'!S409</f>
        <v>0</v>
      </c>
    </row>
    <row r="1162" spans="1:13" x14ac:dyDescent="0.3">
      <c r="A1162">
        <f>'insurance final cleaned'!J695</f>
        <v>9715.84</v>
      </c>
      <c r="B1162">
        <f>'insurance final cleaned'!B695</f>
        <v>59</v>
      </c>
      <c r="C1162">
        <f>'insurance final cleaned'!D695</f>
        <v>26.6</v>
      </c>
      <c r="D1162">
        <f>'insurance final cleaned'!G695</f>
        <v>2</v>
      </c>
      <c r="E1162">
        <f>'insurance final cleaned'!E695</f>
        <v>83</v>
      </c>
      <c r="F1162">
        <f>'insurance final cleaned'!L695</f>
        <v>0</v>
      </c>
      <c r="G1162">
        <f>'insurance final cleaned'!M695</f>
        <v>0</v>
      </c>
      <c r="H1162">
        <f>'insurance final cleaned'!N695</f>
        <v>0</v>
      </c>
      <c r="I1162">
        <f>'insurance final cleaned'!O695</f>
        <v>0</v>
      </c>
      <c r="J1162">
        <f>'insurance final cleaned'!P695</f>
        <v>0.87100904648106336</v>
      </c>
      <c r="K1162">
        <f>'insurance final cleaned'!Q695</f>
        <v>0</v>
      </c>
      <c r="L1162">
        <f>'insurance final cleaned'!R695</f>
        <v>0</v>
      </c>
      <c r="M1162">
        <f>'insurance final cleaned'!S695</f>
        <v>1</v>
      </c>
    </row>
    <row r="1163" spans="1:13" x14ac:dyDescent="0.3">
      <c r="A1163">
        <f>'insurance final cleaned'!J883</f>
        <v>12609.89</v>
      </c>
      <c r="B1163">
        <f>'insurance final cleaned'!B883</f>
        <v>36</v>
      </c>
      <c r="C1163">
        <f>'insurance final cleaned'!D883</f>
        <v>26.8</v>
      </c>
      <c r="D1163">
        <f>'insurance final cleaned'!G883</f>
        <v>1</v>
      </c>
      <c r="E1163">
        <f>'insurance final cleaned'!E883</f>
        <v>88</v>
      </c>
      <c r="F1163">
        <f>'insurance final cleaned'!L883</f>
        <v>0</v>
      </c>
      <c r="G1163">
        <f>'insurance final cleaned'!M883</f>
        <v>0</v>
      </c>
      <c r="H1163">
        <f>'insurance final cleaned'!N883</f>
        <v>0</v>
      </c>
      <c r="I1163">
        <f>'insurance final cleaned'!O883</f>
        <v>1</v>
      </c>
      <c r="J1163">
        <f>'insurance final cleaned'!P883</f>
        <v>0.87185986149627259</v>
      </c>
      <c r="K1163">
        <f>'insurance final cleaned'!Q883</f>
        <v>0</v>
      </c>
      <c r="L1163">
        <f>'insurance final cleaned'!R883</f>
        <v>1</v>
      </c>
      <c r="M1163">
        <f>'insurance final cleaned'!S883</f>
        <v>0</v>
      </c>
    </row>
    <row r="1164" spans="1:13" x14ac:dyDescent="0.3">
      <c r="A1164">
        <f>'insurance final cleaned'!J1057</f>
        <v>19444.27</v>
      </c>
      <c r="B1164">
        <f>'insurance final cleaned'!B1057</f>
        <v>25</v>
      </c>
      <c r="C1164">
        <f>'insurance final cleaned'!D1057</f>
        <v>22.2</v>
      </c>
      <c r="D1164">
        <f>'insurance final cleaned'!G1057</f>
        <v>2</v>
      </c>
      <c r="E1164">
        <f>'insurance final cleaned'!E1057</f>
        <v>100</v>
      </c>
      <c r="F1164">
        <f>'insurance final cleaned'!L1057</f>
        <v>22.2</v>
      </c>
      <c r="G1164">
        <f>'insurance final cleaned'!M1057</f>
        <v>1</v>
      </c>
      <c r="H1164">
        <f>'insurance final cleaned'!N1057</f>
        <v>0</v>
      </c>
      <c r="I1164">
        <f>'insurance final cleaned'!O1057</f>
        <v>0</v>
      </c>
      <c r="J1164">
        <f>'insurance final cleaned'!P1057</f>
        <v>0.87201358340866364</v>
      </c>
      <c r="K1164">
        <f>'insurance final cleaned'!Q1057</f>
        <v>1</v>
      </c>
      <c r="L1164">
        <f>'insurance final cleaned'!R1057</f>
        <v>1</v>
      </c>
      <c r="M1164">
        <f>'insurance final cleaned'!S1057</f>
        <v>1</v>
      </c>
    </row>
    <row r="1165" spans="1:13" x14ac:dyDescent="0.3">
      <c r="A1165">
        <f>'insurance final cleaned'!J101</f>
        <v>2102.2600000000002</v>
      </c>
      <c r="B1165">
        <f>'insurance final cleaned'!B101</f>
        <v>50</v>
      </c>
      <c r="C1165">
        <f>'insurance final cleaned'!D101</f>
        <v>26</v>
      </c>
      <c r="D1165">
        <f>'insurance final cleaned'!G101</f>
        <v>0</v>
      </c>
      <c r="E1165">
        <f>'insurance final cleaned'!E101</f>
        <v>82</v>
      </c>
      <c r="F1165">
        <f>'insurance final cleaned'!L101</f>
        <v>0</v>
      </c>
      <c r="G1165">
        <f>'insurance final cleaned'!M101</f>
        <v>0</v>
      </c>
      <c r="H1165">
        <f>'insurance final cleaned'!N101</f>
        <v>0</v>
      </c>
      <c r="I1165">
        <f>'insurance final cleaned'!O101</f>
        <v>0</v>
      </c>
      <c r="J1165">
        <f>'insurance final cleaned'!P101</f>
        <v>0.87395549795440863</v>
      </c>
      <c r="K1165">
        <f>'insurance final cleaned'!Q101</f>
        <v>0</v>
      </c>
      <c r="L1165">
        <f>'insurance final cleaned'!R101</f>
        <v>0</v>
      </c>
      <c r="M1165">
        <f>'insurance final cleaned'!S101</f>
        <v>0</v>
      </c>
    </row>
    <row r="1166" spans="1:13" x14ac:dyDescent="0.3">
      <c r="A1166">
        <f>'insurance final cleaned'!J887</f>
        <v>12638.2</v>
      </c>
      <c r="B1166">
        <f>'insurance final cleaned'!B887</f>
        <v>28</v>
      </c>
      <c r="C1166">
        <f>'insurance final cleaned'!D887</f>
        <v>30.5</v>
      </c>
      <c r="D1166">
        <f>'insurance final cleaned'!G887</f>
        <v>0</v>
      </c>
      <c r="E1166">
        <f>'insurance final cleaned'!E887</f>
        <v>96</v>
      </c>
      <c r="F1166">
        <f>'insurance final cleaned'!L887</f>
        <v>0</v>
      </c>
      <c r="G1166">
        <f>'insurance final cleaned'!M887</f>
        <v>0</v>
      </c>
      <c r="H1166">
        <f>'insurance final cleaned'!N887</f>
        <v>1</v>
      </c>
      <c r="I1166">
        <f>'insurance final cleaned'!O887</f>
        <v>0</v>
      </c>
      <c r="J1166">
        <f>'insurance final cleaned'!P887</f>
        <v>0.87423523748437371</v>
      </c>
      <c r="K1166">
        <f>'insurance final cleaned'!Q887</f>
        <v>0</v>
      </c>
      <c r="L1166">
        <f>'insurance final cleaned'!R887</f>
        <v>0</v>
      </c>
      <c r="M1166">
        <f>'insurance final cleaned'!S887</f>
        <v>1</v>
      </c>
    </row>
    <row r="1167" spans="1:13" x14ac:dyDescent="0.3">
      <c r="A1167">
        <f>'insurance final cleaned'!J581</f>
        <v>8083.92</v>
      </c>
      <c r="B1167">
        <f>'insurance final cleaned'!B581</f>
        <v>25</v>
      </c>
      <c r="C1167">
        <f>'insurance final cleaned'!D581</f>
        <v>47.5</v>
      </c>
      <c r="D1167">
        <f>'insurance final cleaned'!G581</f>
        <v>1</v>
      </c>
      <c r="E1167">
        <f>'insurance final cleaned'!E581</f>
        <v>84</v>
      </c>
      <c r="F1167">
        <f>'insurance final cleaned'!L581</f>
        <v>0</v>
      </c>
      <c r="G1167">
        <f>'insurance final cleaned'!M581</f>
        <v>1</v>
      </c>
      <c r="H1167">
        <f>'insurance final cleaned'!N581</f>
        <v>0</v>
      </c>
      <c r="I1167">
        <f>'insurance final cleaned'!O581</f>
        <v>0</v>
      </c>
      <c r="J1167">
        <f>'insurance final cleaned'!P581</f>
        <v>0.87550682806085256</v>
      </c>
      <c r="K1167">
        <f>'insurance final cleaned'!Q581</f>
        <v>0</v>
      </c>
      <c r="L1167">
        <f>'insurance final cleaned'!R581</f>
        <v>1</v>
      </c>
      <c r="M1167">
        <f>'insurance final cleaned'!S581</f>
        <v>0</v>
      </c>
    </row>
    <row r="1168" spans="1:13" x14ac:dyDescent="0.3">
      <c r="A1168">
        <f>'insurance final cleaned'!J14</f>
        <v>1242.82</v>
      </c>
      <c r="B1168">
        <f>'insurance final cleaned'!B14</f>
        <v>19</v>
      </c>
      <c r="C1168">
        <f>'insurance final cleaned'!D14</f>
        <v>20.7</v>
      </c>
      <c r="D1168">
        <f>'insurance final cleaned'!G14</f>
        <v>0</v>
      </c>
      <c r="E1168">
        <f>'insurance final cleaned'!E14</f>
        <v>81</v>
      </c>
      <c r="F1168">
        <f>'insurance final cleaned'!L14</f>
        <v>0</v>
      </c>
      <c r="G1168">
        <f>'insurance final cleaned'!M14</f>
        <v>0</v>
      </c>
      <c r="H1168">
        <f>'insurance final cleaned'!N14</f>
        <v>0</v>
      </c>
      <c r="I1168">
        <f>'insurance final cleaned'!O14</f>
        <v>1</v>
      </c>
      <c r="J1168">
        <f>'insurance final cleaned'!P14</f>
        <v>0.87564291447932718</v>
      </c>
      <c r="K1168">
        <f>'insurance final cleaned'!Q14</f>
        <v>0</v>
      </c>
      <c r="L1168">
        <f>'insurance final cleaned'!R14</f>
        <v>0</v>
      </c>
      <c r="M1168">
        <f>'insurance final cleaned'!S14</f>
        <v>0</v>
      </c>
    </row>
    <row r="1169" spans="1:13" x14ac:dyDescent="0.3">
      <c r="A1169">
        <f>'insurance final cleaned'!J1312</f>
        <v>46255.11</v>
      </c>
      <c r="B1169">
        <f>'insurance final cleaned'!B1312</f>
        <v>26</v>
      </c>
      <c r="C1169">
        <f>'insurance final cleaned'!D1312</f>
        <v>37.1</v>
      </c>
      <c r="D1169">
        <f>'insurance final cleaned'!G1312</f>
        <v>3</v>
      </c>
      <c r="E1169">
        <f>'insurance final cleaned'!E1312</f>
        <v>95</v>
      </c>
      <c r="F1169">
        <f>'insurance final cleaned'!L1312</f>
        <v>37.1</v>
      </c>
      <c r="G1169">
        <f>'insurance final cleaned'!M1312</f>
        <v>0</v>
      </c>
      <c r="H1169">
        <f>'insurance final cleaned'!N1312</f>
        <v>0</v>
      </c>
      <c r="I1169">
        <f>'insurance final cleaned'!O1312</f>
        <v>0</v>
      </c>
      <c r="J1169">
        <f>'insurance final cleaned'!P1312</f>
        <v>0.87647307759208515</v>
      </c>
      <c r="K1169">
        <f>'insurance final cleaned'!Q1312</f>
        <v>1</v>
      </c>
      <c r="L1169">
        <f>'insurance final cleaned'!R1312</f>
        <v>0</v>
      </c>
      <c r="M1169">
        <f>'insurance final cleaned'!S1312</f>
        <v>1</v>
      </c>
    </row>
    <row r="1170" spans="1:13" x14ac:dyDescent="0.3">
      <c r="A1170">
        <f>'insurance final cleaned'!J966</f>
        <v>14358.36</v>
      </c>
      <c r="B1170">
        <f>'insurance final cleaned'!B966</f>
        <v>44</v>
      </c>
      <c r="C1170">
        <f>'insurance final cleaned'!D966</f>
        <v>32.799999999999997</v>
      </c>
      <c r="D1170">
        <f>'insurance final cleaned'!G966</f>
        <v>1</v>
      </c>
      <c r="E1170">
        <f>'insurance final cleaned'!E966</f>
        <v>89</v>
      </c>
      <c r="F1170">
        <f>'insurance final cleaned'!L966</f>
        <v>0</v>
      </c>
      <c r="G1170">
        <f>'insurance final cleaned'!M966</f>
        <v>0</v>
      </c>
      <c r="H1170">
        <f>'insurance final cleaned'!N966</f>
        <v>1</v>
      </c>
      <c r="I1170">
        <f>'insurance final cleaned'!O966</f>
        <v>0</v>
      </c>
      <c r="J1170">
        <f>'insurance final cleaned'!P966</f>
        <v>0.87711134035770899</v>
      </c>
      <c r="K1170">
        <f>'insurance final cleaned'!Q966</f>
        <v>0</v>
      </c>
      <c r="L1170">
        <f>'insurance final cleaned'!R966</f>
        <v>1</v>
      </c>
      <c r="M1170">
        <f>'insurance final cleaned'!S966</f>
        <v>0</v>
      </c>
    </row>
    <row r="1171" spans="1:13" x14ac:dyDescent="0.3">
      <c r="A1171">
        <f>'insurance final cleaned'!J320</f>
        <v>4529.4799999999996</v>
      </c>
      <c r="B1171">
        <f>'insurance final cleaned'!B320</f>
        <v>47</v>
      </c>
      <c r="C1171">
        <f>'insurance final cleaned'!D320</f>
        <v>24.6</v>
      </c>
      <c r="D1171">
        <f>'insurance final cleaned'!G320</f>
        <v>2</v>
      </c>
      <c r="E1171">
        <f>'insurance final cleaned'!E320</f>
        <v>90</v>
      </c>
      <c r="F1171">
        <f>'insurance final cleaned'!L320</f>
        <v>0</v>
      </c>
      <c r="G1171">
        <f>'insurance final cleaned'!M320</f>
        <v>0</v>
      </c>
      <c r="H1171">
        <f>'insurance final cleaned'!N320</f>
        <v>1</v>
      </c>
      <c r="I1171">
        <f>'insurance final cleaned'!O320</f>
        <v>0</v>
      </c>
      <c r="J1171">
        <f>'insurance final cleaned'!P320</f>
        <v>0.8777761116132945</v>
      </c>
      <c r="K1171">
        <f>'insurance final cleaned'!Q320</f>
        <v>0</v>
      </c>
      <c r="L1171">
        <f>'insurance final cleaned'!R320</f>
        <v>1</v>
      </c>
      <c r="M1171">
        <f>'insurance final cleaned'!S320</f>
        <v>1</v>
      </c>
    </row>
    <row r="1172" spans="1:13" x14ac:dyDescent="0.3">
      <c r="A1172">
        <f>'insurance final cleaned'!J1340</f>
        <v>62592.87</v>
      </c>
      <c r="B1172">
        <f>'insurance final cleaned'!B1340</f>
        <v>37</v>
      </c>
      <c r="C1172">
        <f>'insurance final cleaned'!D1340</f>
        <v>30.4</v>
      </c>
      <c r="D1172">
        <f>'insurance final cleaned'!G1340</f>
        <v>0</v>
      </c>
      <c r="E1172">
        <f>'insurance final cleaned'!E1340</f>
        <v>106</v>
      </c>
      <c r="F1172">
        <f>'insurance final cleaned'!L1340</f>
        <v>30.4</v>
      </c>
      <c r="G1172">
        <f>'insurance final cleaned'!M1340</f>
        <v>1</v>
      </c>
      <c r="H1172">
        <f>'insurance final cleaned'!N1340</f>
        <v>0</v>
      </c>
      <c r="I1172">
        <f>'insurance final cleaned'!O1340</f>
        <v>0</v>
      </c>
      <c r="J1172">
        <f>'insurance final cleaned'!P1340</f>
        <v>0.87891632455831514</v>
      </c>
      <c r="K1172">
        <f>'insurance final cleaned'!Q1340</f>
        <v>1</v>
      </c>
      <c r="L1172">
        <f>'insurance final cleaned'!R1340</f>
        <v>0</v>
      </c>
      <c r="M1172">
        <f>'insurance final cleaned'!S1340</f>
        <v>0</v>
      </c>
    </row>
    <row r="1173" spans="1:13" x14ac:dyDescent="0.3">
      <c r="A1173">
        <f>'insurance final cleaned'!J922</f>
        <v>13352.1</v>
      </c>
      <c r="B1173">
        <f>'insurance final cleaned'!B922</f>
        <v>38</v>
      </c>
      <c r="C1173">
        <f>'insurance final cleaned'!D922</f>
        <v>30</v>
      </c>
      <c r="D1173">
        <f>'insurance final cleaned'!G922</f>
        <v>0</v>
      </c>
      <c r="E1173">
        <f>'insurance final cleaned'!E922</f>
        <v>110</v>
      </c>
      <c r="F1173">
        <f>'insurance final cleaned'!L922</f>
        <v>0</v>
      </c>
      <c r="G1173">
        <f>'insurance final cleaned'!M922</f>
        <v>0</v>
      </c>
      <c r="H1173">
        <f>'insurance final cleaned'!N922</f>
        <v>0</v>
      </c>
      <c r="I1173">
        <f>'insurance final cleaned'!O922</f>
        <v>1</v>
      </c>
      <c r="J1173">
        <f>'insurance final cleaned'!P922</f>
        <v>0.88106296974787812</v>
      </c>
      <c r="K1173">
        <f>'insurance final cleaned'!Q922</f>
        <v>0</v>
      </c>
      <c r="L1173">
        <f>'insurance final cleaned'!R922</f>
        <v>1</v>
      </c>
      <c r="M1173">
        <f>'insurance final cleaned'!S922</f>
        <v>0</v>
      </c>
    </row>
    <row r="1174" spans="1:13" x14ac:dyDescent="0.3">
      <c r="A1174">
        <f>'insurance final cleaned'!J654</f>
        <v>9095.07</v>
      </c>
      <c r="B1174">
        <f>'insurance final cleaned'!B654</f>
        <v>55</v>
      </c>
      <c r="C1174">
        <f>'insurance final cleaned'!D654</f>
        <v>25.2</v>
      </c>
      <c r="D1174">
        <f>'insurance final cleaned'!G654</f>
        <v>2</v>
      </c>
      <c r="E1174">
        <f>'insurance final cleaned'!E654</f>
        <v>81</v>
      </c>
      <c r="F1174">
        <f>'insurance final cleaned'!L654</f>
        <v>0</v>
      </c>
      <c r="G1174">
        <f>'insurance final cleaned'!M654</f>
        <v>0</v>
      </c>
      <c r="H1174">
        <f>'insurance final cleaned'!N654</f>
        <v>0</v>
      </c>
      <c r="I1174">
        <f>'insurance final cleaned'!O654</f>
        <v>0</v>
      </c>
      <c r="J1174">
        <f>'insurance final cleaned'!P654</f>
        <v>0.88209811408012906</v>
      </c>
      <c r="K1174">
        <f>'insurance final cleaned'!Q654</f>
        <v>0</v>
      </c>
      <c r="L1174">
        <f>'insurance final cleaned'!R654</f>
        <v>1</v>
      </c>
      <c r="M1174">
        <f>'insurance final cleaned'!S654</f>
        <v>1</v>
      </c>
    </row>
    <row r="1175" spans="1:13" x14ac:dyDescent="0.3">
      <c r="A1175">
        <f>'insurance final cleaned'!J47</f>
        <v>1665</v>
      </c>
      <c r="B1175">
        <f>'insurance final cleaned'!B47</f>
        <v>29</v>
      </c>
      <c r="C1175">
        <f>'insurance final cleaned'!D47</f>
        <v>26.8</v>
      </c>
      <c r="D1175">
        <f>'insurance final cleaned'!G47</f>
        <v>0</v>
      </c>
      <c r="E1175">
        <f>'insurance final cleaned'!E47</f>
        <v>94</v>
      </c>
      <c r="F1175">
        <f>'insurance final cleaned'!L47</f>
        <v>0</v>
      </c>
      <c r="G1175">
        <f>'insurance final cleaned'!M47</f>
        <v>1</v>
      </c>
      <c r="H1175">
        <f>'insurance final cleaned'!N47</f>
        <v>0</v>
      </c>
      <c r="I1175">
        <f>'insurance final cleaned'!O47</f>
        <v>0</v>
      </c>
      <c r="J1175">
        <f>'insurance final cleaned'!P47</f>
        <v>0.88212104746881592</v>
      </c>
      <c r="K1175">
        <f>'insurance final cleaned'!Q47</f>
        <v>0</v>
      </c>
      <c r="L1175">
        <f>'insurance final cleaned'!R47</f>
        <v>1</v>
      </c>
      <c r="M1175">
        <f>'insurance final cleaned'!S47</f>
        <v>0</v>
      </c>
    </row>
    <row r="1176" spans="1:13" x14ac:dyDescent="0.3">
      <c r="A1176">
        <f>'insurance final cleaned'!J797</f>
        <v>11326.71</v>
      </c>
      <c r="B1176">
        <f>'insurance final cleaned'!B797</f>
        <v>47</v>
      </c>
      <c r="C1176">
        <f>'insurance final cleaned'!D797</f>
        <v>42.5</v>
      </c>
      <c r="D1176">
        <f>'insurance final cleaned'!G797</f>
        <v>1</v>
      </c>
      <c r="E1176">
        <f>'insurance final cleaned'!E797</f>
        <v>96</v>
      </c>
      <c r="F1176">
        <f>'insurance final cleaned'!L797</f>
        <v>0</v>
      </c>
      <c r="G1176">
        <f>'insurance final cleaned'!M797</f>
        <v>1</v>
      </c>
      <c r="H1176">
        <f>'insurance final cleaned'!N797</f>
        <v>0</v>
      </c>
      <c r="I1176">
        <f>'insurance final cleaned'!O797</f>
        <v>0</v>
      </c>
      <c r="J1176">
        <f>'insurance final cleaned'!P797</f>
        <v>0.88272544009839093</v>
      </c>
      <c r="K1176">
        <f>'insurance final cleaned'!Q797</f>
        <v>0</v>
      </c>
      <c r="L1176">
        <f>'insurance final cleaned'!R797</f>
        <v>0</v>
      </c>
      <c r="M1176">
        <f>'insurance final cleaned'!S797</f>
        <v>0</v>
      </c>
    </row>
    <row r="1177" spans="1:13" x14ac:dyDescent="0.3">
      <c r="A1177">
        <f>'insurance final cleaned'!J172</f>
        <v>2721.32</v>
      </c>
      <c r="B1177">
        <f>'insurance final cleaned'!B172</f>
        <v>46</v>
      </c>
      <c r="C1177">
        <f>'insurance final cleaned'!D172</f>
        <v>26.2</v>
      </c>
      <c r="D1177">
        <f>'insurance final cleaned'!G172</f>
        <v>0</v>
      </c>
      <c r="E1177">
        <f>'insurance final cleaned'!E172</f>
        <v>84</v>
      </c>
      <c r="F1177">
        <f>'insurance final cleaned'!L172</f>
        <v>0</v>
      </c>
      <c r="G1177">
        <f>'insurance final cleaned'!M172</f>
        <v>1</v>
      </c>
      <c r="H1177">
        <f>'insurance final cleaned'!N172</f>
        <v>0</v>
      </c>
      <c r="I1177">
        <f>'insurance final cleaned'!O172</f>
        <v>0</v>
      </c>
      <c r="J1177">
        <f>'insurance final cleaned'!P172</f>
        <v>0.88360570998994015</v>
      </c>
      <c r="K1177">
        <f>'insurance final cleaned'!Q172</f>
        <v>0</v>
      </c>
      <c r="L1177">
        <f>'insurance final cleaned'!R172</f>
        <v>0</v>
      </c>
      <c r="M1177">
        <f>'insurance final cleaned'!S172</f>
        <v>0</v>
      </c>
    </row>
    <row r="1178" spans="1:13" x14ac:dyDescent="0.3">
      <c r="A1178">
        <f>'insurance final cleaned'!J840</f>
        <v>11879.1</v>
      </c>
      <c r="B1178">
        <f>'insurance final cleaned'!B840</f>
        <v>52</v>
      </c>
      <c r="C1178">
        <f>'insurance final cleaned'!D840</f>
        <v>32.4</v>
      </c>
      <c r="D1178">
        <f>'insurance final cleaned'!G840</f>
        <v>1</v>
      </c>
      <c r="E1178">
        <f>'insurance final cleaned'!E840</f>
        <v>83</v>
      </c>
      <c r="F1178">
        <f>'insurance final cleaned'!L840</f>
        <v>0</v>
      </c>
      <c r="G1178">
        <f>'insurance final cleaned'!M840</f>
        <v>0</v>
      </c>
      <c r="H1178">
        <f>'insurance final cleaned'!N840</f>
        <v>0</v>
      </c>
      <c r="I1178">
        <f>'insurance final cleaned'!O840</f>
        <v>0</v>
      </c>
      <c r="J1178">
        <f>'insurance final cleaned'!P840</f>
        <v>0.88439249136102382</v>
      </c>
      <c r="K1178">
        <f>'insurance final cleaned'!Q840</f>
        <v>0</v>
      </c>
      <c r="L1178">
        <f>'insurance final cleaned'!R840</f>
        <v>0</v>
      </c>
      <c r="M1178">
        <f>'insurance final cleaned'!S840</f>
        <v>1</v>
      </c>
    </row>
    <row r="1179" spans="1:13" x14ac:dyDescent="0.3">
      <c r="A1179">
        <f>'insurance final cleaned'!J106</f>
        <v>2130.6799999999998</v>
      </c>
      <c r="B1179">
        <f>'insurance final cleaned'!B106</f>
        <v>52</v>
      </c>
      <c r="C1179">
        <f>'insurance final cleaned'!D106</f>
        <v>32.1</v>
      </c>
      <c r="D1179">
        <f>'insurance final cleaned'!G106</f>
        <v>0</v>
      </c>
      <c r="E1179">
        <f>'insurance final cleaned'!E106</f>
        <v>94</v>
      </c>
      <c r="F1179">
        <f>'insurance final cleaned'!L106</f>
        <v>0</v>
      </c>
      <c r="G1179">
        <f>'insurance final cleaned'!M106</f>
        <v>0</v>
      </c>
      <c r="H1179">
        <f>'insurance final cleaned'!N106</f>
        <v>0</v>
      </c>
      <c r="I1179">
        <f>'insurance final cleaned'!O106</f>
        <v>1</v>
      </c>
      <c r="J1179">
        <f>'insurance final cleaned'!P106</f>
        <v>0.88533300128905257</v>
      </c>
      <c r="K1179">
        <f>'insurance final cleaned'!Q106</f>
        <v>0</v>
      </c>
      <c r="L1179">
        <f>'insurance final cleaned'!R106</f>
        <v>1</v>
      </c>
      <c r="M1179">
        <f>'insurance final cleaned'!S106</f>
        <v>1</v>
      </c>
    </row>
    <row r="1180" spans="1:13" x14ac:dyDescent="0.3">
      <c r="A1180">
        <f>'insurance final cleaned'!J1300</f>
        <v>44423.8</v>
      </c>
      <c r="B1180">
        <f>'insurance final cleaned'!B1300</f>
        <v>30</v>
      </c>
      <c r="C1180">
        <f>'insurance final cleaned'!D1300</f>
        <v>35.200000000000003</v>
      </c>
      <c r="D1180">
        <f>'insurance final cleaned'!G1300</f>
        <v>0</v>
      </c>
      <c r="E1180">
        <f>'insurance final cleaned'!E1300</f>
        <v>95</v>
      </c>
      <c r="F1180">
        <f>'insurance final cleaned'!L1300</f>
        <v>35.200000000000003</v>
      </c>
      <c r="G1180">
        <f>'insurance final cleaned'!M1300</f>
        <v>1</v>
      </c>
      <c r="H1180">
        <f>'insurance final cleaned'!N1300</f>
        <v>0</v>
      </c>
      <c r="I1180">
        <f>'insurance final cleaned'!O1300</f>
        <v>0</v>
      </c>
      <c r="J1180">
        <f>'insurance final cleaned'!P1300</f>
        <v>0.8856991850727518</v>
      </c>
      <c r="K1180">
        <f>'insurance final cleaned'!Q1300</f>
        <v>1</v>
      </c>
      <c r="L1180">
        <f>'insurance final cleaned'!R1300</f>
        <v>1</v>
      </c>
      <c r="M1180">
        <f>'insurance final cleaned'!S1300</f>
        <v>1</v>
      </c>
    </row>
    <row r="1181" spans="1:13" x14ac:dyDescent="0.3">
      <c r="A1181">
        <f>'insurance final cleaned'!J1009</f>
        <v>16796.41</v>
      </c>
      <c r="B1181">
        <f>'insurance final cleaned'!B1009</f>
        <v>45</v>
      </c>
      <c r="C1181">
        <f>'insurance final cleaned'!D1009</f>
        <v>30.6</v>
      </c>
      <c r="D1181">
        <f>'insurance final cleaned'!G1009</f>
        <v>1</v>
      </c>
      <c r="E1181">
        <f>'insurance final cleaned'!E1009</f>
        <v>85</v>
      </c>
      <c r="F1181">
        <f>'insurance final cleaned'!L1009</f>
        <v>0</v>
      </c>
      <c r="G1181">
        <f>'insurance final cleaned'!M1009</f>
        <v>0</v>
      </c>
      <c r="H1181">
        <f>'insurance final cleaned'!N1009</f>
        <v>0</v>
      </c>
      <c r="I1181">
        <f>'insurance final cleaned'!O1009</f>
        <v>0</v>
      </c>
      <c r="J1181">
        <f>'insurance final cleaned'!P1009</f>
        <v>0.8873551918000141</v>
      </c>
      <c r="K1181">
        <f>'insurance final cleaned'!Q1009</f>
        <v>0</v>
      </c>
      <c r="L1181">
        <f>'insurance final cleaned'!R1009</f>
        <v>0</v>
      </c>
      <c r="M1181">
        <f>'insurance final cleaned'!S1009</f>
        <v>1</v>
      </c>
    </row>
    <row r="1182" spans="1:13" x14ac:dyDescent="0.3">
      <c r="A1182">
        <f>'insurance final cleaned'!J93</f>
        <v>1984.45</v>
      </c>
      <c r="B1182">
        <f>'insurance final cleaned'!B93</f>
        <v>20</v>
      </c>
      <c r="C1182">
        <f>'insurance final cleaned'!D93</f>
        <v>40.5</v>
      </c>
      <c r="D1182">
        <f>'insurance final cleaned'!G93</f>
        <v>0</v>
      </c>
      <c r="E1182">
        <f>'insurance final cleaned'!E93</f>
        <v>95</v>
      </c>
      <c r="F1182">
        <f>'insurance final cleaned'!L93</f>
        <v>0</v>
      </c>
      <c r="G1182">
        <f>'insurance final cleaned'!M93</f>
        <v>1</v>
      </c>
      <c r="H1182">
        <f>'insurance final cleaned'!N93</f>
        <v>0</v>
      </c>
      <c r="I1182">
        <f>'insurance final cleaned'!O93</f>
        <v>0</v>
      </c>
      <c r="J1182">
        <f>'insurance final cleaned'!P93</f>
        <v>0.88901849357992169</v>
      </c>
      <c r="K1182">
        <f>'insurance final cleaned'!Q93</f>
        <v>0</v>
      </c>
      <c r="L1182">
        <f>'insurance final cleaned'!R93</f>
        <v>0</v>
      </c>
      <c r="M1182">
        <f>'insurance final cleaned'!S93</f>
        <v>0</v>
      </c>
    </row>
    <row r="1183" spans="1:13" x14ac:dyDescent="0.3">
      <c r="A1183">
        <f>'insurance final cleaned'!J720</f>
        <v>10096.969999999999</v>
      </c>
      <c r="B1183">
        <f>'insurance final cleaned'!B720</f>
        <v>34</v>
      </c>
      <c r="C1183">
        <f>'insurance final cleaned'!D720</f>
        <v>25.8</v>
      </c>
      <c r="D1183">
        <f>'insurance final cleaned'!G720</f>
        <v>5</v>
      </c>
      <c r="E1183">
        <f>'insurance final cleaned'!E720</f>
        <v>100</v>
      </c>
      <c r="F1183">
        <f>'insurance final cleaned'!L720</f>
        <v>0</v>
      </c>
      <c r="G1183">
        <f>'insurance final cleaned'!M720</f>
        <v>0</v>
      </c>
      <c r="H1183">
        <f>'insurance final cleaned'!N720</f>
        <v>1</v>
      </c>
      <c r="I1183">
        <f>'insurance final cleaned'!O720</f>
        <v>0</v>
      </c>
      <c r="J1183">
        <f>'insurance final cleaned'!P720</f>
        <v>0.89186260411444129</v>
      </c>
      <c r="K1183">
        <f>'insurance final cleaned'!Q720</f>
        <v>0</v>
      </c>
      <c r="L1183">
        <f>'insurance final cleaned'!R720</f>
        <v>1</v>
      </c>
      <c r="M1183">
        <f>'insurance final cleaned'!S720</f>
        <v>0</v>
      </c>
    </row>
    <row r="1184" spans="1:13" x14ac:dyDescent="0.3">
      <c r="A1184">
        <f>'insurance final cleaned'!J322</f>
        <v>4544.2299999999996</v>
      </c>
      <c r="B1184">
        <f>'insurance final cleaned'!B322</f>
        <v>50</v>
      </c>
      <c r="C1184">
        <f>'insurance final cleaned'!D322</f>
        <v>20.5</v>
      </c>
      <c r="D1184">
        <f>'insurance final cleaned'!G322</f>
        <v>0</v>
      </c>
      <c r="E1184">
        <f>'insurance final cleaned'!E322</f>
        <v>89</v>
      </c>
      <c r="F1184">
        <f>'insurance final cleaned'!L322</f>
        <v>0</v>
      </c>
      <c r="G1184">
        <f>'insurance final cleaned'!M322</f>
        <v>1</v>
      </c>
      <c r="H1184">
        <f>'insurance final cleaned'!N322</f>
        <v>0</v>
      </c>
      <c r="I1184">
        <f>'insurance final cleaned'!O322</f>
        <v>0</v>
      </c>
      <c r="J1184">
        <f>'insurance final cleaned'!P322</f>
        <v>0.89201652341423243</v>
      </c>
      <c r="K1184">
        <f>'insurance final cleaned'!Q322</f>
        <v>0</v>
      </c>
      <c r="L1184">
        <f>'insurance final cleaned'!R322</f>
        <v>1</v>
      </c>
      <c r="M1184">
        <f>'insurance final cleaned'!S322</f>
        <v>1</v>
      </c>
    </row>
    <row r="1185" spans="1:13" x14ac:dyDescent="0.3">
      <c r="A1185">
        <f>'insurance final cleaned'!J817</f>
        <v>11552.9</v>
      </c>
      <c r="B1185">
        <f>'insurance final cleaned'!B817</f>
        <v>29</v>
      </c>
      <c r="C1185">
        <f>'insurance final cleaned'!D817</f>
        <v>31.9</v>
      </c>
      <c r="D1185">
        <f>'insurance final cleaned'!G817</f>
        <v>5</v>
      </c>
      <c r="E1185">
        <f>'insurance final cleaned'!E817</f>
        <v>90</v>
      </c>
      <c r="F1185">
        <f>'insurance final cleaned'!L817</f>
        <v>0</v>
      </c>
      <c r="G1185">
        <f>'insurance final cleaned'!M817</f>
        <v>0</v>
      </c>
      <c r="H1185">
        <f>'insurance final cleaned'!N817</f>
        <v>1</v>
      </c>
      <c r="I1185">
        <f>'insurance final cleaned'!O817</f>
        <v>0</v>
      </c>
      <c r="J1185">
        <f>'insurance final cleaned'!P817</f>
        <v>0.89212046651995469</v>
      </c>
      <c r="K1185">
        <f>'insurance final cleaned'!Q817</f>
        <v>0</v>
      </c>
      <c r="L1185">
        <f>'insurance final cleaned'!R817</f>
        <v>1</v>
      </c>
      <c r="M1185">
        <f>'insurance final cleaned'!S817</f>
        <v>1</v>
      </c>
    </row>
    <row r="1186" spans="1:13" x14ac:dyDescent="0.3">
      <c r="A1186">
        <f>'insurance final cleaned'!J997</f>
        <v>16085.13</v>
      </c>
      <c r="B1186">
        <f>'insurance final cleaned'!B997</f>
        <v>55</v>
      </c>
      <c r="C1186">
        <f>'insurance final cleaned'!D997</f>
        <v>39.1</v>
      </c>
      <c r="D1186">
        <f>'insurance final cleaned'!G997</f>
        <v>3</v>
      </c>
      <c r="E1186">
        <f>'insurance final cleaned'!E997</f>
        <v>83</v>
      </c>
      <c r="F1186">
        <f>'insurance final cleaned'!L997</f>
        <v>0</v>
      </c>
      <c r="G1186">
        <f>'insurance final cleaned'!M997</f>
        <v>1</v>
      </c>
      <c r="H1186">
        <f>'insurance final cleaned'!N997</f>
        <v>0</v>
      </c>
      <c r="I1186">
        <f>'insurance final cleaned'!O997</f>
        <v>0</v>
      </c>
      <c r="J1186">
        <f>'insurance final cleaned'!P997</f>
        <v>0.89255200455034878</v>
      </c>
      <c r="K1186">
        <f>'insurance final cleaned'!Q997</f>
        <v>0</v>
      </c>
      <c r="L1186">
        <f>'insurance final cleaned'!R997</f>
        <v>1</v>
      </c>
      <c r="M1186">
        <f>'insurance final cleaned'!S997</f>
        <v>1</v>
      </c>
    </row>
    <row r="1187" spans="1:13" x14ac:dyDescent="0.3">
      <c r="A1187">
        <f>'insurance final cleaned'!J485</f>
        <v>6666.24</v>
      </c>
      <c r="B1187">
        <f>'insurance final cleaned'!B485</f>
        <v>48</v>
      </c>
      <c r="C1187">
        <f>'insurance final cleaned'!D485</f>
        <v>42.4</v>
      </c>
      <c r="D1187">
        <f>'insurance final cleaned'!G485</f>
        <v>5</v>
      </c>
      <c r="E1187">
        <f>'insurance final cleaned'!E485</f>
        <v>92</v>
      </c>
      <c r="F1187">
        <f>'insurance final cleaned'!L485</f>
        <v>0</v>
      </c>
      <c r="G1187">
        <f>'insurance final cleaned'!M485</f>
        <v>0</v>
      </c>
      <c r="H1187">
        <f>'insurance final cleaned'!N485</f>
        <v>1</v>
      </c>
      <c r="I1187">
        <f>'insurance final cleaned'!O485</f>
        <v>0</v>
      </c>
      <c r="J1187">
        <f>'insurance final cleaned'!P485</f>
        <v>0.89397907053487424</v>
      </c>
      <c r="K1187">
        <f>'insurance final cleaned'!Q485</f>
        <v>0</v>
      </c>
      <c r="L1187">
        <f>'insurance final cleaned'!R485</f>
        <v>1</v>
      </c>
      <c r="M1187">
        <f>'insurance final cleaned'!S485</f>
        <v>0</v>
      </c>
    </row>
    <row r="1188" spans="1:13" x14ac:dyDescent="0.3">
      <c r="A1188">
        <f>'insurance final cleaned'!J1257</f>
        <v>39725.519999999997</v>
      </c>
      <c r="B1188">
        <f>'insurance final cleaned'!B1257</f>
        <v>40</v>
      </c>
      <c r="C1188">
        <f>'insurance final cleaned'!D1257</f>
        <v>30.5</v>
      </c>
      <c r="D1188">
        <f>'insurance final cleaned'!G1257</f>
        <v>1</v>
      </c>
      <c r="E1188">
        <f>'insurance final cleaned'!E1257</f>
        <v>93</v>
      </c>
      <c r="F1188">
        <f>'insurance final cleaned'!L1257</f>
        <v>30.5</v>
      </c>
      <c r="G1188">
        <f>'insurance final cleaned'!M1257</f>
        <v>0</v>
      </c>
      <c r="H1188">
        <f>'insurance final cleaned'!N1257</f>
        <v>0</v>
      </c>
      <c r="I1188">
        <f>'insurance final cleaned'!O1257</f>
        <v>1</v>
      </c>
      <c r="J1188">
        <f>'insurance final cleaned'!P1257</f>
        <v>0.89415738869506012</v>
      </c>
      <c r="K1188">
        <f>'insurance final cleaned'!Q1257</f>
        <v>1</v>
      </c>
      <c r="L1188">
        <f>'insurance final cleaned'!R1257</f>
        <v>1</v>
      </c>
      <c r="M1188">
        <f>'insurance final cleaned'!S1257</f>
        <v>1</v>
      </c>
    </row>
    <row r="1189" spans="1:13" x14ac:dyDescent="0.3">
      <c r="A1189">
        <f>'insurance final cleaned'!J650</f>
        <v>8978.19</v>
      </c>
      <c r="B1189">
        <f>'insurance final cleaned'!B650</f>
        <v>32</v>
      </c>
      <c r="C1189">
        <f>'insurance final cleaned'!D650</f>
        <v>37.299999999999997</v>
      </c>
      <c r="D1189">
        <f>'insurance final cleaned'!G650</f>
        <v>2</v>
      </c>
      <c r="E1189">
        <f>'insurance final cleaned'!E650</f>
        <v>85</v>
      </c>
      <c r="F1189">
        <f>'insurance final cleaned'!L650</f>
        <v>0</v>
      </c>
      <c r="G1189">
        <f>'insurance final cleaned'!M650</f>
        <v>1</v>
      </c>
      <c r="H1189">
        <f>'insurance final cleaned'!N650</f>
        <v>0</v>
      </c>
      <c r="I1189">
        <f>'insurance final cleaned'!O650</f>
        <v>0</v>
      </c>
      <c r="J1189">
        <f>'insurance final cleaned'!P650</f>
        <v>0.89525416545145431</v>
      </c>
      <c r="K1189">
        <f>'insurance final cleaned'!Q650</f>
        <v>0</v>
      </c>
      <c r="L1189">
        <f>'insurance final cleaned'!R650</f>
        <v>0</v>
      </c>
      <c r="M1189">
        <f>'insurance final cleaned'!S650</f>
        <v>0</v>
      </c>
    </row>
    <row r="1190" spans="1:13" x14ac:dyDescent="0.3">
      <c r="A1190">
        <f>'insurance final cleaned'!J1216</f>
        <v>36085.22</v>
      </c>
      <c r="B1190">
        <f>'insurance final cleaned'!B1216</f>
        <v>40</v>
      </c>
      <c r="C1190">
        <f>'insurance final cleaned'!D1216</f>
        <v>32.9</v>
      </c>
      <c r="D1190">
        <f>'insurance final cleaned'!G1216</f>
        <v>2</v>
      </c>
      <c r="E1190">
        <f>'insurance final cleaned'!E1216</f>
        <v>87</v>
      </c>
      <c r="F1190">
        <f>'insurance final cleaned'!L1216</f>
        <v>32.9</v>
      </c>
      <c r="G1190">
        <f>'insurance final cleaned'!M1216</f>
        <v>0</v>
      </c>
      <c r="H1190">
        <f>'insurance final cleaned'!N1216</f>
        <v>1</v>
      </c>
      <c r="I1190">
        <f>'insurance final cleaned'!O1216</f>
        <v>0</v>
      </c>
      <c r="J1190">
        <f>'insurance final cleaned'!P1216</f>
        <v>0.89660558425092296</v>
      </c>
      <c r="K1190">
        <f>'insurance final cleaned'!Q1216</f>
        <v>1</v>
      </c>
      <c r="L1190">
        <f>'insurance final cleaned'!R1216</f>
        <v>1</v>
      </c>
      <c r="M1190">
        <f>'insurance final cleaned'!S1216</f>
        <v>0</v>
      </c>
    </row>
    <row r="1191" spans="1:13" x14ac:dyDescent="0.3">
      <c r="A1191">
        <f>'insurance final cleaned'!J1201</f>
        <v>34439.86</v>
      </c>
      <c r="B1191">
        <f>'insurance final cleaned'!B1201</f>
        <v>30</v>
      </c>
      <c r="C1191">
        <f>'insurance final cleaned'!D1201</f>
        <v>33.1</v>
      </c>
      <c r="D1191">
        <f>'insurance final cleaned'!G1201</f>
        <v>0</v>
      </c>
      <c r="E1191">
        <f>'insurance final cleaned'!E1201</f>
        <v>93</v>
      </c>
      <c r="F1191">
        <f>'insurance final cleaned'!L1201</f>
        <v>33.1</v>
      </c>
      <c r="G1191">
        <f>'insurance final cleaned'!M1201</f>
        <v>1</v>
      </c>
      <c r="H1191">
        <f>'insurance final cleaned'!N1201</f>
        <v>0</v>
      </c>
      <c r="I1191">
        <f>'insurance final cleaned'!O1201</f>
        <v>0</v>
      </c>
      <c r="J1191">
        <f>'insurance final cleaned'!P1201</f>
        <v>0.89671940042354714</v>
      </c>
      <c r="K1191">
        <f>'insurance final cleaned'!Q1201</f>
        <v>1</v>
      </c>
      <c r="L1191">
        <f>'insurance final cleaned'!R1201</f>
        <v>1</v>
      </c>
      <c r="M1191">
        <f>'insurance final cleaned'!S1201</f>
        <v>1</v>
      </c>
    </row>
    <row r="1192" spans="1:13" x14ac:dyDescent="0.3">
      <c r="A1192">
        <f>'insurance final cleaned'!J735</f>
        <v>10355.64</v>
      </c>
      <c r="B1192">
        <f>'insurance final cleaned'!B735</f>
        <v>29</v>
      </c>
      <c r="C1192">
        <f>'insurance final cleaned'!D735</f>
        <v>26.6</v>
      </c>
      <c r="D1192">
        <f>'insurance final cleaned'!G735</f>
        <v>0</v>
      </c>
      <c r="E1192">
        <f>'insurance final cleaned'!E735</f>
        <v>105</v>
      </c>
      <c r="F1192">
        <f>'insurance final cleaned'!L735</f>
        <v>0</v>
      </c>
      <c r="G1192">
        <f>'insurance final cleaned'!M735</f>
        <v>0</v>
      </c>
      <c r="H1192">
        <f>'insurance final cleaned'!N735</f>
        <v>0</v>
      </c>
      <c r="I1192">
        <f>'insurance final cleaned'!O735</f>
        <v>1</v>
      </c>
      <c r="J1192">
        <f>'insurance final cleaned'!P735</f>
        <v>0.8968308816702194</v>
      </c>
      <c r="K1192">
        <f>'insurance final cleaned'!Q735</f>
        <v>0</v>
      </c>
      <c r="L1192">
        <f>'insurance final cleaned'!R735</f>
        <v>1</v>
      </c>
      <c r="M1192">
        <f>'insurance final cleaned'!S735</f>
        <v>1</v>
      </c>
    </row>
    <row r="1193" spans="1:13" x14ac:dyDescent="0.3">
      <c r="A1193">
        <f>'insurance final cleaned'!J583</f>
        <v>8116.68</v>
      </c>
      <c r="B1193">
        <f>'insurance final cleaned'!B583</f>
        <v>40</v>
      </c>
      <c r="C1193">
        <f>'insurance final cleaned'!D583</f>
        <v>30.3</v>
      </c>
      <c r="D1193">
        <f>'insurance final cleaned'!G583</f>
        <v>0</v>
      </c>
      <c r="E1193">
        <f>'insurance final cleaned'!E583</f>
        <v>83</v>
      </c>
      <c r="F1193">
        <f>'insurance final cleaned'!L583</f>
        <v>0</v>
      </c>
      <c r="G1193">
        <f>'insurance final cleaned'!M583</f>
        <v>0</v>
      </c>
      <c r="H1193">
        <f>'insurance final cleaned'!N583</f>
        <v>1</v>
      </c>
      <c r="I1193">
        <f>'insurance final cleaned'!O583</f>
        <v>0</v>
      </c>
      <c r="J1193">
        <f>'insurance final cleaned'!P583</f>
        <v>0.89702367165996744</v>
      </c>
      <c r="K1193">
        <f>'insurance final cleaned'!Q583</f>
        <v>0</v>
      </c>
      <c r="L1193">
        <f>'insurance final cleaned'!R583</f>
        <v>1</v>
      </c>
      <c r="M1193">
        <f>'insurance final cleaned'!S583</f>
        <v>0</v>
      </c>
    </row>
    <row r="1194" spans="1:13" x14ac:dyDescent="0.3">
      <c r="A1194">
        <f>'insurance final cleaned'!J605</f>
        <v>8428.07</v>
      </c>
      <c r="B1194">
        <f>'insurance final cleaned'!B605</f>
        <v>39</v>
      </c>
      <c r="C1194">
        <f>'insurance final cleaned'!D605</f>
        <v>19.600000000000001</v>
      </c>
      <c r="D1194">
        <f>'insurance final cleaned'!G605</f>
        <v>1</v>
      </c>
      <c r="E1194">
        <f>'insurance final cleaned'!E605</f>
        <v>91</v>
      </c>
      <c r="F1194">
        <f>'insurance final cleaned'!L605</f>
        <v>0</v>
      </c>
      <c r="G1194">
        <f>'insurance final cleaned'!M605</f>
        <v>0</v>
      </c>
      <c r="H1194">
        <f>'insurance final cleaned'!N605</f>
        <v>0</v>
      </c>
      <c r="I1194">
        <f>'insurance final cleaned'!O605</f>
        <v>1</v>
      </c>
      <c r="J1194">
        <f>'insurance final cleaned'!P605</f>
        <v>0.8975380599763344</v>
      </c>
      <c r="K1194">
        <f>'insurance final cleaned'!Q605</f>
        <v>0</v>
      </c>
      <c r="L1194">
        <f>'insurance final cleaned'!R605</f>
        <v>1</v>
      </c>
      <c r="M1194">
        <f>'insurance final cleaned'!S605</f>
        <v>0</v>
      </c>
    </row>
    <row r="1195" spans="1:13" x14ac:dyDescent="0.3">
      <c r="A1195">
        <f>'insurance final cleaned'!J1262</f>
        <v>39983.43</v>
      </c>
      <c r="B1195">
        <f>'insurance final cleaned'!B1262</f>
        <v>50</v>
      </c>
      <c r="C1195">
        <f>'insurance final cleaned'!D1262</f>
        <v>34.1</v>
      </c>
      <c r="D1195">
        <f>'insurance final cleaned'!G1262</f>
        <v>3</v>
      </c>
      <c r="E1195">
        <f>'insurance final cleaned'!E1262</f>
        <v>82</v>
      </c>
      <c r="F1195">
        <f>'insurance final cleaned'!L1262</f>
        <v>34.1</v>
      </c>
      <c r="G1195">
        <f>'insurance final cleaned'!M1262</f>
        <v>0</v>
      </c>
      <c r="H1195">
        <f>'insurance final cleaned'!N1262</f>
        <v>0</v>
      </c>
      <c r="I1195">
        <f>'insurance final cleaned'!O1262</f>
        <v>1</v>
      </c>
      <c r="J1195">
        <f>'insurance final cleaned'!P1262</f>
        <v>0.89800251979434231</v>
      </c>
      <c r="K1195">
        <f>'insurance final cleaned'!Q1262</f>
        <v>1</v>
      </c>
      <c r="L1195">
        <f>'insurance final cleaned'!R1262</f>
        <v>1</v>
      </c>
      <c r="M1195">
        <f>'insurance final cleaned'!S1262</f>
        <v>1</v>
      </c>
    </row>
    <row r="1196" spans="1:13" x14ac:dyDescent="0.3">
      <c r="A1196">
        <f>'insurance final cleaned'!J637</f>
        <v>8823.2800000000007</v>
      </c>
      <c r="B1196">
        <f>'insurance final cleaned'!B637</f>
        <v>43</v>
      </c>
      <c r="C1196">
        <f>'insurance final cleaned'!D637</f>
        <v>28.9</v>
      </c>
      <c r="D1196">
        <f>'insurance final cleaned'!G637</f>
        <v>2</v>
      </c>
      <c r="E1196">
        <f>'insurance final cleaned'!E637</f>
        <v>95</v>
      </c>
      <c r="F1196">
        <f>'insurance final cleaned'!L637</f>
        <v>0</v>
      </c>
      <c r="G1196">
        <f>'insurance final cleaned'!M637</f>
        <v>0</v>
      </c>
      <c r="H1196">
        <f>'insurance final cleaned'!N637</f>
        <v>1</v>
      </c>
      <c r="I1196">
        <f>'insurance final cleaned'!O637</f>
        <v>0</v>
      </c>
      <c r="J1196">
        <f>'insurance final cleaned'!P637</f>
        <v>0.89833572041823129</v>
      </c>
      <c r="K1196">
        <f>'insurance final cleaned'!Q637</f>
        <v>0</v>
      </c>
      <c r="L1196">
        <f>'insurance final cleaned'!R637</f>
        <v>0</v>
      </c>
      <c r="M1196">
        <f>'insurance final cleaned'!S637</f>
        <v>1</v>
      </c>
    </row>
    <row r="1197" spans="1:13" x14ac:dyDescent="0.3">
      <c r="A1197">
        <f>'insurance final cleaned'!J166</f>
        <v>2690.11</v>
      </c>
      <c r="B1197">
        <f>'insurance final cleaned'!B166</f>
        <v>52</v>
      </c>
      <c r="C1197">
        <f>'insurance final cleaned'!D166</f>
        <v>28.1</v>
      </c>
      <c r="D1197">
        <f>'insurance final cleaned'!G166</f>
        <v>0</v>
      </c>
      <c r="E1197">
        <f>'insurance final cleaned'!E166</f>
        <v>90</v>
      </c>
      <c r="F1197">
        <f>'insurance final cleaned'!L166</f>
        <v>0</v>
      </c>
      <c r="G1197">
        <f>'insurance final cleaned'!M166</f>
        <v>0</v>
      </c>
      <c r="H1197">
        <f>'insurance final cleaned'!N166</f>
        <v>0</v>
      </c>
      <c r="I1197">
        <f>'insurance final cleaned'!O166</f>
        <v>1</v>
      </c>
      <c r="J1197">
        <f>'insurance final cleaned'!P166</f>
        <v>0.89893102919334766</v>
      </c>
      <c r="K1197">
        <f>'insurance final cleaned'!Q166</f>
        <v>0</v>
      </c>
      <c r="L1197">
        <f>'insurance final cleaned'!R166</f>
        <v>1</v>
      </c>
      <c r="M1197">
        <f>'insurance final cleaned'!S166</f>
        <v>1</v>
      </c>
    </row>
    <row r="1198" spans="1:13" x14ac:dyDescent="0.3">
      <c r="A1198">
        <f>'insurance final cleaned'!J781</f>
        <v>11082.58</v>
      </c>
      <c r="B1198">
        <f>'insurance final cleaned'!B781</f>
        <v>38</v>
      </c>
      <c r="C1198">
        <f>'insurance final cleaned'!D781</f>
        <v>27</v>
      </c>
      <c r="D1198">
        <f>'insurance final cleaned'!G781</f>
        <v>0</v>
      </c>
      <c r="E1198">
        <f>'insurance final cleaned'!E781</f>
        <v>84</v>
      </c>
      <c r="F1198">
        <f>'insurance final cleaned'!L781</f>
        <v>0</v>
      </c>
      <c r="G1198">
        <f>'insurance final cleaned'!M781</f>
        <v>0</v>
      </c>
      <c r="H1198">
        <f>'insurance final cleaned'!N781</f>
        <v>0</v>
      </c>
      <c r="I1198">
        <f>'insurance final cleaned'!O781</f>
        <v>1</v>
      </c>
      <c r="J1198">
        <f>'insurance final cleaned'!P781</f>
        <v>0.90059604757932332</v>
      </c>
      <c r="K1198">
        <f>'insurance final cleaned'!Q781</f>
        <v>0</v>
      </c>
      <c r="L1198">
        <f>'insurance final cleaned'!R781</f>
        <v>0</v>
      </c>
      <c r="M1198">
        <f>'insurance final cleaned'!S781</f>
        <v>1</v>
      </c>
    </row>
    <row r="1199" spans="1:13" x14ac:dyDescent="0.3">
      <c r="A1199">
        <f>'insurance final cleaned'!J1208</f>
        <v>34838.870000000003</v>
      </c>
      <c r="B1199">
        <f>'insurance final cleaned'!B1208</f>
        <v>46</v>
      </c>
      <c r="C1199">
        <f>'insurance final cleaned'!D1208</f>
        <v>31.4</v>
      </c>
      <c r="D1199">
        <f>'insurance final cleaned'!G1208</f>
        <v>0</v>
      </c>
      <c r="E1199">
        <f>'insurance final cleaned'!E1208</f>
        <v>111</v>
      </c>
      <c r="F1199">
        <f>'insurance final cleaned'!L1208</f>
        <v>31.4</v>
      </c>
      <c r="G1199">
        <f>'insurance final cleaned'!M1208</f>
        <v>0</v>
      </c>
      <c r="H1199">
        <f>'insurance final cleaned'!N1208</f>
        <v>1</v>
      </c>
      <c r="I1199">
        <f>'insurance final cleaned'!O1208</f>
        <v>0</v>
      </c>
      <c r="J1199">
        <f>'insurance final cleaned'!P1208</f>
        <v>0.90176202646725023</v>
      </c>
      <c r="K1199">
        <f>'insurance final cleaned'!Q1208</f>
        <v>1</v>
      </c>
      <c r="L1199">
        <f>'insurance final cleaned'!R1208</f>
        <v>0</v>
      </c>
      <c r="M1199">
        <f>'insurance final cleaned'!S1208</f>
        <v>1</v>
      </c>
    </row>
    <row r="1200" spans="1:13" x14ac:dyDescent="0.3">
      <c r="A1200">
        <f>'insurance final cleaned'!J1063</f>
        <v>19673.34</v>
      </c>
      <c r="B1200">
        <f>'insurance final cleaned'!B1063</f>
        <v>47</v>
      </c>
      <c r="C1200">
        <f>'insurance final cleaned'!D1063</f>
        <v>33.799999999999997</v>
      </c>
      <c r="D1200">
        <f>'insurance final cleaned'!G1063</f>
        <v>0</v>
      </c>
      <c r="E1200">
        <f>'insurance final cleaned'!E1063</f>
        <v>98</v>
      </c>
      <c r="F1200">
        <f>'insurance final cleaned'!L1063</f>
        <v>0</v>
      </c>
      <c r="G1200">
        <f>'insurance final cleaned'!M1063</f>
        <v>0</v>
      </c>
      <c r="H1200">
        <f>'insurance final cleaned'!N1063</f>
        <v>0</v>
      </c>
      <c r="I1200">
        <f>'insurance final cleaned'!O1063</f>
        <v>1</v>
      </c>
      <c r="J1200">
        <f>'insurance final cleaned'!P1063</f>
        <v>0.90193666246242044</v>
      </c>
      <c r="K1200">
        <f>'insurance final cleaned'!Q1063</f>
        <v>0</v>
      </c>
      <c r="L1200">
        <f>'insurance final cleaned'!R1063</f>
        <v>0</v>
      </c>
      <c r="M1200">
        <f>'insurance final cleaned'!S1063</f>
        <v>0</v>
      </c>
    </row>
    <row r="1201" spans="1:13" x14ac:dyDescent="0.3">
      <c r="A1201">
        <f>'insurance final cleaned'!J100</f>
        <v>2055.3200000000002</v>
      </c>
      <c r="B1201">
        <f>'insurance final cleaned'!B100</f>
        <v>47</v>
      </c>
      <c r="C1201">
        <f>'insurance final cleaned'!D100</f>
        <v>32.1</v>
      </c>
      <c r="D1201">
        <f>'insurance final cleaned'!G100</f>
        <v>0</v>
      </c>
      <c r="E1201">
        <f>'insurance final cleaned'!E100</f>
        <v>81</v>
      </c>
      <c r="F1201">
        <f>'insurance final cleaned'!L100</f>
        <v>0</v>
      </c>
      <c r="G1201">
        <f>'insurance final cleaned'!M100</f>
        <v>0</v>
      </c>
      <c r="H1201">
        <f>'insurance final cleaned'!N100</f>
        <v>0</v>
      </c>
      <c r="I1201">
        <f>'insurance final cleaned'!O100</f>
        <v>1</v>
      </c>
      <c r="J1201">
        <f>'insurance final cleaned'!P100</f>
        <v>0.90260165208010767</v>
      </c>
      <c r="K1201">
        <f>'insurance final cleaned'!Q100</f>
        <v>0</v>
      </c>
      <c r="L1201">
        <f>'insurance final cleaned'!R100</f>
        <v>0</v>
      </c>
      <c r="M1201">
        <f>'insurance final cleaned'!S100</f>
        <v>0</v>
      </c>
    </row>
    <row r="1202" spans="1:13" x14ac:dyDescent="0.3">
      <c r="A1202">
        <f>'insurance final cleaned'!J153</f>
        <v>2498.41</v>
      </c>
      <c r="B1202">
        <f>'insurance final cleaned'!B153</f>
        <v>26</v>
      </c>
      <c r="C1202">
        <f>'insurance final cleaned'!D153</f>
        <v>33.700000000000003</v>
      </c>
      <c r="D1202">
        <f>'insurance final cleaned'!G153</f>
        <v>0</v>
      </c>
      <c r="E1202">
        <f>'insurance final cleaned'!E153</f>
        <v>99</v>
      </c>
      <c r="F1202">
        <f>'insurance final cleaned'!L153</f>
        <v>0</v>
      </c>
      <c r="G1202">
        <f>'insurance final cleaned'!M153</f>
        <v>1</v>
      </c>
      <c r="H1202">
        <f>'insurance final cleaned'!N153</f>
        <v>0</v>
      </c>
      <c r="I1202">
        <f>'insurance final cleaned'!O153</f>
        <v>0</v>
      </c>
      <c r="J1202">
        <f>'insurance final cleaned'!P153</f>
        <v>0.90291371927632258</v>
      </c>
      <c r="K1202">
        <f>'insurance final cleaned'!Q153</f>
        <v>0</v>
      </c>
      <c r="L1202">
        <f>'insurance final cleaned'!R153</f>
        <v>0</v>
      </c>
      <c r="M1202">
        <f>'insurance final cleaned'!S153</f>
        <v>0</v>
      </c>
    </row>
    <row r="1203" spans="1:13" x14ac:dyDescent="0.3">
      <c r="A1203">
        <f>'insurance final cleaned'!J512</f>
        <v>7144.86</v>
      </c>
      <c r="B1203">
        <f>'insurance final cleaned'!B512</f>
        <v>55</v>
      </c>
      <c r="C1203">
        <f>'insurance final cleaned'!D512</f>
        <v>27.8</v>
      </c>
      <c r="D1203">
        <f>'insurance final cleaned'!G512</f>
        <v>2</v>
      </c>
      <c r="E1203">
        <f>'insurance final cleaned'!E512</f>
        <v>80</v>
      </c>
      <c r="F1203">
        <f>'insurance final cleaned'!L512</f>
        <v>0</v>
      </c>
      <c r="G1203">
        <f>'insurance final cleaned'!M512</f>
        <v>1</v>
      </c>
      <c r="H1203">
        <f>'insurance final cleaned'!N512</f>
        <v>0</v>
      </c>
      <c r="I1203">
        <f>'insurance final cleaned'!O512</f>
        <v>0</v>
      </c>
      <c r="J1203">
        <f>'insurance final cleaned'!P512</f>
        <v>0.90321515677309083</v>
      </c>
      <c r="K1203">
        <f>'insurance final cleaned'!Q512</f>
        <v>0</v>
      </c>
      <c r="L1203">
        <f>'insurance final cleaned'!R512</f>
        <v>1</v>
      </c>
      <c r="M1203">
        <f>'insurance final cleaned'!S512</f>
        <v>1</v>
      </c>
    </row>
    <row r="1204" spans="1:13" x14ac:dyDescent="0.3">
      <c r="A1204">
        <f>'insurance final cleaned'!J1336</f>
        <v>52590.83</v>
      </c>
      <c r="B1204">
        <f>'insurance final cleaned'!B1336</f>
        <v>43</v>
      </c>
      <c r="C1204">
        <f>'insurance final cleaned'!D1336</f>
        <v>32.799999999999997</v>
      </c>
      <c r="D1204">
        <f>'insurance final cleaned'!G1336</f>
        <v>0</v>
      </c>
      <c r="E1204">
        <f>'insurance final cleaned'!E1336</f>
        <v>125</v>
      </c>
      <c r="F1204">
        <f>'insurance final cleaned'!L1336</f>
        <v>32.799999999999997</v>
      </c>
      <c r="G1204">
        <f>'insurance final cleaned'!M1336</f>
        <v>0</v>
      </c>
      <c r="H1204">
        <f>'insurance final cleaned'!N1336</f>
        <v>1</v>
      </c>
      <c r="I1204">
        <f>'insurance final cleaned'!O1336</f>
        <v>0</v>
      </c>
      <c r="J1204">
        <f>'insurance final cleaned'!P1336</f>
        <v>0.90352296462636061</v>
      </c>
      <c r="K1204">
        <f>'insurance final cleaned'!Q1336</f>
        <v>1</v>
      </c>
      <c r="L1204">
        <f>'insurance final cleaned'!R1336</f>
        <v>0</v>
      </c>
      <c r="M1204">
        <f>'insurance final cleaned'!S1336</f>
        <v>0</v>
      </c>
    </row>
    <row r="1205" spans="1:13" x14ac:dyDescent="0.3">
      <c r="A1205">
        <f>'insurance final cleaned'!J554</f>
        <v>7626.99</v>
      </c>
      <c r="B1205">
        <f>'insurance final cleaned'!B554</f>
        <v>34</v>
      </c>
      <c r="C1205">
        <f>'insurance final cleaned'!D554</f>
        <v>27.5</v>
      </c>
      <c r="D1205">
        <f>'insurance final cleaned'!G554</f>
        <v>1</v>
      </c>
      <c r="E1205">
        <f>'insurance final cleaned'!E554</f>
        <v>96</v>
      </c>
      <c r="F1205">
        <f>'insurance final cleaned'!L554</f>
        <v>0</v>
      </c>
      <c r="G1205">
        <f>'insurance final cleaned'!M554</f>
        <v>0</v>
      </c>
      <c r="H1205">
        <f>'insurance final cleaned'!N554</f>
        <v>1</v>
      </c>
      <c r="I1205">
        <f>'insurance final cleaned'!O554</f>
        <v>0</v>
      </c>
      <c r="J1205">
        <f>'insurance final cleaned'!P554</f>
        <v>0.90388424316796789</v>
      </c>
      <c r="K1205">
        <f>'insurance final cleaned'!Q554</f>
        <v>0</v>
      </c>
      <c r="L1205">
        <f>'insurance final cleaned'!R554</f>
        <v>1</v>
      </c>
      <c r="M1205">
        <f>'insurance final cleaned'!S554</f>
        <v>1</v>
      </c>
    </row>
    <row r="1206" spans="1:13" x14ac:dyDescent="0.3">
      <c r="A1206">
        <f>'insurance final cleaned'!J397</f>
        <v>5415.66</v>
      </c>
      <c r="B1206">
        <f>'insurance final cleaned'!B397</f>
        <v>30</v>
      </c>
      <c r="C1206">
        <f>'insurance final cleaned'!D397</f>
        <v>25.1</v>
      </c>
      <c r="D1206">
        <f>'insurance final cleaned'!G397</f>
        <v>0</v>
      </c>
      <c r="E1206">
        <f>'insurance final cleaned'!E397</f>
        <v>100</v>
      </c>
      <c r="F1206">
        <f>'insurance final cleaned'!L397</f>
        <v>0</v>
      </c>
      <c r="G1206">
        <f>'insurance final cleaned'!M397</f>
        <v>1</v>
      </c>
      <c r="H1206">
        <f>'insurance final cleaned'!N397</f>
        <v>0</v>
      </c>
      <c r="I1206">
        <f>'insurance final cleaned'!O397</f>
        <v>0</v>
      </c>
      <c r="J1206">
        <f>'insurance final cleaned'!P397</f>
        <v>0.90404319436533065</v>
      </c>
      <c r="K1206">
        <f>'insurance final cleaned'!Q397</f>
        <v>0</v>
      </c>
      <c r="L1206">
        <f>'insurance final cleaned'!R397</f>
        <v>1</v>
      </c>
      <c r="M1206">
        <f>'insurance final cleaned'!S397</f>
        <v>0</v>
      </c>
    </row>
    <row r="1207" spans="1:13" x14ac:dyDescent="0.3">
      <c r="A1207">
        <f>'insurance final cleaned'!J1251</f>
        <v>39125.33</v>
      </c>
      <c r="B1207">
        <f>'insurance final cleaned'!B1251</f>
        <v>20</v>
      </c>
      <c r="C1207">
        <f>'insurance final cleaned'!D1251</f>
        <v>32.799999999999997</v>
      </c>
      <c r="D1207">
        <f>'insurance final cleaned'!G1251</f>
        <v>1</v>
      </c>
      <c r="E1207">
        <f>'insurance final cleaned'!E1251</f>
        <v>99</v>
      </c>
      <c r="F1207">
        <f>'insurance final cleaned'!L1251</f>
        <v>32.799999999999997</v>
      </c>
      <c r="G1207">
        <f>'insurance final cleaned'!M1251</f>
        <v>0</v>
      </c>
      <c r="H1207">
        <f>'insurance final cleaned'!N1251</f>
        <v>0</v>
      </c>
      <c r="I1207">
        <f>'insurance final cleaned'!O1251</f>
        <v>0</v>
      </c>
      <c r="J1207">
        <f>'insurance final cleaned'!P1251</f>
        <v>0.90408443009185047</v>
      </c>
      <c r="K1207">
        <f>'insurance final cleaned'!Q1251</f>
        <v>1</v>
      </c>
      <c r="L1207">
        <f>'insurance final cleaned'!R1251</f>
        <v>1</v>
      </c>
      <c r="M1207">
        <f>'insurance final cleaned'!S1251</f>
        <v>0</v>
      </c>
    </row>
    <row r="1208" spans="1:13" x14ac:dyDescent="0.3">
      <c r="A1208">
        <f>'insurance final cleaned'!J1283</f>
        <v>42211.14</v>
      </c>
      <c r="B1208">
        <f>'insurance final cleaned'!B1283</f>
        <v>39</v>
      </c>
      <c r="C1208">
        <f>'insurance final cleaned'!D1283</f>
        <v>36.1</v>
      </c>
      <c r="D1208">
        <f>'insurance final cleaned'!G1283</f>
        <v>1</v>
      </c>
      <c r="E1208">
        <f>'insurance final cleaned'!E1283</f>
        <v>109</v>
      </c>
      <c r="F1208">
        <f>'insurance final cleaned'!L1283</f>
        <v>36.1</v>
      </c>
      <c r="G1208">
        <f>'insurance final cleaned'!M1283</f>
        <v>1</v>
      </c>
      <c r="H1208">
        <f>'insurance final cleaned'!N1283</f>
        <v>0</v>
      </c>
      <c r="I1208">
        <f>'insurance final cleaned'!O1283</f>
        <v>0</v>
      </c>
      <c r="J1208">
        <f>'insurance final cleaned'!P1283</f>
        <v>0.90435138207808763</v>
      </c>
      <c r="K1208">
        <f>'insurance final cleaned'!Q1283</f>
        <v>1</v>
      </c>
      <c r="L1208">
        <f>'insurance final cleaned'!R1283</f>
        <v>1</v>
      </c>
      <c r="M1208">
        <f>'insurance final cleaned'!S1283</f>
        <v>0</v>
      </c>
    </row>
    <row r="1209" spans="1:13" x14ac:dyDescent="0.3">
      <c r="A1209">
        <f>'insurance final cleaned'!J1304</f>
        <v>45008.959999999999</v>
      </c>
      <c r="B1209">
        <f>'insurance final cleaned'!B1304</f>
        <v>35</v>
      </c>
      <c r="C1209">
        <f>'insurance final cleaned'!D1304</f>
        <v>32.5</v>
      </c>
      <c r="D1209">
        <f>'insurance final cleaned'!G1304</f>
        <v>0</v>
      </c>
      <c r="E1209">
        <f>'insurance final cleaned'!E1304</f>
        <v>134</v>
      </c>
      <c r="F1209">
        <f>'insurance final cleaned'!L1304</f>
        <v>32.5</v>
      </c>
      <c r="G1209">
        <f>'insurance final cleaned'!M1304</f>
        <v>1</v>
      </c>
      <c r="H1209">
        <f>'insurance final cleaned'!N1304</f>
        <v>0</v>
      </c>
      <c r="I1209">
        <f>'insurance final cleaned'!O1304</f>
        <v>0</v>
      </c>
      <c r="J1209">
        <f>'insurance final cleaned'!P1304</f>
        <v>0.90465318466594513</v>
      </c>
      <c r="K1209">
        <f>'insurance final cleaned'!Q1304</f>
        <v>1</v>
      </c>
      <c r="L1209">
        <f>'insurance final cleaned'!R1304</f>
        <v>1</v>
      </c>
      <c r="M1209">
        <f>'insurance final cleaned'!S1304</f>
        <v>1</v>
      </c>
    </row>
    <row r="1210" spans="1:13" x14ac:dyDescent="0.3">
      <c r="A1210">
        <f>'insurance final cleaned'!J402</f>
        <v>5469.01</v>
      </c>
      <c r="B1210">
        <f>'insurance final cleaned'!B402</f>
        <v>57</v>
      </c>
      <c r="C1210">
        <f>'insurance final cleaned'!D402</f>
        <v>27.7</v>
      </c>
      <c r="D1210">
        <f>'insurance final cleaned'!G402</f>
        <v>0</v>
      </c>
      <c r="E1210">
        <f>'insurance final cleaned'!E402</f>
        <v>97</v>
      </c>
      <c r="F1210">
        <f>'insurance final cleaned'!L402</f>
        <v>0</v>
      </c>
      <c r="G1210">
        <f>'insurance final cleaned'!M402</f>
        <v>1</v>
      </c>
      <c r="H1210">
        <f>'insurance final cleaned'!N402</f>
        <v>0</v>
      </c>
      <c r="I1210">
        <f>'insurance final cleaned'!O402</f>
        <v>0</v>
      </c>
      <c r="J1210">
        <f>'insurance final cleaned'!P402</f>
        <v>0.90527709711017468</v>
      </c>
      <c r="K1210">
        <f>'insurance final cleaned'!Q402</f>
        <v>0</v>
      </c>
      <c r="L1210">
        <f>'insurance final cleaned'!R402</f>
        <v>1</v>
      </c>
      <c r="M1210">
        <f>'insurance final cleaned'!S402</f>
        <v>1</v>
      </c>
    </row>
    <row r="1211" spans="1:13" x14ac:dyDescent="0.3">
      <c r="A1211">
        <f>'insurance final cleaned'!J527</f>
        <v>7243.81</v>
      </c>
      <c r="B1211">
        <f>'insurance final cleaned'!B527</f>
        <v>55</v>
      </c>
      <c r="C1211">
        <f>'insurance final cleaned'!D527</f>
        <v>29</v>
      </c>
      <c r="D1211">
        <f>'insurance final cleaned'!G527</f>
        <v>4</v>
      </c>
      <c r="E1211">
        <f>'insurance final cleaned'!E527</f>
        <v>84</v>
      </c>
      <c r="F1211">
        <f>'insurance final cleaned'!L527</f>
        <v>0</v>
      </c>
      <c r="G1211">
        <f>'insurance final cleaned'!M527</f>
        <v>1</v>
      </c>
      <c r="H1211">
        <f>'insurance final cleaned'!N527</f>
        <v>0</v>
      </c>
      <c r="I1211">
        <f>'insurance final cleaned'!O527</f>
        <v>0</v>
      </c>
      <c r="J1211">
        <f>'insurance final cleaned'!P527</f>
        <v>0.90617458010841245</v>
      </c>
      <c r="K1211">
        <f>'insurance final cleaned'!Q527</f>
        <v>0</v>
      </c>
      <c r="L1211">
        <f>'insurance final cleaned'!R527</f>
        <v>1</v>
      </c>
      <c r="M1211">
        <f>'insurance final cleaned'!S527</f>
        <v>1</v>
      </c>
    </row>
    <row r="1212" spans="1:13" x14ac:dyDescent="0.3">
      <c r="A1212">
        <f>'insurance final cleaned'!J544</f>
        <v>7441.5</v>
      </c>
      <c r="B1212">
        <f>'insurance final cleaned'!B544</f>
        <v>19</v>
      </c>
      <c r="C1212">
        <f>'insurance final cleaned'!D544</f>
        <v>32.6</v>
      </c>
      <c r="D1212">
        <f>'insurance final cleaned'!G544</f>
        <v>2</v>
      </c>
      <c r="E1212">
        <f>'insurance final cleaned'!E544</f>
        <v>94</v>
      </c>
      <c r="F1212">
        <f>'insurance final cleaned'!L544</f>
        <v>0</v>
      </c>
      <c r="G1212">
        <f>'insurance final cleaned'!M544</f>
        <v>0</v>
      </c>
      <c r="H1212">
        <f>'insurance final cleaned'!N544</f>
        <v>1</v>
      </c>
      <c r="I1212">
        <f>'insurance final cleaned'!O544</f>
        <v>0</v>
      </c>
      <c r="J1212">
        <f>'insurance final cleaned'!P544</f>
        <v>0.90782986793589415</v>
      </c>
      <c r="K1212">
        <f>'insurance final cleaned'!Q544</f>
        <v>0</v>
      </c>
      <c r="L1212">
        <f>'insurance final cleaned'!R544</f>
        <v>1</v>
      </c>
      <c r="M1212">
        <f>'insurance final cleaned'!S544</f>
        <v>0</v>
      </c>
    </row>
    <row r="1213" spans="1:13" x14ac:dyDescent="0.3">
      <c r="A1213">
        <f>'insurance final cleaned'!J1248</f>
        <v>38792.69</v>
      </c>
      <c r="B1213">
        <f>'insurance final cleaned'!B1248</f>
        <v>25</v>
      </c>
      <c r="C1213">
        <f>'insurance final cleaned'!D1248</f>
        <v>42.2</v>
      </c>
      <c r="D1213">
        <f>'insurance final cleaned'!G1248</f>
        <v>0</v>
      </c>
      <c r="E1213">
        <f>'insurance final cleaned'!E1248</f>
        <v>131</v>
      </c>
      <c r="F1213">
        <f>'insurance final cleaned'!L1248</f>
        <v>42.2</v>
      </c>
      <c r="G1213">
        <f>'insurance final cleaned'!M1248</f>
        <v>1</v>
      </c>
      <c r="H1213">
        <f>'insurance final cleaned'!N1248</f>
        <v>0</v>
      </c>
      <c r="I1213">
        <f>'insurance final cleaned'!O1248</f>
        <v>0</v>
      </c>
      <c r="J1213">
        <f>'insurance final cleaned'!P1248</f>
        <v>0.90949230414042537</v>
      </c>
      <c r="K1213">
        <f>'insurance final cleaned'!Q1248</f>
        <v>1</v>
      </c>
      <c r="L1213">
        <f>'insurance final cleaned'!R1248</f>
        <v>1</v>
      </c>
      <c r="M1213">
        <f>'insurance final cleaned'!S1248</f>
        <v>1</v>
      </c>
    </row>
    <row r="1214" spans="1:13" x14ac:dyDescent="0.3">
      <c r="A1214">
        <f>'insurance final cleaned'!J976</f>
        <v>14474.68</v>
      </c>
      <c r="B1214">
        <f>'insurance final cleaned'!B976</f>
        <v>57</v>
      </c>
      <c r="C1214">
        <f>'insurance final cleaned'!D976</f>
        <v>35.200000000000003</v>
      </c>
      <c r="D1214">
        <f>'insurance final cleaned'!G976</f>
        <v>1</v>
      </c>
      <c r="E1214">
        <f>'insurance final cleaned'!E976</f>
        <v>94</v>
      </c>
      <c r="F1214">
        <f>'insurance final cleaned'!L976</f>
        <v>0</v>
      </c>
      <c r="G1214">
        <f>'insurance final cleaned'!M976</f>
        <v>1</v>
      </c>
      <c r="H1214">
        <f>'insurance final cleaned'!N976</f>
        <v>0</v>
      </c>
      <c r="I1214">
        <f>'insurance final cleaned'!O976</f>
        <v>0</v>
      </c>
      <c r="J1214">
        <f>'insurance final cleaned'!P976</f>
        <v>0.91017510984048533</v>
      </c>
      <c r="K1214">
        <f>'insurance final cleaned'!Q976</f>
        <v>0</v>
      </c>
      <c r="L1214">
        <f>'insurance final cleaned'!R976</f>
        <v>0</v>
      </c>
      <c r="M1214">
        <f>'insurance final cleaned'!S976</f>
        <v>1</v>
      </c>
    </row>
    <row r="1215" spans="1:13" x14ac:dyDescent="0.3">
      <c r="A1215">
        <f>'insurance final cleaned'!J333</f>
        <v>4686.3900000000003</v>
      </c>
      <c r="B1215">
        <f>'insurance final cleaned'!B333</f>
        <v>43</v>
      </c>
      <c r="C1215">
        <f>'insurance final cleaned'!D333</f>
        <v>46.5</v>
      </c>
      <c r="D1215">
        <f>'insurance final cleaned'!G333</f>
        <v>2</v>
      </c>
      <c r="E1215">
        <f>'insurance final cleaned'!E333</f>
        <v>83</v>
      </c>
      <c r="F1215">
        <f>'insurance final cleaned'!L333</f>
        <v>0</v>
      </c>
      <c r="G1215">
        <f>'insurance final cleaned'!M333</f>
        <v>1</v>
      </c>
      <c r="H1215">
        <f>'insurance final cleaned'!N333</f>
        <v>0</v>
      </c>
      <c r="I1215">
        <f>'insurance final cleaned'!O333</f>
        <v>0</v>
      </c>
      <c r="J1215">
        <f>'insurance final cleaned'!P333</f>
        <v>0.91036683342004565</v>
      </c>
      <c r="K1215">
        <f>'insurance final cleaned'!Q333</f>
        <v>0</v>
      </c>
      <c r="L1215">
        <f>'insurance final cleaned'!R333</f>
        <v>1</v>
      </c>
      <c r="M1215">
        <f>'insurance final cleaned'!S333</f>
        <v>0</v>
      </c>
    </row>
    <row r="1216" spans="1:13" x14ac:dyDescent="0.3">
      <c r="A1216">
        <f>'insurance final cleaned'!J115</f>
        <v>2166.73</v>
      </c>
      <c r="B1216">
        <f>'insurance final cleaned'!B115</f>
        <v>30</v>
      </c>
      <c r="C1216">
        <f>'insurance final cleaned'!D115</f>
        <v>36</v>
      </c>
      <c r="D1216">
        <f>'insurance final cleaned'!G115</f>
        <v>0</v>
      </c>
      <c r="E1216">
        <f>'insurance final cleaned'!E115</f>
        <v>80</v>
      </c>
      <c r="F1216">
        <f>'insurance final cleaned'!L115</f>
        <v>0</v>
      </c>
      <c r="G1216">
        <f>'insurance final cleaned'!M115</f>
        <v>0</v>
      </c>
      <c r="H1216">
        <f>'insurance final cleaned'!N115</f>
        <v>1</v>
      </c>
      <c r="I1216">
        <f>'insurance final cleaned'!O115</f>
        <v>0</v>
      </c>
      <c r="J1216">
        <f>'insurance final cleaned'!P115</f>
        <v>0.91135675360114654</v>
      </c>
      <c r="K1216">
        <f>'insurance final cleaned'!Q115</f>
        <v>0</v>
      </c>
      <c r="L1216">
        <f>'insurance final cleaned'!R115</f>
        <v>0</v>
      </c>
      <c r="M1216">
        <f>'insurance final cleaned'!S115</f>
        <v>1</v>
      </c>
    </row>
    <row r="1217" spans="1:13" x14ac:dyDescent="0.3">
      <c r="A1217">
        <f>'insurance final cleaned'!J303</f>
        <v>4402.2299999999996</v>
      </c>
      <c r="B1217">
        <f>'insurance final cleaned'!B303</f>
        <v>26</v>
      </c>
      <c r="C1217">
        <f>'insurance final cleaned'!D303</f>
        <v>31.5</v>
      </c>
      <c r="D1217">
        <f>'insurance final cleaned'!G303</f>
        <v>0</v>
      </c>
      <c r="E1217">
        <f>'insurance final cleaned'!E303</f>
        <v>88</v>
      </c>
      <c r="F1217">
        <f>'insurance final cleaned'!L303</f>
        <v>0</v>
      </c>
      <c r="G1217">
        <f>'insurance final cleaned'!M303</f>
        <v>0</v>
      </c>
      <c r="H1217">
        <f>'insurance final cleaned'!N303</f>
        <v>1</v>
      </c>
      <c r="I1217">
        <f>'insurance final cleaned'!O303</f>
        <v>0</v>
      </c>
      <c r="J1217">
        <f>'insurance final cleaned'!P303</f>
        <v>0.91164143730089531</v>
      </c>
      <c r="K1217">
        <f>'insurance final cleaned'!Q303</f>
        <v>0</v>
      </c>
      <c r="L1217">
        <f>'insurance final cleaned'!R303</f>
        <v>1</v>
      </c>
      <c r="M1217">
        <f>'insurance final cleaned'!S303</f>
        <v>0</v>
      </c>
    </row>
    <row r="1218" spans="1:13" x14ac:dyDescent="0.3">
      <c r="A1218">
        <f>'insurance final cleaned'!J827</f>
        <v>11737.85</v>
      </c>
      <c r="B1218">
        <f>'insurance final cleaned'!B827</f>
        <v>37</v>
      </c>
      <c r="C1218">
        <f>'insurance final cleaned'!D827</f>
        <v>27</v>
      </c>
      <c r="D1218">
        <f>'insurance final cleaned'!G827</f>
        <v>2</v>
      </c>
      <c r="E1218">
        <f>'insurance final cleaned'!E827</f>
        <v>83</v>
      </c>
      <c r="F1218">
        <f>'insurance final cleaned'!L827</f>
        <v>0</v>
      </c>
      <c r="G1218">
        <f>'insurance final cleaned'!M827</f>
        <v>0</v>
      </c>
      <c r="H1218">
        <f>'insurance final cleaned'!N827</f>
        <v>1</v>
      </c>
      <c r="I1218">
        <f>'insurance final cleaned'!O827</f>
        <v>0</v>
      </c>
      <c r="J1218">
        <f>'insurance final cleaned'!P827</f>
        <v>0.91207600084373963</v>
      </c>
      <c r="K1218">
        <f>'insurance final cleaned'!Q827</f>
        <v>0</v>
      </c>
      <c r="L1218">
        <f>'insurance final cleaned'!R827</f>
        <v>1</v>
      </c>
      <c r="M1218">
        <f>'insurance final cleaned'!S827</f>
        <v>0</v>
      </c>
    </row>
    <row r="1219" spans="1:13" x14ac:dyDescent="0.3">
      <c r="A1219">
        <f>'insurance final cleaned'!J798</f>
        <v>11345.52</v>
      </c>
      <c r="B1219">
        <f>'insurance final cleaned'!B798</f>
        <v>38</v>
      </c>
      <c r="C1219">
        <f>'insurance final cleaned'!D798</f>
        <v>23.3</v>
      </c>
      <c r="D1219">
        <f>'insurance final cleaned'!G798</f>
        <v>0</v>
      </c>
      <c r="E1219">
        <f>'insurance final cleaned'!E798</f>
        <v>98</v>
      </c>
      <c r="F1219">
        <f>'insurance final cleaned'!L798</f>
        <v>0</v>
      </c>
      <c r="G1219">
        <f>'insurance final cleaned'!M798</f>
        <v>0</v>
      </c>
      <c r="H1219">
        <f>'insurance final cleaned'!N798</f>
        <v>1</v>
      </c>
      <c r="I1219">
        <f>'insurance final cleaned'!O798</f>
        <v>0</v>
      </c>
      <c r="J1219">
        <f>'insurance final cleaned'!P798</f>
        <v>0.91263165590332795</v>
      </c>
      <c r="K1219">
        <f>'insurance final cleaned'!Q798</f>
        <v>0</v>
      </c>
      <c r="L1219">
        <f>'insurance final cleaned'!R798</f>
        <v>0</v>
      </c>
      <c r="M1219">
        <f>'insurance final cleaned'!S798</f>
        <v>0</v>
      </c>
    </row>
    <row r="1220" spans="1:13" x14ac:dyDescent="0.3">
      <c r="A1220">
        <f>'insurance final cleaned'!J81</f>
        <v>1880.07</v>
      </c>
      <c r="B1220">
        <f>'insurance final cleaned'!B81</f>
        <v>53</v>
      </c>
      <c r="C1220">
        <f>'insurance final cleaned'!D81</f>
        <v>33</v>
      </c>
      <c r="D1220">
        <f>'insurance final cleaned'!G81</f>
        <v>0</v>
      </c>
      <c r="E1220">
        <f>'insurance final cleaned'!E81</f>
        <v>83</v>
      </c>
      <c r="F1220">
        <f>'insurance final cleaned'!L81</f>
        <v>0</v>
      </c>
      <c r="G1220">
        <f>'insurance final cleaned'!M81</f>
        <v>1</v>
      </c>
      <c r="H1220">
        <f>'insurance final cleaned'!N81</f>
        <v>0</v>
      </c>
      <c r="I1220">
        <f>'insurance final cleaned'!O81</f>
        <v>0</v>
      </c>
      <c r="J1220">
        <f>'insurance final cleaned'!P81</f>
        <v>0.91466283177211649</v>
      </c>
      <c r="K1220">
        <f>'insurance final cleaned'!Q81</f>
        <v>0</v>
      </c>
      <c r="L1220">
        <f>'insurance final cleaned'!R81</f>
        <v>1</v>
      </c>
      <c r="M1220">
        <f>'insurance final cleaned'!S81</f>
        <v>1</v>
      </c>
    </row>
    <row r="1221" spans="1:13" x14ac:dyDescent="0.3">
      <c r="A1221">
        <f>'insurance final cleaned'!J734</f>
        <v>10338.93</v>
      </c>
      <c r="B1221">
        <f>'insurance final cleaned'!B734</f>
        <v>53</v>
      </c>
      <c r="C1221">
        <f>'insurance final cleaned'!D734</f>
        <v>31.2</v>
      </c>
      <c r="D1221">
        <f>'insurance final cleaned'!G734</f>
        <v>0</v>
      </c>
      <c r="E1221">
        <f>'insurance final cleaned'!E734</f>
        <v>86</v>
      </c>
      <c r="F1221">
        <f>'insurance final cleaned'!L734</f>
        <v>0</v>
      </c>
      <c r="G1221">
        <f>'insurance final cleaned'!M734</f>
        <v>1</v>
      </c>
      <c r="H1221">
        <f>'insurance final cleaned'!N734</f>
        <v>0</v>
      </c>
      <c r="I1221">
        <f>'insurance final cleaned'!O734</f>
        <v>0</v>
      </c>
      <c r="J1221">
        <f>'insurance final cleaned'!P734</f>
        <v>0.91486798990350171</v>
      </c>
      <c r="K1221">
        <f>'insurance final cleaned'!Q734</f>
        <v>0</v>
      </c>
      <c r="L1221">
        <f>'insurance final cleaned'!R734</f>
        <v>1</v>
      </c>
      <c r="M1221">
        <f>'insurance final cleaned'!S734</f>
        <v>1</v>
      </c>
    </row>
    <row r="1222" spans="1:13" x14ac:dyDescent="0.3">
      <c r="A1222">
        <f>'insurance final cleaned'!J615</f>
        <v>8538.2900000000009</v>
      </c>
      <c r="B1222">
        <f>'insurance final cleaned'!B615</f>
        <v>36</v>
      </c>
      <c r="C1222">
        <f>'insurance final cleaned'!D615</f>
        <v>33.200000000000003</v>
      </c>
      <c r="D1222">
        <f>'insurance final cleaned'!G615</f>
        <v>3</v>
      </c>
      <c r="E1222">
        <f>'insurance final cleaned'!E615</f>
        <v>98</v>
      </c>
      <c r="F1222">
        <f>'insurance final cleaned'!L615</f>
        <v>0</v>
      </c>
      <c r="G1222">
        <f>'insurance final cleaned'!M615</f>
        <v>0</v>
      </c>
      <c r="H1222">
        <f>'insurance final cleaned'!N615</f>
        <v>0</v>
      </c>
      <c r="I1222">
        <f>'insurance final cleaned'!O615</f>
        <v>0</v>
      </c>
      <c r="J1222">
        <f>'insurance final cleaned'!P615</f>
        <v>0.9149026718972133</v>
      </c>
      <c r="K1222">
        <f>'insurance final cleaned'!Q615</f>
        <v>0</v>
      </c>
      <c r="L1222">
        <f>'insurance final cleaned'!R615</f>
        <v>0</v>
      </c>
      <c r="M1222">
        <f>'insurance final cleaned'!S615</f>
        <v>1</v>
      </c>
    </row>
    <row r="1223" spans="1:13" x14ac:dyDescent="0.3">
      <c r="A1223">
        <f>'insurance final cleaned'!J1335</f>
        <v>51194.559999999998</v>
      </c>
      <c r="B1223">
        <f>'insurance final cleaned'!B1335</f>
        <v>44</v>
      </c>
      <c r="C1223">
        <f>'insurance final cleaned'!D1335</f>
        <v>36.4</v>
      </c>
      <c r="D1223">
        <f>'insurance final cleaned'!G1335</f>
        <v>1</v>
      </c>
      <c r="E1223">
        <f>'insurance final cleaned'!E1335</f>
        <v>127</v>
      </c>
      <c r="F1223">
        <f>'insurance final cleaned'!L1335</f>
        <v>36.4</v>
      </c>
      <c r="G1223">
        <f>'insurance final cleaned'!M1335</f>
        <v>0</v>
      </c>
      <c r="H1223">
        <f>'insurance final cleaned'!N1335</f>
        <v>1</v>
      </c>
      <c r="I1223">
        <f>'insurance final cleaned'!O1335</f>
        <v>0</v>
      </c>
      <c r="J1223">
        <f>'insurance final cleaned'!P1335</f>
        <v>0.91514588486685544</v>
      </c>
      <c r="K1223">
        <f>'insurance final cleaned'!Q1335</f>
        <v>1</v>
      </c>
      <c r="L1223">
        <f>'insurance final cleaned'!R1335</f>
        <v>0</v>
      </c>
      <c r="M1223">
        <f>'insurance final cleaned'!S1335</f>
        <v>0</v>
      </c>
    </row>
    <row r="1224" spans="1:13" x14ac:dyDescent="0.3">
      <c r="A1224">
        <f>'insurance final cleaned'!J979</f>
        <v>14590.63</v>
      </c>
      <c r="B1224">
        <f>'insurance final cleaned'!B979</f>
        <v>53</v>
      </c>
      <c r="C1224">
        <f>'insurance final cleaned'!D979</f>
        <v>32.4</v>
      </c>
      <c r="D1224">
        <f>'insurance final cleaned'!G979</f>
        <v>3</v>
      </c>
      <c r="E1224">
        <f>'insurance final cleaned'!E979</f>
        <v>102</v>
      </c>
      <c r="F1224">
        <f>'insurance final cleaned'!L979</f>
        <v>0</v>
      </c>
      <c r="G1224">
        <f>'insurance final cleaned'!M979</f>
        <v>0</v>
      </c>
      <c r="H1224">
        <f>'insurance final cleaned'!N979</f>
        <v>0</v>
      </c>
      <c r="I1224">
        <f>'insurance final cleaned'!O979</f>
        <v>0</v>
      </c>
      <c r="J1224">
        <f>'insurance final cleaned'!P979</f>
        <v>0.91675080098654371</v>
      </c>
      <c r="K1224">
        <f>'insurance final cleaned'!Q979</f>
        <v>0</v>
      </c>
      <c r="L1224">
        <f>'insurance final cleaned'!R979</f>
        <v>1</v>
      </c>
      <c r="M1224">
        <f>'insurance final cleaned'!S979</f>
        <v>1</v>
      </c>
    </row>
    <row r="1225" spans="1:13" x14ac:dyDescent="0.3">
      <c r="A1225">
        <f>'insurance final cleaned'!J208</f>
        <v>3180.51</v>
      </c>
      <c r="B1225">
        <f>'insurance final cleaned'!B208</f>
        <v>27</v>
      </c>
      <c r="C1225">
        <f>'insurance final cleaned'!D208</f>
        <v>21.9</v>
      </c>
      <c r="D1225">
        <f>'insurance final cleaned'!G208</f>
        <v>2</v>
      </c>
      <c r="E1225">
        <f>'insurance final cleaned'!E208</f>
        <v>80</v>
      </c>
      <c r="F1225">
        <f>'insurance final cleaned'!L208</f>
        <v>0</v>
      </c>
      <c r="G1225">
        <f>'insurance final cleaned'!M208</f>
        <v>1</v>
      </c>
      <c r="H1225">
        <f>'insurance final cleaned'!N208</f>
        <v>0</v>
      </c>
      <c r="I1225">
        <f>'insurance final cleaned'!O208</f>
        <v>0</v>
      </c>
      <c r="J1225">
        <f>'insurance final cleaned'!P208</f>
        <v>0.91676188376860002</v>
      </c>
      <c r="K1225">
        <f>'insurance final cleaned'!Q208</f>
        <v>0</v>
      </c>
      <c r="L1225">
        <f>'insurance final cleaned'!R208</f>
        <v>0</v>
      </c>
      <c r="M1225">
        <f>'insurance final cleaned'!S208</f>
        <v>1</v>
      </c>
    </row>
    <row r="1226" spans="1:13" x14ac:dyDescent="0.3">
      <c r="A1226">
        <f>'insurance final cleaned'!J283</f>
        <v>4149.74</v>
      </c>
      <c r="B1226">
        <f>'insurance final cleaned'!B283</f>
        <v>59</v>
      </c>
      <c r="C1226">
        <f>'insurance final cleaned'!D283</f>
        <v>32.4</v>
      </c>
      <c r="D1226">
        <f>'insurance final cleaned'!G283</f>
        <v>1</v>
      </c>
      <c r="E1226">
        <f>'insurance final cleaned'!E283</f>
        <v>94</v>
      </c>
      <c r="F1226">
        <f>'insurance final cleaned'!L283</f>
        <v>0</v>
      </c>
      <c r="G1226">
        <f>'insurance final cleaned'!M283</f>
        <v>0</v>
      </c>
      <c r="H1226">
        <f>'insurance final cleaned'!N283</f>
        <v>1</v>
      </c>
      <c r="I1226">
        <f>'insurance final cleaned'!O283</f>
        <v>0</v>
      </c>
      <c r="J1226">
        <f>'insurance final cleaned'!P283</f>
        <v>0.91812039164926507</v>
      </c>
      <c r="K1226">
        <f>'insurance final cleaned'!Q283</f>
        <v>0</v>
      </c>
      <c r="L1226">
        <f>'insurance final cleaned'!R283</f>
        <v>0</v>
      </c>
      <c r="M1226">
        <f>'insurance final cleaned'!S283</f>
        <v>1</v>
      </c>
    </row>
    <row r="1227" spans="1:13" x14ac:dyDescent="0.3">
      <c r="A1227">
        <f>'insurance final cleaned'!J427</f>
        <v>5969.72</v>
      </c>
      <c r="B1227">
        <f>'insurance final cleaned'!B427</f>
        <v>46</v>
      </c>
      <c r="C1227">
        <f>'insurance final cleaned'!D427</f>
        <v>26.9</v>
      </c>
      <c r="D1227">
        <f>'insurance final cleaned'!G427</f>
        <v>0</v>
      </c>
      <c r="E1227">
        <f>'insurance final cleaned'!E427</f>
        <v>90</v>
      </c>
      <c r="F1227">
        <f>'insurance final cleaned'!L427</f>
        <v>0</v>
      </c>
      <c r="G1227">
        <f>'insurance final cleaned'!M427</f>
        <v>0</v>
      </c>
      <c r="H1227">
        <f>'insurance final cleaned'!N427</f>
        <v>1</v>
      </c>
      <c r="I1227">
        <f>'insurance final cleaned'!O427</f>
        <v>0</v>
      </c>
      <c r="J1227">
        <f>'insurance final cleaned'!P427</f>
        <v>0.91831514673310233</v>
      </c>
      <c r="K1227">
        <f>'insurance final cleaned'!Q427</f>
        <v>0</v>
      </c>
      <c r="L1227">
        <f>'insurance final cleaned'!R427</f>
        <v>0</v>
      </c>
      <c r="M1227">
        <f>'insurance final cleaned'!S427</f>
        <v>0</v>
      </c>
    </row>
    <row r="1228" spans="1:13" x14ac:dyDescent="0.3">
      <c r="A1228">
        <f>'insurance final cleaned'!J343</f>
        <v>4762.33</v>
      </c>
      <c r="B1228">
        <f>'insurance final cleaned'!B343</f>
        <v>46</v>
      </c>
      <c r="C1228">
        <f>'insurance final cleaned'!D343</f>
        <v>38.6</v>
      </c>
      <c r="D1228">
        <f>'insurance final cleaned'!G343</f>
        <v>1</v>
      </c>
      <c r="E1228">
        <f>'insurance final cleaned'!E343</f>
        <v>83</v>
      </c>
      <c r="F1228">
        <f>'insurance final cleaned'!L343</f>
        <v>0</v>
      </c>
      <c r="G1228">
        <f>'insurance final cleaned'!M343</f>
        <v>0</v>
      </c>
      <c r="H1228">
        <f>'insurance final cleaned'!N343</f>
        <v>1</v>
      </c>
      <c r="I1228">
        <f>'insurance final cleaned'!O343</f>
        <v>0</v>
      </c>
      <c r="J1228">
        <f>'insurance final cleaned'!P343</f>
        <v>0.92101233140158734</v>
      </c>
      <c r="K1228">
        <f>'insurance final cleaned'!Q343</f>
        <v>0</v>
      </c>
      <c r="L1228">
        <f>'insurance final cleaned'!R343</f>
        <v>1</v>
      </c>
      <c r="M1228">
        <f>'insurance final cleaned'!S343</f>
        <v>0</v>
      </c>
    </row>
    <row r="1229" spans="1:13" x14ac:dyDescent="0.3">
      <c r="A1229">
        <f>'insurance final cleaned'!J255</f>
        <v>3766.88</v>
      </c>
      <c r="B1229">
        <f>'insurance final cleaned'!B255</f>
        <v>44</v>
      </c>
      <c r="C1229">
        <f>'insurance final cleaned'!D255</f>
        <v>37.6</v>
      </c>
      <c r="D1229">
        <f>'insurance final cleaned'!G255</f>
        <v>1</v>
      </c>
      <c r="E1229">
        <f>'insurance final cleaned'!E255</f>
        <v>84</v>
      </c>
      <c r="F1229">
        <f>'insurance final cleaned'!L255</f>
        <v>0</v>
      </c>
      <c r="G1229">
        <f>'insurance final cleaned'!M255</f>
        <v>1</v>
      </c>
      <c r="H1229">
        <f>'insurance final cleaned'!N255</f>
        <v>0</v>
      </c>
      <c r="I1229">
        <f>'insurance final cleaned'!O255</f>
        <v>0</v>
      </c>
      <c r="J1229">
        <f>'insurance final cleaned'!P255</f>
        <v>0.92114007911311324</v>
      </c>
      <c r="K1229">
        <f>'insurance final cleaned'!Q255</f>
        <v>0</v>
      </c>
      <c r="L1229">
        <f>'insurance final cleaned'!R255</f>
        <v>0</v>
      </c>
      <c r="M1229">
        <f>'insurance final cleaned'!S255</f>
        <v>1</v>
      </c>
    </row>
    <row r="1230" spans="1:13" x14ac:dyDescent="0.3">
      <c r="A1230">
        <f>'insurance final cleaned'!J150</f>
        <v>2483.7399999999998</v>
      </c>
      <c r="B1230">
        <f>'insurance final cleaned'!B150</f>
        <v>48</v>
      </c>
      <c r="C1230">
        <f>'insurance final cleaned'!D150</f>
        <v>23.1</v>
      </c>
      <c r="D1230">
        <f>'insurance final cleaned'!G150</f>
        <v>0</v>
      </c>
      <c r="E1230">
        <f>'insurance final cleaned'!E150</f>
        <v>91</v>
      </c>
      <c r="F1230">
        <f>'insurance final cleaned'!L150</f>
        <v>0</v>
      </c>
      <c r="G1230">
        <f>'insurance final cleaned'!M150</f>
        <v>1</v>
      </c>
      <c r="H1230">
        <f>'insurance final cleaned'!N150</f>
        <v>0</v>
      </c>
      <c r="I1230">
        <f>'insurance final cleaned'!O150</f>
        <v>0</v>
      </c>
      <c r="J1230">
        <f>'insurance final cleaned'!P150</f>
        <v>0.92118702614260262</v>
      </c>
      <c r="K1230">
        <f>'insurance final cleaned'!Q150</f>
        <v>0</v>
      </c>
      <c r="L1230">
        <f>'insurance final cleaned'!R150</f>
        <v>1</v>
      </c>
      <c r="M1230">
        <f>'insurance final cleaned'!S150</f>
        <v>0</v>
      </c>
    </row>
    <row r="1231" spans="1:13" x14ac:dyDescent="0.3">
      <c r="A1231">
        <f>'insurance final cleaned'!J253</f>
        <v>3757.84</v>
      </c>
      <c r="B1231">
        <f>'insurance final cleaned'!B253</f>
        <v>30</v>
      </c>
      <c r="C1231">
        <f>'insurance final cleaned'!D253</f>
        <v>26.6</v>
      </c>
      <c r="D1231">
        <f>'insurance final cleaned'!G253</f>
        <v>0</v>
      </c>
      <c r="E1231">
        <f>'insurance final cleaned'!E253</f>
        <v>89</v>
      </c>
      <c r="F1231">
        <f>'insurance final cleaned'!L253</f>
        <v>0</v>
      </c>
      <c r="G1231">
        <f>'insurance final cleaned'!M253</f>
        <v>1</v>
      </c>
      <c r="H1231">
        <f>'insurance final cleaned'!N253</f>
        <v>0</v>
      </c>
      <c r="I1231">
        <f>'insurance final cleaned'!O253</f>
        <v>0</v>
      </c>
      <c r="J1231">
        <f>'insurance final cleaned'!P253</f>
        <v>0.92206669449546363</v>
      </c>
      <c r="K1231">
        <f>'insurance final cleaned'!Q253</f>
        <v>0</v>
      </c>
      <c r="L1231">
        <f>'insurance final cleaned'!R253</f>
        <v>1</v>
      </c>
      <c r="M1231">
        <f>'insurance final cleaned'!S253</f>
        <v>1</v>
      </c>
    </row>
    <row r="1232" spans="1:13" x14ac:dyDescent="0.3">
      <c r="A1232">
        <f>'insurance final cleaned'!J542</f>
        <v>7421.19</v>
      </c>
      <c r="B1232">
        <f>'insurance final cleaned'!B542</f>
        <v>55</v>
      </c>
      <c r="C1232">
        <f>'insurance final cleaned'!D542</f>
        <v>27.6</v>
      </c>
      <c r="D1232">
        <f>'insurance final cleaned'!G542</f>
        <v>0</v>
      </c>
      <c r="E1232">
        <f>'insurance final cleaned'!E542</f>
        <v>89</v>
      </c>
      <c r="F1232">
        <f>'insurance final cleaned'!L542</f>
        <v>0</v>
      </c>
      <c r="G1232">
        <f>'insurance final cleaned'!M542</f>
        <v>0</v>
      </c>
      <c r="H1232">
        <f>'insurance final cleaned'!N542</f>
        <v>0</v>
      </c>
      <c r="I1232">
        <f>'insurance final cleaned'!O542</f>
        <v>1</v>
      </c>
      <c r="J1232">
        <f>'insurance final cleaned'!P542</f>
        <v>0.9222833805036087</v>
      </c>
      <c r="K1232">
        <f>'insurance final cleaned'!Q542</f>
        <v>0</v>
      </c>
      <c r="L1232">
        <f>'insurance final cleaned'!R542</f>
        <v>0</v>
      </c>
      <c r="M1232">
        <f>'insurance final cleaned'!S542</f>
        <v>1</v>
      </c>
    </row>
    <row r="1233" spans="1:13" x14ac:dyDescent="0.3">
      <c r="A1233">
        <f>'insurance final cleaned'!J1055</f>
        <v>19362</v>
      </c>
      <c r="B1233">
        <f>'insurance final cleaned'!B1055</f>
        <v>35</v>
      </c>
      <c r="C1233">
        <f>'insurance final cleaned'!D1055</f>
        <v>24.4</v>
      </c>
      <c r="D1233">
        <f>'insurance final cleaned'!G1055</f>
        <v>3</v>
      </c>
      <c r="E1233">
        <f>'insurance final cleaned'!E1055</f>
        <v>101</v>
      </c>
      <c r="F1233">
        <f>'insurance final cleaned'!L1055</f>
        <v>24.4</v>
      </c>
      <c r="G1233">
        <f>'insurance final cleaned'!M1055</f>
        <v>1</v>
      </c>
      <c r="H1233">
        <f>'insurance final cleaned'!N1055</f>
        <v>0</v>
      </c>
      <c r="I1233">
        <f>'insurance final cleaned'!O1055</f>
        <v>0</v>
      </c>
      <c r="J1233">
        <f>'insurance final cleaned'!P1055</f>
        <v>0.92229047702582001</v>
      </c>
      <c r="K1233">
        <f>'insurance final cleaned'!Q1055</f>
        <v>1</v>
      </c>
      <c r="L1233">
        <f>'insurance final cleaned'!R1055</f>
        <v>1</v>
      </c>
      <c r="M1233">
        <f>'insurance final cleaned'!S1055</f>
        <v>0</v>
      </c>
    </row>
    <row r="1234" spans="1:13" x14ac:dyDescent="0.3">
      <c r="A1234">
        <f>'insurance final cleaned'!J526</f>
        <v>7228.22</v>
      </c>
      <c r="B1234">
        <f>'insurance final cleaned'!B526</f>
        <v>29</v>
      </c>
      <c r="C1234">
        <f>'insurance final cleaned'!D526</f>
        <v>22.1</v>
      </c>
      <c r="D1234">
        <f>'insurance final cleaned'!G526</f>
        <v>3</v>
      </c>
      <c r="E1234">
        <f>'insurance final cleaned'!E526</f>
        <v>83</v>
      </c>
      <c r="F1234">
        <f>'insurance final cleaned'!L526</f>
        <v>0</v>
      </c>
      <c r="G1234">
        <f>'insurance final cleaned'!M526</f>
        <v>1</v>
      </c>
      <c r="H1234">
        <f>'insurance final cleaned'!N526</f>
        <v>0</v>
      </c>
      <c r="I1234">
        <f>'insurance final cleaned'!O526</f>
        <v>0</v>
      </c>
      <c r="J1234">
        <f>'insurance final cleaned'!P526</f>
        <v>0.92338893574195591</v>
      </c>
      <c r="K1234">
        <f>'insurance final cleaned'!Q526</f>
        <v>0</v>
      </c>
      <c r="L1234">
        <f>'insurance final cleaned'!R526</f>
        <v>1</v>
      </c>
      <c r="M1234">
        <f>'insurance final cleaned'!S526</f>
        <v>1</v>
      </c>
    </row>
    <row r="1235" spans="1:13" x14ac:dyDescent="0.3">
      <c r="A1235">
        <f>'insurance final cleaned'!J660</f>
        <v>9193.84</v>
      </c>
      <c r="B1235">
        <f>'insurance final cleaned'!B660</f>
        <v>34</v>
      </c>
      <c r="C1235">
        <f>'insurance final cleaned'!D660</f>
        <v>20</v>
      </c>
      <c r="D1235">
        <f>'insurance final cleaned'!G660</f>
        <v>2</v>
      </c>
      <c r="E1235">
        <f>'insurance final cleaned'!E660</f>
        <v>91</v>
      </c>
      <c r="F1235">
        <f>'insurance final cleaned'!L660</f>
        <v>0</v>
      </c>
      <c r="G1235">
        <f>'insurance final cleaned'!M660</f>
        <v>0</v>
      </c>
      <c r="H1235">
        <f>'insurance final cleaned'!N660</f>
        <v>0</v>
      </c>
      <c r="I1235">
        <f>'insurance final cleaned'!O660</f>
        <v>1</v>
      </c>
      <c r="J1235">
        <f>'insurance final cleaned'!P660</f>
        <v>0.92451792180075298</v>
      </c>
      <c r="K1235">
        <f>'insurance final cleaned'!Q660</f>
        <v>0</v>
      </c>
      <c r="L1235">
        <f>'insurance final cleaned'!R660</f>
        <v>1</v>
      </c>
      <c r="M1235">
        <f>'insurance final cleaned'!S660</f>
        <v>1</v>
      </c>
    </row>
    <row r="1236" spans="1:13" x14ac:dyDescent="0.3">
      <c r="A1236">
        <f>'insurance final cleaned'!J453</f>
        <v>6311.95</v>
      </c>
      <c r="B1236">
        <f>'insurance final cleaned'!B453</f>
        <v>48</v>
      </c>
      <c r="C1236">
        <f>'insurance final cleaned'!D453</f>
        <v>29.5</v>
      </c>
      <c r="D1236">
        <f>'insurance final cleaned'!G453</f>
        <v>2</v>
      </c>
      <c r="E1236">
        <f>'insurance final cleaned'!E453</f>
        <v>95</v>
      </c>
      <c r="F1236">
        <f>'insurance final cleaned'!L453</f>
        <v>0</v>
      </c>
      <c r="G1236">
        <f>'insurance final cleaned'!M453</f>
        <v>0</v>
      </c>
      <c r="H1236">
        <f>'insurance final cleaned'!N453</f>
        <v>1</v>
      </c>
      <c r="I1236">
        <f>'insurance final cleaned'!O453</f>
        <v>0</v>
      </c>
      <c r="J1236">
        <f>'insurance final cleaned'!P453</f>
        <v>0.92523353570448807</v>
      </c>
      <c r="K1236">
        <f>'insurance final cleaned'!Q453</f>
        <v>0</v>
      </c>
      <c r="L1236">
        <f>'insurance final cleaned'!R453</f>
        <v>0</v>
      </c>
      <c r="M1236">
        <f>'insurance final cleaned'!S453</f>
        <v>1</v>
      </c>
    </row>
    <row r="1237" spans="1:13" x14ac:dyDescent="0.3">
      <c r="A1237">
        <f>'insurance final cleaned'!J594</f>
        <v>8277.52</v>
      </c>
      <c r="B1237">
        <f>'insurance final cleaned'!B594</f>
        <v>41</v>
      </c>
      <c r="C1237">
        <f>'insurance final cleaned'!D594</f>
        <v>28.9</v>
      </c>
      <c r="D1237">
        <f>'insurance final cleaned'!G594</f>
        <v>0</v>
      </c>
      <c r="E1237">
        <f>'insurance final cleaned'!E594</f>
        <v>80</v>
      </c>
      <c r="F1237">
        <f>'insurance final cleaned'!L594</f>
        <v>0</v>
      </c>
      <c r="G1237">
        <f>'insurance final cleaned'!M594</f>
        <v>0</v>
      </c>
      <c r="H1237">
        <f>'insurance final cleaned'!N594</f>
        <v>1</v>
      </c>
      <c r="I1237">
        <f>'insurance final cleaned'!O594</f>
        <v>0</v>
      </c>
      <c r="J1237">
        <f>'insurance final cleaned'!P594</f>
        <v>0.92683455554124428</v>
      </c>
      <c r="K1237">
        <f>'insurance final cleaned'!Q594</f>
        <v>0</v>
      </c>
      <c r="L1237">
        <f>'insurance final cleaned'!R594</f>
        <v>1</v>
      </c>
      <c r="M1237">
        <f>'insurance final cleaned'!S594</f>
        <v>1</v>
      </c>
    </row>
    <row r="1238" spans="1:13" x14ac:dyDescent="0.3">
      <c r="A1238">
        <f>'insurance final cleaned'!J535</f>
        <v>7345.08</v>
      </c>
      <c r="B1238">
        <f>'insurance final cleaned'!B535</f>
        <v>32</v>
      </c>
      <c r="C1238">
        <f>'insurance final cleaned'!D535</f>
        <v>33.1</v>
      </c>
      <c r="D1238">
        <f>'insurance final cleaned'!G535</f>
        <v>0</v>
      </c>
      <c r="E1238">
        <f>'insurance final cleaned'!E535</f>
        <v>94</v>
      </c>
      <c r="F1238">
        <f>'insurance final cleaned'!L535</f>
        <v>0</v>
      </c>
      <c r="G1238">
        <f>'insurance final cleaned'!M535</f>
        <v>0</v>
      </c>
      <c r="H1238">
        <f>'insurance final cleaned'!N535</f>
        <v>1</v>
      </c>
      <c r="I1238">
        <f>'insurance final cleaned'!O535</f>
        <v>0</v>
      </c>
      <c r="J1238">
        <f>'insurance final cleaned'!P535</f>
        <v>0.92728852940786755</v>
      </c>
      <c r="K1238">
        <f>'insurance final cleaned'!Q535</f>
        <v>0</v>
      </c>
      <c r="L1238">
        <f>'insurance final cleaned'!R535</f>
        <v>1</v>
      </c>
      <c r="M1238">
        <f>'insurance final cleaned'!S535</f>
        <v>1</v>
      </c>
    </row>
    <row r="1239" spans="1:13" x14ac:dyDescent="0.3">
      <c r="A1239">
        <f>'insurance final cleaned'!J282</f>
        <v>4137.5200000000004</v>
      </c>
      <c r="B1239">
        <f>'insurance final cleaned'!B282</f>
        <v>25</v>
      </c>
      <c r="C1239">
        <f>'insurance final cleaned'!D282</f>
        <v>27.9</v>
      </c>
      <c r="D1239">
        <f>'insurance final cleaned'!G282</f>
        <v>0</v>
      </c>
      <c r="E1239">
        <f>'insurance final cleaned'!E282</f>
        <v>88</v>
      </c>
      <c r="F1239">
        <f>'insurance final cleaned'!L282</f>
        <v>0</v>
      </c>
      <c r="G1239">
        <f>'insurance final cleaned'!M282</f>
        <v>1</v>
      </c>
      <c r="H1239">
        <f>'insurance final cleaned'!N282</f>
        <v>0</v>
      </c>
      <c r="I1239">
        <f>'insurance final cleaned'!O282</f>
        <v>0</v>
      </c>
      <c r="J1239">
        <f>'insurance final cleaned'!P282</f>
        <v>0.9275093557842109</v>
      </c>
      <c r="K1239">
        <f>'insurance final cleaned'!Q282</f>
        <v>0</v>
      </c>
      <c r="L1239">
        <f>'insurance final cleaned'!R282</f>
        <v>1</v>
      </c>
      <c r="M1239">
        <f>'insurance final cleaned'!S282</f>
        <v>1</v>
      </c>
    </row>
    <row r="1240" spans="1:13" x14ac:dyDescent="0.3">
      <c r="A1240">
        <f>'insurance final cleaned'!J829</f>
        <v>11743.3</v>
      </c>
      <c r="B1240">
        <f>'insurance final cleaned'!B829</f>
        <v>34</v>
      </c>
      <c r="C1240">
        <f>'insurance final cleaned'!D829</f>
        <v>26.4</v>
      </c>
      <c r="D1240">
        <f>'insurance final cleaned'!G829</f>
        <v>0</v>
      </c>
      <c r="E1240">
        <f>'insurance final cleaned'!E829</f>
        <v>105</v>
      </c>
      <c r="F1240">
        <f>'insurance final cleaned'!L829</f>
        <v>0</v>
      </c>
      <c r="G1240">
        <f>'insurance final cleaned'!M829</f>
        <v>1</v>
      </c>
      <c r="H1240">
        <f>'insurance final cleaned'!N829</f>
        <v>0</v>
      </c>
      <c r="I1240">
        <f>'insurance final cleaned'!O829</f>
        <v>0</v>
      </c>
      <c r="J1240">
        <f>'insurance final cleaned'!P829</f>
        <v>0.92809352767902875</v>
      </c>
      <c r="K1240">
        <f>'insurance final cleaned'!Q829</f>
        <v>0</v>
      </c>
      <c r="L1240">
        <f>'insurance final cleaned'!R829</f>
        <v>1</v>
      </c>
      <c r="M1240">
        <f>'insurance final cleaned'!S829</f>
        <v>0</v>
      </c>
    </row>
    <row r="1241" spans="1:13" x14ac:dyDescent="0.3">
      <c r="A1241">
        <f>'insurance final cleaned'!J1246</f>
        <v>38711</v>
      </c>
      <c r="B1241">
        <f>'insurance final cleaned'!B1246</f>
        <v>22</v>
      </c>
      <c r="C1241">
        <f>'insurance final cleaned'!D1246</f>
        <v>36.299999999999997</v>
      </c>
      <c r="D1241">
        <f>'insurance final cleaned'!G1246</f>
        <v>2</v>
      </c>
      <c r="E1241">
        <f>'insurance final cleaned'!E1246</f>
        <v>123</v>
      </c>
      <c r="F1241">
        <f>'insurance final cleaned'!L1246</f>
        <v>36.299999999999997</v>
      </c>
      <c r="G1241">
        <f>'insurance final cleaned'!M1246</f>
        <v>0</v>
      </c>
      <c r="H1241">
        <f>'insurance final cleaned'!N1246</f>
        <v>1</v>
      </c>
      <c r="I1241">
        <f>'insurance final cleaned'!O1246</f>
        <v>0</v>
      </c>
      <c r="J1241">
        <f>'insurance final cleaned'!P1246</f>
        <v>0.92810959328475384</v>
      </c>
      <c r="K1241">
        <f>'insurance final cleaned'!Q1246</f>
        <v>1</v>
      </c>
      <c r="L1241">
        <f>'insurance final cleaned'!R1246</f>
        <v>0</v>
      </c>
      <c r="M1241">
        <f>'insurance final cleaned'!S1246</f>
        <v>0</v>
      </c>
    </row>
    <row r="1242" spans="1:13" x14ac:dyDescent="0.3">
      <c r="A1242">
        <f>'insurance final cleaned'!J325</f>
        <v>4564.1899999999996</v>
      </c>
      <c r="B1242">
        <f>'insurance final cleaned'!B325</f>
        <v>26</v>
      </c>
      <c r="C1242">
        <f>'insurance final cleaned'!D325</f>
        <v>29.4</v>
      </c>
      <c r="D1242">
        <f>'insurance final cleaned'!G325</f>
        <v>2</v>
      </c>
      <c r="E1242">
        <f>'insurance final cleaned'!E325</f>
        <v>96</v>
      </c>
      <c r="F1242">
        <f>'insurance final cleaned'!L325</f>
        <v>0</v>
      </c>
      <c r="G1242">
        <f>'insurance final cleaned'!M325</f>
        <v>1</v>
      </c>
      <c r="H1242">
        <f>'insurance final cleaned'!N325</f>
        <v>0</v>
      </c>
      <c r="I1242">
        <f>'insurance final cleaned'!O325</f>
        <v>0</v>
      </c>
      <c r="J1242">
        <f>'insurance final cleaned'!P325</f>
        <v>0.92953637685667856</v>
      </c>
      <c r="K1242">
        <f>'insurance final cleaned'!Q325</f>
        <v>0</v>
      </c>
      <c r="L1242">
        <f>'insurance final cleaned'!R325</f>
        <v>1</v>
      </c>
      <c r="M1242">
        <f>'insurance final cleaned'!S325</f>
        <v>1</v>
      </c>
    </row>
    <row r="1243" spans="1:13" x14ac:dyDescent="0.3">
      <c r="A1243">
        <f>'insurance final cleaned'!J635</f>
        <v>8782.4699999999993</v>
      </c>
      <c r="B1243">
        <f>'insurance final cleaned'!B635</f>
        <v>29</v>
      </c>
      <c r="C1243">
        <f>'insurance final cleaned'!D635</f>
        <v>25.4</v>
      </c>
      <c r="D1243">
        <f>'insurance final cleaned'!G635</f>
        <v>0</v>
      </c>
      <c r="E1243">
        <f>'insurance final cleaned'!E635</f>
        <v>87</v>
      </c>
      <c r="F1243">
        <f>'insurance final cleaned'!L635</f>
        <v>0</v>
      </c>
      <c r="G1243">
        <f>'insurance final cleaned'!M635</f>
        <v>0</v>
      </c>
      <c r="H1243">
        <f>'insurance final cleaned'!N635</f>
        <v>1</v>
      </c>
      <c r="I1243">
        <f>'insurance final cleaned'!O635</f>
        <v>0</v>
      </c>
      <c r="J1243">
        <f>'insurance final cleaned'!P635</f>
        <v>0.92997129747313412</v>
      </c>
      <c r="K1243">
        <f>'insurance final cleaned'!Q635</f>
        <v>0</v>
      </c>
      <c r="L1243">
        <f>'insurance final cleaned'!R635</f>
        <v>1</v>
      </c>
      <c r="M1243">
        <f>'insurance final cleaned'!S635</f>
        <v>0</v>
      </c>
    </row>
    <row r="1244" spans="1:13" x14ac:dyDescent="0.3">
      <c r="A1244">
        <f>'insurance final cleaned'!J1168</f>
        <v>28101.33</v>
      </c>
      <c r="B1244">
        <f>'insurance final cleaned'!B1168</f>
        <v>23</v>
      </c>
      <c r="C1244">
        <f>'insurance final cleaned'!D1168</f>
        <v>26.7</v>
      </c>
      <c r="D1244">
        <f>'insurance final cleaned'!G1168</f>
        <v>0</v>
      </c>
      <c r="E1244">
        <f>'insurance final cleaned'!E1168</f>
        <v>123</v>
      </c>
      <c r="F1244">
        <f>'insurance final cleaned'!L1168</f>
        <v>26.7</v>
      </c>
      <c r="G1244">
        <f>'insurance final cleaned'!M1168</f>
        <v>0</v>
      </c>
      <c r="H1244">
        <f>'insurance final cleaned'!N1168</f>
        <v>0</v>
      </c>
      <c r="I1244">
        <f>'insurance final cleaned'!O1168</f>
        <v>0</v>
      </c>
      <c r="J1244">
        <f>'insurance final cleaned'!P1168</f>
        <v>0.93086958453069779</v>
      </c>
      <c r="K1244">
        <f>'insurance final cleaned'!Q1168</f>
        <v>1</v>
      </c>
      <c r="L1244">
        <f>'insurance final cleaned'!R1168</f>
        <v>1</v>
      </c>
      <c r="M1244">
        <f>'insurance final cleaned'!S1168</f>
        <v>0</v>
      </c>
    </row>
    <row r="1245" spans="1:13" x14ac:dyDescent="0.3">
      <c r="A1245">
        <f>'insurance final cleaned'!J888</f>
        <v>12643.38</v>
      </c>
      <c r="B1245">
        <f>'insurance final cleaned'!B888</f>
        <v>31</v>
      </c>
      <c r="C1245">
        <f>'insurance final cleaned'!D888</f>
        <v>33.799999999999997</v>
      </c>
      <c r="D1245">
        <f>'insurance final cleaned'!G888</f>
        <v>2</v>
      </c>
      <c r="E1245">
        <f>'insurance final cleaned'!E888</f>
        <v>86</v>
      </c>
      <c r="F1245">
        <f>'insurance final cleaned'!L888</f>
        <v>0</v>
      </c>
      <c r="G1245">
        <f>'insurance final cleaned'!M888</f>
        <v>0</v>
      </c>
      <c r="H1245">
        <f>'insurance final cleaned'!N888</f>
        <v>0</v>
      </c>
      <c r="I1245">
        <f>'insurance final cleaned'!O888</f>
        <v>1</v>
      </c>
      <c r="J1245">
        <f>'insurance final cleaned'!P888</f>
        <v>0.93124348590146011</v>
      </c>
      <c r="K1245">
        <f>'insurance final cleaned'!Q888</f>
        <v>0</v>
      </c>
      <c r="L1245">
        <f>'insurance final cleaned'!R888</f>
        <v>1</v>
      </c>
      <c r="M1245">
        <f>'insurance final cleaned'!S888</f>
        <v>1</v>
      </c>
    </row>
    <row r="1246" spans="1:13" x14ac:dyDescent="0.3">
      <c r="A1246">
        <f>'insurance final cleaned'!J131</f>
        <v>2257.48</v>
      </c>
      <c r="B1246">
        <f>'insurance final cleaned'!B131</f>
        <v>42</v>
      </c>
      <c r="C1246">
        <f>'insurance final cleaned'!D131</f>
        <v>29</v>
      </c>
      <c r="D1246">
        <f>'insurance final cleaned'!G131</f>
        <v>0</v>
      </c>
      <c r="E1246">
        <f>'insurance final cleaned'!E131</f>
        <v>81</v>
      </c>
      <c r="F1246">
        <f>'insurance final cleaned'!L131</f>
        <v>0</v>
      </c>
      <c r="G1246">
        <f>'insurance final cleaned'!M131</f>
        <v>0</v>
      </c>
      <c r="H1246">
        <f>'insurance final cleaned'!N131</f>
        <v>0</v>
      </c>
      <c r="I1246">
        <f>'insurance final cleaned'!O131</f>
        <v>1</v>
      </c>
      <c r="J1246">
        <f>'insurance final cleaned'!P131</f>
        <v>0.93224884942020569</v>
      </c>
      <c r="K1246">
        <f>'insurance final cleaned'!Q131</f>
        <v>0</v>
      </c>
      <c r="L1246">
        <f>'insurance final cleaned'!R131</f>
        <v>1</v>
      </c>
      <c r="M1246">
        <f>'insurance final cleaned'!S131</f>
        <v>1</v>
      </c>
    </row>
    <row r="1247" spans="1:13" x14ac:dyDescent="0.3">
      <c r="A1247">
        <f>'insurance final cleaned'!J1026</f>
        <v>17904.53</v>
      </c>
      <c r="B1247">
        <f>'insurance final cleaned'!B1026</f>
        <v>22</v>
      </c>
      <c r="C1247">
        <f>'insurance final cleaned'!D1026</f>
        <v>24.8</v>
      </c>
      <c r="D1247">
        <f>'insurance final cleaned'!G1026</f>
        <v>0</v>
      </c>
      <c r="E1247">
        <f>'insurance final cleaned'!E1026</f>
        <v>100</v>
      </c>
      <c r="F1247">
        <f>'insurance final cleaned'!L1026</f>
        <v>24.8</v>
      </c>
      <c r="G1247">
        <f>'insurance final cleaned'!M1026</f>
        <v>0</v>
      </c>
      <c r="H1247">
        <f>'insurance final cleaned'!N1026</f>
        <v>0</v>
      </c>
      <c r="I1247">
        <f>'insurance final cleaned'!O1026</f>
        <v>0</v>
      </c>
      <c r="J1247">
        <f>'insurance final cleaned'!P1026</f>
        <v>0.93292540758704046</v>
      </c>
      <c r="K1247">
        <f>'insurance final cleaned'!Q1026</f>
        <v>1</v>
      </c>
      <c r="L1247">
        <f>'insurance final cleaned'!R1026</f>
        <v>0</v>
      </c>
      <c r="M1247">
        <f>'insurance final cleaned'!S1026</f>
        <v>0</v>
      </c>
    </row>
    <row r="1248" spans="1:13" x14ac:dyDescent="0.3">
      <c r="A1248">
        <f>'insurance final cleaned'!J348</f>
        <v>4830.63</v>
      </c>
      <c r="B1248">
        <f>'insurance final cleaned'!B348</f>
        <v>55</v>
      </c>
      <c r="C1248">
        <f>'insurance final cleaned'!D348</f>
        <v>37</v>
      </c>
      <c r="D1248">
        <f>'insurance final cleaned'!G348</f>
        <v>5</v>
      </c>
      <c r="E1248">
        <f>'insurance final cleaned'!E348</f>
        <v>83</v>
      </c>
      <c r="F1248">
        <f>'insurance final cleaned'!L348</f>
        <v>0</v>
      </c>
      <c r="G1248">
        <f>'insurance final cleaned'!M348</f>
        <v>0</v>
      </c>
      <c r="H1248">
        <f>'insurance final cleaned'!N348</f>
        <v>1</v>
      </c>
      <c r="I1248">
        <f>'insurance final cleaned'!O348</f>
        <v>0</v>
      </c>
      <c r="J1248">
        <f>'insurance final cleaned'!P348</f>
        <v>0.93293161468876751</v>
      </c>
      <c r="K1248">
        <f>'insurance final cleaned'!Q348</f>
        <v>0</v>
      </c>
      <c r="L1248">
        <f>'insurance final cleaned'!R348</f>
        <v>1</v>
      </c>
      <c r="M1248">
        <f>'insurance final cleaned'!S348</f>
        <v>1</v>
      </c>
    </row>
    <row r="1249" spans="1:13" x14ac:dyDescent="0.3">
      <c r="A1249">
        <f>'insurance final cleaned'!J978</f>
        <v>14571.89</v>
      </c>
      <c r="B1249">
        <f>'insurance final cleaned'!B978</f>
        <v>40</v>
      </c>
      <c r="C1249">
        <f>'insurance final cleaned'!D978</f>
        <v>20.5</v>
      </c>
      <c r="D1249">
        <f>'insurance final cleaned'!G978</f>
        <v>0</v>
      </c>
      <c r="E1249">
        <f>'insurance final cleaned'!E978</f>
        <v>87</v>
      </c>
      <c r="F1249">
        <f>'insurance final cleaned'!L978</f>
        <v>20.5</v>
      </c>
      <c r="G1249">
        <f>'insurance final cleaned'!M978</f>
        <v>0</v>
      </c>
      <c r="H1249">
        <f>'insurance final cleaned'!N978</f>
        <v>0</v>
      </c>
      <c r="I1249">
        <f>'insurance final cleaned'!O978</f>
        <v>0</v>
      </c>
      <c r="J1249">
        <f>'insurance final cleaned'!P978</f>
        <v>0.93412174159186989</v>
      </c>
      <c r="K1249">
        <f>'insurance final cleaned'!Q978</f>
        <v>1</v>
      </c>
      <c r="L1249">
        <f>'insurance final cleaned'!R978</f>
        <v>1</v>
      </c>
      <c r="M1249">
        <f>'insurance final cleaned'!S978</f>
        <v>1</v>
      </c>
    </row>
    <row r="1250" spans="1:13" x14ac:dyDescent="0.3">
      <c r="A1250">
        <f>'insurance final cleaned'!J472</f>
        <v>6548.2</v>
      </c>
      <c r="B1250">
        <f>'insurance final cleaned'!B472</f>
        <v>42</v>
      </c>
      <c r="C1250">
        <f>'insurance final cleaned'!D472</f>
        <v>28.6</v>
      </c>
      <c r="D1250">
        <f>'insurance final cleaned'!G472</f>
        <v>3</v>
      </c>
      <c r="E1250">
        <f>'insurance final cleaned'!E472</f>
        <v>85</v>
      </c>
      <c r="F1250">
        <f>'insurance final cleaned'!L472</f>
        <v>0</v>
      </c>
      <c r="G1250">
        <f>'insurance final cleaned'!M472</f>
        <v>0</v>
      </c>
      <c r="H1250">
        <f>'insurance final cleaned'!N472</f>
        <v>0</v>
      </c>
      <c r="I1250">
        <f>'insurance final cleaned'!O472</f>
        <v>1</v>
      </c>
      <c r="J1250">
        <f>'insurance final cleaned'!P472</f>
        <v>0.93494136632207203</v>
      </c>
      <c r="K1250">
        <f>'insurance final cleaned'!Q472</f>
        <v>0</v>
      </c>
      <c r="L1250">
        <f>'insurance final cleaned'!R472</f>
        <v>1</v>
      </c>
      <c r="M1250">
        <f>'insurance final cleaned'!S472</f>
        <v>0</v>
      </c>
    </row>
    <row r="1251" spans="1:13" x14ac:dyDescent="0.3">
      <c r="A1251">
        <f>'insurance final cleaned'!J531</f>
        <v>7281.51</v>
      </c>
      <c r="B1251">
        <f>'insurance final cleaned'!B531</f>
        <v>46</v>
      </c>
      <c r="C1251">
        <f>'insurance final cleaned'!D531</f>
        <v>27.7</v>
      </c>
      <c r="D1251">
        <f>'insurance final cleaned'!G531</f>
        <v>3</v>
      </c>
      <c r="E1251">
        <f>'insurance final cleaned'!E531</f>
        <v>83</v>
      </c>
      <c r="F1251">
        <f>'insurance final cleaned'!L531</f>
        <v>0</v>
      </c>
      <c r="G1251">
        <f>'insurance final cleaned'!M531</f>
        <v>0</v>
      </c>
      <c r="H1251">
        <f>'insurance final cleaned'!N531</f>
        <v>0</v>
      </c>
      <c r="I1251">
        <f>'insurance final cleaned'!O531</f>
        <v>1</v>
      </c>
      <c r="J1251">
        <f>'insurance final cleaned'!P531</f>
        <v>0.9349617466510235</v>
      </c>
      <c r="K1251">
        <f>'insurance final cleaned'!Q531</f>
        <v>0</v>
      </c>
      <c r="L1251">
        <f>'insurance final cleaned'!R531</f>
        <v>0</v>
      </c>
      <c r="M1251">
        <f>'insurance final cleaned'!S531</f>
        <v>1</v>
      </c>
    </row>
    <row r="1252" spans="1:13" x14ac:dyDescent="0.3">
      <c r="A1252">
        <f>'insurance final cleaned'!J981</f>
        <v>14711.74</v>
      </c>
      <c r="B1252">
        <f>'insurance final cleaned'!B981</f>
        <v>26</v>
      </c>
      <c r="C1252">
        <f>'insurance final cleaned'!D981</f>
        <v>22.4</v>
      </c>
      <c r="D1252">
        <f>'insurance final cleaned'!G981</f>
        <v>0</v>
      </c>
      <c r="E1252">
        <f>'insurance final cleaned'!E981</f>
        <v>100</v>
      </c>
      <c r="F1252">
        <f>'insurance final cleaned'!L981</f>
        <v>22.4</v>
      </c>
      <c r="G1252">
        <f>'insurance final cleaned'!M981</f>
        <v>0</v>
      </c>
      <c r="H1252">
        <f>'insurance final cleaned'!N981</f>
        <v>0</v>
      </c>
      <c r="I1252">
        <f>'insurance final cleaned'!O981</f>
        <v>1</v>
      </c>
      <c r="J1252">
        <f>'insurance final cleaned'!P981</f>
        <v>0.93519657244223764</v>
      </c>
      <c r="K1252">
        <f>'insurance final cleaned'!Q981</f>
        <v>1</v>
      </c>
      <c r="L1252">
        <f>'insurance final cleaned'!R981</f>
        <v>1</v>
      </c>
      <c r="M1252">
        <f>'insurance final cleaned'!S981</f>
        <v>1</v>
      </c>
    </row>
    <row r="1253" spans="1:13" x14ac:dyDescent="0.3">
      <c r="A1253">
        <f>'insurance final cleaned'!J1139</f>
        <v>24915.05</v>
      </c>
      <c r="B1253">
        <f>'insurance final cleaned'!B1139</f>
        <v>58</v>
      </c>
      <c r="C1253">
        <f>'insurance final cleaned'!D1139</f>
        <v>38.1</v>
      </c>
      <c r="D1253">
        <f>'insurance final cleaned'!G1139</f>
        <v>2</v>
      </c>
      <c r="E1253">
        <f>'insurance final cleaned'!E1139</f>
        <v>94</v>
      </c>
      <c r="F1253">
        <f>'insurance final cleaned'!L1139</f>
        <v>0</v>
      </c>
      <c r="G1253">
        <f>'insurance final cleaned'!M1139</f>
        <v>0</v>
      </c>
      <c r="H1253">
        <f>'insurance final cleaned'!N1139</f>
        <v>0</v>
      </c>
      <c r="I1253">
        <f>'insurance final cleaned'!O1139</f>
        <v>0</v>
      </c>
      <c r="J1253">
        <f>'insurance final cleaned'!P1139</f>
        <v>0.9364892306057796</v>
      </c>
      <c r="K1253">
        <f>'insurance final cleaned'!Q1139</f>
        <v>0</v>
      </c>
      <c r="L1253">
        <f>'insurance final cleaned'!R1139</f>
        <v>0</v>
      </c>
      <c r="M1253">
        <f>'insurance final cleaned'!S1139</f>
        <v>1</v>
      </c>
    </row>
    <row r="1254" spans="1:13" x14ac:dyDescent="0.3">
      <c r="A1254">
        <f>'insurance final cleaned'!J87</f>
        <v>1967.02</v>
      </c>
      <c r="B1254">
        <f>'insurance final cleaned'!B87</f>
        <v>19</v>
      </c>
      <c r="C1254">
        <f>'insurance final cleaned'!D87</f>
        <v>27.9</v>
      </c>
      <c r="D1254">
        <f>'insurance final cleaned'!G87</f>
        <v>0</v>
      </c>
      <c r="E1254">
        <f>'insurance final cleaned'!E87</f>
        <v>94</v>
      </c>
      <c r="F1254">
        <f>'insurance final cleaned'!L87</f>
        <v>0</v>
      </c>
      <c r="G1254">
        <f>'insurance final cleaned'!M87</f>
        <v>0</v>
      </c>
      <c r="H1254">
        <f>'insurance final cleaned'!N87</f>
        <v>0</v>
      </c>
      <c r="I1254">
        <f>'insurance final cleaned'!O87</f>
        <v>0</v>
      </c>
      <c r="J1254">
        <f>'insurance final cleaned'!P87</f>
        <v>0.93798974248629241</v>
      </c>
      <c r="K1254">
        <f>'insurance final cleaned'!Q87</f>
        <v>0</v>
      </c>
      <c r="L1254">
        <f>'insurance final cleaned'!R87</f>
        <v>1</v>
      </c>
      <c r="M1254">
        <f>'insurance final cleaned'!S87</f>
        <v>0</v>
      </c>
    </row>
    <row r="1255" spans="1:13" x14ac:dyDescent="0.3">
      <c r="A1255">
        <f>'insurance final cleaned'!J400</f>
        <v>5438.75</v>
      </c>
      <c r="B1255">
        <f>'insurance final cleaned'!B400</f>
        <v>29</v>
      </c>
      <c r="C1255">
        <f>'insurance final cleaned'!D400</f>
        <v>41.7</v>
      </c>
      <c r="D1255">
        <f>'insurance final cleaned'!G400</f>
        <v>0</v>
      </c>
      <c r="E1255">
        <f>'insurance final cleaned'!E400</f>
        <v>86</v>
      </c>
      <c r="F1255">
        <f>'insurance final cleaned'!L400</f>
        <v>0</v>
      </c>
      <c r="G1255">
        <f>'insurance final cleaned'!M400</f>
        <v>1</v>
      </c>
      <c r="H1255">
        <f>'insurance final cleaned'!N400</f>
        <v>0</v>
      </c>
      <c r="I1255">
        <f>'insurance final cleaned'!O400</f>
        <v>0</v>
      </c>
      <c r="J1255">
        <f>'insurance final cleaned'!P400</f>
        <v>0.93799359967518314</v>
      </c>
      <c r="K1255">
        <f>'insurance final cleaned'!Q400</f>
        <v>0</v>
      </c>
      <c r="L1255">
        <f>'insurance final cleaned'!R400</f>
        <v>1</v>
      </c>
      <c r="M1255">
        <f>'insurance final cleaned'!S400</f>
        <v>0</v>
      </c>
    </row>
    <row r="1256" spans="1:13" x14ac:dyDescent="0.3">
      <c r="A1256">
        <f>'insurance final cleaned'!J675</f>
        <v>9411.01</v>
      </c>
      <c r="B1256">
        <f>'insurance final cleaned'!B675</f>
        <v>31</v>
      </c>
      <c r="C1256">
        <f>'insurance final cleaned'!D675</f>
        <v>32.299999999999997</v>
      </c>
      <c r="D1256">
        <f>'insurance final cleaned'!G675</f>
        <v>2</v>
      </c>
      <c r="E1256">
        <f>'insurance final cleaned'!E675</f>
        <v>82</v>
      </c>
      <c r="F1256">
        <f>'insurance final cleaned'!L675</f>
        <v>0</v>
      </c>
      <c r="G1256">
        <f>'insurance final cleaned'!M675</f>
        <v>0</v>
      </c>
      <c r="H1256">
        <f>'insurance final cleaned'!N675</f>
        <v>0</v>
      </c>
      <c r="I1256">
        <f>'insurance final cleaned'!O675</f>
        <v>0</v>
      </c>
      <c r="J1256">
        <f>'insurance final cleaned'!P675</f>
        <v>0.93894876240639602</v>
      </c>
      <c r="K1256">
        <f>'insurance final cleaned'!Q675</f>
        <v>0</v>
      </c>
      <c r="L1256">
        <f>'insurance final cleaned'!R675</f>
        <v>1</v>
      </c>
      <c r="M1256">
        <f>'insurance final cleaned'!S675</f>
        <v>1</v>
      </c>
    </row>
    <row r="1257" spans="1:13" x14ac:dyDescent="0.3">
      <c r="A1257">
        <f>'insurance final cleaned'!J1131</f>
        <v>24513.09</v>
      </c>
      <c r="B1257">
        <f>'insurance final cleaned'!B1131</f>
        <v>53</v>
      </c>
      <c r="C1257">
        <f>'insurance final cleaned'!D1131</f>
        <v>25.1</v>
      </c>
      <c r="D1257">
        <f>'insurance final cleaned'!G1131</f>
        <v>0</v>
      </c>
      <c r="E1257">
        <f>'insurance final cleaned'!E1131</f>
        <v>104</v>
      </c>
      <c r="F1257">
        <f>'insurance final cleaned'!L1131</f>
        <v>0</v>
      </c>
      <c r="G1257">
        <f>'insurance final cleaned'!M1131</f>
        <v>1</v>
      </c>
      <c r="H1257">
        <f>'insurance final cleaned'!N1131</f>
        <v>0</v>
      </c>
      <c r="I1257">
        <f>'insurance final cleaned'!O1131</f>
        <v>0</v>
      </c>
      <c r="J1257">
        <f>'insurance final cleaned'!P1131</f>
        <v>0.93937674510370073</v>
      </c>
      <c r="K1257">
        <f>'insurance final cleaned'!Q1131</f>
        <v>0</v>
      </c>
      <c r="L1257">
        <f>'insurance final cleaned'!R1131</f>
        <v>0</v>
      </c>
      <c r="M1257">
        <f>'insurance final cleaned'!S1131</f>
        <v>1</v>
      </c>
    </row>
    <row r="1258" spans="1:13" x14ac:dyDescent="0.3">
      <c r="A1258">
        <f>'insurance final cleaned'!J1198</f>
        <v>34166.269999999997</v>
      </c>
      <c r="B1258">
        <f>'insurance final cleaned'!B1198</f>
        <v>36</v>
      </c>
      <c r="C1258">
        <f>'insurance final cleaned'!D1198</f>
        <v>31.4</v>
      </c>
      <c r="D1258">
        <f>'insurance final cleaned'!G1198</f>
        <v>0</v>
      </c>
      <c r="E1258">
        <f>'insurance final cleaned'!E1198</f>
        <v>136</v>
      </c>
      <c r="F1258">
        <f>'insurance final cleaned'!L1198</f>
        <v>31.4</v>
      </c>
      <c r="G1258">
        <f>'insurance final cleaned'!M1198</f>
        <v>0</v>
      </c>
      <c r="H1258">
        <f>'insurance final cleaned'!N1198</f>
        <v>1</v>
      </c>
      <c r="I1258">
        <f>'insurance final cleaned'!O1198</f>
        <v>0</v>
      </c>
      <c r="J1258">
        <f>'insurance final cleaned'!P1198</f>
        <v>0.93999149853601005</v>
      </c>
      <c r="K1258">
        <f>'insurance final cleaned'!Q1198</f>
        <v>1</v>
      </c>
      <c r="L1258">
        <f>'insurance final cleaned'!R1198</f>
        <v>1</v>
      </c>
      <c r="M1258">
        <f>'insurance final cleaned'!S1198</f>
        <v>1</v>
      </c>
    </row>
    <row r="1259" spans="1:13" x14ac:dyDescent="0.3">
      <c r="A1259">
        <f>'insurance final cleaned'!J133</f>
        <v>2302.3000000000002</v>
      </c>
      <c r="B1259">
        <f>'insurance final cleaned'!B133</f>
        <v>45</v>
      </c>
      <c r="C1259">
        <f>'insurance final cleaned'!D133</f>
        <v>20.8</v>
      </c>
      <c r="D1259">
        <f>'insurance final cleaned'!G133</f>
        <v>0</v>
      </c>
      <c r="E1259">
        <f>'insurance final cleaned'!E133</f>
        <v>88</v>
      </c>
      <c r="F1259">
        <f>'insurance final cleaned'!L133</f>
        <v>0</v>
      </c>
      <c r="G1259">
        <f>'insurance final cleaned'!M133</f>
        <v>0</v>
      </c>
      <c r="H1259">
        <f>'insurance final cleaned'!N133</f>
        <v>0</v>
      </c>
      <c r="I1259">
        <f>'insurance final cleaned'!O133</f>
        <v>1</v>
      </c>
      <c r="J1259">
        <f>'insurance final cleaned'!P133</f>
        <v>0.94072711994661795</v>
      </c>
      <c r="K1259">
        <f>'insurance final cleaned'!Q133</f>
        <v>0</v>
      </c>
      <c r="L1259">
        <f>'insurance final cleaned'!R133</f>
        <v>0</v>
      </c>
      <c r="M1259">
        <f>'insurance final cleaned'!S133</f>
        <v>0</v>
      </c>
    </row>
    <row r="1260" spans="1:13" x14ac:dyDescent="0.3">
      <c r="A1260">
        <f>'insurance final cleaned'!J23</f>
        <v>1526.31</v>
      </c>
      <c r="B1260">
        <f>'insurance final cleaned'!B23</f>
        <v>34</v>
      </c>
      <c r="C1260">
        <f>'insurance final cleaned'!D23</f>
        <v>31.1</v>
      </c>
      <c r="D1260">
        <f>'insurance final cleaned'!G23</f>
        <v>0</v>
      </c>
      <c r="E1260">
        <f>'insurance final cleaned'!E23</f>
        <v>96</v>
      </c>
      <c r="F1260">
        <f>'insurance final cleaned'!L23</f>
        <v>0</v>
      </c>
      <c r="G1260">
        <f>'insurance final cleaned'!M23</f>
        <v>0</v>
      </c>
      <c r="H1260">
        <f>'insurance final cleaned'!N23</f>
        <v>1</v>
      </c>
      <c r="I1260">
        <f>'insurance final cleaned'!O23</f>
        <v>0</v>
      </c>
      <c r="J1260">
        <f>'insurance final cleaned'!P23</f>
        <v>0.94079666267467466</v>
      </c>
      <c r="K1260">
        <f>'insurance final cleaned'!Q23</f>
        <v>0</v>
      </c>
      <c r="L1260">
        <f>'insurance final cleaned'!R23</f>
        <v>0</v>
      </c>
      <c r="M1260">
        <f>'insurance final cleaned'!S23</f>
        <v>0</v>
      </c>
    </row>
    <row r="1261" spans="1:13" x14ac:dyDescent="0.3">
      <c r="A1261">
        <f>'insurance final cleaned'!J326</f>
        <v>4571.41</v>
      </c>
      <c r="B1261">
        <f>'insurance final cleaned'!B326</f>
        <v>60</v>
      </c>
      <c r="C1261">
        <f>'insurance final cleaned'!D326</f>
        <v>26.7</v>
      </c>
      <c r="D1261">
        <f>'insurance final cleaned'!G326</f>
        <v>0</v>
      </c>
      <c r="E1261">
        <f>'insurance final cleaned'!E326</f>
        <v>94</v>
      </c>
      <c r="F1261">
        <f>'insurance final cleaned'!L326</f>
        <v>0</v>
      </c>
      <c r="G1261">
        <f>'insurance final cleaned'!M326</f>
        <v>0</v>
      </c>
      <c r="H1261">
        <f>'insurance final cleaned'!N326</f>
        <v>0</v>
      </c>
      <c r="I1261">
        <f>'insurance final cleaned'!O326</f>
        <v>1</v>
      </c>
      <c r="J1261">
        <f>'insurance final cleaned'!P326</f>
        <v>0.94096483272969667</v>
      </c>
      <c r="K1261">
        <f>'insurance final cleaned'!Q326</f>
        <v>0</v>
      </c>
      <c r="L1261">
        <f>'insurance final cleaned'!R326</f>
        <v>0</v>
      </c>
      <c r="M1261">
        <f>'insurance final cleaned'!S326</f>
        <v>1</v>
      </c>
    </row>
    <row r="1262" spans="1:13" x14ac:dyDescent="0.3">
      <c r="A1262">
        <f>'insurance final cleaned'!J1010</f>
        <v>16884.919999999998</v>
      </c>
      <c r="B1262">
        <f>'insurance final cleaned'!B1010</f>
        <v>60</v>
      </c>
      <c r="C1262">
        <f>'insurance final cleaned'!D1010</f>
        <v>27.9</v>
      </c>
      <c r="D1262">
        <f>'insurance final cleaned'!G1010</f>
        <v>0</v>
      </c>
      <c r="E1262">
        <f>'insurance final cleaned'!E1010</f>
        <v>97</v>
      </c>
      <c r="F1262">
        <f>'insurance final cleaned'!L1010</f>
        <v>27.9</v>
      </c>
      <c r="G1262">
        <f>'insurance final cleaned'!M1010</f>
        <v>0</v>
      </c>
      <c r="H1262">
        <f>'insurance final cleaned'!N1010</f>
        <v>1</v>
      </c>
      <c r="I1262">
        <f>'insurance final cleaned'!O1010</f>
        <v>0</v>
      </c>
      <c r="J1262">
        <f>'insurance final cleaned'!P1010</f>
        <v>0.94199678381619856</v>
      </c>
      <c r="K1262">
        <f>'insurance final cleaned'!Q1010</f>
        <v>1</v>
      </c>
      <c r="L1262">
        <f>'insurance final cleaned'!R1010</f>
        <v>0</v>
      </c>
      <c r="M1262">
        <f>'insurance final cleaned'!S1010</f>
        <v>1</v>
      </c>
    </row>
    <row r="1263" spans="1:13" x14ac:dyDescent="0.3">
      <c r="A1263">
        <f>'insurance final cleaned'!J982</f>
        <v>14901.52</v>
      </c>
      <c r="B1263">
        <f>'insurance final cleaned'!B982</f>
        <v>36</v>
      </c>
      <c r="C1263">
        <f>'insurance final cleaned'!D982</f>
        <v>39.299999999999997</v>
      </c>
      <c r="D1263">
        <f>'insurance final cleaned'!G982</f>
        <v>0</v>
      </c>
      <c r="E1263">
        <f>'insurance final cleaned'!E982</f>
        <v>82</v>
      </c>
      <c r="F1263">
        <f>'insurance final cleaned'!L982</f>
        <v>0</v>
      </c>
      <c r="G1263">
        <f>'insurance final cleaned'!M982</f>
        <v>0</v>
      </c>
      <c r="H1263">
        <f>'insurance final cleaned'!N982</f>
        <v>0</v>
      </c>
      <c r="I1263">
        <f>'insurance final cleaned'!O982</f>
        <v>0</v>
      </c>
      <c r="J1263">
        <f>'insurance final cleaned'!P982</f>
        <v>0.94222523699856897</v>
      </c>
      <c r="K1263">
        <f>'insurance final cleaned'!Q982</f>
        <v>0</v>
      </c>
      <c r="L1263">
        <f>'insurance final cleaned'!R982</f>
        <v>0</v>
      </c>
      <c r="M1263">
        <f>'insurance final cleaned'!S982</f>
        <v>1</v>
      </c>
    </row>
    <row r="1264" spans="1:13" x14ac:dyDescent="0.3">
      <c r="A1264">
        <f>'insurance final cleaned'!J103</f>
        <v>2104.11</v>
      </c>
      <c r="B1264">
        <f>'insurance final cleaned'!B103</f>
        <v>33</v>
      </c>
      <c r="C1264">
        <f>'insurance final cleaned'!D103</f>
        <v>27.4</v>
      </c>
      <c r="D1264">
        <f>'insurance final cleaned'!G103</f>
        <v>0</v>
      </c>
      <c r="E1264">
        <f>'insurance final cleaned'!E103</f>
        <v>100</v>
      </c>
      <c r="F1264">
        <f>'insurance final cleaned'!L103</f>
        <v>0</v>
      </c>
      <c r="G1264">
        <f>'insurance final cleaned'!M103</f>
        <v>0</v>
      </c>
      <c r="H1264">
        <f>'insurance final cleaned'!N103</f>
        <v>0</v>
      </c>
      <c r="I1264">
        <f>'insurance final cleaned'!O103</f>
        <v>0</v>
      </c>
      <c r="J1264">
        <f>'insurance final cleaned'!P103</f>
        <v>0.94230576539601696</v>
      </c>
      <c r="K1264">
        <f>'insurance final cleaned'!Q103</f>
        <v>0</v>
      </c>
      <c r="L1264">
        <f>'insurance final cleaned'!R103</f>
        <v>0</v>
      </c>
      <c r="M1264">
        <f>'insurance final cleaned'!S103</f>
        <v>0</v>
      </c>
    </row>
    <row r="1265" spans="1:13" x14ac:dyDescent="0.3">
      <c r="A1265">
        <f>'insurance final cleaned'!J214</f>
        <v>3238.44</v>
      </c>
      <c r="B1265">
        <f>'insurance final cleaned'!B214</f>
        <v>46</v>
      </c>
      <c r="C1265">
        <f>'insurance final cleaned'!D214</f>
        <v>42.1</v>
      </c>
      <c r="D1265">
        <f>'insurance final cleaned'!G214</f>
        <v>1</v>
      </c>
      <c r="E1265">
        <f>'insurance final cleaned'!E214</f>
        <v>89</v>
      </c>
      <c r="F1265">
        <f>'insurance final cleaned'!L214</f>
        <v>0</v>
      </c>
      <c r="G1265">
        <f>'insurance final cleaned'!M214</f>
        <v>1</v>
      </c>
      <c r="H1265">
        <f>'insurance final cleaned'!N214</f>
        <v>0</v>
      </c>
      <c r="I1265">
        <f>'insurance final cleaned'!O214</f>
        <v>0</v>
      </c>
      <c r="J1265">
        <f>'insurance final cleaned'!P214</f>
        <v>0.94271062879031109</v>
      </c>
      <c r="K1265">
        <f>'insurance final cleaned'!Q214</f>
        <v>0</v>
      </c>
      <c r="L1265">
        <f>'insurance final cleaned'!R214</f>
        <v>0</v>
      </c>
      <c r="M1265">
        <f>'insurance final cleaned'!S214</f>
        <v>1</v>
      </c>
    </row>
    <row r="1266" spans="1:13" x14ac:dyDescent="0.3">
      <c r="A1266">
        <f>'insurance final cleaned'!J262</f>
        <v>3906.13</v>
      </c>
      <c r="B1266">
        <f>'insurance final cleaned'!B262</f>
        <v>28</v>
      </c>
      <c r="C1266">
        <f>'insurance final cleaned'!D262</f>
        <v>26.8</v>
      </c>
      <c r="D1266">
        <f>'insurance final cleaned'!G262</f>
        <v>3</v>
      </c>
      <c r="E1266">
        <f>'insurance final cleaned'!E262</f>
        <v>92</v>
      </c>
      <c r="F1266">
        <f>'insurance final cleaned'!L262</f>
        <v>0</v>
      </c>
      <c r="G1266">
        <f>'insurance final cleaned'!M262</f>
        <v>0</v>
      </c>
      <c r="H1266">
        <f>'insurance final cleaned'!N262</f>
        <v>1</v>
      </c>
      <c r="I1266">
        <f>'insurance final cleaned'!O262</f>
        <v>0</v>
      </c>
      <c r="J1266">
        <f>'insurance final cleaned'!P262</f>
        <v>0.94327181838158014</v>
      </c>
      <c r="K1266">
        <f>'insurance final cleaned'!Q262</f>
        <v>0</v>
      </c>
      <c r="L1266">
        <f>'insurance final cleaned'!R262</f>
        <v>0</v>
      </c>
      <c r="M1266">
        <f>'insurance final cleaned'!S262</f>
        <v>0</v>
      </c>
    </row>
    <row r="1267" spans="1:13" x14ac:dyDescent="0.3">
      <c r="A1267">
        <f>'insurance final cleaned'!J727</f>
        <v>10197.77</v>
      </c>
      <c r="B1267">
        <f>'insurance final cleaned'!B727</f>
        <v>36</v>
      </c>
      <c r="C1267">
        <f>'insurance final cleaned'!D727</f>
        <v>23.2</v>
      </c>
      <c r="D1267">
        <f>'insurance final cleaned'!G727</f>
        <v>0</v>
      </c>
      <c r="E1267">
        <f>'insurance final cleaned'!E727</f>
        <v>104</v>
      </c>
      <c r="F1267">
        <f>'insurance final cleaned'!L727</f>
        <v>0</v>
      </c>
      <c r="G1267">
        <f>'insurance final cleaned'!M727</f>
        <v>0</v>
      </c>
      <c r="H1267">
        <f>'insurance final cleaned'!N727</f>
        <v>0</v>
      </c>
      <c r="I1267">
        <f>'insurance final cleaned'!O727</f>
        <v>0</v>
      </c>
      <c r="J1267">
        <f>'insurance final cleaned'!P727</f>
        <v>0.94388798045703848</v>
      </c>
      <c r="K1267">
        <f>'insurance final cleaned'!Q727</f>
        <v>0</v>
      </c>
      <c r="L1267">
        <f>'insurance final cleaned'!R727</f>
        <v>1</v>
      </c>
      <c r="M1267">
        <f>'insurance final cleaned'!S727</f>
        <v>1</v>
      </c>
    </row>
    <row r="1268" spans="1:13" x14ac:dyDescent="0.3">
      <c r="A1268">
        <f>'insurance final cleaned'!J206</f>
        <v>3176.29</v>
      </c>
      <c r="B1268">
        <f>'insurance final cleaned'!B206</f>
        <v>35</v>
      </c>
      <c r="C1268">
        <f>'insurance final cleaned'!D206</f>
        <v>22.2</v>
      </c>
      <c r="D1268">
        <f>'insurance final cleaned'!G206</f>
        <v>0</v>
      </c>
      <c r="E1268">
        <f>'insurance final cleaned'!E206</f>
        <v>93</v>
      </c>
      <c r="F1268">
        <f>'insurance final cleaned'!L206</f>
        <v>0</v>
      </c>
      <c r="G1268">
        <f>'insurance final cleaned'!M206</f>
        <v>0</v>
      </c>
      <c r="H1268">
        <f>'insurance final cleaned'!N206</f>
        <v>0</v>
      </c>
      <c r="I1268">
        <f>'insurance final cleaned'!O206</f>
        <v>1</v>
      </c>
      <c r="J1268">
        <f>'insurance final cleaned'!P206</f>
        <v>0.94458102132988331</v>
      </c>
      <c r="K1268">
        <f>'insurance final cleaned'!Q206</f>
        <v>0</v>
      </c>
      <c r="L1268">
        <f>'insurance final cleaned'!R206</f>
        <v>0</v>
      </c>
      <c r="M1268">
        <f>'insurance final cleaned'!S206</f>
        <v>1</v>
      </c>
    </row>
    <row r="1269" spans="1:13" x14ac:dyDescent="0.3">
      <c r="A1269">
        <f>'insurance final cleaned'!J247</f>
        <v>3659.35</v>
      </c>
      <c r="B1269">
        <f>'insurance final cleaned'!B247</f>
        <v>23</v>
      </c>
      <c r="C1269">
        <f>'insurance final cleaned'!D247</f>
        <v>31.4</v>
      </c>
      <c r="D1269">
        <f>'insurance final cleaned'!G247</f>
        <v>1</v>
      </c>
      <c r="E1269">
        <f>'insurance final cleaned'!E247</f>
        <v>88</v>
      </c>
      <c r="F1269">
        <f>'insurance final cleaned'!L247</f>
        <v>0</v>
      </c>
      <c r="G1269">
        <f>'insurance final cleaned'!M247</f>
        <v>0</v>
      </c>
      <c r="H1269">
        <f>'insurance final cleaned'!N247</f>
        <v>1</v>
      </c>
      <c r="I1269">
        <f>'insurance final cleaned'!O247</f>
        <v>0</v>
      </c>
      <c r="J1269">
        <f>'insurance final cleaned'!P247</f>
        <v>0.94656832651272205</v>
      </c>
      <c r="K1269">
        <f>'insurance final cleaned'!Q247</f>
        <v>0</v>
      </c>
      <c r="L1269">
        <f>'insurance final cleaned'!R247</f>
        <v>0</v>
      </c>
      <c r="M1269">
        <f>'insurance final cleaned'!S247</f>
        <v>0</v>
      </c>
    </row>
    <row r="1270" spans="1:13" x14ac:dyDescent="0.3">
      <c r="A1270">
        <f>'insurance final cleaned'!J1189</f>
        <v>32734.19</v>
      </c>
      <c r="B1270">
        <f>'insurance final cleaned'!B1189</f>
        <v>25</v>
      </c>
      <c r="C1270">
        <f>'insurance final cleaned'!D1189</f>
        <v>17.8</v>
      </c>
      <c r="D1270">
        <f>'insurance final cleaned'!G1189</f>
        <v>2</v>
      </c>
      <c r="E1270">
        <f>'insurance final cleaned'!E1189</f>
        <v>83</v>
      </c>
      <c r="F1270">
        <f>'insurance final cleaned'!L1189</f>
        <v>17.8</v>
      </c>
      <c r="G1270">
        <f>'insurance final cleaned'!M1189</f>
        <v>0</v>
      </c>
      <c r="H1270">
        <f>'insurance final cleaned'!N1189</f>
        <v>0</v>
      </c>
      <c r="I1270">
        <f>'insurance final cleaned'!O1189</f>
        <v>1</v>
      </c>
      <c r="J1270">
        <f>'insurance final cleaned'!P1189</f>
        <v>0.94708001970631828</v>
      </c>
      <c r="K1270">
        <f>'insurance final cleaned'!Q1189</f>
        <v>1</v>
      </c>
      <c r="L1270">
        <f>'insurance final cleaned'!R1189</f>
        <v>0</v>
      </c>
      <c r="M1270">
        <f>'insurance final cleaned'!S1189</f>
        <v>1</v>
      </c>
    </row>
    <row r="1271" spans="1:13" x14ac:dyDescent="0.3">
      <c r="A1271">
        <f>'insurance final cleaned'!J664</f>
        <v>9264.7999999999993</v>
      </c>
      <c r="B1271">
        <f>'insurance final cleaned'!B664</f>
        <v>57</v>
      </c>
      <c r="C1271">
        <f>'insurance final cleaned'!D664</f>
        <v>20.6</v>
      </c>
      <c r="D1271">
        <f>'insurance final cleaned'!G664</f>
        <v>0</v>
      </c>
      <c r="E1271">
        <f>'insurance final cleaned'!E664</f>
        <v>98</v>
      </c>
      <c r="F1271">
        <f>'insurance final cleaned'!L664</f>
        <v>0</v>
      </c>
      <c r="G1271">
        <f>'insurance final cleaned'!M664</f>
        <v>0</v>
      </c>
      <c r="H1271">
        <f>'insurance final cleaned'!N664</f>
        <v>1</v>
      </c>
      <c r="I1271">
        <f>'insurance final cleaned'!O664</f>
        <v>0</v>
      </c>
      <c r="J1271">
        <f>'insurance final cleaned'!P664</f>
        <v>0.9482124078348344</v>
      </c>
      <c r="K1271">
        <f>'insurance final cleaned'!Q664</f>
        <v>0</v>
      </c>
      <c r="L1271">
        <f>'insurance final cleaned'!R664</f>
        <v>0</v>
      </c>
      <c r="M1271">
        <f>'insurance final cleaned'!S664</f>
        <v>1</v>
      </c>
    </row>
    <row r="1272" spans="1:13" x14ac:dyDescent="0.3">
      <c r="A1272">
        <f>'insurance final cleaned'!J833</f>
        <v>11833.78</v>
      </c>
      <c r="B1272">
        <f>'insurance final cleaned'!B833</f>
        <v>37</v>
      </c>
      <c r="C1272">
        <f>'insurance final cleaned'!D833</f>
        <v>22.8</v>
      </c>
      <c r="D1272">
        <f>'insurance final cleaned'!G833</f>
        <v>0</v>
      </c>
      <c r="E1272">
        <f>'insurance final cleaned'!E833</f>
        <v>97</v>
      </c>
      <c r="F1272">
        <f>'insurance final cleaned'!L833</f>
        <v>0</v>
      </c>
      <c r="G1272">
        <f>'insurance final cleaned'!M833</f>
        <v>1</v>
      </c>
      <c r="H1272">
        <f>'insurance final cleaned'!N833</f>
        <v>0</v>
      </c>
      <c r="I1272">
        <f>'insurance final cleaned'!O833</f>
        <v>0</v>
      </c>
      <c r="J1272">
        <f>'insurance final cleaned'!P833</f>
        <v>0.94885096139156611</v>
      </c>
      <c r="K1272">
        <f>'insurance final cleaned'!Q833</f>
        <v>0</v>
      </c>
      <c r="L1272">
        <f>'insurance final cleaned'!R833</f>
        <v>1</v>
      </c>
      <c r="M1272">
        <f>'insurance final cleaned'!S833</f>
        <v>1</v>
      </c>
    </row>
    <row r="1273" spans="1:13" x14ac:dyDescent="0.3">
      <c r="A1273">
        <f>'insurance final cleaned'!J872</f>
        <v>12363.55</v>
      </c>
      <c r="B1273">
        <f>'insurance final cleaned'!B872</f>
        <v>33</v>
      </c>
      <c r="C1273">
        <f>'insurance final cleaned'!D872</f>
        <v>36.1</v>
      </c>
      <c r="D1273">
        <f>'insurance final cleaned'!G872</f>
        <v>3</v>
      </c>
      <c r="E1273">
        <f>'insurance final cleaned'!E872</f>
        <v>80</v>
      </c>
      <c r="F1273">
        <f>'insurance final cleaned'!L872</f>
        <v>0</v>
      </c>
      <c r="G1273">
        <f>'insurance final cleaned'!M872</f>
        <v>0</v>
      </c>
      <c r="H1273">
        <f>'insurance final cleaned'!N872</f>
        <v>1</v>
      </c>
      <c r="I1273">
        <f>'insurance final cleaned'!O872</f>
        <v>0</v>
      </c>
      <c r="J1273">
        <f>'insurance final cleaned'!P872</f>
        <v>0.94902349723455848</v>
      </c>
      <c r="K1273">
        <f>'insurance final cleaned'!Q872</f>
        <v>0</v>
      </c>
      <c r="L1273">
        <f>'insurance final cleaned'!R872</f>
        <v>1</v>
      </c>
      <c r="M1273">
        <f>'insurance final cleaned'!S872</f>
        <v>0</v>
      </c>
    </row>
    <row r="1274" spans="1:13" x14ac:dyDescent="0.3">
      <c r="A1274">
        <f>'insurance final cleaned'!J553</f>
        <v>7624.63</v>
      </c>
      <c r="B1274">
        <f>'insurance final cleaned'!B553</f>
        <v>37</v>
      </c>
      <c r="C1274">
        <f>'insurance final cleaned'!D553</f>
        <v>25.8</v>
      </c>
      <c r="D1274">
        <f>'insurance final cleaned'!G553</f>
        <v>1</v>
      </c>
      <c r="E1274">
        <f>'insurance final cleaned'!E553</f>
        <v>87</v>
      </c>
      <c r="F1274">
        <f>'insurance final cleaned'!L553</f>
        <v>0</v>
      </c>
      <c r="G1274">
        <f>'insurance final cleaned'!M553</f>
        <v>0</v>
      </c>
      <c r="H1274">
        <f>'insurance final cleaned'!N553</f>
        <v>1</v>
      </c>
      <c r="I1274">
        <f>'insurance final cleaned'!O553</f>
        <v>0</v>
      </c>
      <c r="J1274">
        <f>'insurance final cleaned'!P553</f>
        <v>0.94907809358510919</v>
      </c>
      <c r="K1274">
        <f>'insurance final cleaned'!Q553</f>
        <v>0</v>
      </c>
      <c r="L1274">
        <f>'insurance final cleaned'!R553</f>
        <v>0</v>
      </c>
      <c r="M1274">
        <f>'insurance final cleaned'!S553</f>
        <v>1</v>
      </c>
    </row>
    <row r="1275" spans="1:13" x14ac:dyDescent="0.3">
      <c r="A1275">
        <f>'insurance final cleaned'!J818</f>
        <v>11554.22</v>
      </c>
      <c r="B1275">
        <f>'insurance final cleaned'!B818</f>
        <v>26</v>
      </c>
      <c r="C1275">
        <f>'insurance final cleaned'!D818</f>
        <v>27.9</v>
      </c>
      <c r="D1275">
        <f>'insurance final cleaned'!G818</f>
        <v>1</v>
      </c>
      <c r="E1275">
        <f>'insurance final cleaned'!E818</f>
        <v>97</v>
      </c>
      <c r="F1275">
        <f>'insurance final cleaned'!L818</f>
        <v>0</v>
      </c>
      <c r="G1275">
        <f>'insurance final cleaned'!M818</f>
        <v>1</v>
      </c>
      <c r="H1275">
        <f>'insurance final cleaned'!N818</f>
        <v>0</v>
      </c>
      <c r="I1275">
        <f>'insurance final cleaned'!O818</f>
        <v>0</v>
      </c>
      <c r="J1275">
        <f>'insurance final cleaned'!P818</f>
        <v>0.94914151336853136</v>
      </c>
      <c r="K1275">
        <f>'insurance final cleaned'!Q818</f>
        <v>0</v>
      </c>
      <c r="L1275">
        <f>'insurance final cleaned'!R818</f>
        <v>1</v>
      </c>
      <c r="M1275">
        <f>'insurance final cleaned'!S818</f>
        <v>0</v>
      </c>
    </row>
    <row r="1276" spans="1:13" x14ac:dyDescent="0.3">
      <c r="A1276">
        <f>'insurance final cleaned'!J1033</f>
        <v>18246.5</v>
      </c>
      <c r="B1276">
        <f>'insurance final cleaned'!B1033</f>
        <v>44</v>
      </c>
      <c r="C1276">
        <f>'insurance final cleaned'!D1033</f>
        <v>29.2</v>
      </c>
      <c r="D1276">
        <f>'insurance final cleaned'!G1033</f>
        <v>0</v>
      </c>
      <c r="E1276">
        <f>'insurance final cleaned'!E1033</f>
        <v>88</v>
      </c>
      <c r="F1276">
        <f>'insurance final cleaned'!L1033</f>
        <v>29.2</v>
      </c>
      <c r="G1276">
        <f>'insurance final cleaned'!M1033</f>
        <v>1</v>
      </c>
      <c r="H1276">
        <f>'insurance final cleaned'!N1033</f>
        <v>0</v>
      </c>
      <c r="I1276">
        <f>'insurance final cleaned'!O1033</f>
        <v>0</v>
      </c>
      <c r="J1276">
        <f>'insurance final cleaned'!P1033</f>
        <v>0.94963339786276135</v>
      </c>
      <c r="K1276">
        <f>'insurance final cleaned'!Q1033</f>
        <v>1</v>
      </c>
      <c r="L1276">
        <f>'insurance final cleaned'!R1033</f>
        <v>1</v>
      </c>
      <c r="M1276">
        <f>'insurance final cleaned'!S1033</f>
        <v>0</v>
      </c>
    </row>
    <row r="1277" spans="1:13" x14ac:dyDescent="0.3">
      <c r="A1277">
        <f>'insurance final cleaned'!J482</f>
        <v>6652.53</v>
      </c>
      <c r="B1277">
        <f>'insurance final cleaned'!B482</f>
        <v>48</v>
      </c>
      <c r="C1277">
        <f>'insurance final cleaned'!D482</f>
        <v>21.1</v>
      </c>
      <c r="D1277">
        <f>'insurance final cleaned'!G482</f>
        <v>3</v>
      </c>
      <c r="E1277">
        <f>'insurance final cleaned'!E482</f>
        <v>82</v>
      </c>
      <c r="F1277">
        <f>'insurance final cleaned'!L482</f>
        <v>0</v>
      </c>
      <c r="G1277">
        <f>'insurance final cleaned'!M482</f>
        <v>1</v>
      </c>
      <c r="H1277">
        <f>'insurance final cleaned'!N482</f>
        <v>0</v>
      </c>
      <c r="I1277">
        <f>'insurance final cleaned'!O482</f>
        <v>0</v>
      </c>
      <c r="J1277">
        <f>'insurance final cleaned'!P482</f>
        <v>0.94977640654623896</v>
      </c>
      <c r="K1277">
        <f>'insurance final cleaned'!Q482</f>
        <v>0</v>
      </c>
      <c r="L1277">
        <f>'insurance final cleaned'!R482</f>
        <v>0</v>
      </c>
      <c r="M1277">
        <f>'insurance final cleaned'!S482</f>
        <v>0</v>
      </c>
    </row>
    <row r="1278" spans="1:13" x14ac:dyDescent="0.3">
      <c r="A1278">
        <f>'insurance final cleaned'!J366</f>
        <v>5028.1499999999996</v>
      </c>
      <c r="B1278">
        <f>'insurance final cleaned'!B366</f>
        <v>35</v>
      </c>
      <c r="C1278">
        <f>'insurance final cleaned'!D366</f>
        <v>29.6</v>
      </c>
      <c r="D1278">
        <f>'insurance final cleaned'!G366</f>
        <v>0</v>
      </c>
      <c r="E1278">
        <f>'insurance final cleaned'!E366</f>
        <v>94</v>
      </c>
      <c r="F1278">
        <f>'insurance final cleaned'!L366</f>
        <v>0</v>
      </c>
      <c r="G1278">
        <f>'insurance final cleaned'!M366</f>
        <v>0</v>
      </c>
      <c r="H1278">
        <f>'insurance final cleaned'!N366</f>
        <v>0</v>
      </c>
      <c r="I1278">
        <f>'insurance final cleaned'!O366</f>
        <v>1</v>
      </c>
      <c r="J1278">
        <f>'insurance final cleaned'!P366</f>
        <v>0.95024129372781496</v>
      </c>
      <c r="K1278">
        <f>'insurance final cleaned'!Q366</f>
        <v>0</v>
      </c>
      <c r="L1278">
        <f>'insurance final cleaned'!R366</f>
        <v>1</v>
      </c>
      <c r="M1278">
        <f>'insurance final cleaned'!S366</f>
        <v>0</v>
      </c>
    </row>
    <row r="1279" spans="1:13" x14ac:dyDescent="0.3">
      <c r="A1279">
        <f>'insurance final cleaned'!J239</f>
        <v>3558.62</v>
      </c>
      <c r="B1279">
        <f>'insurance final cleaned'!B239</f>
        <v>48</v>
      </c>
      <c r="C1279">
        <f>'insurance final cleaned'!D239</f>
        <v>25.2</v>
      </c>
      <c r="D1279">
        <f>'insurance final cleaned'!G239</f>
        <v>0</v>
      </c>
      <c r="E1279">
        <f>'insurance final cleaned'!E239</f>
        <v>82</v>
      </c>
      <c r="F1279">
        <f>'insurance final cleaned'!L239</f>
        <v>0</v>
      </c>
      <c r="G1279">
        <f>'insurance final cleaned'!M239</f>
        <v>1</v>
      </c>
      <c r="H1279">
        <f>'insurance final cleaned'!N239</f>
        <v>0</v>
      </c>
      <c r="I1279">
        <f>'insurance final cleaned'!O239</f>
        <v>0</v>
      </c>
      <c r="J1279">
        <f>'insurance final cleaned'!P239</f>
        <v>0.95047181320179297</v>
      </c>
      <c r="K1279">
        <f>'insurance final cleaned'!Q239</f>
        <v>0</v>
      </c>
      <c r="L1279">
        <f>'insurance final cleaned'!R239</f>
        <v>0</v>
      </c>
      <c r="M1279">
        <f>'insurance final cleaned'!S239</f>
        <v>1</v>
      </c>
    </row>
    <row r="1280" spans="1:13" x14ac:dyDescent="0.3">
      <c r="A1280">
        <f>'insurance final cleaned'!J1117</f>
        <v>23288.93</v>
      </c>
      <c r="B1280">
        <f>'insurance final cleaned'!B1117</f>
        <v>59</v>
      </c>
      <c r="C1280">
        <f>'insurance final cleaned'!D1117</f>
        <v>24.3</v>
      </c>
      <c r="D1280">
        <f>'insurance final cleaned'!G1117</f>
        <v>1</v>
      </c>
      <c r="E1280">
        <f>'insurance final cleaned'!E1117</f>
        <v>104</v>
      </c>
      <c r="F1280">
        <f>'insurance final cleaned'!L1117</f>
        <v>0</v>
      </c>
      <c r="G1280">
        <f>'insurance final cleaned'!M1117</f>
        <v>0</v>
      </c>
      <c r="H1280">
        <f>'insurance final cleaned'!N1117</f>
        <v>0</v>
      </c>
      <c r="I1280">
        <f>'insurance final cleaned'!O1117</f>
        <v>0</v>
      </c>
      <c r="J1280">
        <f>'insurance final cleaned'!P1117</f>
        <v>0.95226735365226012</v>
      </c>
      <c r="K1280">
        <f>'insurance final cleaned'!Q1117</f>
        <v>0</v>
      </c>
      <c r="L1280">
        <f>'insurance final cleaned'!R1117</f>
        <v>0</v>
      </c>
      <c r="M1280">
        <f>'insurance final cleaned'!S1117</f>
        <v>1</v>
      </c>
    </row>
    <row r="1281" spans="1:13" x14ac:dyDescent="0.3">
      <c r="A1281">
        <f>'insurance final cleaned'!J69</f>
        <v>1748.77</v>
      </c>
      <c r="B1281">
        <f>'insurance final cleaned'!B69</f>
        <v>39</v>
      </c>
      <c r="C1281">
        <f>'insurance final cleaned'!D69</f>
        <v>32.9</v>
      </c>
      <c r="D1281">
        <f>'insurance final cleaned'!G69</f>
        <v>0</v>
      </c>
      <c r="E1281">
        <f>'insurance final cleaned'!E69</f>
        <v>99</v>
      </c>
      <c r="F1281">
        <f>'insurance final cleaned'!L69</f>
        <v>0</v>
      </c>
      <c r="G1281">
        <f>'insurance final cleaned'!M69</f>
        <v>0</v>
      </c>
      <c r="H1281">
        <f>'insurance final cleaned'!N69</f>
        <v>1</v>
      </c>
      <c r="I1281">
        <f>'insurance final cleaned'!O69</f>
        <v>0</v>
      </c>
      <c r="J1281">
        <f>'insurance final cleaned'!P69</f>
        <v>0.95345993875171797</v>
      </c>
      <c r="K1281">
        <f>'insurance final cleaned'!Q69</f>
        <v>0</v>
      </c>
      <c r="L1281">
        <f>'insurance final cleaned'!R69</f>
        <v>1</v>
      </c>
      <c r="M1281">
        <f>'insurance final cleaned'!S69</f>
        <v>1</v>
      </c>
    </row>
    <row r="1282" spans="1:13" x14ac:dyDescent="0.3">
      <c r="A1282">
        <f>'insurance final cleaned'!J56</f>
        <v>1708.93</v>
      </c>
      <c r="B1282">
        <f>'insurance final cleaned'!B56</f>
        <v>21</v>
      </c>
      <c r="C1282">
        <f>'insurance final cleaned'!D56</f>
        <v>26.1</v>
      </c>
      <c r="D1282">
        <f>'insurance final cleaned'!G56</f>
        <v>0</v>
      </c>
      <c r="E1282">
        <f>'insurance final cleaned'!E56</f>
        <v>87</v>
      </c>
      <c r="F1282">
        <f>'insurance final cleaned'!L56</f>
        <v>0</v>
      </c>
      <c r="G1282">
        <f>'insurance final cleaned'!M56</f>
        <v>0</v>
      </c>
      <c r="H1282">
        <f>'insurance final cleaned'!N56</f>
        <v>0</v>
      </c>
      <c r="I1282">
        <f>'insurance final cleaned'!O56</f>
        <v>1</v>
      </c>
      <c r="J1282">
        <f>'insurance final cleaned'!P56</f>
        <v>0.95388723598794822</v>
      </c>
      <c r="K1282">
        <f>'insurance final cleaned'!Q56</f>
        <v>0</v>
      </c>
      <c r="L1282">
        <f>'insurance final cleaned'!R56</f>
        <v>1</v>
      </c>
      <c r="M1282">
        <f>'insurance final cleaned'!S56</f>
        <v>0</v>
      </c>
    </row>
    <row r="1283" spans="1:13" x14ac:dyDescent="0.3">
      <c r="A1283">
        <f>'insurance final cleaned'!J803</f>
        <v>11365.95</v>
      </c>
      <c r="B1283">
        <f>'insurance final cleaned'!B803</f>
        <v>43</v>
      </c>
      <c r="C1283">
        <f>'insurance final cleaned'!D803</f>
        <v>38</v>
      </c>
      <c r="D1283">
        <f>'insurance final cleaned'!G803</f>
        <v>0</v>
      </c>
      <c r="E1283">
        <f>'insurance final cleaned'!E803</f>
        <v>109</v>
      </c>
      <c r="F1283">
        <f>'insurance final cleaned'!L803</f>
        <v>0</v>
      </c>
      <c r="G1283">
        <f>'insurance final cleaned'!M803</f>
        <v>0</v>
      </c>
      <c r="H1283">
        <f>'insurance final cleaned'!N803</f>
        <v>1</v>
      </c>
      <c r="I1283">
        <f>'insurance final cleaned'!O803</f>
        <v>0</v>
      </c>
      <c r="J1283">
        <f>'insurance final cleaned'!P803</f>
        <v>0.95395810591399699</v>
      </c>
      <c r="K1283">
        <f>'insurance final cleaned'!Q803</f>
        <v>0</v>
      </c>
      <c r="L1283">
        <f>'insurance final cleaned'!R803</f>
        <v>1</v>
      </c>
      <c r="M1283">
        <f>'insurance final cleaned'!S803</f>
        <v>0</v>
      </c>
    </row>
    <row r="1284" spans="1:13" x14ac:dyDescent="0.3">
      <c r="A1284">
        <f>'insurance final cleaned'!J595</f>
        <v>8280.6200000000008</v>
      </c>
      <c r="B1284">
        <f>'insurance final cleaned'!B595</f>
        <v>41</v>
      </c>
      <c r="C1284">
        <f>'insurance final cleaned'!D595</f>
        <v>31.1</v>
      </c>
      <c r="D1284">
        <f>'insurance final cleaned'!G595</f>
        <v>0</v>
      </c>
      <c r="E1284">
        <f>'insurance final cleaned'!E595</f>
        <v>93</v>
      </c>
      <c r="F1284">
        <f>'insurance final cleaned'!L595</f>
        <v>0</v>
      </c>
      <c r="G1284">
        <f>'insurance final cleaned'!M595</f>
        <v>1</v>
      </c>
      <c r="H1284">
        <f>'insurance final cleaned'!N595</f>
        <v>0</v>
      </c>
      <c r="I1284">
        <f>'insurance final cleaned'!O595</f>
        <v>0</v>
      </c>
      <c r="J1284">
        <f>'insurance final cleaned'!P595</f>
        <v>0.95485399429069628</v>
      </c>
      <c r="K1284">
        <f>'insurance final cleaned'!Q595</f>
        <v>0</v>
      </c>
      <c r="L1284">
        <f>'insurance final cleaned'!R595</f>
        <v>0</v>
      </c>
      <c r="M1284">
        <f>'insurance final cleaned'!S595</f>
        <v>1</v>
      </c>
    </row>
    <row r="1285" spans="1:13" x14ac:dyDescent="0.3">
      <c r="A1285">
        <f>'insurance final cleaned'!J1147</f>
        <v>25678.78</v>
      </c>
      <c r="B1285">
        <f>'insurance final cleaned'!B1147</f>
        <v>56</v>
      </c>
      <c r="C1285">
        <f>'insurance final cleaned'!D1147</f>
        <v>23.7</v>
      </c>
      <c r="D1285">
        <f>'insurance final cleaned'!G1147</f>
        <v>0</v>
      </c>
      <c r="E1285">
        <f>'insurance final cleaned'!E1147</f>
        <v>84</v>
      </c>
      <c r="F1285">
        <f>'insurance final cleaned'!L1147</f>
        <v>23.7</v>
      </c>
      <c r="G1285">
        <f>'insurance final cleaned'!M1147</f>
        <v>0</v>
      </c>
      <c r="H1285">
        <f>'insurance final cleaned'!N1147</f>
        <v>0</v>
      </c>
      <c r="I1285">
        <f>'insurance final cleaned'!O1147</f>
        <v>1</v>
      </c>
      <c r="J1285">
        <f>'insurance final cleaned'!P1147</f>
        <v>0.9562603465069015</v>
      </c>
      <c r="K1285">
        <f>'insurance final cleaned'!Q1147</f>
        <v>1</v>
      </c>
      <c r="L1285">
        <f>'insurance final cleaned'!R1147</f>
        <v>0</v>
      </c>
      <c r="M1285">
        <f>'insurance final cleaned'!S1147</f>
        <v>1</v>
      </c>
    </row>
    <row r="1286" spans="1:13" x14ac:dyDescent="0.3">
      <c r="A1286">
        <f>'insurance final cleaned'!J3</f>
        <v>1131.51</v>
      </c>
      <c r="B1286">
        <f>'insurance final cleaned'!B3</f>
        <v>24</v>
      </c>
      <c r="C1286">
        <f>'insurance final cleaned'!D3</f>
        <v>30.1</v>
      </c>
      <c r="D1286">
        <f>'insurance final cleaned'!G3</f>
        <v>0</v>
      </c>
      <c r="E1286">
        <f>'insurance final cleaned'!E3</f>
        <v>87</v>
      </c>
      <c r="F1286">
        <f>'insurance final cleaned'!L3</f>
        <v>0</v>
      </c>
      <c r="G1286">
        <f>'insurance final cleaned'!M3</f>
        <v>1</v>
      </c>
      <c r="H1286">
        <f>'insurance final cleaned'!N3</f>
        <v>0</v>
      </c>
      <c r="I1286">
        <f>'insurance final cleaned'!O3</f>
        <v>0</v>
      </c>
      <c r="J1286">
        <f>'insurance final cleaned'!P3</f>
        <v>0.95799827889432532</v>
      </c>
      <c r="K1286">
        <f>'insurance final cleaned'!Q3</f>
        <v>0</v>
      </c>
      <c r="L1286">
        <f>'insurance final cleaned'!R3</f>
        <v>0</v>
      </c>
      <c r="M1286">
        <f>'insurance final cleaned'!S3</f>
        <v>0</v>
      </c>
    </row>
    <row r="1287" spans="1:13" x14ac:dyDescent="0.3">
      <c r="A1287">
        <f>'insurance final cleaned'!J628</f>
        <v>8615.2999999999993</v>
      </c>
      <c r="B1287">
        <f>'insurance final cleaned'!B628</f>
        <v>23</v>
      </c>
      <c r="C1287">
        <f>'insurance final cleaned'!D628</f>
        <v>27.5</v>
      </c>
      <c r="D1287">
        <f>'insurance final cleaned'!G628</f>
        <v>3</v>
      </c>
      <c r="E1287">
        <f>'insurance final cleaned'!E628</f>
        <v>97</v>
      </c>
      <c r="F1287">
        <f>'insurance final cleaned'!L628</f>
        <v>0</v>
      </c>
      <c r="G1287">
        <f>'insurance final cleaned'!M628</f>
        <v>0</v>
      </c>
      <c r="H1287">
        <f>'insurance final cleaned'!N628</f>
        <v>1</v>
      </c>
      <c r="I1287">
        <f>'insurance final cleaned'!O628</f>
        <v>0</v>
      </c>
      <c r="J1287">
        <f>'insurance final cleaned'!P628</f>
        <v>0.95884019239343254</v>
      </c>
      <c r="K1287">
        <f>'insurance final cleaned'!Q628</f>
        <v>0</v>
      </c>
      <c r="L1287">
        <f>'insurance final cleaned'!R628</f>
        <v>0</v>
      </c>
      <c r="M1287">
        <f>'insurance final cleaned'!S628</f>
        <v>0</v>
      </c>
    </row>
    <row r="1288" spans="1:13" x14ac:dyDescent="0.3">
      <c r="A1288">
        <f>'insurance final cleaned'!J445</f>
        <v>6196.45</v>
      </c>
      <c r="B1288">
        <f>'insurance final cleaned'!B445</f>
        <v>32</v>
      </c>
      <c r="C1288">
        <f>'insurance final cleaned'!D445</f>
        <v>38</v>
      </c>
      <c r="D1288">
        <f>'insurance final cleaned'!G445</f>
        <v>3</v>
      </c>
      <c r="E1288">
        <f>'insurance final cleaned'!E445</f>
        <v>92</v>
      </c>
      <c r="F1288">
        <f>'insurance final cleaned'!L445</f>
        <v>0</v>
      </c>
      <c r="G1288">
        <f>'insurance final cleaned'!M445</f>
        <v>0</v>
      </c>
      <c r="H1288">
        <f>'insurance final cleaned'!N445</f>
        <v>1</v>
      </c>
      <c r="I1288">
        <f>'insurance final cleaned'!O445</f>
        <v>0</v>
      </c>
      <c r="J1288">
        <f>'insurance final cleaned'!P445</f>
        <v>0.96001651901624585</v>
      </c>
      <c r="K1288">
        <f>'insurance final cleaned'!Q445</f>
        <v>0</v>
      </c>
      <c r="L1288">
        <f>'insurance final cleaned'!R445</f>
        <v>0</v>
      </c>
      <c r="M1288">
        <f>'insurance final cleaned'!S445</f>
        <v>1</v>
      </c>
    </row>
    <row r="1289" spans="1:13" x14ac:dyDescent="0.3">
      <c r="A1289">
        <f>'insurance final cleaned'!J1153</f>
        <v>26236.58</v>
      </c>
      <c r="B1289">
        <f>'insurance final cleaned'!B1153</f>
        <v>52</v>
      </c>
      <c r="C1289">
        <f>'insurance final cleaned'!D1153</f>
        <v>24.1</v>
      </c>
      <c r="D1289">
        <f>'insurance final cleaned'!G1153</f>
        <v>1</v>
      </c>
      <c r="E1289">
        <f>'insurance final cleaned'!E1153</f>
        <v>84</v>
      </c>
      <c r="F1289">
        <f>'insurance final cleaned'!L1153</f>
        <v>0</v>
      </c>
      <c r="G1289">
        <f>'insurance final cleaned'!M1153</f>
        <v>0</v>
      </c>
      <c r="H1289">
        <f>'insurance final cleaned'!N1153</f>
        <v>1</v>
      </c>
      <c r="I1289">
        <f>'insurance final cleaned'!O1153</f>
        <v>0</v>
      </c>
      <c r="J1289">
        <f>'insurance final cleaned'!P1153</f>
        <v>0.96067574577115045</v>
      </c>
      <c r="K1289">
        <f>'insurance final cleaned'!Q1153</f>
        <v>0</v>
      </c>
      <c r="L1289">
        <f>'insurance final cleaned'!R1153</f>
        <v>1</v>
      </c>
      <c r="M1289">
        <f>'insurance final cleaned'!S1153</f>
        <v>1</v>
      </c>
    </row>
    <row r="1290" spans="1:13" x14ac:dyDescent="0.3">
      <c r="A1290">
        <f>'insurance final cleaned'!J787</f>
        <v>11165.42</v>
      </c>
      <c r="B1290">
        <f>'insurance final cleaned'!B787</f>
        <v>25</v>
      </c>
      <c r="C1290">
        <f>'insurance final cleaned'!D787</f>
        <v>25.9</v>
      </c>
      <c r="D1290">
        <f>'insurance final cleaned'!G787</f>
        <v>0</v>
      </c>
      <c r="E1290">
        <f>'insurance final cleaned'!E787</f>
        <v>82</v>
      </c>
      <c r="F1290">
        <f>'insurance final cleaned'!L787</f>
        <v>0</v>
      </c>
      <c r="G1290">
        <f>'insurance final cleaned'!M787</f>
        <v>0</v>
      </c>
      <c r="H1290">
        <f>'insurance final cleaned'!N787</f>
        <v>0</v>
      </c>
      <c r="I1290">
        <f>'insurance final cleaned'!O787</f>
        <v>0</v>
      </c>
      <c r="J1290">
        <f>'insurance final cleaned'!P787</f>
        <v>0.96202719788506785</v>
      </c>
      <c r="K1290">
        <f>'insurance final cleaned'!Q787</f>
        <v>0</v>
      </c>
      <c r="L1290">
        <f>'insurance final cleaned'!R787</f>
        <v>0</v>
      </c>
      <c r="M1290">
        <f>'insurance final cleaned'!S787</f>
        <v>0</v>
      </c>
    </row>
    <row r="1291" spans="1:13" x14ac:dyDescent="0.3">
      <c r="A1291">
        <f>'insurance final cleaned'!J1333</f>
        <v>48970.25</v>
      </c>
      <c r="B1291">
        <f>'insurance final cleaned'!B1333</f>
        <v>18</v>
      </c>
      <c r="C1291">
        <f>'insurance final cleaned'!D1333</f>
        <v>41.1</v>
      </c>
      <c r="D1291">
        <f>'insurance final cleaned'!G1333</f>
        <v>1</v>
      </c>
      <c r="E1291">
        <f>'insurance final cleaned'!E1333</f>
        <v>104</v>
      </c>
      <c r="F1291">
        <f>'insurance final cleaned'!L1333</f>
        <v>41.1</v>
      </c>
      <c r="G1291">
        <f>'insurance final cleaned'!M1333</f>
        <v>1</v>
      </c>
      <c r="H1291">
        <f>'insurance final cleaned'!N1333</f>
        <v>0</v>
      </c>
      <c r="I1291">
        <f>'insurance final cleaned'!O1333</f>
        <v>0</v>
      </c>
      <c r="J1291">
        <f>'insurance final cleaned'!P1333</f>
        <v>0.96206263088499777</v>
      </c>
      <c r="K1291">
        <f>'insurance final cleaned'!Q1333</f>
        <v>1</v>
      </c>
      <c r="L1291">
        <f>'insurance final cleaned'!R1333</f>
        <v>0</v>
      </c>
      <c r="M1291">
        <f>'insurance final cleaned'!S1333</f>
        <v>0</v>
      </c>
    </row>
    <row r="1292" spans="1:13" x14ac:dyDescent="0.3">
      <c r="A1292">
        <f>'insurance final cleaned'!J32</f>
        <v>1625.43</v>
      </c>
      <c r="B1292">
        <f>'insurance final cleaned'!B32</f>
        <v>29</v>
      </c>
      <c r="C1292">
        <f>'insurance final cleaned'!D32</f>
        <v>20.399999999999999</v>
      </c>
      <c r="D1292">
        <f>'insurance final cleaned'!G32</f>
        <v>0</v>
      </c>
      <c r="E1292">
        <f>'insurance final cleaned'!E32</f>
        <v>80</v>
      </c>
      <c r="F1292">
        <f>'insurance final cleaned'!L32</f>
        <v>0</v>
      </c>
      <c r="G1292">
        <f>'insurance final cleaned'!M32</f>
        <v>0</v>
      </c>
      <c r="H1292">
        <f>'insurance final cleaned'!N32</f>
        <v>0</v>
      </c>
      <c r="I1292">
        <f>'insurance final cleaned'!O32</f>
        <v>1</v>
      </c>
      <c r="J1292">
        <f>'insurance final cleaned'!P32</f>
        <v>0.96241045622543042</v>
      </c>
      <c r="K1292">
        <f>'insurance final cleaned'!Q32</f>
        <v>0</v>
      </c>
      <c r="L1292">
        <f>'insurance final cleaned'!R32</f>
        <v>1</v>
      </c>
      <c r="M1292">
        <f>'insurance final cleaned'!S32</f>
        <v>0</v>
      </c>
    </row>
    <row r="1293" spans="1:13" x14ac:dyDescent="0.3">
      <c r="A1293">
        <f>'insurance final cleaned'!J212</f>
        <v>3213.62</v>
      </c>
      <c r="B1293">
        <f>'insurance final cleaned'!B212</f>
        <v>59</v>
      </c>
      <c r="C1293">
        <f>'insurance final cleaned'!D212</f>
        <v>28.6</v>
      </c>
      <c r="D1293">
        <f>'insurance final cleaned'!G212</f>
        <v>0</v>
      </c>
      <c r="E1293">
        <f>'insurance final cleaned'!E212</f>
        <v>82</v>
      </c>
      <c r="F1293">
        <f>'insurance final cleaned'!L212</f>
        <v>0</v>
      </c>
      <c r="G1293">
        <f>'insurance final cleaned'!M212</f>
        <v>0</v>
      </c>
      <c r="H1293">
        <f>'insurance final cleaned'!N212</f>
        <v>0</v>
      </c>
      <c r="I1293">
        <f>'insurance final cleaned'!O212</f>
        <v>0</v>
      </c>
      <c r="J1293">
        <f>'insurance final cleaned'!P212</f>
        <v>0.96367066805242174</v>
      </c>
      <c r="K1293">
        <f>'insurance final cleaned'!Q212</f>
        <v>0</v>
      </c>
      <c r="L1293">
        <f>'insurance final cleaned'!R212</f>
        <v>0</v>
      </c>
      <c r="M1293">
        <f>'insurance final cleaned'!S212</f>
        <v>1</v>
      </c>
    </row>
    <row r="1294" spans="1:13" x14ac:dyDescent="0.3">
      <c r="A1294">
        <f>'insurance final cleaned'!J405</f>
        <v>5484.47</v>
      </c>
      <c r="B1294">
        <f>'insurance final cleaned'!B405</f>
        <v>47</v>
      </c>
      <c r="C1294">
        <f>'insurance final cleaned'!D405</f>
        <v>28.3</v>
      </c>
      <c r="D1294">
        <f>'insurance final cleaned'!G405</f>
        <v>1</v>
      </c>
      <c r="E1294">
        <f>'insurance final cleaned'!E405</f>
        <v>91</v>
      </c>
      <c r="F1294">
        <f>'insurance final cleaned'!L405</f>
        <v>0</v>
      </c>
      <c r="G1294">
        <f>'insurance final cleaned'!M405</f>
        <v>1</v>
      </c>
      <c r="H1294">
        <f>'insurance final cleaned'!N405</f>
        <v>0</v>
      </c>
      <c r="I1294">
        <f>'insurance final cleaned'!O405</f>
        <v>0</v>
      </c>
      <c r="J1294">
        <f>'insurance final cleaned'!P405</f>
        <v>0.96402894070114364</v>
      </c>
      <c r="K1294">
        <f>'insurance final cleaned'!Q405</f>
        <v>0</v>
      </c>
      <c r="L1294">
        <f>'insurance final cleaned'!R405</f>
        <v>1</v>
      </c>
      <c r="M1294">
        <f>'insurance final cleaned'!S405</f>
        <v>0</v>
      </c>
    </row>
    <row r="1295" spans="1:13" x14ac:dyDescent="0.3">
      <c r="A1295">
        <f>'insurance final cleaned'!J1249</f>
        <v>38998.550000000003</v>
      </c>
      <c r="B1295">
        <f>'insurance final cleaned'!B1249</f>
        <v>26</v>
      </c>
      <c r="C1295">
        <f>'insurance final cleaned'!D1249</f>
        <v>30.2</v>
      </c>
      <c r="D1295">
        <f>'insurance final cleaned'!G1249</f>
        <v>2</v>
      </c>
      <c r="E1295">
        <f>'insurance final cleaned'!E1249</f>
        <v>88</v>
      </c>
      <c r="F1295">
        <f>'insurance final cleaned'!L1249</f>
        <v>30.2</v>
      </c>
      <c r="G1295">
        <f>'insurance final cleaned'!M1249</f>
        <v>0</v>
      </c>
      <c r="H1295">
        <f>'insurance final cleaned'!N1249</f>
        <v>1</v>
      </c>
      <c r="I1295">
        <f>'insurance final cleaned'!O1249</f>
        <v>0</v>
      </c>
      <c r="J1295">
        <f>'insurance final cleaned'!P1249</f>
        <v>0.9647721609364619</v>
      </c>
      <c r="K1295">
        <f>'insurance final cleaned'!Q1249</f>
        <v>1</v>
      </c>
      <c r="L1295">
        <f>'insurance final cleaned'!R1249</f>
        <v>0</v>
      </c>
      <c r="M1295">
        <f>'insurance final cleaned'!S1249</f>
        <v>0</v>
      </c>
    </row>
    <row r="1296" spans="1:13" x14ac:dyDescent="0.3">
      <c r="A1296">
        <f>'insurance final cleaned'!J897</f>
        <v>12890.06</v>
      </c>
      <c r="B1296">
        <f>'insurance final cleaned'!B897</f>
        <v>49</v>
      </c>
      <c r="C1296">
        <f>'insurance final cleaned'!D897</f>
        <v>39.1</v>
      </c>
      <c r="D1296">
        <f>'insurance final cleaned'!G897</f>
        <v>0</v>
      </c>
      <c r="E1296">
        <f>'insurance final cleaned'!E897</f>
        <v>102</v>
      </c>
      <c r="F1296">
        <f>'insurance final cleaned'!L897</f>
        <v>0</v>
      </c>
      <c r="G1296">
        <f>'insurance final cleaned'!M897</f>
        <v>0</v>
      </c>
      <c r="H1296">
        <f>'insurance final cleaned'!N897</f>
        <v>0</v>
      </c>
      <c r="I1296">
        <f>'insurance final cleaned'!O897</f>
        <v>0</v>
      </c>
      <c r="J1296">
        <f>'insurance final cleaned'!P897</f>
        <v>0.9652060384941652</v>
      </c>
      <c r="K1296">
        <f>'insurance final cleaned'!Q897</f>
        <v>0</v>
      </c>
      <c r="L1296">
        <f>'insurance final cleaned'!R897</f>
        <v>1</v>
      </c>
      <c r="M1296">
        <f>'insurance final cleaned'!S897</f>
        <v>0</v>
      </c>
    </row>
    <row r="1297" spans="1:13" x14ac:dyDescent="0.3">
      <c r="A1297">
        <f>'insurance final cleaned'!J901</f>
        <v>12949.16</v>
      </c>
      <c r="B1297">
        <f>'insurance final cleaned'!B901</f>
        <v>33</v>
      </c>
      <c r="C1297">
        <f>'insurance final cleaned'!D901</f>
        <v>33.700000000000003</v>
      </c>
      <c r="D1297">
        <f>'insurance final cleaned'!G901</f>
        <v>4</v>
      </c>
      <c r="E1297">
        <f>'insurance final cleaned'!E901</f>
        <v>98</v>
      </c>
      <c r="F1297">
        <f>'insurance final cleaned'!L901</f>
        <v>0</v>
      </c>
      <c r="G1297">
        <f>'insurance final cleaned'!M901</f>
        <v>1</v>
      </c>
      <c r="H1297">
        <f>'insurance final cleaned'!N901</f>
        <v>0</v>
      </c>
      <c r="I1297">
        <f>'insurance final cleaned'!O901</f>
        <v>0</v>
      </c>
      <c r="J1297">
        <f>'insurance final cleaned'!P901</f>
        <v>0.96532309120645965</v>
      </c>
      <c r="K1297">
        <f>'insurance final cleaned'!Q901</f>
        <v>0</v>
      </c>
      <c r="L1297">
        <f>'insurance final cleaned'!R901</f>
        <v>0</v>
      </c>
      <c r="M1297">
        <f>'insurance final cleaned'!S901</f>
        <v>0</v>
      </c>
    </row>
    <row r="1298" spans="1:13" x14ac:dyDescent="0.3">
      <c r="A1298">
        <f>'insurance final cleaned'!J703</f>
        <v>9855.1299999999992</v>
      </c>
      <c r="B1298">
        <f>'insurance final cleaned'!B703</f>
        <v>36</v>
      </c>
      <c r="C1298">
        <f>'insurance final cleaned'!D703</f>
        <v>21.6</v>
      </c>
      <c r="D1298">
        <f>'insurance final cleaned'!G703</f>
        <v>1</v>
      </c>
      <c r="E1298">
        <f>'insurance final cleaned'!E703</f>
        <v>109</v>
      </c>
      <c r="F1298">
        <f>'insurance final cleaned'!L703</f>
        <v>0</v>
      </c>
      <c r="G1298">
        <f>'insurance final cleaned'!M703</f>
        <v>1</v>
      </c>
      <c r="H1298">
        <f>'insurance final cleaned'!N703</f>
        <v>0</v>
      </c>
      <c r="I1298">
        <f>'insurance final cleaned'!O703</f>
        <v>0</v>
      </c>
      <c r="J1298">
        <f>'insurance final cleaned'!P703</f>
        <v>0.96548604237628277</v>
      </c>
      <c r="K1298">
        <f>'insurance final cleaned'!Q703</f>
        <v>0</v>
      </c>
      <c r="L1298">
        <f>'insurance final cleaned'!R703</f>
        <v>1</v>
      </c>
      <c r="M1298">
        <f>'insurance final cleaned'!S703</f>
        <v>1</v>
      </c>
    </row>
    <row r="1299" spans="1:13" x14ac:dyDescent="0.3">
      <c r="A1299">
        <f>'insurance final cleaned'!J136</f>
        <v>2331.52</v>
      </c>
      <c r="B1299">
        <f>'insurance final cleaned'!B136</f>
        <v>47</v>
      </c>
      <c r="C1299">
        <f>'insurance final cleaned'!D136</f>
        <v>28.4</v>
      </c>
      <c r="D1299">
        <f>'insurance final cleaned'!G136</f>
        <v>1</v>
      </c>
      <c r="E1299">
        <f>'insurance final cleaned'!E136</f>
        <v>87</v>
      </c>
      <c r="F1299">
        <f>'insurance final cleaned'!L136</f>
        <v>0</v>
      </c>
      <c r="G1299">
        <f>'insurance final cleaned'!M136</f>
        <v>0</v>
      </c>
      <c r="H1299">
        <f>'insurance final cleaned'!N136</f>
        <v>1</v>
      </c>
      <c r="I1299">
        <f>'insurance final cleaned'!O136</f>
        <v>0</v>
      </c>
      <c r="J1299">
        <f>'insurance final cleaned'!P136</f>
        <v>0.96606755134075706</v>
      </c>
      <c r="K1299">
        <f>'insurance final cleaned'!Q136</f>
        <v>0</v>
      </c>
      <c r="L1299">
        <f>'insurance final cleaned'!R136</f>
        <v>1</v>
      </c>
      <c r="M1299">
        <f>'insurance final cleaned'!S136</f>
        <v>1</v>
      </c>
    </row>
    <row r="1300" spans="1:13" x14ac:dyDescent="0.3">
      <c r="A1300">
        <f>'insurance final cleaned'!J955</f>
        <v>14043.48</v>
      </c>
      <c r="B1300">
        <f>'insurance final cleaned'!B955</f>
        <v>42</v>
      </c>
      <c r="C1300">
        <f>'insurance final cleaned'!D955</f>
        <v>31.7</v>
      </c>
      <c r="D1300">
        <f>'insurance final cleaned'!G955</f>
        <v>0</v>
      </c>
      <c r="E1300">
        <f>'insurance final cleaned'!E955</f>
        <v>83</v>
      </c>
      <c r="F1300">
        <f>'insurance final cleaned'!L955</f>
        <v>0</v>
      </c>
      <c r="G1300">
        <f>'insurance final cleaned'!M955</f>
        <v>0</v>
      </c>
      <c r="H1300">
        <f>'insurance final cleaned'!N955</f>
        <v>0</v>
      </c>
      <c r="I1300">
        <f>'insurance final cleaned'!O955</f>
        <v>0</v>
      </c>
      <c r="J1300">
        <f>'insurance final cleaned'!P955</f>
        <v>0.96626020402871127</v>
      </c>
      <c r="K1300">
        <f>'insurance final cleaned'!Q955</f>
        <v>0</v>
      </c>
      <c r="L1300">
        <f>'insurance final cleaned'!R955</f>
        <v>0</v>
      </c>
      <c r="M1300">
        <f>'insurance final cleaned'!S955</f>
        <v>1</v>
      </c>
    </row>
    <row r="1301" spans="1:13" x14ac:dyDescent="0.3">
      <c r="A1301">
        <f>'insurance final cleaned'!J201</f>
        <v>3077.1</v>
      </c>
      <c r="B1301">
        <f>'insurance final cleaned'!B201</f>
        <v>38</v>
      </c>
      <c r="C1301">
        <f>'insurance final cleaned'!D201</f>
        <v>23.8</v>
      </c>
      <c r="D1301">
        <f>'insurance final cleaned'!G201</f>
        <v>2</v>
      </c>
      <c r="E1301">
        <f>'insurance final cleaned'!E201</f>
        <v>99</v>
      </c>
      <c r="F1301">
        <f>'insurance final cleaned'!L201</f>
        <v>0</v>
      </c>
      <c r="G1301">
        <f>'insurance final cleaned'!M201</f>
        <v>0</v>
      </c>
      <c r="H1301">
        <f>'insurance final cleaned'!N201</f>
        <v>0</v>
      </c>
      <c r="I1301">
        <f>'insurance final cleaned'!O201</f>
        <v>1</v>
      </c>
      <c r="J1301">
        <f>'insurance final cleaned'!P201</f>
        <v>0.96642425995260994</v>
      </c>
      <c r="K1301">
        <f>'insurance final cleaned'!Q201</f>
        <v>0</v>
      </c>
      <c r="L1301">
        <f>'insurance final cleaned'!R201</f>
        <v>1</v>
      </c>
      <c r="M1301">
        <f>'insurance final cleaned'!S201</f>
        <v>0</v>
      </c>
    </row>
    <row r="1302" spans="1:13" x14ac:dyDescent="0.3">
      <c r="A1302">
        <f>'insurance final cleaned'!J1067</f>
        <v>19933.46</v>
      </c>
      <c r="B1302">
        <f>'insurance final cleaned'!B1067</f>
        <v>23</v>
      </c>
      <c r="C1302">
        <f>'insurance final cleaned'!D1067</f>
        <v>29.7</v>
      </c>
      <c r="D1302">
        <f>'insurance final cleaned'!G1067</f>
        <v>3</v>
      </c>
      <c r="E1302">
        <f>'insurance final cleaned'!E1067</f>
        <v>99</v>
      </c>
      <c r="F1302">
        <f>'insurance final cleaned'!L1067</f>
        <v>29.7</v>
      </c>
      <c r="G1302">
        <f>'insurance final cleaned'!M1067</f>
        <v>0</v>
      </c>
      <c r="H1302">
        <f>'insurance final cleaned'!N1067</f>
        <v>1</v>
      </c>
      <c r="I1302">
        <f>'insurance final cleaned'!O1067</f>
        <v>0</v>
      </c>
      <c r="J1302">
        <f>'insurance final cleaned'!P1067</f>
        <v>0.96765173829019313</v>
      </c>
      <c r="K1302">
        <f>'insurance final cleaned'!Q1067</f>
        <v>1</v>
      </c>
      <c r="L1302">
        <f>'insurance final cleaned'!R1067</f>
        <v>1</v>
      </c>
      <c r="M1302">
        <f>'insurance final cleaned'!S1067</f>
        <v>0</v>
      </c>
    </row>
    <row r="1303" spans="1:13" x14ac:dyDescent="0.3">
      <c r="A1303">
        <f>'insurance final cleaned'!J546</f>
        <v>7445.92</v>
      </c>
      <c r="B1303">
        <f>'insurance final cleaned'!B546</f>
        <v>26</v>
      </c>
      <c r="C1303">
        <f>'insurance final cleaned'!D546</f>
        <v>33.700000000000003</v>
      </c>
      <c r="D1303">
        <f>'insurance final cleaned'!G546</f>
        <v>1</v>
      </c>
      <c r="E1303">
        <f>'insurance final cleaned'!E546</f>
        <v>92</v>
      </c>
      <c r="F1303">
        <f>'insurance final cleaned'!L546</f>
        <v>0</v>
      </c>
      <c r="G1303">
        <f>'insurance final cleaned'!M546</f>
        <v>0</v>
      </c>
      <c r="H1303">
        <f>'insurance final cleaned'!N546</f>
        <v>1</v>
      </c>
      <c r="I1303">
        <f>'insurance final cleaned'!O546</f>
        <v>0</v>
      </c>
      <c r="J1303">
        <f>'insurance final cleaned'!P546</f>
        <v>0.96835580709577118</v>
      </c>
      <c r="K1303">
        <f>'insurance final cleaned'!Q546</f>
        <v>0</v>
      </c>
      <c r="L1303">
        <f>'insurance final cleaned'!R546</f>
        <v>0</v>
      </c>
      <c r="M1303">
        <f>'insurance final cleaned'!S546</f>
        <v>0</v>
      </c>
    </row>
    <row r="1304" spans="1:13" x14ac:dyDescent="0.3">
      <c r="A1304">
        <f>'insurance final cleaned'!J154</f>
        <v>2523.17</v>
      </c>
      <c r="B1304">
        <f>'insurance final cleaned'!B154</f>
        <v>18</v>
      </c>
      <c r="C1304">
        <f>'insurance final cleaned'!D154</f>
        <v>27.6</v>
      </c>
      <c r="D1304">
        <f>'insurance final cleaned'!G154</f>
        <v>0</v>
      </c>
      <c r="E1304">
        <f>'insurance final cleaned'!E154</f>
        <v>94</v>
      </c>
      <c r="F1304">
        <f>'insurance final cleaned'!L154</f>
        <v>0</v>
      </c>
      <c r="G1304">
        <f>'insurance final cleaned'!M154</f>
        <v>0</v>
      </c>
      <c r="H1304">
        <f>'insurance final cleaned'!N154</f>
        <v>0</v>
      </c>
      <c r="I1304">
        <f>'insurance final cleaned'!O154</f>
        <v>1</v>
      </c>
      <c r="J1304">
        <f>'insurance final cleaned'!P154</f>
        <v>0.96903456235014862</v>
      </c>
      <c r="K1304">
        <f>'insurance final cleaned'!Q154</f>
        <v>0</v>
      </c>
      <c r="L1304">
        <f>'insurance final cleaned'!R154</f>
        <v>1</v>
      </c>
      <c r="M1304">
        <f>'insurance final cleaned'!S154</f>
        <v>0</v>
      </c>
    </row>
    <row r="1305" spans="1:13" x14ac:dyDescent="0.3">
      <c r="A1305">
        <f>'insurance final cleaned'!J1291</f>
        <v>43578.94</v>
      </c>
      <c r="B1305">
        <f>'insurance final cleaned'!B1291</f>
        <v>52</v>
      </c>
      <c r="C1305">
        <f>'insurance final cleaned'!D1291</f>
        <v>31.2</v>
      </c>
      <c r="D1305">
        <f>'insurance final cleaned'!G1291</f>
        <v>0</v>
      </c>
      <c r="E1305">
        <f>'insurance final cleaned'!E1291</f>
        <v>127</v>
      </c>
      <c r="F1305">
        <f>'insurance final cleaned'!L1291</f>
        <v>31.2</v>
      </c>
      <c r="G1305">
        <f>'insurance final cleaned'!M1291</f>
        <v>0</v>
      </c>
      <c r="H1305">
        <f>'insurance final cleaned'!N1291</f>
        <v>0</v>
      </c>
      <c r="I1305">
        <f>'insurance final cleaned'!O1291</f>
        <v>1</v>
      </c>
      <c r="J1305">
        <f>'insurance final cleaned'!P1291</f>
        <v>0.96979755968401049</v>
      </c>
      <c r="K1305">
        <f>'insurance final cleaned'!Q1291</f>
        <v>1</v>
      </c>
      <c r="L1305">
        <f>'insurance final cleaned'!R1291</f>
        <v>0</v>
      </c>
      <c r="M1305">
        <f>'insurance final cleaned'!S1291</f>
        <v>1</v>
      </c>
    </row>
    <row r="1306" spans="1:13" x14ac:dyDescent="0.3">
      <c r="A1306">
        <f>'insurance final cleaned'!J242</f>
        <v>3579.83</v>
      </c>
      <c r="B1306">
        <f>'insurance final cleaned'!B242</f>
        <v>47</v>
      </c>
      <c r="C1306">
        <f>'insurance final cleaned'!D242</f>
        <v>33.6</v>
      </c>
      <c r="D1306">
        <f>'insurance final cleaned'!G242</f>
        <v>2</v>
      </c>
      <c r="E1306">
        <f>'insurance final cleaned'!E242</f>
        <v>84</v>
      </c>
      <c r="F1306">
        <f>'insurance final cleaned'!L242</f>
        <v>0</v>
      </c>
      <c r="G1306">
        <f>'insurance final cleaned'!M242</f>
        <v>0</v>
      </c>
      <c r="H1306">
        <f>'insurance final cleaned'!N242</f>
        <v>0</v>
      </c>
      <c r="I1306">
        <f>'insurance final cleaned'!O242</f>
        <v>1</v>
      </c>
      <c r="J1306">
        <f>'insurance final cleaned'!P242</f>
        <v>0.97024328993739617</v>
      </c>
      <c r="K1306">
        <f>'insurance final cleaned'!Q242</f>
        <v>0</v>
      </c>
      <c r="L1306">
        <f>'insurance final cleaned'!R242</f>
        <v>1</v>
      </c>
      <c r="M1306">
        <f>'insurance final cleaned'!S242</f>
        <v>1</v>
      </c>
    </row>
    <row r="1307" spans="1:13" x14ac:dyDescent="0.3">
      <c r="A1307">
        <f>'insurance final cleaned'!J1169</f>
        <v>28287.9</v>
      </c>
      <c r="B1307">
        <f>'insurance final cleaned'!B1169</f>
        <v>33</v>
      </c>
      <c r="C1307">
        <f>'insurance final cleaned'!D1169</f>
        <v>36.5</v>
      </c>
      <c r="D1307">
        <f>'insurance final cleaned'!G1169</f>
        <v>1</v>
      </c>
      <c r="E1307">
        <f>'insurance final cleaned'!E1169</f>
        <v>118</v>
      </c>
      <c r="F1307">
        <f>'insurance final cleaned'!L1169</f>
        <v>0</v>
      </c>
      <c r="G1307">
        <f>'insurance final cleaned'!M1169</f>
        <v>1</v>
      </c>
      <c r="H1307">
        <f>'insurance final cleaned'!N1169</f>
        <v>0</v>
      </c>
      <c r="I1307">
        <f>'insurance final cleaned'!O1169</f>
        <v>0</v>
      </c>
      <c r="J1307">
        <f>'insurance final cleaned'!P1169</f>
        <v>0.97073747554442957</v>
      </c>
      <c r="K1307">
        <f>'insurance final cleaned'!Q1169</f>
        <v>0</v>
      </c>
      <c r="L1307">
        <f>'insurance final cleaned'!R1169</f>
        <v>0</v>
      </c>
      <c r="M1307">
        <f>'insurance final cleaned'!S1169</f>
        <v>1</v>
      </c>
    </row>
    <row r="1308" spans="1:13" x14ac:dyDescent="0.3">
      <c r="A1308">
        <f>'insurance final cleaned'!J932</f>
        <v>13470.8</v>
      </c>
      <c r="B1308">
        <f>'insurance final cleaned'!B932</f>
        <v>32</v>
      </c>
      <c r="C1308">
        <f>'insurance final cleaned'!D932</f>
        <v>39.200000000000003</v>
      </c>
      <c r="D1308">
        <f>'insurance final cleaned'!G932</f>
        <v>0</v>
      </c>
      <c r="E1308">
        <f>'insurance final cleaned'!E932</f>
        <v>96</v>
      </c>
      <c r="F1308">
        <f>'insurance final cleaned'!L932</f>
        <v>0</v>
      </c>
      <c r="G1308">
        <f>'insurance final cleaned'!M932</f>
        <v>1</v>
      </c>
      <c r="H1308">
        <f>'insurance final cleaned'!N932</f>
        <v>0</v>
      </c>
      <c r="I1308">
        <f>'insurance final cleaned'!O932</f>
        <v>0</v>
      </c>
      <c r="J1308">
        <f>'insurance final cleaned'!P932</f>
        <v>0.97131968098410204</v>
      </c>
      <c r="K1308">
        <f>'insurance final cleaned'!Q932</f>
        <v>0</v>
      </c>
      <c r="L1308">
        <f>'insurance final cleaned'!R932</f>
        <v>1</v>
      </c>
      <c r="M1308">
        <f>'insurance final cleaned'!S932</f>
        <v>1</v>
      </c>
    </row>
    <row r="1309" spans="1:13" x14ac:dyDescent="0.3">
      <c r="A1309">
        <f>'insurance final cleaned'!J80</f>
        <v>1877.93</v>
      </c>
      <c r="B1309">
        <f>'insurance final cleaned'!B80</f>
        <v>42</v>
      </c>
      <c r="C1309">
        <f>'insurance final cleaned'!D80</f>
        <v>31.5</v>
      </c>
      <c r="D1309">
        <f>'insurance final cleaned'!G80</f>
        <v>0</v>
      </c>
      <c r="E1309">
        <f>'insurance final cleaned'!E80</f>
        <v>100</v>
      </c>
      <c r="F1309">
        <f>'insurance final cleaned'!L80</f>
        <v>0</v>
      </c>
      <c r="G1309">
        <f>'insurance final cleaned'!M80</f>
        <v>1</v>
      </c>
      <c r="H1309">
        <f>'insurance final cleaned'!N80</f>
        <v>0</v>
      </c>
      <c r="I1309">
        <f>'insurance final cleaned'!O80</f>
        <v>0</v>
      </c>
      <c r="J1309">
        <f>'insurance final cleaned'!P80</f>
        <v>0.97213176703597182</v>
      </c>
      <c r="K1309">
        <f>'insurance final cleaned'!Q80</f>
        <v>0</v>
      </c>
      <c r="L1309">
        <f>'insurance final cleaned'!R80</f>
        <v>0</v>
      </c>
      <c r="M1309">
        <f>'insurance final cleaned'!S80</f>
        <v>1</v>
      </c>
    </row>
    <row r="1310" spans="1:13" x14ac:dyDescent="0.3">
      <c r="A1310">
        <f>'insurance final cleaned'!J442</f>
        <v>6184.3</v>
      </c>
      <c r="B1310">
        <f>'insurance final cleaned'!B442</f>
        <v>42</v>
      </c>
      <c r="C1310">
        <f>'insurance final cleaned'!D442</f>
        <v>29.3</v>
      </c>
      <c r="D1310">
        <f>'insurance final cleaned'!G442</f>
        <v>3</v>
      </c>
      <c r="E1310">
        <f>'insurance final cleaned'!E442</f>
        <v>84</v>
      </c>
      <c r="F1310">
        <f>'insurance final cleaned'!L442</f>
        <v>0</v>
      </c>
      <c r="G1310">
        <f>'insurance final cleaned'!M442</f>
        <v>1</v>
      </c>
      <c r="H1310">
        <f>'insurance final cleaned'!N442</f>
        <v>0</v>
      </c>
      <c r="I1310">
        <f>'insurance final cleaned'!O442</f>
        <v>0</v>
      </c>
      <c r="J1310">
        <f>'insurance final cleaned'!P442</f>
        <v>0.97263787686662539</v>
      </c>
      <c r="K1310">
        <f>'insurance final cleaned'!Q442</f>
        <v>0</v>
      </c>
      <c r="L1310">
        <f>'insurance final cleaned'!R442</f>
        <v>0</v>
      </c>
      <c r="M1310">
        <f>'insurance final cleaned'!S442</f>
        <v>1</v>
      </c>
    </row>
    <row r="1311" spans="1:13" x14ac:dyDescent="0.3">
      <c r="A1311">
        <f>'insurance final cleaned'!J737</f>
        <v>10381.48</v>
      </c>
      <c r="B1311">
        <f>'insurance final cleaned'!B737</f>
        <v>51</v>
      </c>
      <c r="C1311">
        <f>'insurance final cleaned'!D737</f>
        <v>36.6</v>
      </c>
      <c r="D1311">
        <f>'insurance final cleaned'!G737</f>
        <v>3</v>
      </c>
      <c r="E1311">
        <f>'insurance final cleaned'!E737</f>
        <v>104</v>
      </c>
      <c r="F1311">
        <f>'insurance final cleaned'!L737</f>
        <v>0</v>
      </c>
      <c r="G1311">
        <f>'insurance final cleaned'!M737</f>
        <v>1</v>
      </c>
      <c r="H1311">
        <f>'insurance final cleaned'!N737</f>
        <v>0</v>
      </c>
      <c r="I1311">
        <f>'insurance final cleaned'!O737</f>
        <v>0</v>
      </c>
      <c r="J1311">
        <f>'insurance final cleaned'!P737</f>
        <v>0.97338445483188019</v>
      </c>
      <c r="K1311">
        <f>'insurance final cleaned'!Q737</f>
        <v>0</v>
      </c>
      <c r="L1311">
        <f>'insurance final cleaned'!R737</f>
        <v>0</v>
      </c>
      <c r="M1311">
        <f>'insurance final cleaned'!S737</f>
        <v>1</v>
      </c>
    </row>
    <row r="1312" spans="1:13" x14ac:dyDescent="0.3">
      <c r="A1312">
        <f>'insurance final cleaned'!J241</f>
        <v>3578</v>
      </c>
      <c r="B1312">
        <f>'insurance final cleaned'!B241</f>
        <v>31</v>
      </c>
      <c r="C1312">
        <f>'insurance final cleaned'!D241</f>
        <v>34.799999999999997</v>
      </c>
      <c r="D1312">
        <f>'insurance final cleaned'!G241</f>
        <v>1</v>
      </c>
      <c r="E1312">
        <f>'insurance final cleaned'!E241</f>
        <v>88</v>
      </c>
      <c r="F1312">
        <f>'insurance final cleaned'!L241</f>
        <v>0</v>
      </c>
      <c r="G1312">
        <f>'insurance final cleaned'!M241</f>
        <v>0</v>
      </c>
      <c r="H1312">
        <f>'insurance final cleaned'!N241</f>
        <v>1</v>
      </c>
      <c r="I1312">
        <f>'insurance final cleaned'!O241</f>
        <v>0</v>
      </c>
      <c r="J1312">
        <f>'insurance final cleaned'!P241</f>
        <v>0.97400995457268835</v>
      </c>
      <c r="K1312">
        <f>'insurance final cleaned'!Q241</f>
        <v>0</v>
      </c>
      <c r="L1312">
        <f>'insurance final cleaned'!R241</f>
        <v>0</v>
      </c>
      <c r="M1312">
        <f>'insurance final cleaned'!S241</f>
        <v>1</v>
      </c>
    </row>
    <row r="1313" spans="1:13" x14ac:dyDescent="0.3">
      <c r="A1313">
        <f>'insurance final cleaned'!J1036</f>
        <v>18328.240000000002</v>
      </c>
      <c r="B1313">
        <f>'insurance final cleaned'!B1036</f>
        <v>36</v>
      </c>
      <c r="C1313">
        <f>'insurance final cleaned'!D1036</f>
        <v>28.5</v>
      </c>
      <c r="D1313">
        <f>'insurance final cleaned'!G1036</f>
        <v>1</v>
      </c>
      <c r="E1313">
        <f>'insurance final cleaned'!E1036</f>
        <v>87</v>
      </c>
      <c r="F1313">
        <f>'insurance final cleaned'!L1036</f>
        <v>28.5</v>
      </c>
      <c r="G1313">
        <f>'insurance final cleaned'!M1036</f>
        <v>1</v>
      </c>
      <c r="H1313">
        <f>'insurance final cleaned'!N1036</f>
        <v>0</v>
      </c>
      <c r="I1313">
        <f>'insurance final cleaned'!O1036</f>
        <v>0</v>
      </c>
      <c r="J1313">
        <f>'insurance final cleaned'!P1036</f>
        <v>0.97558672462401241</v>
      </c>
      <c r="K1313">
        <f>'insurance final cleaned'!Q1036</f>
        <v>1</v>
      </c>
      <c r="L1313">
        <f>'insurance final cleaned'!R1036</f>
        <v>0</v>
      </c>
      <c r="M1313">
        <f>'insurance final cleaned'!S1036</f>
        <v>1</v>
      </c>
    </row>
    <row r="1314" spans="1:13" x14ac:dyDescent="0.3">
      <c r="A1314">
        <f>'insurance final cleaned'!J801</f>
        <v>11362.76</v>
      </c>
      <c r="B1314">
        <f>'insurance final cleaned'!B801</f>
        <v>30</v>
      </c>
      <c r="C1314">
        <f>'insurance final cleaned'!D801</f>
        <v>35.700000000000003</v>
      </c>
      <c r="D1314">
        <f>'insurance final cleaned'!G801</f>
        <v>0</v>
      </c>
      <c r="E1314">
        <f>'insurance final cleaned'!E801</f>
        <v>91</v>
      </c>
      <c r="F1314">
        <f>'insurance final cleaned'!L801</f>
        <v>0</v>
      </c>
      <c r="G1314">
        <f>'insurance final cleaned'!M801</f>
        <v>0</v>
      </c>
      <c r="H1314">
        <f>'insurance final cleaned'!N801</f>
        <v>1</v>
      </c>
      <c r="I1314">
        <f>'insurance final cleaned'!O801</f>
        <v>0</v>
      </c>
      <c r="J1314">
        <f>'insurance final cleaned'!P801</f>
        <v>0.97650034434700905</v>
      </c>
      <c r="K1314">
        <f>'insurance final cleaned'!Q801</f>
        <v>0</v>
      </c>
      <c r="L1314">
        <f>'insurance final cleaned'!R801</f>
        <v>0</v>
      </c>
      <c r="M1314">
        <f>'insurance final cleaned'!S801</f>
        <v>0</v>
      </c>
    </row>
    <row r="1315" spans="1:13" x14ac:dyDescent="0.3">
      <c r="A1315">
        <f>'insurance final cleaned'!J50</f>
        <v>1694.8</v>
      </c>
      <c r="B1315">
        <f>'insurance final cleaned'!B50</f>
        <v>34</v>
      </c>
      <c r="C1315">
        <f>'insurance final cleaned'!D50</f>
        <v>16</v>
      </c>
      <c r="D1315">
        <f>'insurance final cleaned'!G50</f>
        <v>0</v>
      </c>
      <c r="E1315">
        <f>'insurance final cleaned'!E50</f>
        <v>83</v>
      </c>
      <c r="F1315">
        <f>'insurance final cleaned'!L50</f>
        <v>0</v>
      </c>
      <c r="G1315">
        <f>'insurance final cleaned'!M50</f>
        <v>0</v>
      </c>
      <c r="H1315">
        <f>'insurance final cleaned'!N50</f>
        <v>0</v>
      </c>
      <c r="I1315">
        <f>'insurance final cleaned'!O50</f>
        <v>0</v>
      </c>
      <c r="J1315">
        <f>'insurance final cleaned'!P50</f>
        <v>0.97801132014736636</v>
      </c>
      <c r="K1315">
        <f>'insurance final cleaned'!Q50</f>
        <v>0</v>
      </c>
      <c r="L1315">
        <f>'insurance final cleaned'!R50</f>
        <v>0</v>
      </c>
      <c r="M1315">
        <f>'insurance final cleaned'!S50</f>
        <v>0</v>
      </c>
    </row>
    <row r="1316" spans="1:13" x14ac:dyDescent="0.3">
      <c r="A1316">
        <f>'insurance final cleaned'!J528</f>
        <v>7256.72</v>
      </c>
      <c r="B1316">
        <f>'insurance final cleaned'!B528</f>
        <v>20</v>
      </c>
      <c r="C1316">
        <f>'insurance final cleaned'!D528</f>
        <v>30.6</v>
      </c>
      <c r="D1316">
        <f>'insurance final cleaned'!G528</f>
        <v>2</v>
      </c>
      <c r="E1316">
        <f>'insurance final cleaned'!E528</f>
        <v>90</v>
      </c>
      <c r="F1316">
        <f>'insurance final cleaned'!L528</f>
        <v>0</v>
      </c>
      <c r="G1316">
        <f>'insurance final cleaned'!M528</f>
        <v>0</v>
      </c>
      <c r="H1316">
        <f>'insurance final cleaned'!N528</f>
        <v>0</v>
      </c>
      <c r="I1316">
        <f>'insurance final cleaned'!O528</f>
        <v>1</v>
      </c>
      <c r="J1316">
        <f>'insurance final cleaned'!P528</f>
        <v>0.97849826431895137</v>
      </c>
      <c r="K1316">
        <f>'insurance final cleaned'!Q528</f>
        <v>0</v>
      </c>
      <c r="L1316">
        <f>'insurance final cleaned'!R528</f>
        <v>0</v>
      </c>
      <c r="M1316">
        <f>'insurance final cleaned'!S528</f>
        <v>0</v>
      </c>
    </row>
    <row r="1317" spans="1:13" x14ac:dyDescent="0.3">
      <c r="A1317">
        <f>'insurance final cleaned'!J1223</f>
        <v>36397.58</v>
      </c>
      <c r="B1317">
        <f>'insurance final cleaned'!B1223</f>
        <v>31</v>
      </c>
      <c r="C1317">
        <f>'insurance final cleaned'!D1223</f>
        <v>34.700000000000003</v>
      </c>
      <c r="D1317">
        <f>'insurance final cleaned'!G1223</f>
        <v>2</v>
      </c>
      <c r="E1317">
        <f>'insurance final cleaned'!E1223</f>
        <v>96</v>
      </c>
      <c r="F1317">
        <f>'insurance final cleaned'!L1223</f>
        <v>34.700000000000003</v>
      </c>
      <c r="G1317">
        <f>'insurance final cleaned'!M1223</f>
        <v>0</v>
      </c>
      <c r="H1317">
        <f>'insurance final cleaned'!N1223</f>
        <v>1</v>
      </c>
      <c r="I1317">
        <f>'insurance final cleaned'!O1223</f>
        <v>0</v>
      </c>
      <c r="J1317">
        <f>'insurance final cleaned'!P1223</f>
        <v>0.97851785468043062</v>
      </c>
      <c r="K1317">
        <f>'insurance final cleaned'!Q1223</f>
        <v>1</v>
      </c>
      <c r="L1317">
        <f>'insurance final cleaned'!R1223</f>
        <v>0</v>
      </c>
      <c r="M1317">
        <f>'insurance final cleaned'!S1223</f>
        <v>1</v>
      </c>
    </row>
    <row r="1318" spans="1:13" x14ac:dyDescent="0.3">
      <c r="A1318">
        <f>'insurance final cleaned'!J788</f>
        <v>11187.66</v>
      </c>
      <c r="B1318">
        <f>'insurance final cleaned'!B788</f>
        <v>26</v>
      </c>
      <c r="C1318">
        <f>'insurance final cleaned'!D788</f>
        <v>31.7</v>
      </c>
      <c r="D1318">
        <f>'insurance final cleaned'!G788</f>
        <v>2</v>
      </c>
      <c r="E1318">
        <f>'insurance final cleaned'!E788</f>
        <v>106</v>
      </c>
      <c r="F1318">
        <f>'insurance final cleaned'!L788</f>
        <v>0</v>
      </c>
      <c r="G1318">
        <f>'insurance final cleaned'!M788</f>
        <v>0</v>
      </c>
      <c r="H1318">
        <f>'insurance final cleaned'!N788</f>
        <v>0</v>
      </c>
      <c r="I1318">
        <f>'insurance final cleaned'!O788</f>
        <v>1</v>
      </c>
      <c r="J1318">
        <f>'insurance final cleaned'!P788</f>
        <v>0.97989015967300075</v>
      </c>
      <c r="K1318">
        <f>'insurance final cleaned'!Q788</f>
        <v>0</v>
      </c>
      <c r="L1318">
        <f>'insurance final cleaned'!R788</f>
        <v>1</v>
      </c>
      <c r="M1318">
        <f>'insurance final cleaned'!S788</f>
        <v>1</v>
      </c>
    </row>
    <row r="1319" spans="1:13" x14ac:dyDescent="0.3">
      <c r="A1319">
        <f>'insurance final cleaned'!J441</f>
        <v>6128.8</v>
      </c>
      <c r="B1319">
        <f>'insurance final cleaned'!B441</f>
        <v>55</v>
      </c>
      <c r="C1319">
        <f>'insurance final cleaned'!D441</f>
        <v>33.200000000000003</v>
      </c>
      <c r="D1319">
        <f>'insurance final cleaned'!G441</f>
        <v>3</v>
      </c>
      <c r="E1319">
        <f>'insurance final cleaned'!E441</f>
        <v>89</v>
      </c>
      <c r="F1319">
        <f>'insurance final cleaned'!L441</f>
        <v>0</v>
      </c>
      <c r="G1319">
        <f>'insurance final cleaned'!M441</f>
        <v>0</v>
      </c>
      <c r="H1319">
        <f>'insurance final cleaned'!N441</f>
        <v>0</v>
      </c>
      <c r="I1319">
        <f>'insurance final cleaned'!O441</f>
        <v>1</v>
      </c>
      <c r="J1319">
        <f>'insurance final cleaned'!P441</f>
        <v>0.98030332748858073</v>
      </c>
      <c r="K1319">
        <f>'insurance final cleaned'!Q441</f>
        <v>0</v>
      </c>
      <c r="L1319">
        <f>'insurance final cleaned'!R441</f>
        <v>1</v>
      </c>
      <c r="M1319">
        <f>'insurance final cleaned'!S441</f>
        <v>1</v>
      </c>
    </row>
    <row r="1320" spans="1:13" x14ac:dyDescent="0.3">
      <c r="A1320">
        <f>'insurance final cleaned'!J497</f>
        <v>6849.03</v>
      </c>
      <c r="B1320">
        <f>'insurance final cleaned'!B497</f>
        <v>46</v>
      </c>
      <c r="C1320">
        <f>'insurance final cleaned'!D497</f>
        <v>30.1</v>
      </c>
      <c r="D1320">
        <f>'insurance final cleaned'!G497</f>
        <v>1</v>
      </c>
      <c r="E1320">
        <f>'insurance final cleaned'!E497</f>
        <v>85</v>
      </c>
      <c r="F1320">
        <f>'insurance final cleaned'!L497</f>
        <v>0</v>
      </c>
      <c r="G1320">
        <f>'insurance final cleaned'!M497</f>
        <v>0</v>
      </c>
      <c r="H1320">
        <f>'insurance final cleaned'!N497</f>
        <v>1</v>
      </c>
      <c r="I1320">
        <f>'insurance final cleaned'!O497</f>
        <v>0</v>
      </c>
      <c r="J1320">
        <f>'insurance final cleaned'!P497</f>
        <v>0.98133972447584994</v>
      </c>
      <c r="K1320">
        <f>'insurance final cleaned'!Q497</f>
        <v>0</v>
      </c>
      <c r="L1320">
        <f>'insurance final cleaned'!R497</f>
        <v>1</v>
      </c>
      <c r="M1320">
        <f>'insurance final cleaned'!S497</f>
        <v>0</v>
      </c>
    </row>
    <row r="1321" spans="1:13" x14ac:dyDescent="0.3">
      <c r="A1321">
        <f>'insurance final cleaned'!J509</f>
        <v>7050.64</v>
      </c>
      <c r="B1321">
        <f>'insurance final cleaned'!B509</f>
        <v>26</v>
      </c>
      <c r="C1321">
        <f>'insurance final cleaned'!D509</f>
        <v>29</v>
      </c>
      <c r="D1321">
        <f>'insurance final cleaned'!G509</f>
        <v>1</v>
      </c>
      <c r="E1321">
        <f>'insurance final cleaned'!E509</f>
        <v>93</v>
      </c>
      <c r="F1321">
        <f>'insurance final cleaned'!L509</f>
        <v>0</v>
      </c>
      <c r="G1321">
        <f>'insurance final cleaned'!M509</f>
        <v>0</v>
      </c>
      <c r="H1321">
        <f>'insurance final cleaned'!N509</f>
        <v>1</v>
      </c>
      <c r="I1321">
        <f>'insurance final cleaned'!O509</f>
        <v>0</v>
      </c>
      <c r="J1321">
        <f>'insurance final cleaned'!P509</f>
        <v>0.98145927759097573</v>
      </c>
      <c r="K1321">
        <f>'insurance final cleaned'!Q509</f>
        <v>0</v>
      </c>
      <c r="L1321">
        <f>'insurance final cleaned'!R509</f>
        <v>0</v>
      </c>
      <c r="M1321">
        <f>'insurance final cleaned'!S509</f>
        <v>1</v>
      </c>
    </row>
    <row r="1322" spans="1:13" x14ac:dyDescent="0.3">
      <c r="A1322">
        <f>'insurance final cleaned'!J278</f>
        <v>4074.45</v>
      </c>
      <c r="B1322">
        <f>'insurance final cleaned'!B278</f>
        <v>23</v>
      </c>
      <c r="C1322">
        <f>'insurance final cleaned'!D278</f>
        <v>30</v>
      </c>
      <c r="D1322">
        <f>'insurance final cleaned'!G278</f>
        <v>1</v>
      </c>
      <c r="E1322">
        <f>'insurance final cleaned'!E278</f>
        <v>95</v>
      </c>
      <c r="F1322">
        <f>'insurance final cleaned'!L278</f>
        <v>0</v>
      </c>
      <c r="G1322">
        <f>'insurance final cleaned'!M278</f>
        <v>1</v>
      </c>
      <c r="H1322">
        <f>'insurance final cleaned'!N278</f>
        <v>0</v>
      </c>
      <c r="I1322">
        <f>'insurance final cleaned'!O278</f>
        <v>0</v>
      </c>
      <c r="J1322">
        <f>'insurance final cleaned'!P278</f>
        <v>0.98248696578397043</v>
      </c>
      <c r="K1322">
        <f>'insurance final cleaned'!Q278</f>
        <v>0</v>
      </c>
      <c r="L1322">
        <f>'insurance final cleaned'!R278</f>
        <v>1</v>
      </c>
      <c r="M1322">
        <f>'insurance final cleaned'!S278</f>
        <v>0</v>
      </c>
    </row>
    <row r="1323" spans="1:13" x14ac:dyDescent="0.3">
      <c r="A1323">
        <f>'insurance final cleaned'!J407</f>
        <v>5584.31</v>
      </c>
      <c r="B1323">
        <f>'insurance final cleaned'!B407</f>
        <v>20</v>
      </c>
      <c r="C1323">
        <f>'insurance final cleaned'!D407</f>
        <v>34.4</v>
      </c>
      <c r="D1323">
        <f>'insurance final cleaned'!G407</f>
        <v>2</v>
      </c>
      <c r="E1323">
        <f>'insurance final cleaned'!E407</f>
        <v>93</v>
      </c>
      <c r="F1323">
        <f>'insurance final cleaned'!L407</f>
        <v>0</v>
      </c>
      <c r="G1323">
        <f>'insurance final cleaned'!M407</f>
        <v>1</v>
      </c>
      <c r="H1323">
        <f>'insurance final cleaned'!N407</f>
        <v>0</v>
      </c>
      <c r="I1323">
        <f>'insurance final cleaned'!O407</f>
        <v>0</v>
      </c>
      <c r="J1323">
        <f>'insurance final cleaned'!P407</f>
        <v>0.98335695698542891</v>
      </c>
      <c r="K1323">
        <f>'insurance final cleaned'!Q407</f>
        <v>0</v>
      </c>
      <c r="L1323">
        <f>'insurance final cleaned'!R407</f>
        <v>0</v>
      </c>
      <c r="M1323">
        <f>'insurance final cleaned'!S407</f>
        <v>0</v>
      </c>
    </row>
    <row r="1324" spans="1:13" x14ac:dyDescent="0.3">
      <c r="A1324">
        <f>'insurance final cleaned'!J985</f>
        <v>15019.76</v>
      </c>
      <c r="B1324">
        <f>'insurance final cleaned'!B985</f>
        <v>27</v>
      </c>
      <c r="C1324">
        <f>'insurance final cleaned'!D985</f>
        <v>30.5</v>
      </c>
      <c r="D1324">
        <f>'insurance final cleaned'!G985</f>
        <v>2</v>
      </c>
      <c r="E1324">
        <f>'insurance final cleaned'!E985</f>
        <v>100</v>
      </c>
      <c r="F1324">
        <f>'insurance final cleaned'!L985</f>
        <v>0</v>
      </c>
      <c r="G1324">
        <f>'insurance final cleaned'!M985</f>
        <v>0</v>
      </c>
      <c r="H1324">
        <f>'insurance final cleaned'!N985</f>
        <v>0</v>
      </c>
      <c r="I1324">
        <f>'insurance final cleaned'!O985</f>
        <v>1</v>
      </c>
      <c r="J1324">
        <f>'insurance final cleaned'!P985</f>
        <v>0.98404910897397491</v>
      </c>
      <c r="K1324">
        <f>'insurance final cleaned'!Q985</f>
        <v>0</v>
      </c>
      <c r="L1324">
        <f>'insurance final cleaned'!R985</f>
        <v>1</v>
      </c>
      <c r="M1324">
        <f>'insurance final cleaned'!S985</f>
        <v>1</v>
      </c>
    </row>
    <row r="1325" spans="1:13" x14ac:dyDescent="0.3">
      <c r="A1325">
        <f>'insurance final cleaned'!J178</f>
        <v>2775.19</v>
      </c>
      <c r="B1325">
        <f>'insurance final cleaned'!B178</f>
        <v>30</v>
      </c>
      <c r="C1325">
        <f>'insurance final cleaned'!D178</f>
        <v>17.399999999999999</v>
      </c>
      <c r="D1325">
        <f>'insurance final cleaned'!G178</f>
        <v>1</v>
      </c>
      <c r="E1325">
        <f>'insurance final cleaned'!E178</f>
        <v>89</v>
      </c>
      <c r="F1325">
        <f>'insurance final cleaned'!L178</f>
        <v>0</v>
      </c>
      <c r="G1325">
        <f>'insurance final cleaned'!M178</f>
        <v>0</v>
      </c>
      <c r="H1325">
        <f>'insurance final cleaned'!N178</f>
        <v>0</v>
      </c>
      <c r="I1325">
        <f>'insurance final cleaned'!O178</f>
        <v>1</v>
      </c>
      <c r="J1325">
        <f>'insurance final cleaned'!P178</f>
        <v>0.98604302335177363</v>
      </c>
      <c r="K1325">
        <f>'insurance final cleaned'!Q178</f>
        <v>0</v>
      </c>
      <c r="L1325">
        <f>'insurance final cleaned'!R178</f>
        <v>0</v>
      </c>
      <c r="M1325">
        <f>'insurance final cleaned'!S178</f>
        <v>0</v>
      </c>
    </row>
    <row r="1326" spans="1:13" x14ac:dyDescent="0.3">
      <c r="A1326">
        <f>'insurance final cleaned'!J1327</f>
        <v>48517.56</v>
      </c>
      <c r="B1326">
        <f>'insurance final cleaned'!B1327</f>
        <v>52</v>
      </c>
      <c r="C1326">
        <f>'insurance final cleaned'!D1327</f>
        <v>36.4</v>
      </c>
      <c r="D1326">
        <f>'insurance final cleaned'!G1327</f>
        <v>1</v>
      </c>
      <c r="E1326">
        <f>'insurance final cleaned'!E1327</f>
        <v>133</v>
      </c>
      <c r="F1326">
        <f>'insurance final cleaned'!L1327</f>
        <v>36.4</v>
      </c>
      <c r="G1326">
        <f>'insurance final cleaned'!M1327</f>
        <v>0</v>
      </c>
      <c r="H1326">
        <f>'insurance final cleaned'!N1327</f>
        <v>0</v>
      </c>
      <c r="I1326">
        <f>'insurance final cleaned'!O1327</f>
        <v>0</v>
      </c>
      <c r="J1326">
        <f>'insurance final cleaned'!P1327</f>
        <v>0.98659974394471728</v>
      </c>
      <c r="K1326">
        <f>'insurance final cleaned'!Q1327</f>
        <v>1</v>
      </c>
      <c r="L1326">
        <f>'insurance final cleaned'!R1327</f>
        <v>1</v>
      </c>
      <c r="M1326">
        <f>'insurance final cleaned'!S1327</f>
        <v>1</v>
      </c>
    </row>
    <row r="1327" spans="1:13" x14ac:dyDescent="0.3">
      <c r="A1327">
        <f>'insurance final cleaned'!J565</f>
        <v>7740.34</v>
      </c>
      <c r="B1327">
        <f>'insurance final cleaned'!B565</f>
        <v>36</v>
      </c>
      <c r="C1327">
        <f>'insurance final cleaned'!D565</f>
        <v>37.1</v>
      </c>
      <c r="D1327">
        <f>'insurance final cleaned'!G565</f>
        <v>2</v>
      </c>
      <c r="E1327">
        <f>'insurance final cleaned'!E565</f>
        <v>90</v>
      </c>
      <c r="F1327">
        <f>'insurance final cleaned'!L565</f>
        <v>0</v>
      </c>
      <c r="G1327">
        <f>'insurance final cleaned'!M565</f>
        <v>0</v>
      </c>
      <c r="H1327">
        <f>'insurance final cleaned'!N565</f>
        <v>1</v>
      </c>
      <c r="I1327">
        <f>'insurance final cleaned'!O565</f>
        <v>0</v>
      </c>
      <c r="J1327">
        <f>'insurance final cleaned'!P565</f>
        <v>0.98810520784794331</v>
      </c>
      <c r="K1327">
        <f>'insurance final cleaned'!Q565</f>
        <v>0</v>
      </c>
      <c r="L1327">
        <f>'insurance final cleaned'!R565</f>
        <v>0</v>
      </c>
      <c r="M1327">
        <f>'insurance final cleaned'!S565</f>
        <v>0</v>
      </c>
    </row>
    <row r="1328" spans="1:13" x14ac:dyDescent="0.3">
      <c r="A1328">
        <f>'insurance final cleaned'!J273</f>
        <v>4005.42</v>
      </c>
      <c r="B1328">
        <f>'insurance final cleaned'!B273</f>
        <v>48</v>
      </c>
      <c r="C1328">
        <f>'insurance final cleaned'!D273</f>
        <v>20</v>
      </c>
      <c r="D1328">
        <f>'insurance final cleaned'!G273</f>
        <v>3</v>
      </c>
      <c r="E1328">
        <f>'insurance final cleaned'!E273</f>
        <v>82</v>
      </c>
      <c r="F1328">
        <f>'insurance final cleaned'!L273</f>
        <v>0</v>
      </c>
      <c r="G1328">
        <f>'insurance final cleaned'!M273</f>
        <v>0</v>
      </c>
      <c r="H1328">
        <f>'insurance final cleaned'!N273</f>
        <v>0</v>
      </c>
      <c r="I1328">
        <f>'insurance final cleaned'!O273</f>
        <v>0</v>
      </c>
      <c r="J1328">
        <f>'insurance final cleaned'!P273</f>
        <v>0.98913404016571238</v>
      </c>
      <c r="K1328">
        <f>'insurance final cleaned'!Q273</f>
        <v>0</v>
      </c>
      <c r="L1328">
        <f>'insurance final cleaned'!R273</f>
        <v>0</v>
      </c>
      <c r="M1328">
        <f>'insurance final cleaned'!S273</f>
        <v>0</v>
      </c>
    </row>
    <row r="1329" spans="1:13" x14ac:dyDescent="0.3">
      <c r="A1329">
        <f>'insurance final cleaned'!J57</f>
        <v>1711.03</v>
      </c>
      <c r="B1329">
        <f>'insurance final cleaned'!B57</f>
        <v>21</v>
      </c>
      <c r="C1329">
        <f>'insurance final cleaned'!D57</f>
        <v>23.3</v>
      </c>
      <c r="D1329">
        <f>'insurance final cleaned'!G57</f>
        <v>1</v>
      </c>
      <c r="E1329">
        <f>'insurance final cleaned'!E57</f>
        <v>80</v>
      </c>
      <c r="F1329">
        <f>'insurance final cleaned'!L57</f>
        <v>0</v>
      </c>
      <c r="G1329">
        <f>'insurance final cleaned'!M57</f>
        <v>0</v>
      </c>
      <c r="H1329">
        <f>'insurance final cleaned'!N57</f>
        <v>0</v>
      </c>
      <c r="I1329">
        <f>'insurance final cleaned'!O57</f>
        <v>1</v>
      </c>
      <c r="J1329">
        <f>'insurance final cleaned'!P57</f>
        <v>0.98976128588657486</v>
      </c>
      <c r="K1329">
        <f>'insurance final cleaned'!Q57</f>
        <v>0</v>
      </c>
      <c r="L1329">
        <f>'insurance final cleaned'!R57</f>
        <v>1</v>
      </c>
      <c r="M1329">
        <f>'insurance final cleaned'!S57</f>
        <v>0</v>
      </c>
    </row>
    <row r="1330" spans="1:13" x14ac:dyDescent="0.3">
      <c r="A1330">
        <f>'insurance final cleaned'!J27</f>
        <v>1149.4000000000001</v>
      </c>
      <c r="B1330">
        <f>'insurance final cleaned'!B27</f>
        <v>23</v>
      </c>
      <c r="C1330">
        <f>'insurance final cleaned'!D27</f>
        <v>43</v>
      </c>
      <c r="D1330">
        <f>'insurance final cleaned'!G27</f>
        <v>0</v>
      </c>
      <c r="E1330">
        <f>'insurance final cleaned'!E27</f>
        <v>86</v>
      </c>
      <c r="F1330">
        <f>'insurance final cleaned'!L27</f>
        <v>0</v>
      </c>
      <c r="G1330">
        <f>'insurance final cleaned'!M27</f>
        <v>0</v>
      </c>
      <c r="H1330">
        <f>'insurance final cleaned'!N27</f>
        <v>0</v>
      </c>
      <c r="I1330">
        <f>'insurance final cleaned'!O27</f>
        <v>1</v>
      </c>
      <c r="J1330">
        <f>'insurance final cleaned'!P27</f>
        <v>0.99131583349167574</v>
      </c>
      <c r="K1330">
        <f>'insurance final cleaned'!Q27</f>
        <v>0</v>
      </c>
      <c r="L1330">
        <f>'insurance final cleaned'!R27</f>
        <v>0</v>
      </c>
      <c r="M1330">
        <f>'insurance final cleaned'!S27</f>
        <v>0</v>
      </c>
    </row>
    <row r="1331" spans="1:13" x14ac:dyDescent="0.3">
      <c r="A1331">
        <f>'insurance final cleaned'!J272</f>
        <v>3994.18</v>
      </c>
      <c r="B1331">
        <f>'insurance final cleaned'!B272</f>
        <v>46</v>
      </c>
      <c r="C1331">
        <f>'insurance final cleaned'!D272</f>
        <v>44.2</v>
      </c>
      <c r="D1331">
        <f>'insurance final cleaned'!G272</f>
        <v>0</v>
      </c>
      <c r="E1331">
        <f>'insurance final cleaned'!E272</f>
        <v>91</v>
      </c>
      <c r="F1331">
        <f>'insurance final cleaned'!L272</f>
        <v>0</v>
      </c>
      <c r="G1331">
        <f>'insurance final cleaned'!M272</f>
        <v>1</v>
      </c>
      <c r="H1331">
        <f>'insurance final cleaned'!N272</f>
        <v>0</v>
      </c>
      <c r="I1331">
        <f>'insurance final cleaned'!O272</f>
        <v>0</v>
      </c>
      <c r="J1331">
        <f>'insurance final cleaned'!P272</f>
        <v>0.99537272765714491</v>
      </c>
      <c r="K1331">
        <f>'insurance final cleaned'!Q272</f>
        <v>0</v>
      </c>
      <c r="L1331">
        <f>'insurance final cleaned'!R272</f>
        <v>1</v>
      </c>
      <c r="M1331">
        <f>'insurance final cleaned'!S272</f>
        <v>1</v>
      </c>
    </row>
    <row r="1332" spans="1:13" x14ac:dyDescent="0.3">
      <c r="A1332">
        <f>'insurance final cleaned'!J506</f>
        <v>7045.5</v>
      </c>
      <c r="B1332">
        <f>'insurance final cleaned'!B506</f>
        <v>55</v>
      </c>
      <c r="C1332">
        <f>'insurance final cleaned'!D506</f>
        <v>25.3</v>
      </c>
      <c r="D1332">
        <f>'insurance final cleaned'!G506</f>
        <v>1</v>
      </c>
      <c r="E1332">
        <f>'insurance final cleaned'!E506</f>
        <v>91</v>
      </c>
      <c r="F1332">
        <f>'insurance final cleaned'!L506</f>
        <v>0</v>
      </c>
      <c r="G1332">
        <f>'insurance final cleaned'!M506</f>
        <v>0</v>
      </c>
      <c r="H1332">
        <f>'insurance final cleaned'!N506</f>
        <v>1</v>
      </c>
      <c r="I1332">
        <f>'insurance final cleaned'!O506</f>
        <v>0</v>
      </c>
      <c r="J1332">
        <f>'insurance final cleaned'!P506</f>
        <v>0.99553098134686024</v>
      </c>
      <c r="K1332">
        <f>'insurance final cleaned'!Q506</f>
        <v>0</v>
      </c>
      <c r="L1332">
        <f>'insurance final cleaned'!R506</f>
        <v>1</v>
      </c>
      <c r="M1332">
        <f>'insurance final cleaned'!S506</f>
        <v>1</v>
      </c>
    </row>
    <row r="1333" spans="1:13" x14ac:dyDescent="0.3">
      <c r="A1333">
        <f>'insurance final cleaned'!J109</f>
        <v>2137.65</v>
      </c>
      <c r="B1333">
        <f>'insurance final cleaned'!B109</f>
        <v>33</v>
      </c>
      <c r="C1333">
        <f>'insurance final cleaned'!D109</f>
        <v>25.7</v>
      </c>
      <c r="D1333">
        <f>'insurance final cleaned'!G109</f>
        <v>0</v>
      </c>
      <c r="E1333">
        <f>'insurance final cleaned'!E109</f>
        <v>100</v>
      </c>
      <c r="F1333">
        <f>'insurance final cleaned'!L109</f>
        <v>0</v>
      </c>
      <c r="G1333">
        <f>'insurance final cleaned'!M109</f>
        <v>1</v>
      </c>
      <c r="H1333">
        <f>'insurance final cleaned'!N109</f>
        <v>0</v>
      </c>
      <c r="I1333">
        <f>'insurance final cleaned'!O109</f>
        <v>0</v>
      </c>
      <c r="J1333">
        <f>'insurance final cleaned'!P109</f>
        <v>0.99599502784293215</v>
      </c>
      <c r="K1333">
        <f>'insurance final cleaned'!Q109</f>
        <v>0</v>
      </c>
      <c r="L1333">
        <f>'insurance final cleaned'!R109</f>
        <v>1</v>
      </c>
      <c r="M1333">
        <f>'insurance final cleaned'!S109</f>
        <v>0</v>
      </c>
    </row>
    <row r="1334" spans="1:13" x14ac:dyDescent="0.3">
      <c r="A1334">
        <f>'insurance final cleaned'!J1307</f>
        <v>45863.21</v>
      </c>
      <c r="B1334">
        <f>'insurance final cleaned'!B1307</f>
        <v>57</v>
      </c>
      <c r="C1334">
        <f>'insurance final cleaned'!D1307</f>
        <v>46.2</v>
      </c>
      <c r="D1334">
        <f>'insurance final cleaned'!G1307</f>
        <v>0</v>
      </c>
      <c r="E1334">
        <f>'insurance final cleaned'!E1307</f>
        <v>96</v>
      </c>
      <c r="F1334">
        <f>'insurance final cleaned'!L1307</f>
        <v>46.2</v>
      </c>
      <c r="G1334">
        <f>'insurance final cleaned'!M1307</f>
        <v>1</v>
      </c>
      <c r="H1334">
        <f>'insurance final cleaned'!N1307</f>
        <v>0</v>
      </c>
      <c r="I1334">
        <f>'insurance final cleaned'!O1307</f>
        <v>0</v>
      </c>
      <c r="J1334">
        <f>'insurance final cleaned'!P1307</f>
        <v>0.99628503260239787</v>
      </c>
      <c r="K1334">
        <f>'insurance final cleaned'!Q1307</f>
        <v>1</v>
      </c>
      <c r="L1334">
        <f>'insurance final cleaned'!R1307</f>
        <v>0</v>
      </c>
      <c r="M1334">
        <f>'insurance final cleaned'!S1307</f>
        <v>1</v>
      </c>
    </row>
    <row r="1335" spans="1:13" x14ac:dyDescent="0.3">
      <c r="A1335">
        <f>'insurance final cleaned'!J819</f>
        <v>11566.3</v>
      </c>
      <c r="B1335">
        <f>'insurance final cleaned'!B819</f>
        <v>35</v>
      </c>
      <c r="C1335">
        <f>'insurance final cleaned'!D819</f>
        <v>40.9</v>
      </c>
      <c r="D1335">
        <f>'insurance final cleaned'!G819</f>
        <v>0</v>
      </c>
      <c r="E1335">
        <f>'insurance final cleaned'!E819</f>
        <v>80</v>
      </c>
      <c r="F1335">
        <f>'insurance final cleaned'!L819</f>
        <v>0</v>
      </c>
      <c r="G1335">
        <f>'insurance final cleaned'!M819</f>
        <v>0</v>
      </c>
      <c r="H1335">
        <f>'insurance final cleaned'!N819</f>
        <v>0</v>
      </c>
      <c r="I1335">
        <f>'insurance final cleaned'!O819</f>
        <v>0</v>
      </c>
      <c r="J1335">
        <f>'insurance final cleaned'!P819</f>
        <v>0.9963228490295124</v>
      </c>
      <c r="K1335">
        <f>'insurance final cleaned'!Q819</f>
        <v>0</v>
      </c>
      <c r="L1335">
        <f>'insurance final cleaned'!R819</f>
        <v>1</v>
      </c>
      <c r="M1335">
        <f>'insurance final cleaned'!S819</f>
        <v>0</v>
      </c>
    </row>
    <row r="1336" spans="1:13" x14ac:dyDescent="0.3">
      <c r="A1336">
        <f>'insurance final cleaned'!J1314</f>
        <v>46661.440000000002</v>
      </c>
      <c r="B1336">
        <f>'insurance final cleaned'!B1314</f>
        <v>56</v>
      </c>
      <c r="C1336">
        <f>'insurance final cleaned'!D1314</f>
        <v>36.9</v>
      </c>
      <c r="D1336">
        <f>'insurance final cleaned'!G1314</f>
        <v>3</v>
      </c>
      <c r="E1336">
        <f>'insurance final cleaned'!E1314</f>
        <v>110</v>
      </c>
      <c r="F1336">
        <f>'insurance final cleaned'!L1314</f>
        <v>36.9</v>
      </c>
      <c r="G1336">
        <f>'insurance final cleaned'!M1314</f>
        <v>0</v>
      </c>
      <c r="H1336">
        <f>'insurance final cleaned'!N1314</f>
        <v>0</v>
      </c>
      <c r="I1336">
        <f>'insurance final cleaned'!O1314</f>
        <v>1</v>
      </c>
      <c r="J1336">
        <f>'insurance final cleaned'!P1314</f>
        <v>0.99748460793880744</v>
      </c>
      <c r="K1336">
        <f>'insurance final cleaned'!Q1314</f>
        <v>1</v>
      </c>
      <c r="L1336">
        <f>'insurance final cleaned'!R1314</f>
        <v>0</v>
      </c>
      <c r="M1336">
        <f>'insurance final cleaned'!S1314</f>
        <v>1</v>
      </c>
    </row>
    <row r="1337" spans="1:13" x14ac:dyDescent="0.3">
      <c r="A1337">
        <f>'insurance final cleaned'!J993</f>
        <v>15817.99</v>
      </c>
      <c r="B1337">
        <f>'insurance final cleaned'!B993</f>
        <v>27</v>
      </c>
      <c r="C1337">
        <f>'insurance final cleaned'!D993</f>
        <v>24.1</v>
      </c>
      <c r="D1337">
        <f>'insurance final cleaned'!G993</f>
        <v>0</v>
      </c>
      <c r="E1337">
        <f>'insurance final cleaned'!E993</f>
        <v>95</v>
      </c>
      <c r="F1337">
        <f>'insurance final cleaned'!L993</f>
        <v>24.1</v>
      </c>
      <c r="G1337">
        <f>'insurance final cleaned'!M993</f>
        <v>0</v>
      </c>
      <c r="H1337">
        <f>'insurance final cleaned'!N993</f>
        <v>0</v>
      </c>
      <c r="I1337">
        <f>'insurance final cleaned'!O993</f>
        <v>1</v>
      </c>
      <c r="J1337">
        <f>'insurance final cleaned'!P993</f>
        <v>0.99914309380554922</v>
      </c>
      <c r="K1337">
        <f>'insurance final cleaned'!Q993</f>
        <v>1</v>
      </c>
      <c r="L1337">
        <f>'insurance final cleaned'!R993</f>
        <v>0</v>
      </c>
      <c r="M1337">
        <f>'insurance final cleaned'!S993</f>
        <v>0</v>
      </c>
    </row>
    <row r="1338" spans="1:13" x14ac:dyDescent="0.3">
      <c r="A1338">
        <f>'insurance final cleaned'!J1271</f>
        <v>40941.29</v>
      </c>
      <c r="B1338">
        <f>'insurance final cleaned'!B1271</f>
        <v>45</v>
      </c>
      <c r="C1338">
        <f>'insurance final cleaned'!D1271</f>
        <v>32.6</v>
      </c>
      <c r="D1338">
        <f>'insurance final cleaned'!G1271</f>
        <v>3</v>
      </c>
      <c r="E1338">
        <f>'insurance final cleaned'!E1271</f>
        <v>108</v>
      </c>
      <c r="F1338">
        <f>'insurance final cleaned'!L1271</f>
        <v>32.6</v>
      </c>
      <c r="G1338">
        <f>'insurance final cleaned'!M1271</f>
        <v>1</v>
      </c>
      <c r="H1338">
        <f>'insurance final cleaned'!N1271</f>
        <v>0</v>
      </c>
      <c r="I1338">
        <f>'insurance final cleaned'!O1271</f>
        <v>0</v>
      </c>
      <c r="J1338">
        <f>'insurance final cleaned'!P1271</f>
        <v>0.9993259703627424</v>
      </c>
      <c r="K1338">
        <f>'insurance final cleaned'!Q1271</f>
        <v>1</v>
      </c>
      <c r="L1338">
        <f>'insurance final cleaned'!R1271</f>
        <v>1</v>
      </c>
      <c r="M1338">
        <f>'insurance final cleaned'!S1271</f>
        <v>1</v>
      </c>
    </row>
    <row r="1339" spans="1:13" x14ac:dyDescent="0.3">
      <c r="A1339">
        <f>'insurance final cleaned'!J123</f>
        <v>2207.6999999999998</v>
      </c>
      <c r="B1339">
        <f>'insurance final cleaned'!B123</f>
        <v>48</v>
      </c>
      <c r="C1339">
        <f>'insurance final cleaned'!D123</f>
        <v>33.200000000000003</v>
      </c>
      <c r="D1339">
        <f>'insurance final cleaned'!G123</f>
        <v>0</v>
      </c>
      <c r="E1339">
        <f>'insurance final cleaned'!E123</f>
        <v>97</v>
      </c>
      <c r="F1339">
        <f>'insurance final cleaned'!L123</f>
        <v>0</v>
      </c>
      <c r="G1339">
        <f>'insurance final cleaned'!M123</f>
        <v>1</v>
      </c>
      <c r="H1339">
        <f>'insurance final cleaned'!N123</f>
        <v>0</v>
      </c>
      <c r="I1339">
        <f>'insurance final cleaned'!O123</f>
        <v>0</v>
      </c>
      <c r="J1339">
        <f>'insurance final cleaned'!P123</f>
        <v>0.9995379318311951</v>
      </c>
      <c r="K1339">
        <f>'insurance final cleaned'!Q123</f>
        <v>0</v>
      </c>
      <c r="L1339">
        <f>'insurance final cleaned'!R123</f>
        <v>0</v>
      </c>
      <c r="M1339">
        <f>'insurance final cleaned'!S123</f>
        <v>1</v>
      </c>
    </row>
    <row r="1340" spans="1:13" x14ac:dyDescent="0.3">
      <c r="A1340">
        <f>'insurance final cleaned'!J224</f>
        <v>3378.91</v>
      </c>
      <c r="B1340">
        <f>'insurance final cleaned'!B224</f>
        <v>53</v>
      </c>
      <c r="C1340">
        <f>'insurance final cleaned'!D224</f>
        <v>19.8</v>
      </c>
      <c r="D1340">
        <f>'insurance final cleaned'!G224</f>
        <v>1</v>
      </c>
      <c r="E1340">
        <f>'insurance final cleaned'!E224</f>
        <v>93</v>
      </c>
      <c r="F1340">
        <f>'insurance final cleaned'!L224</f>
        <v>0</v>
      </c>
      <c r="G1340">
        <f>'insurance final cleaned'!M224</f>
        <v>0</v>
      </c>
      <c r="H1340">
        <f>'insurance final cleaned'!N224</f>
        <v>1</v>
      </c>
      <c r="I1340">
        <f>'insurance final cleaned'!O224</f>
        <v>0</v>
      </c>
      <c r="J1340">
        <f>'insurance final cleaned'!P224</f>
        <v>0.9997864988212708</v>
      </c>
      <c r="K1340">
        <f>'insurance final cleaned'!Q224</f>
        <v>0</v>
      </c>
      <c r="L1340">
        <f>'insurance final cleaned'!R224</f>
        <v>1</v>
      </c>
      <c r="M1340">
        <f>'insurance final cleaned'!S224</f>
        <v>1</v>
      </c>
    </row>
    <row r="1341" spans="1:13" x14ac:dyDescent="0.3">
      <c r="A1341">
        <f>'insurance final cleaned'!J1004</f>
        <v>16455.71</v>
      </c>
      <c r="B1341">
        <f>'insurance final cleaned'!B1004</f>
        <v>44</v>
      </c>
      <c r="C1341">
        <f>'insurance final cleaned'!D1004</f>
        <v>30.1</v>
      </c>
      <c r="D1341">
        <f>'insurance final cleaned'!G1004</f>
        <v>3</v>
      </c>
      <c r="E1341">
        <f>'insurance final cleaned'!E1004</f>
        <v>105</v>
      </c>
      <c r="F1341">
        <f>'insurance final cleaned'!L1004</f>
        <v>0</v>
      </c>
      <c r="G1341">
        <f>'insurance final cleaned'!M1004</f>
        <v>0</v>
      </c>
      <c r="H1341">
        <f>'insurance final cleaned'!N1004</f>
        <v>0</v>
      </c>
      <c r="I1341">
        <f>'insurance final cleaned'!O1004</f>
        <v>1</v>
      </c>
      <c r="J1341">
        <f>'insurance final cleaned'!P1004</f>
        <v>0.99983047274615822</v>
      </c>
      <c r="K1341">
        <f>'insurance final cleaned'!Q1004</f>
        <v>0</v>
      </c>
      <c r="L1341">
        <f>'insurance final cleaned'!R1004</f>
        <v>1</v>
      </c>
      <c r="M1341">
        <f>'insurance final cleaned'!S1004</f>
        <v>1</v>
      </c>
    </row>
  </sheetData>
  <sortState xmlns:xlrd2="http://schemas.microsoft.com/office/spreadsheetml/2017/richdata2" ref="A2:M1341">
    <sortCondition ref="J2:J13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Sheet6</vt:lpstr>
      <vt:lpstr>insurance final cleaned</vt:lpstr>
      <vt:lpstr>Dashboard</vt:lpstr>
      <vt:lpstr>Sheet3</vt:lpstr>
      <vt:lpstr>Regression Summary</vt:lpstr>
      <vt:lpstr>Math Zone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mahaveer rajpurohit</dc:creator>
  <cp:lastModifiedBy>mahaveer rajpurohit</cp:lastModifiedBy>
  <dcterms:created xsi:type="dcterms:W3CDTF">2026-06-13T10:23:37Z</dcterms:created>
  <dcterms:modified xsi:type="dcterms:W3CDTF">2026-06-16T15:54:43Z</dcterms:modified>
</cp:coreProperties>
</file>